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.savatta\Desktop\PA27-22\MORELLO III\Morello III CPM\"/>
    </mc:Choice>
  </mc:AlternateContent>
  <xr:revisionPtr revIDLastSave="0" documentId="13_ncr:1_{C3B169FC-5667-489B-B1FB-5AC4470B0CB3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Claude Log" sheetId="5" r:id="rId1"/>
    <sheet name="Sheet" sheetId="1" r:id="rId2"/>
    <sheet name="Guado A - WBS 01.17" sheetId="7" r:id="rId3"/>
    <sheet name="Foglio3" sheetId="8" r:id="rId4"/>
    <sheet name="Foglio1" sheetId="2" r:id="rId5"/>
    <sheet name="Confronto Prezzi" sheetId="4" r:id="rId6"/>
    <sheet name="Foglio2" sheetId="6" r:id="rId7"/>
    <sheet name="XER da P6" sheetId="9" r:id="rId8"/>
  </sheets>
  <externalReferences>
    <externalReference r:id="rId9"/>
  </externalReferences>
  <definedNames>
    <definedName name="_xlnm._FilterDatabase" localSheetId="5" hidden="1">'Confronto Prezzi'!$A$1:$G$129</definedName>
    <definedName name="_xlnm._FilterDatabase" localSheetId="1" hidden="1">Sheet!$A$1:$BC$294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7" l="1"/>
  <c r="F32" i="7"/>
  <c r="F31" i="7"/>
  <c r="F30" i="7"/>
  <c r="F29" i="7"/>
  <c r="F28" i="7"/>
  <c r="F27" i="7"/>
  <c r="N23" i="7"/>
  <c r="M23" i="7"/>
  <c r="L23" i="7"/>
  <c r="K23" i="7"/>
  <c r="L21" i="7"/>
  <c r="L20" i="7"/>
  <c r="L19" i="7"/>
  <c r="L18" i="7"/>
  <c r="L17" i="7"/>
  <c r="M17" i="7" s="1"/>
  <c r="L14" i="7"/>
  <c r="L13" i="7"/>
  <c r="L12" i="7"/>
  <c r="L11" i="7"/>
  <c r="L10" i="7"/>
  <c r="L9" i="7"/>
  <c r="L8" i="7"/>
  <c r="L7" i="7"/>
  <c r="L6" i="7"/>
  <c r="L5" i="7"/>
  <c r="L4" i="7"/>
  <c r="M21" i="7"/>
  <c r="N21" i="7" s="1"/>
  <c r="J21" i="7"/>
  <c r="G21" i="7"/>
  <c r="F21" i="7"/>
  <c r="M20" i="7"/>
  <c r="N20" i="7" s="1"/>
  <c r="J20" i="7"/>
  <c r="G20" i="7"/>
  <c r="F20" i="7"/>
  <c r="N19" i="7"/>
  <c r="M19" i="7"/>
  <c r="J19" i="7"/>
  <c r="G19" i="7"/>
  <c r="F19" i="7"/>
  <c r="N18" i="7"/>
  <c r="M18" i="7"/>
  <c r="J18" i="7"/>
  <c r="G18" i="7"/>
  <c r="F18" i="7"/>
  <c r="J17" i="7"/>
  <c r="G17" i="7"/>
  <c r="F17" i="7"/>
  <c r="J16" i="7"/>
  <c r="J15" i="7"/>
  <c r="M14" i="7"/>
  <c r="N14" i="7" s="1"/>
  <c r="J14" i="7"/>
  <c r="G14" i="7"/>
  <c r="F14" i="7"/>
  <c r="J13" i="7"/>
  <c r="G13" i="7"/>
  <c r="F13" i="7"/>
  <c r="J12" i="7"/>
  <c r="G12" i="7"/>
  <c r="F12" i="7"/>
  <c r="J11" i="7"/>
  <c r="G11" i="7"/>
  <c r="F11" i="7"/>
  <c r="M10" i="7"/>
  <c r="N10" i="7" s="1"/>
  <c r="J10" i="7"/>
  <c r="G10" i="7"/>
  <c r="F10" i="7"/>
  <c r="M9" i="7"/>
  <c r="N9" i="7" s="1"/>
  <c r="J9" i="7"/>
  <c r="G9" i="7"/>
  <c r="F9" i="7"/>
  <c r="M8" i="7"/>
  <c r="N8" i="7" s="1"/>
  <c r="J8" i="7"/>
  <c r="G8" i="7"/>
  <c r="F8" i="7"/>
  <c r="J7" i="7"/>
  <c r="G7" i="7"/>
  <c r="F7" i="7"/>
  <c r="J6" i="7"/>
  <c r="G6" i="7"/>
  <c r="F6" i="7"/>
  <c r="N5" i="7"/>
  <c r="M5" i="7"/>
  <c r="J5" i="7"/>
  <c r="G5" i="7"/>
  <c r="F5" i="7"/>
  <c r="M4" i="7"/>
  <c r="N4" i="7" s="1"/>
  <c r="J4" i="7"/>
  <c r="G4" i="7"/>
  <c r="F4" i="7"/>
  <c r="Y256" i="9"/>
  <c r="Y257" i="9"/>
  <c r="I275" i="9"/>
  <c r="AV651" i="9"/>
  <c r="AV669" i="9"/>
  <c r="AW696" i="9"/>
  <c r="AW707" i="9"/>
  <c r="AV731" i="9"/>
  <c r="AW743" i="9"/>
  <c r="AW748" i="9"/>
  <c r="AV754" i="9"/>
  <c r="AW786" i="9"/>
  <c r="AW792" i="9"/>
  <c r="AV796" i="9"/>
  <c r="AW809" i="9"/>
  <c r="AV895" i="9"/>
  <c r="AL1725" i="9"/>
  <c r="AL1763" i="9"/>
  <c r="AL1779" i="9"/>
  <c r="AL1848" i="9"/>
  <c r="AL1908" i="9"/>
  <c r="AL1946" i="9"/>
  <c r="AL2094" i="9"/>
  <c r="AL2105" i="9"/>
  <c r="AL2130" i="9"/>
  <c r="AL2147" i="9"/>
  <c r="AL2221" i="9"/>
  <c r="AL2411" i="9"/>
  <c r="AL2473" i="9"/>
  <c r="AL2477" i="9"/>
  <c r="AL2486" i="9"/>
  <c r="AL2496" i="9"/>
  <c r="AL2611" i="9"/>
  <c r="AL2709" i="9"/>
  <c r="AL2863" i="9"/>
  <c r="AL2937" i="9"/>
  <c r="AL3054" i="9"/>
  <c r="AL3121" i="9"/>
  <c r="AL3127" i="9"/>
  <c r="AL3159" i="9"/>
  <c r="AL3175" i="9"/>
  <c r="AL3221" i="9"/>
  <c r="AL3230" i="9"/>
  <c r="N17" i="7" l="1"/>
  <c r="M13" i="7"/>
  <c r="N13" i="7" s="1"/>
  <c r="M12" i="7"/>
  <c r="N12" i="7" s="1"/>
  <c r="M11" i="7"/>
  <c r="N11" i="7" s="1"/>
  <c r="M7" i="7"/>
  <c r="N7" i="7" s="1"/>
  <c r="M6" i="7"/>
  <c r="N6" i="7"/>
</calcChain>
</file>

<file path=xl/sharedStrings.xml><?xml version="1.0" encoding="utf-8"?>
<sst xmlns="http://schemas.openxmlformats.org/spreadsheetml/2006/main" count="44357" uniqueCount="5477">
  <si>
    <t>Prg.</t>
  </si>
  <si>
    <t>Tipo</t>
  </si>
  <si>
    <t>Tipo inserimento</t>
  </si>
  <si>
    <t>Analizzato</t>
  </si>
  <si>
    <t>Articolo</t>
  </si>
  <si>
    <t>Breve</t>
  </si>
  <si>
    <t>Cod. U.M.</t>
  </si>
  <si>
    <t>Des. U.M.</t>
  </si>
  <si>
    <t>Quantità</t>
  </si>
  <si>
    <t>Cod. Corpo</t>
  </si>
  <si>
    <t>Des. U.M. Corpo</t>
  </si>
  <si>
    <t>Prezzo</t>
  </si>
  <si>
    <t>Costo</t>
  </si>
  <si>
    <t>Offerta</t>
  </si>
  <si>
    <t>Importo (Prezzo)</t>
  </si>
  <si>
    <t>Importo (Costo)</t>
  </si>
  <si>
    <t>Importo (Offerta)</t>
  </si>
  <si>
    <t>Des. Tariffa manodopera</t>
  </si>
  <si>
    <t>Cod. WBS</t>
  </si>
  <si>
    <t>Des. WBS</t>
  </si>
  <si>
    <t>Cod. Cat. SOA</t>
  </si>
  <si>
    <t>Des. Cat. SOA</t>
  </si>
  <si>
    <t>Fornitura diretta</t>
  </si>
  <si>
    <t>Articolo rif.</t>
  </si>
  <si>
    <t>Listino rif.</t>
  </si>
  <si>
    <t>Specie</t>
  </si>
  <si>
    <t>Millesimi offerta</t>
  </si>
  <si>
    <t>Millesimi costo</t>
  </si>
  <si>
    <t>IVA</t>
  </si>
  <si>
    <t>Tipo QTO</t>
  </si>
  <si>
    <t>Importo totale (Costo)</t>
  </si>
  <si>
    <t>Importo man. (Costo)</t>
  </si>
  <si>
    <t>Tempo esecuzione</t>
  </si>
  <si>
    <t>Costo totale</t>
  </si>
  <si>
    <t>Costo man.</t>
  </si>
  <si>
    <t>Tempo esec. unit.</t>
  </si>
  <si>
    <t>Tariffa manodopera</t>
  </si>
  <si>
    <t>Cod. ODL</t>
  </si>
  <si>
    <t>Des. ODL</t>
  </si>
  <si>
    <t>Data fine</t>
  </si>
  <si>
    <t>Modelli IFC</t>
  </si>
  <si>
    <t>Cod. FAMIGLIA (Art)</t>
  </si>
  <si>
    <t>Des. FAMIGLIA (Art)</t>
  </si>
  <si>
    <t>Cod. SOTTOFAMIGLIA (Art)</t>
  </si>
  <si>
    <t>Des. SOTTOFAMIGLIA (Art)</t>
  </si>
  <si>
    <t>Cod. Lotto</t>
  </si>
  <si>
    <t>Des. Lotto</t>
  </si>
  <si>
    <t>Cod. Mappale</t>
  </si>
  <si>
    <t>Des. Mappale</t>
  </si>
  <si>
    <t>Cod. Opera</t>
  </si>
  <si>
    <t>Des. Opera</t>
  </si>
  <si>
    <t>Cod. Capitolo (Art)</t>
  </si>
  <si>
    <t>Des. Capitolo (Art)</t>
  </si>
  <si>
    <t>Cod. TIPONODO (Wbs)</t>
  </si>
  <si>
    <t>Des. TIPONODO (Wbs)</t>
  </si>
  <si>
    <t>Misura</t>
  </si>
  <si>
    <t>Fattori</t>
  </si>
  <si>
    <t>Deselezionato</t>
  </si>
  <si>
    <t>a.01.001</t>
  </si>
  <si>
    <t>Scavo di sbancamento …..anche a campioni di qualsiasi lunghezza, a mano o con mez ...  realizzazione della lavorazione a perfetta regola d'arte.</t>
  </si>
  <si>
    <t>M3</t>
  </si>
  <si>
    <t>m³</t>
  </si>
  <si>
    <t>01.17</t>
  </si>
  <si>
    <t>Guadi A - a servizio pista pile 5 e 6</t>
  </si>
  <si>
    <t/>
  </si>
  <si>
    <t>VI01CT</t>
  </si>
  <si>
    <t>Viadotto Morello III°Stralcio PA-CT</t>
  </si>
  <si>
    <t>001A</t>
  </si>
  <si>
    <t>Opere propedeutiche idrauliche</t>
  </si>
  <si>
    <t>017</t>
  </si>
  <si>
    <t>Realizzazione guado A tra pile 5-6</t>
  </si>
  <si>
    <t>DI</t>
  </si>
  <si>
    <t>DIRETTI</t>
  </si>
  <si>
    <t>a.01.010</t>
  </si>
  <si>
    <t>Dal perimetro del lotto con autocarro, per ogni mc e km.  ... metrico o misurato in banco per il solo viaggio di andata.</t>
  </si>
  <si>
    <t>mc x km</t>
  </si>
  <si>
    <t>a.02.003.c</t>
  </si>
  <si>
    <t>Fornitura in cantiere di materiali per la formazione di r ... ale e tutti gli altri oneri indicati nelle norme tecniche.</t>
  </si>
  <si>
    <t>a.02.007.a</t>
  </si>
  <si>
    <t>Ovvero di frantumati di roccia o smarino di galleria, di  ... ne ed onere per dare il rilevato a perfetta regola d'arte.</t>
  </si>
  <si>
    <t>A.02.020.a</t>
  </si>
  <si>
    <t>Compreso l'onere della fornitura del legante da dosare, s ...  (calce e/o cemento) con le terre da stabilizzare in sito.</t>
  </si>
  <si>
    <t>a.03.007.a</t>
  </si>
  <si>
    <t>Demolizione a sezione obbligata eseguita in qualsiasi dim ... demolizione vada ad interessare i vincoli delle strutture.</t>
  </si>
  <si>
    <t>A.03.019</t>
  </si>
  <si>
    <t>Entro e fuori terra con i mezzi che l'impresa sceglierà i ... rata sulla struttura da demolire per l'effettiva cubatura.</t>
  </si>
  <si>
    <t>B.01.001.a</t>
  </si>
  <si>
    <t>anche a campioni di qualsiasi lunghezza, in materie di qu ...  superiori a 0,5 mc, nonché le murature a calce o cemento.</t>
  </si>
  <si>
    <t>B.03.025.a</t>
  </si>
  <si>
    <t>Calcestruzzo Magrone 150 kg/mc Confezionato a prestazione garantita fornito a piè d'oper ...  esclusi i ponteggi, le casseforme ed il ferro d'armatura.</t>
  </si>
  <si>
    <t>b.03.031.a</t>
  </si>
  <si>
    <t>CLS Strutturale in Fond. RCK 30 N/mmq A prestazione garantita secondo le UNI EN-206 e UNI 11104 ... o materiale in cantiere, getto, vibrazione e stagionatura.</t>
  </si>
  <si>
    <t>B.03.035.a</t>
  </si>
  <si>
    <t>CLS Strutturale in Elev. RCK 30 N/mmq A prestazione garantita secondo le UNI EN-206 e UNI 11104 ... o materiale in cantiere, getto, vibrazione e stagionatura.</t>
  </si>
  <si>
    <t>B.04.001</t>
  </si>
  <si>
    <t>Per strutture in conglomerato cementizio semplice, armato ... , escluse le armature di sostegno oltre i 2 metri di luce.</t>
  </si>
  <si>
    <t>M2</t>
  </si>
  <si>
    <t>m²</t>
  </si>
  <si>
    <t>B.05.030</t>
  </si>
  <si>
    <t>Acciaio classe B450C controllato in stabilimento, di qual ...  lo sfrido, ecc. Compresa la fornitura e la posa in opera.</t>
  </si>
  <si>
    <t>KG</t>
  </si>
  <si>
    <t>kg</t>
  </si>
  <si>
    <t>E.08.005.17.01.01</t>
  </si>
  <si>
    <t>CEMENTO Provenienti dalle attività di costruzione e demolizione.  ... ione. Compreso il terreno proveniente da siti contaminati.</t>
  </si>
  <si>
    <t>T</t>
  </si>
  <si>
    <t>t</t>
  </si>
  <si>
    <t>E.08.005.17.05.04</t>
  </si>
  <si>
    <t>TERRA E ROCCE, DIVERSE DA QUELLE DI CUI ALLA VOCE 17 05 03 Provenienti dalle attività di costruzione e demolizione.  ... ione. Compreso il terreno proveniente da siti contaminati.</t>
  </si>
  <si>
    <t>G.02.003.d</t>
  </si>
  <si>
    <t>Fornitura e posa in opera di barriere stradali di sicurez ... istero per dare il lavoro finito a perfetta regola d'arte.</t>
  </si>
  <si>
    <t>ML</t>
  </si>
  <si>
    <t>01.18</t>
  </si>
  <si>
    <t>Guadi B - a servizio pista pile 9 e 10</t>
  </si>
  <si>
    <t>018</t>
  </si>
  <si>
    <t>Realizzazione guado B tra le pile 9-10</t>
  </si>
  <si>
    <t>01.19</t>
  </si>
  <si>
    <t>Guadi C - a servizio pista pile 26 e 27</t>
  </si>
  <si>
    <t>019</t>
  </si>
  <si>
    <t>Realizzazione guado C a servizio tra le pile 26-27</t>
  </si>
  <si>
    <t>B.03.030.b</t>
  </si>
  <si>
    <t>CLS non strutturale RCK 30 N/mmq A prestazione garantita secondo le UNI EN-206 e UNI 11104 ... o materiale in cantiere, getto, vibrazione e stagionatura.</t>
  </si>
  <si>
    <t>B.05.050.A</t>
  </si>
  <si>
    <t>in fili d'acciaio, rispondente alle caratteristiche di cu ... tture rivestite. Compresa la fornitura e la posa in opera.</t>
  </si>
  <si>
    <t>E.01.014</t>
  </si>
  <si>
    <t>Misurato in opera dopo il compattamento.</t>
  </si>
  <si>
    <t>i.01.006.b</t>
  </si>
  <si>
    <t>Completi di organi di giunzione (bulloni, dadi, rivetti, ganci, ecc.). Compresa fornitura e posa in opera.</t>
  </si>
  <si>
    <t>01.20</t>
  </si>
  <si>
    <t>Guadi D - a servizio pista pile 53 e 54</t>
  </si>
  <si>
    <t>020A</t>
  </si>
  <si>
    <t>Realizzazione guado D a servizio tra le pile 53-54</t>
  </si>
  <si>
    <t>A.02.003.c.1</t>
  </si>
  <si>
    <t>B.11.019</t>
  </si>
  <si>
    <t>I lavori di demolizione dovranno procedere in maniera da  ... erfetta regola d’arte e secondo le disposizioni della D.L.</t>
  </si>
  <si>
    <t>E.08.005.17.04.05</t>
  </si>
  <si>
    <t xml:space="preserve"> FERRO E ACCIAIO Provenienti dalle attività di costruzione e demolizione.  ... ione. Compreso il terreno proveniente da siti contaminati.</t>
  </si>
  <si>
    <t>01.21</t>
  </si>
  <si>
    <t>Guado E - tra pile 70 e 71</t>
  </si>
  <si>
    <t>021A</t>
  </si>
  <si>
    <t>Realizzazione guado E a servizio tra le pile 70-71</t>
  </si>
  <si>
    <t>01.22</t>
  </si>
  <si>
    <t>Nuove rampe di collegamento a Viabilità di cantiere</t>
  </si>
  <si>
    <t>001b</t>
  </si>
  <si>
    <t>Opere propedeutiche viabilità</t>
  </si>
  <si>
    <t>022</t>
  </si>
  <si>
    <t>Realizzazione nuove rampe di collegamento viabilità cantiere</t>
  </si>
  <si>
    <t>a.02.001.a</t>
  </si>
  <si>
    <t>Compreso lo scavo e lo scotico per una profondità media d ... teriali stessi. Appartenenti ai gruppi A1, A2-4, A2-5, A3.</t>
  </si>
  <si>
    <t>A.02.004.a</t>
  </si>
  <si>
    <t>Fornitura e stesa di terreno vegetale per la formazione d ... sferimento dallo scavo al sito di collocazione definitiva.</t>
  </si>
  <si>
    <t>A.02.007.c</t>
  </si>
  <si>
    <t>Di cavi o a precarica di rilevati, senza compattamento me ... e, terreno ed elementi vegetali ecc.) ed ogni altro onere.</t>
  </si>
  <si>
    <t>D.01.001.c</t>
  </si>
  <si>
    <t>Con granulometria continua, compresa la fornitura del mat ... etta regola d'arte misurato in opera dopo il costipamento.</t>
  </si>
  <si>
    <t>01.23</t>
  </si>
  <si>
    <t>Viabilità di cantiere</t>
  </si>
  <si>
    <t>023</t>
  </si>
  <si>
    <t>Realizzazione viabilità di cantiere</t>
  </si>
  <si>
    <t>A.03.004.a</t>
  </si>
  <si>
    <t>comprese le pavimentazioni, con gli oneri e le prescrizio ... e del materiale e la sua miscelazione con altro materiale.</t>
  </si>
  <si>
    <t>E.01.030.b</t>
  </si>
  <si>
    <t>Fornitura e stesa (compresi ogni onere e spese) di geotes ...  le due direzioni ortogonali e Jsec al 5% di deformazione.</t>
  </si>
  <si>
    <t>E.08.005.17.03.02</t>
  </si>
  <si>
    <t>MISCELE BITUMINOSE DIVERSE DA QUELLE DI CUI ALLA VOCE "17 03 01" Provenienti dalle attività di costruzione e demolizione.  ... ione. Compreso il terreno proveniente da siti contaminati.</t>
  </si>
  <si>
    <t>001B</t>
  </si>
  <si>
    <t>Demolizione sovrastruttura stradale</t>
  </si>
  <si>
    <t>02.01</t>
  </si>
  <si>
    <t>Demolizioni</t>
  </si>
  <si>
    <t>002A</t>
  </si>
  <si>
    <t>Decostruzione impalcato</t>
  </si>
  <si>
    <t>001d</t>
  </si>
  <si>
    <t>Demolizione impalcato</t>
  </si>
  <si>
    <t>A.03.008</t>
  </si>
  <si>
    <t>Demolizione integrale di impalcati Di opere d'arte o parti intere di strutture in c.a. o c.a ... aggio del traffico e l'onere della segnaletica necessaria.</t>
  </si>
  <si>
    <t>A.03.027.c</t>
  </si>
  <si>
    <t>Di qualunque dimensione su solette esistenti, eseguita co ...  di risulta compreso l'onere per l'indennità di discarica.</t>
  </si>
  <si>
    <t>001C</t>
  </si>
  <si>
    <t>Demolizione giunti di dilatazione</t>
  </si>
  <si>
    <t>A.03.027.d</t>
  </si>
  <si>
    <t>Mediante l'asportazione con adeguati mezzi demolitori ad  ... ccorra per dare il lavoro finito a perfetta regola d'arte.</t>
  </si>
  <si>
    <t>B.07.014</t>
  </si>
  <si>
    <t>Rimozione ed asporto di appoggi da sostituire, a sollevam ... necessari per l'esecuzione e l'accesso al posto di lavoro.</t>
  </si>
  <si>
    <t>CAD</t>
  </si>
  <si>
    <t>Cadauno</t>
  </si>
  <si>
    <t>E.08.005.17.02.03</t>
  </si>
  <si>
    <t>PLASTICA Provenienti dalle attività di costruzione e demolizione.  ... ione. Compreso il terreno proveniente da siti contaminati.</t>
  </si>
  <si>
    <t>E.08.005.17.03.01</t>
  </si>
  <si>
    <t>MISCELE BITUMINOSE CONTENENTI CATRAME DI CARBONE Provenienti dalle attività di costruzione e demolizione.  ... ione. Compreso il terreno proveniente da siti contaminati.</t>
  </si>
  <si>
    <t>E.08.005.17.04.11</t>
  </si>
  <si>
    <t>CAVI, DIVERSI DA QUELLI DI CUI ALLA VOCE "17 04 10" Provenienti dalle attività di costruzione e demolizione.  ... ione. Compreso il terreno proveniente da siti contaminati.</t>
  </si>
  <si>
    <t>G.01.001.1.a</t>
  </si>
  <si>
    <t>Il ripristino localizzato di barriere incidentate, avvien ... ti, devono essere conservati per un successivo riutilizzo.</t>
  </si>
  <si>
    <t>Rimozione barriere stradali</t>
  </si>
  <si>
    <t>B.03.035.d</t>
  </si>
  <si>
    <t>CLS Strutturale in Elev. RCK 45 N/mmq A prestazione garantita secondo le UNI EN-206 e UNI 11104 ... o materiale in cantiere, getto, vibrazione e stagionatura.</t>
  </si>
  <si>
    <t>02.02</t>
  </si>
  <si>
    <t>Costruzioni nuovi baggioli</t>
  </si>
  <si>
    <t>002B</t>
  </si>
  <si>
    <t>Ricostruzione impalcato</t>
  </si>
  <si>
    <t>002</t>
  </si>
  <si>
    <t>Costruzione nuovi baggioli</t>
  </si>
  <si>
    <t>B.03.045.b</t>
  </si>
  <si>
    <t>Sovrapprezzo CLS per SCC Da applicare alle voci di Elenco Prezzi dei cls per qualsiasi classe di resistenza.</t>
  </si>
  <si>
    <t>%</t>
  </si>
  <si>
    <t>B.03.045.e</t>
  </si>
  <si>
    <t>Sovrapprezzo CLS per Ritiro Compensato Da applicare alle voci di Elenco Prezzi dei cls per quals ...  relativi controlli aggiuntivi (tipo § 7.2 NTC sez 2 CSA).</t>
  </si>
  <si>
    <t>B.13.030.b</t>
  </si>
  <si>
    <t>Composto da resina chimica e barra ad aderenza migliorata ... a 4 ÷6 mm del diametro della barra e comunque secondo ETA.</t>
  </si>
  <si>
    <t>cm</t>
  </si>
  <si>
    <t>02.03</t>
  </si>
  <si>
    <t>Nuovo impalcato in acciaio calcestruzzo</t>
  </si>
  <si>
    <t>003B</t>
  </si>
  <si>
    <t>Realizzazione soletta impalcato</t>
  </si>
  <si>
    <t>B.04.004.a</t>
  </si>
  <si>
    <t>Metallica o in legname, costruita anche a sbalzo a sosteg ... di gallerie artificiali per altezze medie fino a 10 metri.</t>
  </si>
  <si>
    <t>B.04.016</t>
  </si>
  <si>
    <t>Confezionata con conglomerato cementizio vibrato con Rck  ... uto della soletta i volumi di calcestruzzo della coppella.</t>
  </si>
  <si>
    <t>B.05.002.b</t>
  </si>
  <si>
    <t>STRUTTURE IN ACCIAIO Per l'esecuzione di strutture di ponti o viadotti, dato i ... per dare compiuta la lavorazione a perfetta regola d'arte.</t>
  </si>
  <si>
    <t>003A</t>
  </si>
  <si>
    <t>Realizzazione impalcato metallico</t>
  </si>
  <si>
    <t>B.08.001.a</t>
  </si>
  <si>
    <t>Compresa la fornitura e la posa in opera; - rivestiti con ...  giunti. Esclusi eventuali ponteggi da computarsi a parte.</t>
  </si>
  <si>
    <t>B.07.015.a</t>
  </si>
  <si>
    <t>Avente le caratteristiche tecniche prescritte dal Capitol ... iunti o appoggi. Compresa la fornitura e la posa in opera.</t>
  </si>
  <si>
    <t>dm³</t>
  </si>
  <si>
    <t>02.04</t>
  </si>
  <si>
    <t>Apparecchi di appoggi e giunti</t>
  </si>
  <si>
    <t>004A</t>
  </si>
  <si>
    <t>Posa apparecchi di appoggio</t>
  </si>
  <si>
    <t>B.07.019.b</t>
  </si>
  <si>
    <t>Lavori d'inghisaggio appoggi mediante applicazioni di mal ... necessari per l'esecuzione e l'accesso al posto di lavoro.</t>
  </si>
  <si>
    <t>B.07.025.a</t>
  </si>
  <si>
    <t>Fornitura e posa in opera di isolatori elastomerici - mar ... atta salva la riduzione per il volume eccedente i 120 dmc.</t>
  </si>
  <si>
    <t>B.07.040.b</t>
  </si>
  <si>
    <t>Per disallineamento verticale adottato nei collegamenti t ... pera compresi tutti i magisteri e le forniture necessarie.</t>
  </si>
  <si>
    <t>004C</t>
  </si>
  <si>
    <t xml:space="preserve">Posa giunto longitudinale </t>
  </si>
  <si>
    <t>B.07.050.e</t>
  </si>
  <si>
    <t>Per impalcati di ponti e viadotti realizzato con elementi ... ta regola d'arte. PER ESCURSIONI TRASVERSALI FINO A 50 MM.</t>
  </si>
  <si>
    <t>004B</t>
  </si>
  <si>
    <t>Posa giunti di dilatazione</t>
  </si>
  <si>
    <t>B.07.052.c</t>
  </si>
  <si>
    <t>Di cui alla voce precedente. PER ESCURSIONI TRASVERSALI OLTRE A 50 MM.</t>
  </si>
  <si>
    <t>B.07.060.e</t>
  </si>
  <si>
    <t>Fornitura e posa in opera di giunto adatto ad assorbire s ... a perfetta regola d'arte secondo le indicazioni della D.L.</t>
  </si>
  <si>
    <t>B.06.094.a</t>
  </si>
  <si>
    <t>Semplice o armato, di superfici in acciaio ecc., eseguita ... , la stuccatura e simili non sono compresi in questa voce.</t>
  </si>
  <si>
    <t>02.05</t>
  </si>
  <si>
    <t>Impermeabilizzazione impalcati</t>
  </si>
  <si>
    <t>005</t>
  </si>
  <si>
    <t>Posa impermeabilizzazione impalcato</t>
  </si>
  <si>
    <t>D.01.017.i</t>
  </si>
  <si>
    <t>Fornitura e posa in opera di conglomerato bituminoso per  ... tteristiche rispondenti al CSA. PER METRO CUBO COMPATTATO.</t>
  </si>
  <si>
    <t>02.06</t>
  </si>
  <si>
    <t>Pavimentazioni</t>
  </si>
  <si>
    <t>006</t>
  </si>
  <si>
    <t xml:space="preserve">Posa pavimentazione stradale </t>
  </si>
  <si>
    <t>D.01.021.e</t>
  </si>
  <si>
    <t>D.01.043.2.d</t>
  </si>
  <si>
    <t>Fornitura e spruzzatura di mano di ancoraggio o di attacc ... onere per una corretta e omogenea spruzzatura del legante.</t>
  </si>
  <si>
    <t>G.02.005.b</t>
  </si>
  <si>
    <t>02.07</t>
  </si>
  <si>
    <t>Barriere di sicurezza e reti di protezione</t>
  </si>
  <si>
    <t>007</t>
  </si>
  <si>
    <t>Posa delle barriere stradali</t>
  </si>
  <si>
    <t>G.03.020.a</t>
  </si>
  <si>
    <t>Rispondente al D.M. 21.06.04 di lunghezza minima di 40 ml ... ico fissa. Per ogni metro effettivo di barriera amovibile.</t>
  </si>
  <si>
    <t>H.01.001.b</t>
  </si>
  <si>
    <t>Esecuzione di segnaletica orizzontale di nuovo impianto c ... 'appalto. Per ogni metro lineare effettivamente ricoperto.</t>
  </si>
  <si>
    <t>02.08</t>
  </si>
  <si>
    <t>Segnaletica orizzontale e verticale</t>
  </si>
  <si>
    <t>008A</t>
  </si>
  <si>
    <t>Realizzazione segnaletica orizzontale</t>
  </si>
  <si>
    <t>H.02.200.2.b</t>
  </si>
  <si>
    <t>Fornitura di segnale triangolare in lamiera di alluminio, ... ee (ETA) di pertinenza, che ne definiscono le prestazioni.</t>
  </si>
  <si>
    <t>008B</t>
  </si>
  <si>
    <t>Realizzazione segnaletica verticale</t>
  </si>
  <si>
    <t>H.02.210.2.b</t>
  </si>
  <si>
    <t>Fornitura di segnale circolare in lamiera di alluminio, c ... ee (ETA) di pertinenza, che ne definiscono le prestazioni.</t>
  </si>
  <si>
    <t>H.02.225.2.b</t>
  </si>
  <si>
    <t>Fornitura di segnale romboidale o quadrato in lamiera di  ... ee (ETA) di pertinenza, che ne definiscono le prestazioni.</t>
  </si>
  <si>
    <t>H.02.300.2.c</t>
  </si>
  <si>
    <t>Fornitura di pannelli aggiuntivi, esplicativi e segnalato ... ee (ETA) di pertinenza, che ne definiscono le prestazioni.</t>
  </si>
  <si>
    <t>H.02.405.a</t>
  </si>
  <si>
    <t>Compreso l'eventuale trasporto anche dal deposito ANAS fi ... riali, attrezzatura, manodopera e trasporti a piè d'opera.</t>
  </si>
  <si>
    <t>H.02.405.b</t>
  </si>
  <si>
    <t>A.03.025.2.a</t>
  </si>
  <si>
    <t>Idrodemolizione su intradossi di impalcati di opere d'art ... necessari per l'esecuzione e l'accesso al posto di lavoro.</t>
  </si>
  <si>
    <t>02.09</t>
  </si>
  <si>
    <t>Completamento risanamento corticale pulvini dalle pile da 56 a 76</t>
  </si>
  <si>
    <t>009</t>
  </si>
  <si>
    <t>Ripristino corticale pulvini</t>
  </si>
  <si>
    <t>B.05.050.b</t>
  </si>
  <si>
    <t>B.09.020.1</t>
  </si>
  <si>
    <t>Comprendente: - la raddrizzatura ed il riposizionamento d ... oi ai nuovi lavori. Per ogni metro quadrato di intervento.</t>
  </si>
  <si>
    <t>B.09.020.2</t>
  </si>
  <si>
    <t>Eseguita mediante applicazione di malta cementizia monoco ... nibitori di corrosione e dispersione di polimeri acrilici.</t>
  </si>
  <si>
    <t>B.09.020.3.1</t>
  </si>
  <si>
    <t>Per l'ancoraggio di nuovi getti, compreso l'esecuzione de ... e solo esclusa la fornitura di ganci e/o barre di acciaio.</t>
  </si>
  <si>
    <t>B.09.212</t>
  </si>
  <si>
    <t>Delle superfici in calcetruzzo di opere d'arte e/o manufa ... ccorrenti. Per ogni metro quadrato di superficie trattata.</t>
  </si>
  <si>
    <t>B.09.215.b</t>
  </si>
  <si>
    <t>L’applicazione della malta dovrà essere effettuata previa ... are in opera un paramento perfettamente rasato e lisciato.</t>
  </si>
  <si>
    <t>B.09.220.2.a</t>
  </si>
  <si>
    <t>Fornitura e posa in opera di malta ad espansione contrast ... sati nel prezzo per dare il lavoro finito a regola d’arte.</t>
  </si>
  <si>
    <t>B.09.220.2.b</t>
  </si>
  <si>
    <t>mq x cm</t>
  </si>
  <si>
    <t>L.01.080</t>
  </si>
  <si>
    <t>Da eseguirsi nel rispetto della normativa vigente, dato i ... ggio.  A mq, per tutto il tempo di utilizzo del ponteggio.</t>
  </si>
  <si>
    <t>02.16</t>
  </si>
  <si>
    <t>Ponteggi</t>
  </si>
  <si>
    <t>016</t>
  </si>
  <si>
    <t>Posa ponteggi</t>
  </si>
  <si>
    <t>SIC.001.001.015.a</t>
  </si>
  <si>
    <t>SCHERMATURA CON TELI E RETI IN PLASTICA Di ponteggi e cas ... ro quadrato di facciavista. - PER IL PRIMO MESE O FRAZIONE</t>
  </si>
  <si>
    <t>SIC.001.001.015.b</t>
  </si>
  <si>
    <t>SCHERMATURA CON TELI E RETI IN PLASTICA Di ponteggi e cas ... quadrato di facciavista. - PER OGNI MESE IN PIÙ O FRAZIONE</t>
  </si>
  <si>
    <t>A.03.030.b</t>
  </si>
  <si>
    <t>O c.a.p. per alloggiamento di bocchettoni o tubi per emun ... er ogni foro. Per fori di lunghezza non superiore a cm 50.</t>
  </si>
  <si>
    <t>02.13</t>
  </si>
  <si>
    <t>Nuovo sistema di raccolta acque di piattaforma</t>
  </si>
  <si>
    <t>013</t>
  </si>
  <si>
    <t>Realizzazione scarico acque di piattaforma</t>
  </si>
  <si>
    <t>I.02.105</t>
  </si>
  <si>
    <t>Complesso di bocchetta per la raccolta e lo scarico di ac ... one ed il loro avvio alla caditoia di scarico delle acque.</t>
  </si>
  <si>
    <t>I.02.115.c</t>
  </si>
  <si>
    <t>Realizzati con tubazioni PVC ad alta durabilità di diamet ... i costruzione dell'impalcato che a completamento avvenuto.</t>
  </si>
  <si>
    <t>02.15</t>
  </si>
  <si>
    <t>Nuova pila by-pass</t>
  </si>
  <si>
    <t>003</t>
  </si>
  <si>
    <t>Realizzazione pila by-pass</t>
  </si>
  <si>
    <t>015a</t>
  </si>
  <si>
    <t>Realizzazione pali di sottofondazione pila by-pass</t>
  </si>
  <si>
    <t>B.01.005.a</t>
  </si>
  <si>
    <t>Sotto il piano di sbancamento e per ogni 2,00 m o frazioni di 2,00 m superanti la suddetta profondità.</t>
  </si>
  <si>
    <t>B.02.035.c</t>
  </si>
  <si>
    <t>Eseguiti con perforazione a percussione o rotopercussione ... alo misurato secondo le prescrizioni delle Norme Tecniche.</t>
  </si>
  <si>
    <t>015B</t>
  </si>
  <si>
    <t>Realizzaizone fondazione pila by-pass</t>
  </si>
  <si>
    <t>B.03.035.c</t>
  </si>
  <si>
    <t>CLS Strutturale in Elev. RCK 40 N/mmq A prestazione garantita secondo le UNI EN-206 e UNI 11104 ... o materiale in cantiere, getto, vibrazione e stagionatura.</t>
  </si>
  <si>
    <t>015C</t>
  </si>
  <si>
    <t>Realizzazione elevazione pila by-pass</t>
  </si>
  <si>
    <t>B.04.005</t>
  </si>
  <si>
    <t>Sovrapprezzo alla voce di armature per casseforme di stru ... maggiorazione di essa per seguire le linee curve disposte.</t>
  </si>
  <si>
    <t>B.07.005.c</t>
  </si>
  <si>
    <t>Fornitura e posa in opera di apparecchi di appoggio a dis ... le max 10% del carico verticale; - Rotazione a = 0,01 rad.</t>
  </si>
  <si>
    <t>kN</t>
  </si>
  <si>
    <t>015D</t>
  </si>
  <si>
    <t>Posa apparecchidi appoggio pila by-pass</t>
  </si>
  <si>
    <t>B.07.006.c</t>
  </si>
  <si>
    <t>Fornitura e posa in opera di apparecchi di appoggio a dis ...  50 mm; - Scorrimento orizzontale trasversale max ± 20 mm.</t>
  </si>
  <si>
    <t>B.07.007.c</t>
  </si>
  <si>
    <t>Fornitura e posa in opera di apparecchi di appoggio a dis ...  fino a = 0.01 rad; - Scorrimento orizzontale max ± 50 mm.</t>
  </si>
  <si>
    <t>B.07.008.1.b</t>
  </si>
  <si>
    <t>SOVRAPPREZZO PER APPARECCHI DI APPOGGIO A DISCO ELASTOMER ...  10% DEL CARICO VERTICALE - - OLTRE IL 30% FINO AL 70% (%)</t>
  </si>
  <si>
    <t>B.07.008.2.a</t>
  </si>
  <si>
    <t>SOVRAPPREZZO PER APPARECCHI DI APPOGGIO A DISCO ELASTOMER ... GITUDINALI SUPERIORI A +/- 50 MM - - FINO A +/- 150 MM (%)</t>
  </si>
  <si>
    <t>B.07.008.3.a</t>
  </si>
  <si>
    <t>SOVRAPPREZZO PER APPARECCHI DI APPOGGIO A DISCO ELASTOMER ... RASVERSALI SUPERIORI A +/- 20 MM - - FINO A +/- 150 MM (%)</t>
  </si>
  <si>
    <t>B.07.015.b</t>
  </si>
  <si>
    <t>015E</t>
  </si>
  <si>
    <t>Posa giunto longitudinale su pial by-pass</t>
  </si>
  <si>
    <t>IG.05.155</t>
  </si>
  <si>
    <t>CNR-BU 146.</t>
  </si>
  <si>
    <t>SIC.01.01.001.a</t>
  </si>
  <si>
    <t>In elementi portanti metallici, a cavalletti, assemblati, ... tale calcolando l'asse medio dello sviluppo del ponteggio.</t>
  </si>
  <si>
    <t>04.24</t>
  </si>
  <si>
    <t>Linee Telefoniche interferenti</t>
  </si>
  <si>
    <t>004</t>
  </si>
  <si>
    <t>Interferenze</t>
  </si>
  <si>
    <t>024</t>
  </si>
  <si>
    <t>Risoluzione interferenza liea telefonica</t>
  </si>
  <si>
    <t>P.01.002.c</t>
  </si>
  <si>
    <t>Conforme alle norma UNI EN 1917. Fornitura e posa in oper ... usino/coperchio da pagarsi con le relative voci di elenco.</t>
  </si>
  <si>
    <t>P.01.006.f</t>
  </si>
  <si>
    <t>Conforme alla norma  UNI EN 1917. Fornitura e posa in ope ... essari per dare il lavoro finito a perfetta regola d'arte.</t>
  </si>
  <si>
    <t>P.01.013.1.c</t>
  </si>
  <si>
    <t>Fornitura e posa in opera di chiusino, posato su pozzetti ... a perfetta regola d'arte. Conforme alla norma UNI EN 1563.</t>
  </si>
  <si>
    <t>P.01.030</t>
  </si>
  <si>
    <t>In terreno di qualsiasi natura e consistenza delle dimens ... compreso ogni onere per il rinterro e quant'altro occorra.</t>
  </si>
  <si>
    <t>P.06.010.2.d</t>
  </si>
  <si>
    <t>Con diametro in sommità 60 mm, stampato e saldato in long ...  di derivazione. Compresa la fornitura e la posa in opera.</t>
  </si>
  <si>
    <t>P.06.015.e</t>
  </si>
  <si>
    <t>Fornitura e posa in opera di plinto prefabbricato in cls  ... dello scavo e il ripristino dei fianchi con terreno arido.</t>
  </si>
  <si>
    <t>P.07.010.f</t>
  </si>
  <si>
    <t>Conforme CEI EN 61386 Per cavidotto e per la protezione d ... rati. Con marchio IMQ. Compresa fornitura e posa in opera.</t>
  </si>
  <si>
    <t>P.20.015</t>
  </si>
  <si>
    <t>Compreso ogni onere per la demolizione eventuale taglio c ... per carico, trasporto e scarico dei pali ai depositi ANAS.</t>
  </si>
  <si>
    <t>P.20.016</t>
  </si>
  <si>
    <t>RIMOZIONE DI ARMATURA COMPRESI GLI ACCESSORI ELETTRICI</t>
  </si>
  <si>
    <t>04.25</t>
  </si>
  <si>
    <t>Linee Elettriche BT interferenti</t>
  </si>
  <si>
    <t>025</t>
  </si>
  <si>
    <t>Risoluzione interferenza linea elettrica BT</t>
  </si>
  <si>
    <t>05.26</t>
  </si>
  <si>
    <t>Ripristini ambientali</t>
  </si>
  <si>
    <t>026</t>
  </si>
  <si>
    <t>Realizzazione opere a verde e ripristino dei luoghi</t>
  </si>
  <si>
    <t>F.01.007</t>
  </si>
  <si>
    <t>Con semi da prato compresi semi di trifoglio repens compr ... dare il lavoro finito e completo a perfetta regola d'arte.</t>
  </si>
  <si>
    <t>F.02.023</t>
  </si>
  <si>
    <t>Le piante devono essere complete di certificato di proven ... mazione, la garanzia di attecchimento ed ogni altro onere.</t>
  </si>
  <si>
    <t>F.02.024.a</t>
  </si>
  <si>
    <t>Le piante devono essere complete di certificato di proven ... affiamento, garanzia di attecchimento ed ogni altro onere.</t>
  </si>
  <si>
    <t>F.02.034</t>
  </si>
  <si>
    <t>SIC</t>
  </si>
  <si>
    <t>SICUREZZA</t>
  </si>
  <si>
    <t>AC</t>
  </si>
  <si>
    <t>a corpo</t>
  </si>
  <si>
    <t>Sicurezza</t>
  </si>
  <si>
    <t>SIC01</t>
  </si>
  <si>
    <t>Oneri della sicurezza</t>
  </si>
  <si>
    <t>REC.1</t>
  </si>
  <si>
    <t>Aggiornamento prezziario 2025 Impalcati metallici - B.05.002.b - STRUTTURE IN ACCIAIO Per l'esecuzione di ponti o viadotti</t>
  </si>
  <si>
    <t>REC</t>
  </si>
  <si>
    <t>Recupero</t>
  </si>
  <si>
    <t>REC1</t>
  </si>
  <si>
    <t>Aggiornamento prezziario 2025 acciaio</t>
  </si>
  <si>
    <t>a.1</t>
  </si>
  <si>
    <t>Costi personale Impiegato</t>
  </si>
  <si>
    <t>A.1</t>
  </si>
  <si>
    <t>A0</t>
  </si>
  <si>
    <t>Costo personale</t>
  </si>
  <si>
    <t>A</t>
  </si>
  <si>
    <t>Costo Personale impiegato</t>
  </si>
  <si>
    <t>A1</t>
  </si>
  <si>
    <t>Costo personale impiegato</t>
  </si>
  <si>
    <t>IN</t>
  </si>
  <si>
    <t>INDIRETTI</t>
  </si>
  <si>
    <t>A.2</t>
  </si>
  <si>
    <t>Note Spese</t>
  </si>
  <si>
    <t>A2</t>
  </si>
  <si>
    <t>Note spese</t>
  </si>
  <si>
    <t>A.3</t>
  </si>
  <si>
    <t>Vitto (Impiegati + Operai)</t>
  </si>
  <si>
    <t>A3</t>
  </si>
  <si>
    <t>Vitto (impiegati+operai)</t>
  </si>
  <si>
    <t>A.4</t>
  </si>
  <si>
    <t>Alloggi (affitto + spese gestione)</t>
  </si>
  <si>
    <t>A4</t>
  </si>
  <si>
    <t>Alloggi (affitto+spese gestione)</t>
  </si>
  <si>
    <t>A.5</t>
  </si>
  <si>
    <t>Viaggi, soggiorni, trasferte</t>
  </si>
  <si>
    <t>A5</t>
  </si>
  <si>
    <t>Viaggi, soggiorni,trasferte</t>
  </si>
  <si>
    <t>A.6</t>
  </si>
  <si>
    <t>Oneri di rappresentanza</t>
  </si>
  <si>
    <t>A6</t>
  </si>
  <si>
    <t>A.7</t>
  </si>
  <si>
    <t>EUROMED1 - QUALITA' SICUREZZA AMBIENTE</t>
  </si>
  <si>
    <t>A7</t>
  </si>
  <si>
    <t>EUROMED1-QUALITA' SICUREZZA AMBIANTE</t>
  </si>
  <si>
    <t>B.1</t>
  </si>
  <si>
    <t>Allacci e consumi acqua ed elettricità (30KW contratto)</t>
  </si>
  <si>
    <t>Allacci e consumi acqua ed elettricità, comprese cabine</t>
  </si>
  <si>
    <t>B0</t>
  </si>
  <si>
    <t>Gestione cantiere</t>
  </si>
  <si>
    <t>B</t>
  </si>
  <si>
    <t>Gestione cantiere e servizi generali</t>
  </si>
  <si>
    <t>B1</t>
  </si>
  <si>
    <t>B.2</t>
  </si>
  <si>
    <t>Pulizie</t>
  </si>
  <si>
    <t>B2</t>
  </si>
  <si>
    <t xml:space="preserve">Pulizie </t>
  </si>
  <si>
    <t>B.3</t>
  </si>
  <si>
    <t>Spese telefoniche/internet/cellulari azien.</t>
  </si>
  <si>
    <t>B3</t>
  </si>
  <si>
    <t>B.4</t>
  </si>
  <si>
    <t>Hardware/Software/Rete/VOiP</t>
  </si>
  <si>
    <t>B4</t>
  </si>
  <si>
    <t>B.5</t>
  </si>
  <si>
    <t>Postali, cancelleria, fotocopie, stampe ect.</t>
  </si>
  <si>
    <t>Postali, cancelleria, fotocopie, ect.</t>
  </si>
  <si>
    <t>B5</t>
  </si>
  <si>
    <t>B.6</t>
  </si>
  <si>
    <t>Varie</t>
  </si>
  <si>
    <t>B6</t>
  </si>
  <si>
    <t>B.7</t>
  </si>
  <si>
    <t>Videosorveglianza e allarme (videocam; cablaggio; postazione controllo)</t>
  </si>
  <si>
    <t>B7</t>
  </si>
  <si>
    <t>B.8</t>
  </si>
  <si>
    <t xml:space="preserve">Guardiania, portierato </t>
  </si>
  <si>
    <t>Guardiania, portierato</t>
  </si>
  <si>
    <t>B8</t>
  </si>
  <si>
    <t>C.1</t>
  </si>
  <si>
    <t>Automobili e furgoni</t>
  </si>
  <si>
    <t>c.1</t>
  </si>
  <si>
    <t>C0</t>
  </si>
  <si>
    <t>Gestione mezzi</t>
  </si>
  <si>
    <t>C</t>
  </si>
  <si>
    <t>Veicoli mezzi e attrezzature</t>
  </si>
  <si>
    <t>C1</t>
  </si>
  <si>
    <t>C.2</t>
  </si>
  <si>
    <t>Consumi automobili e furgoni</t>
  </si>
  <si>
    <t>C2</t>
  </si>
  <si>
    <t>C.3</t>
  </si>
  <si>
    <t xml:space="preserve">Altri mezzi a servizio del cantiere </t>
  </si>
  <si>
    <t>Altri mezzi a servizio del cantiere</t>
  </si>
  <si>
    <t>C3</t>
  </si>
  <si>
    <t>C.4</t>
  </si>
  <si>
    <t>Consumi altri mezzi</t>
  </si>
  <si>
    <t>C4</t>
  </si>
  <si>
    <t>C.5</t>
  </si>
  <si>
    <t>Strumenti topografici /software e simili</t>
  </si>
  <si>
    <t>C5</t>
  </si>
  <si>
    <t>C.6</t>
  </si>
  <si>
    <t>Manutenzione mezzi</t>
  </si>
  <si>
    <t>Manutenzione mezzi stima (Attrezzatura Minuta)</t>
  </si>
  <si>
    <t>C6</t>
  </si>
  <si>
    <t>C.7</t>
  </si>
  <si>
    <t>Materiale vario</t>
  </si>
  <si>
    <t>Materiale Vario</t>
  </si>
  <si>
    <t>C7</t>
  </si>
  <si>
    <t>D.15</t>
  </si>
  <si>
    <t>Trasporti viaggi A/R sede</t>
  </si>
  <si>
    <t>D0</t>
  </si>
  <si>
    <t>Impianto e smontaggio cantere</t>
  </si>
  <si>
    <t>D</t>
  </si>
  <si>
    <t>Impianto e smontaggio cantiere</t>
  </si>
  <si>
    <t>D15</t>
  </si>
  <si>
    <t>E.1</t>
  </si>
  <si>
    <t>Infopoint-video-rendering</t>
  </si>
  <si>
    <t>E0</t>
  </si>
  <si>
    <t>Rapporto con il pubblico</t>
  </si>
  <si>
    <t>E</t>
  </si>
  <si>
    <t>Rapporti con il pubblico</t>
  </si>
  <si>
    <t>E1</t>
  </si>
  <si>
    <t>E.2</t>
  </si>
  <si>
    <t>Report fotografico per Committenza</t>
  </si>
  <si>
    <t>E2</t>
  </si>
  <si>
    <t>F.1</t>
  </si>
  <si>
    <t>RSPP</t>
  </si>
  <si>
    <t>F0</t>
  </si>
  <si>
    <t>Consulenze professionisti</t>
  </si>
  <si>
    <t>F</t>
  </si>
  <si>
    <t>F1</t>
  </si>
  <si>
    <t>F.2</t>
  </si>
  <si>
    <t>Consulente progettazione in corso d'opera (Antonelli - ACS ingegneri)</t>
  </si>
  <si>
    <t>F2</t>
  </si>
  <si>
    <t>Consulente progettazione in corso d'opera (Antonelli</t>
  </si>
  <si>
    <t>F.4</t>
  </si>
  <si>
    <t xml:space="preserve">Consulenza ambientale </t>
  </si>
  <si>
    <t>Consulenza ambientale</t>
  </si>
  <si>
    <t>F4</t>
  </si>
  <si>
    <t>F.5</t>
  </si>
  <si>
    <t>Controllo Tecnico Costruzioni per decennale postuma</t>
  </si>
  <si>
    <t>F5</t>
  </si>
  <si>
    <t>F.6</t>
  </si>
  <si>
    <t>Consulenze legali e contenzioso</t>
  </si>
  <si>
    <t>F6</t>
  </si>
  <si>
    <t>F.8</t>
  </si>
  <si>
    <t>Consulenza legale per pratiche civili</t>
  </si>
  <si>
    <t>F8</t>
  </si>
  <si>
    <t>F.9</t>
  </si>
  <si>
    <t xml:space="preserve">Topografia </t>
  </si>
  <si>
    <t>Topografia</t>
  </si>
  <si>
    <t>F9</t>
  </si>
  <si>
    <t>G.1</t>
  </si>
  <si>
    <t xml:space="preserve">Fidejussione definitiva </t>
  </si>
  <si>
    <t>Fidejussione definitiva</t>
  </si>
  <si>
    <t>G0</t>
  </si>
  <si>
    <t>Oneri generali</t>
  </si>
  <si>
    <t>G</t>
  </si>
  <si>
    <t>Oneri generali di contratto -Assicurazioni</t>
  </si>
  <si>
    <t>G1</t>
  </si>
  <si>
    <t>G.2</t>
  </si>
  <si>
    <t xml:space="preserve">Assicurazioni contrattuali (CAR, RCT e RCO aziendale) </t>
  </si>
  <si>
    <t>Assicurazioni contrattuali (CAR, RCT e RCO aziendale)</t>
  </si>
  <si>
    <t>G2</t>
  </si>
  <si>
    <t>G.3</t>
  </si>
  <si>
    <t xml:space="preserve">Assicurazioni contrattuali (postuma) </t>
  </si>
  <si>
    <t>Assicurazioni contrattuali (postuma)</t>
  </si>
  <si>
    <t>G3</t>
  </si>
  <si>
    <t>G.4</t>
  </si>
  <si>
    <t>Polizza per Anticipazione Contrattuale</t>
  </si>
  <si>
    <t>G4</t>
  </si>
  <si>
    <t>G.7</t>
  </si>
  <si>
    <t>Qualifiche materiali</t>
  </si>
  <si>
    <t>G7</t>
  </si>
  <si>
    <t>G.8</t>
  </si>
  <si>
    <t>Spese per Prove e collaudi</t>
  </si>
  <si>
    <t>G8</t>
  </si>
  <si>
    <t>G.9</t>
  </si>
  <si>
    <t>Oneri generici (0,1% su ricavi Lavori)</t>
  </si>
  <si>
    <t>G9</t>
  </si>
  <si>
    <t>G.10</t>
  </si>
  <si>
    <t>Spese pubblicazione bando</t>
  </si>
  <si>
    <t>G10</t>
  </si>
  <si>
    <t>G.11</t>
  </si>
  <si>
    <t>Spese registrazione contratto</t>
  </si>
  <si>
    <t>G11</t>
  </si>
  <si>
    <t>G.13</t>
  </si>
  <si>
    <t>Controllo tecnico gara</t>
  </si>
  <si>
    <t>G13</t>
  </si>
  <si>
    <t>G.14</t>
  </si>
  <si>
    <t>Oneri di conferimento a discarica imballaggi e simili/ test di cessione</t>
  </si>
  <si>
    <t>G14</t>
  </si>
  <si>
    <t>G.15</t>
  </si>
  <si>
    <t>Imprevisti</t>
  </si>
  <si>
    <t>G15</t>
  </si>
  <si>
    <t>G.17</t>
  </si>
  <si>
    <t>Manutenzione fino a collaudo (1 squadra con furgone 1 volta a settimana x 3 mesi)</t>
  </si>
  <si>
    <t>G17</t>
  </si>
  <si>
    <t>G.18</t>
  </si>
  <si>
    <t>Riproduzione cartacea progetto</t>
  </si>
  <si>
    <t>G18</t>
  </si>
  <si>
    <t>G.19</t>
  </si>
  <si>
    <t>consorzio VALORI</t>
  </si>
  <si>
    <t>G19</t>
  </si>
  <si>
    <t>H.4</t>
  </si>
  <si>
    <t>Offerta B.2 – Gestione del cantiere</t>
  </si>
  <si>
    <t>H0</t>
  </si>
  <si>
    <t>Oneri di contratto e migliorie</t>
  </si>
  <si>
    <t>H</t>
  </si>
  <si>
    <t>Oneri generali di contratto migliorie</t>
  </si>
  <si>
    <t>H4</t>
  </si>
  <si>
    <t>H.5</t>
  </si>
  <si>
    <t>Offerta B.3.1 – Redazione elaborati in carico all’appaltatore con metodologia BIM</t>
  </si>
  <si>
    <t>H5</t>
  </si>
  <si>
    <t>B.09.208</t>
  </si>
  <si>
    <t>Bocciardatura meccanica o a mano di superfici cementizie</t>
  </si>
  <si>
    <t>mq</t>
  </si>
  <si>
    <t>NP.01 (F.01.012)</t>
  </si>
  <si>
    <t>IDROSEMINA COSTITUITA DA SEMINA A SPRUZZO DI ESSENZE SPONTANEE</t>
  </si>
  <si>
    <t>NP.02 (F.02.035)</t>
  </si>
  <si>
    <t>ARBUSTI SPOGLIANTI O SEMPREVERDI GRANDI A CESPUGLIO DELL'ALTEZZA DI M 3,00/3,50</t>
  </si>
  <si>
    <t>NP.03 (F.02.026.c)</t>
  </si>
  <si>
    <t>PIANTUMAZIONE - NERIUM OLEANDER A CESPUGLIO - VASO V12 ALTEZZA METRI 0,80/1,00</t>
  </si>
  <si>
    <t>NP.04 (P.06.001.1.a)</t>
  </si>
  <si>
    <t>TORRE FARO A CORONA MOBILE PER PORTATA FINO A 12 PROIETTORI - DI ALTEZZA FINO A 20 M</t>
  </si>
  <si>
    <t>NP.05 (P.04.010.a)</t>
  </si>
  <si>
    <t>CISTERNA METALLICA PER STOCCAGGIO GASOLIO - DA 1000 LITRI</t>
  </si>
  <si>
    <t>NP.06 (P.06.076)</t>
  </si>
  <si>
    <t>CORPO ILLUMINANTE DI EMERGENZA</t>
  </si>
  <si>
    <t>NP.07 (26.07.04.1)</t>
  </si>
  <si>
    <t>LOCALE DORMITORIO DELLE DIMENSIONI  DI M 6,00 X 2,40 X 2,40 - PER IL PRIMO MESE DI IMPIEGO</t>
  </si>
  <si>
    <t>NP.08 (26.07.04.2)</t>
  </si>
  <si>
    <t>LOCALE DORMITORIO DELLE DIMENSIONI   DI M 6,00 X 2,40 X 2,40 - PER OGNI MESE SUCCESSIVO AL PRIMO</t>
  </si>
  <si>
    <t>NP.09 (26.07.03.1)</t>
  </si>
  <si>
    <t>LOCALE MENSA DELLE dimensioni DI M 6,00 X 2,20 X 2,40 - PER IL PRIMO MESE DI IMPIEGO</t>
  </si>
  <si>
    <t>NP.10 (26.07.03.2)</t>
  </si>
  <si>
    <t>LOCALE MENSA DELLE dimensioni DI M 6,00 X 2,20 X 2,40 - PER OGNI MESE SUCCESSIVO AL PRIMO</t>
  </si>
  <si>
    <t>NP.11 (26.07.01.1)</t>
  </si>
  <si>
    <t>LOCALE IGIENICO - PER IL PRIMO MESE DI IMPIEGO</t>
  </si>
  <si>
    <t>NP.12 (26.07.01.2)</t>
  </si>
  <si>
    <t>LOCALE IGIENICO - PER OGNI MESE SUCCESSIVO AL PRIMO</t>
  </si>
  <si>
    <t>NP.13 (S.1.01.2.37.a)</t>
  </si>
  <si>
    <t>CONTENITORE DISTRIBUTORE RIMOVIBILE DI CARBURANTE DI L 9,000 - PER IL PRIMO MESE DI IMPIEGO</t>
  </si>
  <si>
    <t>NP.14 (S.1.01.2.37.b)</t>
  </si>
  <si>
    <t>CONTENITORE DISTRIBUTORE RIMOVIBILE DI CARBURANTE DI L 9,000 - PER OGNI MESE SUCCESSIVO AL PRIMO</t>
  </si>
  <si>
    <t>NP.15 (D.01.065)</t>
  </si>
  <si>
    <t>SCARIFICA E/O DEMOLIZIONE PAVIMENTAZIONE SU IMPALCATI DI OPERE D'ARTE</t>
  </si>
  <si>
    <t>NP.16 (Des. da B.09.510)</t>
  </si>
  <si>
    <t xml:space="preserve">SMONTAGGIO CANALETTE IN PLASTICA </t>
  </si>
  <si>
    <t>NP.17 (A.03.027.b)</t>
  </si>
  <si>
    <t>DEMOLIZIONE E/O ASPORTAZIONE DI GIUNTO</t>
  </si>
  <si>
    <t>NP.18 (E.08.001.b)</t>
  </si>
  <si>
    <t>ANALISI CHIMICHE PER ATTRIBUZIONE CODICE CER - TEST DI CESSIONE</t>
  </si>
  <si>
    <t>Resource ID</t>
  </si>
  <si>
    <t>Resource Name</t>
  </si>
  <si>
    <t>Unit of Measure</t>
  </si>
  <si>
    <t>Price / Unit</t>
  </si>
  <si>
    <t>Price / Unit2</t>
  </si>
  <si>
    <t xml:space="preserve">  COS</t>
  </si>
  <si>
    <t>RS-COSTI</t>
  </si>
  <si>
    <t>€0.00/unit</t>
  </si>
  <si>
    <t xml:space="preserve">    B.09.005.a_C</t>
  </si>
  <si>
    <t>SOLLEVAMENTO DAL BASSO DI TESTATE DI IMPALCATI DI PONTI E ...  - PER OGNI kN DI CARICO E PER UN SOLLEVAMENTO MAX DI CM 4</t>
  </si>
  <si>
    <t xml:space="preserve">    B.09.005.b_C</t>
  </si>
  <si>
    <t>SOLLEVAMENTO DAL BASSO DI TESTATE DI IMPALCATI DI PONTI E VIADOTTI - - SOVRAPREZZO PER OGNI CM OLTRE I PRIMI 4 CM</t>
  </si>
  <si>
    <t>€0.14/unit</t>
  </si>
  <si>
    <t xml:space="preserve">    B.13.010.c_C</t>
  </si>
  <si>
    <t>SISTEMA DI ANCORAGGIO CON TIRAFONDO / BARRA FILETTATA E ANCORANTE - - DIAMETRI DELLA BARRA COMPRESI TRA M26 ED M30</t>
  </si>
  <si>
    <t>€11.57/unit</t>
  </si>
  <si>
    <t xml:space="preserve">    B.13.020_C</t>
  </si>
  <si>
    <t>SOVRAPPREZZO ALLE VOCI PRECEDENTI PER LUNGHEZZE SUPERIORI A 15 DIAMETRI (%)</t>
  </si>
  <si>
    <t xml:space="preserve">    B.07.008.1.a_C</t>
  </si>
  <si>
    <t>SOVRAPPREZZO PER APPARECCHI DI APPOGGIO A DISCO ELASTOMER ... TALI OLTRE IL 10% DEL CARICO VERTICALE - - FINO AL 30% (%)</t>
  </si>
  <si>
    <t xml:space="preserve">    B.07.008.4_C</t>
  </si>
  <si>
    <t>SOVRAPPREZZO PER APPARECCHI DI APPOGGIO A DISCO ELASTOMER ... ATO - PER ROTAZIONI OLTRE 0,01 RAD. E FINO A 0,02 RAD. (%)</t>
  </si>
  <si>
    <t xml:space="preserve">    B.07.010.d_C</t>
  </si>
  <si>
    <t>APPARECCHI DI APPOGGIO IN ELASTOMERO ARMATO - - SOVRAPPRE ... ULCANIZZATI A PIASTRE D’ACCIAIO SUPERIORI ED INFERIORI (%)</t>
  </si>
  <si>
    <t>€48.49/unit</t>
  </si>
  <si>
    <t xml:space="preserve">    G.03.020.c_C</t>
  </si>
  <si>
    <t>FORNITURA DI DISPOSITIVO STRADALE PER CHIUSURA VARCHI DI TIPO AMOVIBILE - - POSA IN OPERA</t>
  </si>
  <si>
    <t>Metri Lineari</t>
  </si>
  <si>
    <t>€143.27/ml</t>
  </si>
  <si>
    <t>€0.00/ml</t>
  </si>
  <si>
    <t xml:space="preserve">    G.02.004.a_C</t>
  </si>
  <si>
    <t>BARRIERE DI SICUREZZA - CLASSE H3 - - BORDO LATERALE NASTRO E PALETTI</t>
  </si>
  <si>
    <t>€109.85/ml</t>
  </si>
  <si>
    <t xml:space="preserve">    B.07.050.d_C</t>
  </si>
  <si>
    <t>GIUNTO IN ELASTOMERO ARMATO - - PER SCORRIMENTO FINO A MM 300</t>
  </si>
  <si>
    <t>€1,468.74/ml</t>
  </si>
  <si>
    <t xml:space="preserve">    B.07.060.d_C</t>
  </si>
  <si>
    <t>GIUNTO DI CORDOLO E MARCIAPIEDE - - PER SCORRIMENTO FINO A MM 300</t>
  </si>
  <si>
    <t>€263.44/ml</t>
  </si>
  <si>
    <t xml:space="preserve">    B.01.001.a_C</t>
  </si>
  <si>
    <t>€6.00/unit</t>
  </si>
  <si>
    <t xml:space="preserve">    B.01.005.a_C</t>
  </si>
  <si>
    <t>€2.00/unit</t>
  </si>
  <si>
    <t xml:space="preserve">    B.02.035.c_C</t>
  </si>
  <si>
    <t>€219.99/unit</t>
  </si>
  <si>
    <t xml:space="preserve">    B.03.025.a_C</t>
  </si>
  <si>
    <t>€135.00/unit</t>
  </si>
  <si>
    <t xml:space="preserve">    B.03.030.b_C</t>
  </si>
  <si>
    <t>€150.00/unit</t>
  </si>
  <si>
    <t xml:space="preserve">    B.03.031.a_C</t>
  </si>
  <si>
    <t>€167.00/unit</t>
  </si>
  <si>
    <t xml:space="preserve">    B.03.035.a_C</t>
  </si>
  <si>
    <t>€163.00/unit</t>
  </si>
  <si>
    <t xml:space="preserve">    B.03.035.c_C</t>
  </si>
  <si>
    <t>€220.00/unit</t>
  </si>
  <si>
    <t xml:space="preserve">    B.03.035.d_C</t>
  </si>
  <si>
    <t xml:space="preserve">    B.03.045.b_C</t>
  </si>
  <si>
    <t xml:space="preserve">    B.03.045.e_C</t>
  </si>
  <si>
    <t xml:space="preserve">    B.04.001_C</t>
  </si>
  <si>
    <t>€23.43/unit</t>
  </si>
  <si>
    <t xml:space="preserve">    B.04.004.a_C</t>
  </si>
  <si>
    <t>€13.52/unit</t>
  </si>
  <si>
    <t xml:space="preserve">    B.04.005_C</t>
  </si>
  <si>
    <t>€21.94/unit</t>
  </si>
  <si>
    <t xml:space="preserve">    B.04.016_C</t>
  </si>
  <si>
    <t>€62.15/unit</t>
  </si>
  <si>
    <t xml:space="preserve">    B.05.002.b_C</t>
  </si>
  <si>
    <t>€2.77/unit</t>
  </si>
  <si>
    <t xml:space="preserve">    B.05.030_C</t>
  </si>
  <si>
    <t>€1.12/unit</t>
  </si>
  <si>
    <t xml:space="preserve">    B.05.050.a_C</t>
  </si>
  <si>
    <t>€1.03/unit</t>
  </si>
  <si>
    <t xml:space="preserve">    B.05.050.b_C</t>
  </si>
  <si>
    <t xml:space="preserve">    B.06.094.a_C</t>
  </si>
  <si>
    <t>€24.47/unit</t>
  </si>
  <si>
    <t xml:space="preserve">    B.07.005.c_C</t>
  </si>
  <si>
    <t>€1.39/unit</t>
  </si>
  <si>
    <t xml:space="preserve">    B.07.006.c_C</t>
  </si>
  <si>
    <t>€1.84/unit</t>
  </si>
  <si>
    <t xml:space="preserve">    B.07.007.c_C</t>
  </si>
  <si>
    <t>€2.01/unit</t>
  </si>
  <si>
    <t xml:space="preserve">    B.07.008.1.b_C</t>
  </si>
  <si>
    <t>€61.42/unit</t>
  </si>
  <si>
    <t xml:space="preserve">    B.07.008.2.a_C</t>
  </si>
  <si>
    <t>€4.39/unit</t>
  </si>
  <si>
    <t xml:space="preserve">    B.07.008.3.a_C</t>
  </si>
  <si>
    <t>€13.16/unit</t>
  </si>
  <si>
    <t xml:space="preserve">    B.07.014_C</t>
  </si>
  <si>
    <t>€72.90/cad</t>
  </si>
  <si>
    <t>€0.00/cad</t>
  </si>
  <si>
    <t xml:space="preserve">    B.07.015.a_C</t>
  </si>
  <si>
    <t>€3.64/unit</t>
  </si>
  <si>
    <t xml:space="preserve">    B.07.015.b_C</t>
  </si>
  <si>
    <t>€9.23/unit</t>
  </si>
  <si>
    <t xml:space="preserve">    B.07.019.b_C</t>
  </si>
  <si>
    <t>€348.58/unit</t>
  </si>
  <si>
    <t xml:space="preserve">    B.07.025.a_C</t>
  </si>
  <si>
    <t>€69.41/unit</t>
  </si>
  <si>
    <t xml:space="preserve">    B.07.040.b_C</t>
  </si>
  <si>
    <t>€1,109.35/unit</t>
  </si>
  <si>
    <t xml:space="preserve">    B.07.050.e_C</t>
  </si>
  <si>
    <t>€1,784.57/unit</t>
  </si>
  <si>
    <t xml:space="preserve">    B.07.052.c_C</t>
  </si>
  <si>
    <t xml:space="preserve">    B.07.060.e_C</t>
  </si>
  <si>
    <t>€592.84/unit</t>
  </si>
  <si>
    <t xml:space="preserve">    B.08.001.a_C</t>
  </si>
  <si>
    <t>€48.50/unit</t>
  </si>
  <si>
    <t xml:space="preserve">    B.09.020.1_C</t>
  </si>
  <si>
    <t>€2.16/unit</t>
  </si>
  <si>
    <t xml:space="preserve">    B.09.020.2_C</t>
  </si>
  <si>
    <t xml:space="preserve">    B.09.020.3.1_C</t>
  </si>
  <si>
    <t>€6.50/unit</t>
  </si>
  <si>
    <t xml:space="preserve">    B.09.212_C</t>
  </si>
  <si>
    <t>€3.50/unit</t>
  </si>
  <si>
    <t xml:space="preserve">    B.09.215.b_C</t>
  </si>
  <si>
    <t>€27.85/unit</t>
  </si>
  <si>
    <t xml:space="preserve">    B.09.220.2.a_C</t>
  </si>
  <si>
    <t>€50.50/unit</t>
  </si>
  <si>
    <t xml:space="preserve">    B.09.220.2.b_C</t>
  </si>
  <si>
    <t>€23.00/unit</t>
  </si>
  <si>
    <t xml:space="preserve">    B.11.019_C</t>
  </si>
  <si>
    <t>€0.97/unit</t>
  </si>
  <si>
    <t xml:space="preserve">    B.13.030.b_C</t>
  </si>
  <si>
    <t>€0.25/unit</t>
  </si>
  <si>
    <t xml:space="preserve">    D.01.001.c_C</t>
  </si>
  <si>
    <t>€27.50/unit</t>
  </si>
  <si>
    <t xml:space="preserve">    D.01.017.i_C</t>
  </si>
  <si>
    <t>€216.25/unit</t>
  </si>
  <si>
    <t xml:space="preserve">    D.01.021.e_C</t>
  </si>
  <si>
    <t>€228.47/unit</t>
  </si>
  <si>
    <t xml:space="preserve">    D.01.043.2.d_C</t>
  </si>
  <si>
    <t>€1.14/unit</t>
  </si>
  <si>
    <t xml:space="preserve">    E.01.014_C</t>
  </si>
  <si>
    <t>€38.80/unit</t>
  </si>
  <si>
    <t xml:space="preserve">    E.01.030.b_C</t>
  </si>
  <si>
    <t>€2.76/unit</t>
  </si>
  <si>
    <t xml:space="preserve">    E.08.005.17.01.01_C</t>
  </si>
  <si>
    <t>Tonnellata</t>
  </si>
  <si>
    <t>€20.50/T</t>
  </si>
  <si>
    <t>€0.00/T</t>
  </si>
  <si>
    <t xml:space="preserve">    E.08.005.17.02.03_C</t>
  </si>
  <si>
    <t>€350.00/T</t>
  </si>
  <si>
    <t xml:space="preserve">    E.08.005.17.03.01_C</t>
  </si>
  <si>
    <t>€32.72/unit</t>
  </si>
  <si>
    <t xml:space="preserve">    E.08.005.17.03.02_C</t>
  </si>
  <si>
    <t>€10.00/unit</t>
  </si>
  <si>
    <t xml:space="preserve">    E.08.005.17.04.05_C</t>
  </si>
  <si>
    <t>FERRO E ACCIAIO Provenienti dalle attività di costruzione e demolizione.  ... ione. Compreso il terreno proveniente da siti contaminati.</t>
  </si>
  <si>
    <t>€10.00/T</t>
  </si>
  <si>
    <t xml:space="preserve">    E.08.005.17.04.11_C</t>
  </si>
  <si>
    <t xml:space="preserve">    E.08.005.17.05.04_C</t>
  </si>
  <si>
    <t>€8.00/unit</t>
  </si>
  <si>
    <t xml:space="preserve">      E.08.005.17.05.04_C 2</t>
  </si>
  <si>
    <t>€20.00/unit</t>
  </si>
  <si>
    <t xml:space="preserve">    F.01.007_C</t>
  </si>
  <si>
    <t>€2.50/unit</t>
  </si>
  <si>
    <t xml:space="preserve">    F.02.023_C</t>
  </si>
  <si>
    <t>€5.46/unit</t>
  </si>
  <si>
    <t xml:space="preserve">    F.02.024.a_C</t>
  </si>
  <si>
    <t xml:space="preserve">    F.02.034_C</t>
  </si>
  <si>
    <t xml:space="preserve">    G.01.001.1.a_C</t>
  </si>
  <si>
    <t>€5.93/ml</t>
  </si>
  <si>
    <t xml:space="preserve">    G.02.003.d_C</t>
  </si>
  <si>
    <t>€216.72/unit</t>
  </si>
  <si>
    <t xml:space="preserve">    G.02.005.b_C</t>
  </si>
  <si>
    <t>€165.00/unit</t>
  </si>
  <si>
    <t xml:space="preserve">    G.03.020.a_C</t>
  </si>
  <si>
    <t>€1,200.33/unit</t>
  </si>
  <si>
    <t xml:space="preserve">    H.01.001.b_C</t>
  </si>
  <si>
    <t>€0.45/unit</t>
  </si>
  <si>
    <t xml:space="preserve">    H.02.200.2.b_C</t>
  </si>
  <si>
    <t>€64.60/unit</t>
  </si>
  <si>
    <t xml:space="preserve">    H.02.210.2.b_C</t>
  </si>
  <si>
    <t>€43.20/unit</t>
  </si>
  <si>
    <t xml:space="preserve">    H.02.225.2.b_C</t>
  </si>
  <si>
    <t xml:space="preserve">    H.02.300.2.c_C</t>
  </si>
  <si>
    <t>€212.00/unit</t>
  </si>
  <si>
    <t xml:space="preserve">    H.02.405.a_C</t>
  </si>
  <si>
    <t>€6.49/unit</t>
  </si>
  <si>
    <t xml:space="preserve">    H.02.405.b_C</t>
  </si>
  <si>
    <t>€10.81/unit</t>
  </si>
  <si>
    <t xml:space="preserve">    I.01.006.b_C</t>
  </si>
  <si>
    <t>€3.09/unit</t>
  </si>
  <si>
    <t xml:space="preserve">    I.02.105_C</t>
  </si>
  <si>
    <t>€97.77/unit</t>
  </si>
  <si>
    <t xml:space="preserve">    I.02.115.c_C</t>
  </si>
  <si>
    <t>€14.65/unit</t>
  </si>
  <si>
    <t xml:space="preserve">    IG.05.155_C</t>
  </si>
  <si>
    <t>€56.90/unit</t>
  </si>
  <si>
    <t xml:space="preserve">    L.01.080_C</t>
  </si>
  <si>
    <t>€9.00/unit</t>
  </si>
  <si>
    <t xml:space="preserve">    P.01.002.c_C</t>
  </si>
  <si>
    <t>€60.33/unit</t>
  </si>
  <si>
    <t xml:space="preserve">    P.01.006.f_C</t>
  </si>
  <si>
    <t>€39.34/unit</t>
  </si>
  <si>
    <t xml:space="preserve">    P.01.013.1.c_C</t>
  </si>
  <si>
    <t>€176.47/unit</t>
  </si>
  <si>
    <t xml:space="preserve">    P.01.030_C</t>
  </si>
  <si>
    <t>€4.29/unit</t>
  </si>
  <si>
    <t xml:space="preserve">    P.06.010.2.d_C</t>
  </si>
  <si>
    <t>€280.18/unit</t>
  </si>
  <si>
    <t xml:space="preserve">    P.06.015.e_C</t>
  </si>
  <si>
    <t>€440.11/unit</t>
  </si>
  <si>
    <t xml:space="preserve">    P.07.010.f_C</t>
  </si>
  <si>
    <t>€11.22/unit</t>
  </si>
  <si>
    <t xml:space="preserve">    P.20.015_C</t>
  </si>
  <si>
    <t>€115.29/unit</t>
  </si>
  <si>
    <t xml:space="preserve">    P.20.016_C</t>
  </si>
  <si>
    <t>€35.40/unit</t>
  </si>
  <si>
    <t xml:space="preserve">    SIC.001.001.015.a_C</t>
  </si>
  <si>
    <t xml:space="preserve">    SIC.001.001.015.b_C</t>
  </si>
  <si>
    <t>€0.22/unit</t>
  </si>
  <si>
    <t xml:space="preserve">    SIC.01.01.001.a_C</t>
  </si>
  <si>
    <t>€8.33/unit</t>
  </si>
  <si>
    <t xml:space="preserve">    A.02.003.c.1_C</t>
  </si>
  <si>
    <t>€22.50/unit</t>
  </si>
  <si>
    <t xml:space="preserve">    A.02.001.a_C</t>
  </si>
  <si>
    <t>Metri Cubi</t>
  </si>
  <si>
    <t>€2.50/mc</t>
  </si>
  <si>
    <t>€0.00/mc</t>
  </si>
  <si>
    <t xml:space="preserve">    SIC.001.01.015.a_C</t>
  </si>
  <si>
    <t>Metri Quadrati</t>
  </si>
  <si>
    <t>€1.36/mq</t>
  </si>
  <si>
    <t>€0.00/mq</t>
  </si>
  <si>
    <t xml:space="preserve">    SIC.001.01.015.b_C</t>
  </si>
  <si>
    <t>€0.16/mq</t>
  </si>
  <si>
    <t xml:space="preserve">    D.01.005.e_C</t>
  </si>
  <si>
    <t>CONGLOMERATO BITUMINOSO PER STRATO DI BASE - - CON BITUME MODIFICATO HARD</t>
  </si>
  <si>
    <t>€163.46/mc</t>
  </si>
  <si>
    <t xml:space="preserve">    H.01.001.a_C</t>
  </si>
  <si>
    <t>SEGNALETICA ORIZZONTALE DI NUOVO IMPIANTO CON VERNICE RIF ... TE - - PER STRISCE CONTINUE E DISCONTINUE DA CENTIMETRI 12</t>
  </si>
  <si>
    <t>€0.41/ml</t>
  </si>
  <si>
    <t xml:space="preserve">    T.10.001.b_C</t>
  </si>
  <si>
    <t>SOVRAPPREZZO PER PRESTAZIONI NOTTURNE E/O FESTIVE - - RELATIVO ALLE PAVIMENTAZIONI IN CONGLOMERATO BITUMINOSO (%)</t>
  </si>
  <si>
    <t>Percentuale</t>
  </si>
  <si>
    <t>€0.00/%</t>
  </si>
  <si>
    <t xml:space="preserve">    B.03.035.d.2_C</t>
  </si>
  <si>
    <t>CALCESTRUZZI STRUTTURALI PER OPERE IN ELEVAZIONE VERTICAL ... . O C.A.P. - - CLASSE DI RESISTENZA C35/45 (RCK&gt;=45 N/mmq)</t>
  </si>
  <si>
    <t>€775.00/mc</t>
  </si>
  <si>
    <t xml:space="preserve">    B.11.020.c_C</t>
  </si>
  <si>
    <t>NUOVE STRUTTURE - - TIPO S355W</t>
  </si>
  <si>
    <t>Kilo Grammo</t>
  </si>
  <si>
    <t>€3.02/kg</t>
  </si>
  <si>
    <t>€0.00/kg</t>
  </si>
  <si>
    <t xml:space="preserve">    B.07.010.a_C</t>
  </si>
  <si>
    <t>APPARECCHI DI APPOGGIO IN ELASTOMERO ARMATO - - PER APPOGGI DI QUALISASI DIMENSIONE</t>
  </si>
  <si>
    <t>Decimetro Cubo</t>
  </si>
  <si>
    <t>€42.88/dmc</t>
  </si>
  <si>
    <t>€0.00/dmc</t>
  </si>
  <si>
    <t xml:space="preserve">    L.01.085_C</t>
  </si>
  <si>
    <t>NOLO DI STRUTTURA METALLICA LEGGERA TIPO DALMINE O SIMILARE</t>
  </si>
  <si>
    <t>€32.17/mq</t>
  </si>
  <si>
    <t xml:space="preserve">    L.01.031_C</t>
  </si>
  <si>
    <t>€68.90/unit</t>
  </si>
  <si>
    <t xml:space="preserve">    A.01.001_C</t>
  </si>
  <si>
    <t>€6.00/mc</t>
  </si>
  <si>
    <t xml:space="preserve">    A.01.010_C</t>
  </si>
  <si>
    <t>Metri Cubi x Kilometro</t>
  </si>
  <si>
    <t>€0.00/mc x km</t>
  </si>
  <si>
    <t xml:space="preserve">    A.02.003.c_C</t>
  </si>
  <si>
    <t>€28.44/unit</t>
  </si>
  <si>
    <t xml:space="preserve">    A.02.004.a_C</t>
  </si>
  <si>
    <t>€22.00/mc</t>
  </si>
  <si>
    <t xml:space="preserve">    A.02.007.a_C</t>
  </si>
  <si>
    <t>€1.00/mc</t>
  </si>
  <si>
    <t xml:space="preserve">    A.02.007.c_C</t>
  </si>
  <si>
    <t>€0.83/unit</t>
  </si>
  <si>
    <t xml:space="preserve">    A.02.020.a_C</t>
  </si>
  <si>
    <t>€12.35/unit</t>
  </si>
  <si>
    <t xml:space="preserve">    A.03.004.a_C</t>
  </si>
  <si>
    <t>€8.37/unit</t>
  </si>
  <si>
    <t xml:space="preserve">    A.03.007.a_C</t>
  </si>
  <si>
    <t>€140.00/mc</t>
  </si>
  <si>
    <t xml:space="preserve">    A.03.008_C</t>
  </si>
  <si>
    <t>€141.46/mc</t>
  </si>
  <si>
    <t xml:space="preserve">    A.03.019_C</t>
  </si>
  <si>
    <t>€23.84/unit</t>
  </si>
  <si>
    <t xml:space="preserve">    A.03.025.2.a_C</t>
  </si>
  <si>
    <t>€35.41/unit</t>
  </si>
  <si>
    <t xml:space="preserve">    A.03.027.c_C</t>
  </si>
  <si>
    <t>€25.00/ml</t>
  </si>
  <si>
    <t xml:space="preserve">    A.03.027.d_C</t>
  </si>
  <si>
    <t>€71.46/ml</t>
  </si>
  <si>
    <t xml:space="preserve">    A.03.030.b_C</t>
  </si>
  <si>
    <t>€50.04/unit</t>
  </si>
  <si>
    <t>Codice Articolo</t>
  </si>
  <si>
    <t>Descrizione</t>
  </si>
  <si>
    <t>Prezzo P6 (€)</t>
  </si>
  <si>
    <t>Prezzo Budget - Costo (€)</t>
  </si>
  <si>
    <t>Prezzo Budget - Offerta (€)</t>
  </si>
  <si>
    <t>Diff. (Budget Costo - P6)</t>
  </si>
  <si>
    <t>Diff. %</t>
  </si>
  <si>
    <t>Nel Budget?</t>
  </si>
  <si>
    <t>A.01.001_C</t>
  </si>
  <si>
    <t>SCAVO SBANCAMENTO</t>
  </si>
  <si>
    <t>Sì</t>
  </si>
  <si>
    <t>A.01.010_C</t>
  </si>
  <si>
    <t>TRASPORTO MATERIALI</t>
  </si>
  <si>
    <t>A.02.001.a_C</t>
  </si>
  <si>
    <t>SCOTICO E SCOTICAMENTO</t>
  </si>
  <si>
    <t>A.02.003.c_C</t>
  </si>
  <si>
    <t>RILEVATO MATERIALE GRANULARE</t>
  </si>
  <si>
    <t>A.02.003.c.1_C</t>
  </si>
  <si>
    <t>RILEVATO MATERIALE SPECIALE</t>
  </si>
  <si>
    <t>A.02.004.a_C</t>
  </si>
  <si>
    <t>TERRENO VEGETALE</t>
  </si>
  <si>
    <t>A.02.007.a_C</t>
  </si>
  <si>
    <t>RILEVATO FRANTUMATO</t>
  </si>
  <si>
    <t>A.02.007.c_C</t>
  </si>
  <si>
    <t>PRECARICA RILEVATI</t>
  </si>
  <si>
    <t>A.02.020.a_C</t>
  </si>
  <si>
    <t>STABILIZZAZIONE CON LEGANTE</t>
  </si>
  <si>
    <t>A.03.004.a_C</t>
  </si>
  <si>
    <t>DEMOLIZIONE PAVIMENTAZIONE</t>
  </si>
  <si>
    <t>A.03.007.a_C</t>
  </si>
  <si>
    <t>DEMOLIZIONE OBBLIGATA</t>
  </si>
  <si>
    <t>A.03.008_C</t>
  </si>
  <si>
    <t>DEMOLIZIONE IMPALCATI</t>
  </si>
  <si>
    <t>A.03.019_C</t>
  </si>
  <si>
    <t>DEMOLIZIONE ENTRO TERRA</t>
  </si>
  <si>
    <t>A.03.025.2.a_C</t>
  </si>
  <si>
    <t>IDRODEMOLIZIONE</t>
  </si>
  <si>
    <t>A.03.027.c_C</t>
  </si>
  <si>
    <t>TAGLIO SOLETTE</t>
  </si>
  <si>
    <t>A.03.027.d_C</t>
  </si>
  <si>
    <t>FRESATURA</t>
  </si>
  <si>
    <t>A.03.030.b_C</t>
  </si>
  <si>
    <t>FORI PER BOCCHETTONI</t>
  </si>
  <si>
    <t>B.01.001.a_C</t>
  </si>
  <si>
    <t>SCAVO FONDAZIONE</t>
  </si>
  <si>
    <t>B.01.005.a_C</t>
  </si>
  <si>
    <t>SOVRAPPREZZO SCAVO PROFONDO</t>
  </si>
  <si>
    <t>B.02.035.c_C</t>
  </si>
  <si>
    <t>PERFORAZIONE ROTOPERCUSSIONE</t>
  </si>
  <si>
    <t>B.03.025.a_C</t>
  </si>
  <si>
    <t>CLS MAGRONE 150 kg/mc</t>
  </si>
  <si>
    <t>B.03.030.b_C</t>
  </si>
  <si>
    <t>CLS NON STRUTTURALE RCK 30</t>
  </si>
  <si>
    <t>B.03.031.a_C</t>
  </si>
  <si>
    <t>CLS STRUTTURALE FONDAZIONI RCK 30</t>
  </si>
  <si>
    <t>B.03.035.a_C</t>
  </si>
  <si>
    <t>CLS STRUTTURALE ELEVAZIONE RCK 30</t>
  </si>
  <si>
    <t>B.03.035.c_C</t>
  </si>
  <si>
    <t>CLS STRUTTURALE ELEVAZIONE RCK 40</t>
  </si>
  <si>
    <t>B.03.035.d_C</t>
  </si>
  <si>
    <t>CLS STRUTTURALE ELEVAZIONE RCK 45</t>
  </si>
  <si>
    <t>B.03.035.d.2_C</t>
  </si>
  <si>
    <t>CLS STRUTTURALE RCK45 V2 (solo P6)</t>
  </si>
  <si>
    <t>No (solo P6)</t>
  </si>
  <si>
    <t>B.03.045.b_C</t>
  </si>
  <si>
    <t>SOVRAPPREZZO CLS PER SCC (%)</t>
  </si>
  <si>
    <t>B.03.045.e_C</t>
  </si>
  <si>
    <t>SOVRAPPREZZO CLS RITIRO COMPENSATO (%)</t>
  </si>
  <si>
    <t>B.04.001_C</t>
  </si>
  <si>
    <t>CASSEFORME CLS/CA</t>
  </si>
  <si>
    <t>B.04.004.a_C</t>
  </si>
  <si>
    <t>CASSEFORME METALLICHE</t>
  </si>
  <si>
    <t>B.04.005_C</t>
  </si>
  <si>
    <t>SOVRAPPREZZO CASSEFORME CURVE (%)</t>
  </si>
  <si>
    <t>B.04.016_C</t>
  </si>
  <si>
    <t>PREDALLE</t>
  </si>
  <si>
    <t>B.05.002.b_C</t>
  </si>
  <si>
    <t>STRUTTURE ACCIAIO PONTI/VIADOTTI</t>
  </si>
  <si>
    <t>B.05.030_C</t>
  </si>
  <si>
    <t>ACCIAIO B450C</t>
  </si>
  <si>
    <t>B.05.050.a_C</t>
  </si>
  <si>
    <t>ACCIAIO PRECOMPRESSO (fili)</t>
  </si>
  <si>
    <t>B.05.050.b_C</t>
  </si>
  <si>
    <t>ACCIAIO PRECOMPRESSO (trefoli)</t>
  </si>
  <si>
    <t>B.06.094.a_C</t>
  </si>
  <si>
    <t>VERNICIATURA</t>
  </si>
  <si>
    <t>B.07.005.c_C</t>
  </si>
  <si>
    <t>APPOGGIO DISCO ELASTOMERO - FISSO</t>
  </si>
  <si>
    <t>B.07.006.c_C</t>
  </si>
  <si>
    <t>APPOGGIO DISCO ELASTOMERO - SCORR. LONG.</t>
  </si>
  <si>
    <t>B.07.007.c_C</t>
  </si>
  <si>
    <t>APPOGGIO DISCO ELASTOMERO - SCORR. MULTI.</t>
  </si>
  <si>
    <t>B.07.008.1.a_C</t>
  </si>
  <si>
    <t>SOVRAPPREZZO APPOGGI - FORZA ORIZZ. ≤30% (%)</t>
  </si>
  <si>
    <t>B.07.008.1.b_C</t>
  </si>
  <si>
    <t>SOVRAPPREZZO APPOGGI - FORZA ORIZZ. 30-70% (%)</t>
  </si>
  <si>
    <t>B.07.008.2.a_C</t>
  </si>
  <si>
    <t>SOVRAPPREZZO APPOGGI - SCORR. LONG. ±150mm (%)</t>
  </si>
  <si>
    <t>B.07.008.3.a_C</t>
  </si>
  <si>
    <t>SOVRAPPREZZO APPOGGI - SCORR. TRASV. ±150mm (%)</t>
  </si>
  <si>
    <t>B.07.008.4_C</t>
  </si>
  <si>
    <t>SOVRAPPREZZO APPOGGI - ROTAZIONE &gt;0.01 rad (%)</t>
  </si>
  <si>
    <t>B.07.010.a_C</t>
  </si>
  <si>
    <t>APPOGGI ELASTOMERO ARMATO A (dmc)</t>
  </si>
  <si>
    <t>B.07.010.d_C</t>
  </si>
  <si>
    <t>APPOGGI ELASTOMERO ARMATO (%)</t>
  </si>
  <si>
    <t>B.07.014_C</t>
  </si>
  <si>
    <t>RIMOZIONE APPOGGI</t>
  </si>
  <si>
    <t>B.07.015.a_C</t>
  </si>
  <si>
    <t>GUARNIZIONE SIGILLANTE A</t>
  </si>
  <si>
    <t>B.07.015.b_C</t>
  </si>
  <si>
    <t>GUARNIZIONE SIGILLANTE B</t>
  </si>
  <si>
    <t>B.07.019.b_C</t>
  </si>
  <si>
    <t>INGHISAGGIO APPOGGI</t>
  </si>
  <si>
    <t>B.07.025.a_C</t>
  </si>
  <si>
    <t>ISOLATORI ELASTOMERICI</t>
  </si>
  <si>
    <t>B.07.040.b_C</t>
  </si>
  <si>
    <t>GIUNTO DISALLINEAMENTO VERTICALE</t>
  </si>
  <si>
    <t>B.07.050.d_C</t>
  </si>
  <si>
    <t>GIUNTO ELASTOMERO ARMATO MM 300</t>
  </si>
  <si>
    <t>B.07.050.e_C</t>
  </si>
  <si>
    <t>GIUNTO IMPALCATO - SCORR. TRASV. ≤50mm</t>
  </si>
  <si>
    <t>B.07.052.c_C</t>
  </si>
  <si>
    <t>GIUNTO IMPALCATO - SCORR. TRASV. &gt;50mm (%)</t>
  </si>
  <si>
    <t>B.07.060.d_C</t>
  </si>
  <si>
    <t>GIUNTO CORDOLO MM 300</t>
  </si>
  <si>
    <t>B.07.060.e_C</t>
  </si>
  <si>
    <t>GIUNTO IN ELASTOMERO ARMATO</t>
  </si>
  <si>
    <t>B.08.001.a_C</t>
  </si>
  <si>
    <t>IMPERMEABILIZZAZIONE</t>
  </si>
  <si>
    <t>B.09.005.a_C</t>
  </si>
  <si>
    <t>SOLLEVAMENTO DAL BASSO - PER OGNI kN</t>
  </si>
  <si>
    <t>B.09.005.b_C</t>
  </si>
  <si>
    <t>SOLLEVAMENTO - SOVRAPREZZO PER CM</t>
  </si>
  <si>
    <t>B.09.020.1_C</t>
  </si>
  <si>
    <t>TRATTAMENTO ARMATURE</t>
  </si>
  <si>
    <t>B.09.020.2_C</t>
  </si>
  <si>
    <t>PASSIVAZIONE ARMATURE</t>
  </si>
  <si>
    <t>B.09.020.3.1_C</t>
  </si>
  <si>
    <t>ANCORAGGIO NUOVI GETTI</t>
  </si>
  <si>
    <t>B.09.212_C</t>
  </si>
  <si>
    <t>TRATTAMENTO SUPERFICI CLS</t>
  </si>
  <si>
    <t>B.09.215.b_C</t>
  </si>
  <si>
    <t>RASATURA PARAMENTO</t>
  </si>
  <si>
    <t>B.09.220.2.a_C</t>
  </si>
  <si>
    <t>MALTA ESPANSIONE CONTRASTATA (A)</t>
  </si>
  <si>
    <t>B.09.220.2.b_C</t>
  </si>
  <si>
    <t>MALTA ESPANSIONE CONTRASTATA (B)</t>
  </si>
  <si>
    <t>B.11.019_C</t>
  </si>
  <si>
    <t>DEMOLIZIONE</t>
  </si>
  <si>
    <t>B.11.020.c_C</t>
  </si>
  <si>
    <t>STRUTTURE ACCIAIO S355W (kg)</t>
  </si>
  <si>
    <t>B.13.010.c_C</t>
  </si>
  <si>
    <t>ANCORAGGIO BARRA FILETTATA M26-M30</t>
  </si>
  <si>
    <t>B.13.020_C</t>
  </si>
  <si>
    <t>SOVRAPPREZZO LUNGHEZZE &gt;15 diam. (%)</t>
  </si>
  <si>
    <t>B.13.030.b_C</t>
  </si>
  <si>
    <t>RESINA CHIMICA + BARRA</t>
  </si>
  <si>
    <t>D.01.001.c_C</t>
  </si>
  <si>
    <t>MISTO GRANULOMETRICO</t>
  </si>
  <si>
    <t>D.01.005.e_C</t>
  </si>
  <si>
    <t>CONGLOMERATO BITUMINOSO BASE (mc)</t>
  </si>
  <si>
    <t>D.01.017.i_C</t>
  </si>
  <si>
    <t>CONGLOMERATO BITUMINOSO BINDER</t>
  </si>
  <si>
    <t>D.01.021.e_C</t>
  </si>
  <si>
    <t>CONGLOMERATO BITUMINOSO USURA</t>
  </si>
  <si>
    <t>D.01.043.2.d_C</t>
  </si>
  <si>
    <t>MANO DI ANCORAGGIO</t>
  </si>
  <si>
    <t>E.01.014_C</t>
  </si>
  <si>
    <t>TERRA PER RILEVATO</t>
  </si>
  <si>
    <t>E.01.030.b_C</t>
  </si>
  <si>
    <t>GEOTESSILE</t>
  </si>
  <si>
    <t>E.08.005.17.01.01_C</t>
  </si>
  <si>
    <t>RIFIUTO - CEMENTO</t>
  </si>
  <si>
    <t>E.08.005.17.02.03_C</t>
  </si>
  <si>
    <t>RIFIUTO - PLASTICA</t>
  </si>
  <si>
    <t>E.08.005.17.03.01_C</t>
  </si>
  <si>
    <t>RIFIUTO - BITUMINOSO CON CATRAME</t>
  </si>
  <si>
    <t>E.08.005.17.03.02_C</t>
  </si>
  <si>
    <t>RIFIUTO - BITUMINOSO</t>
  </si>
  <si>
    <t>E.08.005.17.04.05_C</t>
  </si>
  <si>
    <t>RIFIUTO - FERRO E ACCIAIO</t>
  </si>
  <si>
    <t>E.08.005.17.04.11_C</t>
  </si>
  <si>
    <t>RIFIUTO - CAVI</t>
  </si>
  <si>
    <t>E.08.005.17.05.04_C</t>
  </si>
  <si>
    <t>RIFIUTO - TERRA E ROCCE</t>
  </si>
  <si>
    <t>F.01.007_C</t>
  </si>
  <si>
    <t>INERBIMENTO</t>
  </si>
  <si>
    <t>F.02.023_C</t>
  </si>
  <si>
    <t>PIANTE (tipo A)</t>
  </si>
  <si>
    <t>F.02.024.a_C</t>
  </si>
  <si>
    <t>PIANTE (tipo B)</t>
  </si>
  <si>
    <t>F.02.034_C</t>
  </si>
  <si>
    <t>PIANTE (tipo C)</t>
  </si>
  <si>
    <t>G.01.001.1.a_C</t>
  </si>
  <si>
    <t>RIPRISTINO BARRIERE INCIDENTATE</t>
  </si>
  <si>
    <t>G.02.003.d_C</t>
  </si>
  <si>
    <t>BARRIERE STRADALI D</t>
  </si>
  <si>
    <t>G.02.004.a_C</t>
  </si>
  <si>
    <t>BARRIERE H3 - BORDO LATERALE</t>
  </si>
  <si>
    <t>G.02.005.b_C</t>
  </si>
  <si>
    <t>BARRIERE STRADALI B</t>
  </si>
  <si>
    <t>G.03.020.a_C</t>
  </si>
  <si>
    <t>BARRIERA AMOVIBILE</t>
  </si>
  <si>
    <t>G.03.020.c_C</t>
  </si>
  <si>
    <t>DISPOSITIVO STRADALE AMOVIBILE - POSA</t>
  </si>
  <si>
    <t>H.01.001.a_C</t>
  </si>
  <si>
    <t>SEGNALETICA ORIZZONTALE A</t>
  </si>
  <si>
    <t>H.01.001.b_C</t>
  </si>
  <si>
    <t>SEGNALETICA ORIZZONTALE B</t>
  </si>
  <si>
    <t>H.02.200.2.b_C</t>
  </si>
  <si>
    <t>SEGNALE TRIANGOLARE</t>
  </si>
  <si>
    <t>H.02.210.2.b_C</t>
  </si>
  <si>
    <t>SEGNALE CIRCOLARE</t>
  </si>
  <si>
    <t>H.02.225.2.b_C</t>
  </si>
  <si>
    <t>SEGNALE ROMBOIDALE</t>
  </si>
  <si>
    <t>H.02.300.2.c_C</t>
  </si>
  <si>
    <t>PANNELLI SEGNALATORI</t>
  </si>
  <si>
    <t>H.02.405.a_C</t>
  </si>
  <si>
    <t>SOSTEGNO SEGNALE A</t>
  </si>
  <si>
    <t>H.02.405.b_C</t>
  </si>
  <si>
    <t>SOSTEGNO SEGNALE B</t>
  </si>
  <si>
    <t>I.01.006.b_C</t>
  </si>
  <si>
    <t>BULLONERIA</t>
  </si>
  <si>
    <t>I.02.105_C</t>
  </si>
  <si>
    <t>BOCCHETTA SCARICO</t>
  </si>
  <si>
    <t>I.02.115.c_C</t>
  </si>
  <si>
    <t>TUBAZIONE PVC</t>
  </si>
  <si>
    <t>IG.05.155_C</t>
  </si>
  <si>
    <t>PROVA CNR-BU 146</t>
  </si>
  <si>
    <t>L.01.031_C</t>
  </si>
  <si>
    <t>NOLO DALMINE 2</t>
  </si>
  <si>
    <t>L.01.080_C</t>
  </si>
  <si>
    <t>PONTEGGIO</t>
  </si>
  <si>
    <t>L.01.085_C</t>
  </si>
  <si>
    <t>NOLO DALMINE (mq)</t>
  </si>
  <si>
    <t>P.01.002.c_C</t>
  </si>
  <si>
    <t>POZZETTO C</t>
  </si>
  <si>
    <t>P.01.006.f_C</t>
  </si>
  <si>
    <t>POZZETTO F</t>
  </si>
  <si>
    <t>P.01.013.1.c_C</t>
  </si>
  <si>
    <t>CHIUSINO</t>
  </si>
  <si>
    <t>P.01.030_C</t>
  </si>
  <si>
    <t>SCAVO POZZETTI</t>
  </si>
  <si>
    <t>P.06.010.2.d_C</t>
  </si>
  <si>
    <t>PALO LAMPADA</t>
  </si>
  <si>
    <t>P.06.015.e_C</t>
  </si>
  <si>
    <t>PLINTO PREFABBRICATO</t>
  </si>
  <si>
    <t>P.07.010.f_C</t>
  </si>
  <si>
    <t>CAVIDOTTO</t>
  </si>
  <si>
    <t>P.20.015_C</t>
  </si>
  <si>
    <t>RIMOZIONE PALI LAMPADA</t>
  </si>
  <si>
    <t>P.20.016_C</t>
  </si>
  <si>
    <t>RIMOZIONE ARMATURA</t>
  </si>
  <si>
    <t>SIC.001.001.015.a_C</t>
  </si>
  <si>
    <t>SCHERMATURA PONTEGGIO - 1° MESE</t>
  </si>
  <si>
    <t>SIC.001.001.015.b_C</t>
  </si>
  <si>
    <t>SCHERMATURA PONTEGGIO - MESI SUCC.</t>
  </si>
  <si>
    <t>SIC.001.01.015.a_C</t>
  </si>
  <si>
    <t>SCHERMATURA (mq) - 1° MESE</t>
  </si>
  <si>
    <t>SIC.001.01.015.b_C</t>
  </si>
  <si>
    <t>SCHERMATURA (mq) - MESI SUCC.</t>
  </si>
  <si>
    <t>SIC.01.01.001.a_C</t>
  </si>
  <si>
    <t>PONTEGGIO METALLICO</t>
  </si>
  <si>
    <t>Turn #</t>
  </si>
  <si>
    <t>Date</t>
  </si>
  <si>
    <t>User Request</t>
  </si>
  <si>
    <t>Action Taken</t>
  </si>
  <si>
    <t>Details</t>
  </si>
  <si>
    <t>Outcome</t>
  </si>
  <si>
    <t>Confronto prezzi tra Foglio1 (P6) e Sheet (budget). Sospetto discrepanze di prezzo tra i due sistemi.</t>
  </si>
  <si>
    <t>Creato foglio 'Confronto Prezzi' con tabella comparativa P6 vs Budget</t>
  </si>
  <si>
    <t>Lette 131 righe Foglio1 (P6) e 294 righe Sheet (budget). Normalizzati i codici articolo (maiuscolo, rimosso _C). Costruita tabella con: Codice, Descrizione, Prezzo P6, Budget Costo, Budget Offerta, Differenza, % Diff, Flag 'Nel Budget?'. 127 articoli P6 mappati: 103 trovati nel budget, 24 solo in P6. Differenze reali: A.02.003.c (P6=28.44 vs Budget=10.80), A.02.007.a (P6=1.00 vs Budget=2.50), A.03.030.b (P6=50.04 vs Budget=39.29), B.04.001 (P6=23.43 vs Budget=20.72), B.13.030.b (P6=0.25 vs Budget=0.196). Alcune differenze apparenti (B.04.005, B.07.008.*) dovute a unità di misura diverse (P6 usa valore intero %, budget usa decimale).</t>
  </si>
  <si>
    <t>Foglio 'Confronto Prezzi' creato con 127 righe. Formattazione con colori condizionali (rosso=P6&gt;Budget, verde=Budget&gt;P6, arancione=solo in P6). Righe bloccate a 2.</t>
  </si>
  <si>
    <t>U.M.</t>
  </si>
  <si>
    <t>€/u P6</t>
  </si>
  <si>
    <t>Δ Importo</t>
  </si>
  <si>
    <t>mc×km</t>
  </si>
  <si>
    <t>TOTALE</t>
  </si>
  <si>
    <t>€/u Budget</t>
  </si>
  <si>
    <t>Δ €/u</t>
  </si>
  <si>
    <t>Analisi WBS 01.17 Guado A: perché budget dice 292k€ e P6 dice ~382k€?</t>
  </si>
  <si>
    <t>Creato foglio 'Guado A - WBS 01.17' con confronto riga per riga + sezione analisi causa scarto</t>
  </si>
  <si>
    <t>Budget WBS 01.17: 17 articoli, Prg 10-170. Tot Budget Costo=€292.865, Tot Offerta=€329.809. Ricalcolo con prezzi P6×qtà budget=€316.857. Scarto totale €23.992 spiegato da: (1) a.02.003.c: P6=28,44€/m³ vs Budget=10,80€/m³ su 1426m³ → Δ€-25.152; (2) B.04.001: P6=23,43€/m² vs Budget=20,72€/m² su 760m² → Δ€-2.059; (3) a.02.007.a: P6=1,00€/m³ vs Budget=2,50€/m³ su 2146m³ → Δ€+3.219. La differenza residua tra €316k e €382k (altri ~€65k) suggerisce che P6 usi quantità diverse o includa risorse di WBS adiacenti.</t>
  </si>
  <si>
    <t>Foglio 'Guado A - WBS 01.17' creato con 17 righe dati + sezione analisi. Discrepanza principale: a.02.003.c con Δ€25.152 (prezzo P6 quasi triplo). I ~€65k rimanenti verso i €382k di P6 non spiegabili solo da differenze di prezzo: probabilmente quantità P6 diverse.</t>
  </si>
  <si>
    <t>Qtà Budget</t>
  </si>
  <si>
    <t>Ristruttura foglio Guado A aggiungendo Qtà P6 (col E) e Δ Quantità (col F). P6 totale reale = €382.291,76.</t>
  </si>
  <si>
    <t>Foglio Guado A ristrutturato a 12 colonne. Aggiunta riga TARGET P6 = €382.291,76 con gap residuo in K23.</t>
  </si>
  <si>
    <t>Layout: D=QtàBudget, E=QtàP6(input giallo), F=ΔQty(formula), G=€/uBudget, H=€/uP6, I=ImpBudget, J=ImpP6(formula dinamica), K=ΔImporto. Totale con soli prezzi P6×qtàBudget=€316.857. Gap verso €382.292 = €65.434 spiegabile solo con quantità P6 maggiori. Utente deve inserire quantità P6 in col E dallo screen per chiudere il gap.</t>
  </si>
  <si>
    <t>Foglio aggiornato. Riga 23 = TARGET €382.291,76 con gap residuo K23. Col E gialla pronta per input quantità P6.</t>
  </si>
  <si>
    <t>Foglio Guado A aveva formule rotte dopo modifiche manuali utente. Richiesta di completare la tabella.</t>
  </si>
  <si>
    <t>Riscritto completamente il foglio Guado A - WBS 01.17 con valori statici per A-D,G-I e formule per F,J,K.</t>
  </si>
  <si>
    <t>Struttura: D=QtàBudget(statico), E=QtàP6(input giallo), F=ΔQty(formula), G=€/uBudget(statico), H=€/uP6(statico), I=ImpBudget(statico), J=ImpP6(formula IF E&lt;&gt;'' usa E×H altrimenti D×H), K=ΔImporto(I-J). Riga 22=TOTALE, Riga 23=TARGET P6 €382.291,76 con gap in K23.</t>
  </si>
  <si>
    <t>Foglio pulito e funzionante. Colonna E gialla pronta per input Qtà P6 dallo screen di Foglio2.</t>
  </si>
  <si>
    <t>Compilata col E (Qtà P6) dallo screen Foglio2. Analisi gap €382k.</t>
  </si>
  <si>
    <t>Inserite 17 quantità P6 da screen. Calcolato totale P6 con qtà reali = €316.919. Gap verso €382.292 = €65.372.</t>
  </si>
  <si>
    <t>Quantità P6 quasi identiche al budget (differenze irrisorie su B.05.030: 88250 vs 88198, ecc.). Il gap €65.372 NON dipende dalle quantità. Cause probabili: prezzi unitari diversi per voci non individuate (a.02.003.c spiega 25k), risorse aggiuntive P6 (manodopera/noli), attività extra nella WBS 01.17 di P6.</t>
  </si>
  <si>
    <t>Diagnosi aggiunta nel foglio. Gap residuo €65.372 non spiegato da quantità. Servono dati P6 più dettagliati (dettaglio risorse per WBS).</t>
  </si>
  <si>
    <t>Le due righe B.04.001 erano invertite (D16/D17 scambiate). Richiesta correzione formule e aggiunta Δ e/u.</t>
  </si>
  <si>
    <t>Corrette formule F16,F17,K16,K17,L16,L17. Corretti valori J16=13032.47, J17=2709.76. Riempita colonna I (Δ e/u) con formula =IF(H-G&lt;&gt;0,H-G,'').</t>
  </si>
  <si>
    <t>D16=628.98 m² (casseforme grandi), D17=130.78 m² (casseforme piccole). Formule ora referenziano correttamente la propria riga. Totali: Budget=€292.865, P6=€316.919, gap target=€65.373.</t>
  </si>
  <si>
    <t>Foglio corretto e coerente. Col I (Δ e/u) mostra differenze prezzo con sfondo arancio.</t>
  </si>
  <si>
    <t>%E</t>
  </si>
  <si>
    <t>%R</t>
  </si>
  <si>
    <t>udf_code_id</t>
  </si>
  <si>
    <t>udf_text</t>
  </si>
  <si>
    <t>udf_number</t>
  </si>
  <si>
    <t>udf_date</t>
  </si>
  <si>
    <t>proj_id</t>
  </si>
  <si>
    <t>fk_id</t>
  </si>
  <si>
    <t>udf_type_id</t>
  </si>
  <si>
    <t>%F</t>
  </si>
  <si>
    <t>UDFVALUE</t>
  </si>
  <si>
    <t>%T</t>
  </si>
  <si>
    <t>Savatta</t>
  </si>
  <si>
    <t>ST_Rsrc</t>
  </si>
  <si>
    <t>RT_Mat</t>
  </si>
  <si>
    <t>0.0000</t>
  </si>
  <si>
    <t>COST_PER_QTY</t>
  </si>
  <si>
    <t>NI39pOr950ab4lfTXMvwNw</t>
  </si>
  <si>
    <t>N</t>
  </si>
  <si>
    <t>Y</t>
  </si>
  <si>
    <t>FpH4H2jDKEaU/kOE5y5HWA</t>
  </si>
  <si>
    <t>BEXqZO6IuUKA8mVIHcGFfg</t>
  </si>
  <si>
    <t>70azauxFwki04ZeytS7Ogw</t>
  </si>
  <si>
    <t>20lFR/9iQU+4aGaJ9oKzVw</t>
  </si>
  <si>
    <t>oHEFijuAh0io4hgVJ3FYlg</t>
  </si>
  <si>
    <t>MaEXX1gTz061ARGoMZrWqA</t>
  </si>
  <si>
    <t>BkJL3fw0HU6d/SW4ogryUg</t>
  </si>
  <si>
    <t>F0zi1HnsM0CNn1YkuCR/ng</t>
  </si>
  <si>
    <t>YUw4oNehhku1aqvtLzurGQ</t>
  </si>
  <si>
    <t>7Pwrx3r+0EmQL3LxOeHd6A</t>
  </si>
  <si>
    <t>fcYIBWXizUWCinKN5uv92Q</t>
  </si>
  <si>
    <t>fels04srdUiv1r3CQq+ThQ</t>
  </si>
  <si>
    <t>SajgKzYTXESqvenA5OCk2Q</t>
  </si>
  <si>
    <t>akd4AhXlrEaifGO9w5JF6g</t>
  </si>
  <si>
    <t>fy/eZVYxaE255QQF4L+1xw</t>
  </si>
  <si>
    <t>V61NBZtn6kyX6ol4WTKzLg</t>
  </si>
  <si>
    <t>y3E7n/0D10uJH656yuLQSw</t>
  </si>
  <si>
    <t>jXRGeFMhXU6Yr2TR4TFwfg</t>
  </si>
  <si>
    <t>EeLALQQevEeIed9yPmXBYA</t>
  </si>
  <si>
    <t>+30yGSnkwkyI40a4eZ5eQA</t>
  </si>
  <si>
    <t>cTcRi7l3P0uwI+Go1mDO6g</t>
  </si>
  <si>
    <t>0B7NZc4iJEmG32VXzmEVKw</t>
  </si>
  <si>
    <t>ocUEBYeFGUeichtA8JQQ/Q</t>
  </si>
  <si>
    <t>nZGv0jqbx0CmIDDpslTOhA</t>
  </si>
  <si>
    <t>MWsOnAm1m0udqSpwtlMo+g</t>
  </si>
  <si>
    <t>mHslvs/mV0Oi/XFFOUqX9Q</t>
  </si>
  <si>
    <t>CGYIk5H+NkKwf+kFB01m6A</t>
  </si>
  <si>
    <t>J4+OsPk0NkyqxctuD5MoHg</t>
  </si>
  <si>
    <t>EU4pExeAbUaDS2Ld/RTZ7g</t>
  </si>
  <si>
    <t>du4LlJh220OfPWtqAuK93Q</t>
  </si>
  <si>
    <t>oHicnGhVM0C8x4CVK9ZwCg</t>
  </si>
  <si>
    <t>uce/gIDIrESI7nr1BFWrhA</t>
  </si>
  <si>
    <t>WYABYui/DkKDrL+6W9rfLA</t>
  </si>
  <si>
    <t>kd48C6P4eEuE+t5l/Zm02g</t>
  </si>
  <si>
    <t>rOJnMxTOdkatUIUyk8q6vg</t>
  </si>
  <si>
    <t>SHhRHtO6M06yV/riwAEa2g</t>
  </si>
  <si>
    <t>sw1qHkd1uUi6MtSLLYg/Og</t>
  </si>
  <si>
    <t>0SEprCYA10CcOgzRsfaGug</t>
  </si>
  <si>
    <t>6yfeQD+cJ0uTi0iwQKFqRg</t>
  </si>
  <si>
    <t>4qeQE5tSqkSecF2AxfHuOQ</t>
  </si>
  <si>
    <t>AJwqiANBs0+jwWSfx9HdoA</t>
  </si>
  <si>
    <t>uvhcO34gokyDGb0utD/pWw</t>
  </si>
  <si>
    <t>AJM+Oj1dS0eW0Ld4lkHkwQ</t>
  </si>
  <si>
    <t>EEi5IKWP90SFeZttx9wNVQ</t>
  </si>
  <si>
    <t>0vSzoqPQGUSqiOz3xjxGCA</t>
  </si>
  <si>
    <t>dWAvOItYFUCme4Qc6suRNQ</t>
  </si>
  <si>
    <t>/PhmIb31UkKC/IMVbuRiug</t>
  </si>
  <si>
    <t>DVRb43jW1E2Tqc6s8Ce4Fg</t>
  </si>
  <si>
    <t>zj2d4X38nU2v1UN03pVHoA</t>
  </si>
  <si>
    <t>CNtkzLE8pkyWIlnolkfTbw</t>
  </si>
  <si>
    <t>R2O/r3g5i0GiawE0FSiCtQ</t>
  </si>
  <si>
    <t>nvHQnx4hX0yuwTciWXqfaw</t>
  </si>
  <si>
    <t>WB9GvlcaVUG1uu1cEb3b8w</t>
  </si>
  <si>
    <t>pets0edFt0+GA+ttUlBZpQ</t>
  </si>
  <si>
    <t>W7GxO1e1SES2cY7Vc9/yDQ</t>
  </si>
  <si>
    <t>vrUoTD7Hj0uzKDgOKMG40g</t>
  </si>
  <si>
    <t>sbxiOdterUCLIKdIaaOfCw</t>
  </si>
  <si>
    <t>bOlF0jZGuk2FloVUh7Reag</t>
  </si>
  <si>
    <t>2I1zhLl3fUC737eovmtogQ</t>
  </si>
  <si>
    <t>vqUoDztgwUmBh3LNsOMbmg</t>
  </si>
  <si>
    <t>8JHAD7vDpkScQxaeuALaNQ</t>
  </si>
  <si>
    <t>tKoPDDrd4kWVmJe5BHEZxw</t>
  </si>
  <si>
    <t>kpdlkk21FUyc0gykaYvakg</t>
  </si>
  <si>
    <t>Aq0bgjcQ10eXR1STdXolHA</t>
  </si>
  <si>
    <t>u9zOqPFGGEmLEo9tloJjmg</t>
  </si>
  <si>
    <t>bI1TP5RYpkSJgY56PCw/lg</t>
  </si>
  <si>
    <t>paS7OIneGkWjGqbRyRFe/g</t>
  </si>
  <si>
    <t>0Bs08qTDVU6U3z/4tqLQuw</t>
  </si>
  <si>
    <t>KZJlPIGeWUOYzSrll6Ou2A</t>
  </si>
  <si>
    <t>30e4Nn9Q9UmHdmvFZ2aRXQ</t>
  </si>
  <si>
    <t>0.0065</t>
  </si>
  <si>
    <t>0.52</t>
  </si>
  <si>
    <t>QOkTxwhzAEWaz3Q3HdUMew</t>
  </si>
  <si>
    <t>0.025</t>
  </si>
  <si>
    <t>ClPo3FthgkiJBlR8Bfo3BA</t>
  </si>
  <si>
    <t>5CAkktw4+US85qn6hB2xzQ</t>
  </si>
  <si>
    <t>0.05</t>
  </si>
  <si>
    <t>HJU5gRqv3EibBVC97+pp2Q</t>
  </si>
  <si>
    <t>26vHabOTsUyLlBrYLbLrpQ</t>
  </si>
  <si>
    <t>qZahKOf1pk6m6hgVn00OPw</t>
  </si>
  <si>
    <t>AihYwt7J10aKcQoRP3Fp/g</t>
  </si>
  <si>
    <t>0.64425</t>
  </si>
  <si>
    <t>51.54</t>
  </si>
  <si>
    <t>MKDuR6n5iEqlxnbsy3eZOQ</t>
  </si>
  <si>
    <t>R3Fjbr6ycUKJkIvIca5O0w</t>
  </si>
  <si>
    <t>129.13</t>
  </si>
  <si>
    <t>0/8fTYr+dkO+2crGVzH/+Q</t>
  </si>
  <si>
    <t>51.65</t>
  </si>
  <si>
    <t>TbyxtksaY0mhA3X/AN2e/g</t>
  </si>
  <si>
    <t>PrjsuE3SzE6VesYHrBH+Zg</t>
  </si>
  <si>
    <t>KaPkS2UlZEy1Agr4OdCr3g</t>
  </si>
  <si>
    <t>0.002125</t>
  </si>
  <si>
    <t>0.17</t>
  </si>
  <si>
    <t>XoPIzT8Zm0yhrW207+xsaw</t>
  </si>
  <si>
    <t>wQZdNhDPTkeGiPkM8s3g8A</t>
  </si>
  <si>
    <t>7+ALWhz2gUmTu/GlUl6FLg</t>
  </si>
  <si>
    <t>upwYTcsEqkKm4qaLsNMQ9Q</t>
  </si>
  <si>
    <t>ZVeD3mARnkWZ41U1gdFVJg</t>
  </si>
  <si>
    <t>0.435</t>
  </si>
  <si>
    <t>34.8</t>
  </si>
  <si>
    <t>YYxWF2/wckCVEMhc4AbH+g</t>
  </si>
  <si>
    <t>0.2175</t>
  </si>
  <si>
    <t>17.4</t>
  </si>
  <si>
    <t>1cEE5BbUgU+BDi2pOOHECg</t>
  </si>
  <si>
    <t>lTKXWLY4aEydbz+ADwLsRw</t>
  </si>
  <si>
    <t>K05cFg2JIkGhryKgu1l09Q</t>
  </si>
  <si>
    <t>44.13</t>
  </si>
  <si>
    <t>aon8C9rc6UWTJGd/59q/3A</t>
  </si>
  <si>
    <t>c+7X38FL5Ee/j/LT00LBTw</t>
  </si>
  <si>
    <t>XRtVfublm02Rel0GVKYTSg</t>
  </si>
  <si>
    <t>cDluJ+fNX0COW+dTdlwPRQ</t>
  </si>
  <si>
    <t>0.40833333</t>
  </si>
  <si>
    <t>yQ3muzKhfUWDz5Mq12VGWg</t>
  </si>
  <si>
    <t>0.33333333</t>
  </si>
  <si>
    <t>6c9On7q/WUOizP0Kij3cig</t>
  </si>
  <si>
    <t>0.21355468</t>
  </si>
  <si>
    <t>54.67</t>
  </si>
  <si>
    <t>O6om5dTM8kOy0gTcqXZmIg</t>
  </si>
  <si>
    <t>0.27854166</t>
  </si>
  <si>
    <t>66.85</t>
  </si>
  <si>
    <t>kaA1NjJQS0C/4ntxXaHv9Q</t>
  </si>
  <si>
    <t>1850.67</t>
  </si>
  <si>
    <t>QJUpdA4UbUOD2MzPv/75Zg</t>
  </si>
  <si>
    <t>2263.04</t>
  </si>
  <si>
    <t>IyKYXxPZXUOKP1zGmL1dGg</t>
  </si>
  <si>
    <t>0.00666666</t>
  </si>
  <si>
    <t>1.6</t>
  </si>
  <si>
    <t>0nsyIUZVZU2VFLagaNkJ7w</t>
  </si>
  <si>
    <t>0.00816666</t>
  </si>
  <si>
    <t>1.96</t>
  </si>
  <si>
    <t>VmMmnRUhm06LCCVAwf4uJA</t>
  </si>
  <si>
    <t>52157.13</t>
  </si>
  <si>
    <t>a3ssTNkSzEiEMLturxtBtA</t>
  </si>
  <si>
    <t>RYSOLFIYVkOGVZIB5BRwtQ</t>
  </si>
  <si>
    <t>0.051125</t>
  </si>
  <si>
    <t>12.27</t>
  </si>
  <si>
    <t>LgSxr7o9iUmvrpPMNIHOvQ</t>
  </si>
  <si>
    <t>0.0625</t>
  </si>
  <si>
    <t>q2qBtEJmSkafoAVzf2xanw</t>
  </si>
  <si>
    <t>BgrLoRJoAEGKdyL7paoS1g</t>
  </si>
  <si>
    <t>6260.87</t>
  </si>
  <si>
    <t>x5+phAVWCUC8v/R5IE6Mpg</t>
  </si>
  <si>
    <t>0.53333333</t>
  </si>
  <si>
    <t>lKW0xyXvfECbLOWoK1ysfQ</t>
  </si>
  <si>
    <t>0.65216666</t>
  </si>
  <si>
    <t>156.52</t>
  </si>
  <si>
    <t>7xS4tiYKT0Ka/R/SLJY2Lw</t>
  </si>
  <si>
    <t>2654.72</t>
  </si>
  <si>
    <t>UoubtNrVOkWD4AOfXz4MJQ</t>
  </si>
  <si>
    <t>3246.26</t>
  </si>
  <si>
    <t>1hvMl62svkaoROOq2F4huA</t>
  </si>
  <si>
    <t>11386.96</t>
  </si>
  <si>
    <t>s2RfSOh/0Ea19ePR2TTgCA</t>
  </si>
  <si>
    <t>29.1</t>
  </si>
  <si>
    <t>vfphu7Lj4UqiMKYibwS1cw</t>
  </si>
  <si>
    <t>10936.96</t>
  </si>
  <si>
    <t>lD7vDWI9pUOBALX1LV4OnQ</t>
  </si>
  <si>
    <t>0.99427272</t>
  </si>
  <si>
    <t>437.48</t>
  </si>
  <si>
    <t>yRlEJnkU5kir0X/9qvJqYg</t>
  </si>
  <si>
    <t>656.22</t>
  </si>
  <si>
    <t>klIAMUfLzEeFjQKLUO2CqA</t>
  </si>
  <si>
    <t>8749.57</t>
  </si>
  <si>
    <t>sQJsVGQvjE24Gr5DWQwfHA</t>
  </si>
  <si>
    <t>0.81013888</t>
  </si>
  <si>
    <t>349.98</t>
  </si>
  <si>
    <t>309he4jbt0GrhUcttvKL6Q</t>
  </si>
  <si>
    <t>536.64</t>
  </si>
  <si>
    <t>XDmvTSSFG0qLklcvltwqwA</t>
  </si>
  <si>
    <t>0.419375</t>
  </si>
  <si>
    <t>20.13</t>
  </si>
  <si>
    <t>brJfXouBkEGVWQgJC4yYgw</t>
  </si>
  <si>
    <t>4DzR4SU6rk2qX+cQi/IzZw</t>
  </si>
  <si>
    <t>I3ZEU8moH06DPRTQlBysJg</t>
  </si>
  <si>
    <t>pNaB2ifAuEqxIaFgmkdW2w</t>
  </si>
  <si>
    <t>0.42829787</t>
  </si>
  <si>
    <t>2kVBqVytkEOEj/f5gIGDvQ</t>
  </si>
  <si>
    <t>QwtL+ZoFlUaDaoUxHt1Ixg</t>
  </si>
  <si>
    <t>t+2R0wf18ESmH/I4sQvwtQ</t>
  </si>
  <si>
    <t>XPtXNGKcuEyYiSwkakDWYg</t>
  </si>
  <si>
    <t>jwWAivzT1USy+cs7ZAzAKQ</t>
  </si>
  <si>
    <t>pjrEho2mfUOCbvef6dt6AA</t>
  </si>
  <si>
    <t>io6Y3c2j80uG3BGgdqjNqg</t>
  </si>
  <si>
    <t>AxrKk66mhEGDyOyGb6Sahg</t>
  </si>
  <si>
    <t>N5a2ohsY0EqVXuGJR0POag</t>
  </si>
  <si>
    <t>91rfORFgUki31ibF34/Qcw</t>
  </si>
  <si>
    <t>v9tMIVxtWUinRBdAZ8WNSw</t>
  </si>
  <si>
    <t>CmIxqZz4XE2axwAkaIZkaA</t>
  </si>
  <si>
    <t>WnBMWmyTDki1ip6pbJltkA</t>
  </si>
  <si>
    <t>E2CSPGSroEmJcWFdcKGpEg</t>
  </si>
  <si>
    <t>o5POsZzRZEiPBva85VmH1Q</t>
  </si>
  <si>
    <t>Hwhs/F0TEkmh96RTfFB0AA</t>
  </si>
  <si>
    <t>0.086875</t>
  </si>
  <si>
    <t>2.78</t>
  </si>
  <si>
    <t>jDkw6lpMO0WWbOpCckDY2Q</t>
  </si>
  <si>
    <t>463.8</t>
  </si>
  <si>
    <t>Px7boxAZwU6BNZe+Tl42aQ</t>
  </si>
  <si>
    <t>eJjE9KQ4P0q9kwfQXMKPIA</t>
  </si>
  <si>
    <t>0.6290625</t>
  </si>
  <si>
    <t>44.33</t>
  </si>
  <si>
    <t>YeGuZ3sSuEyVkSH84C0keA</t>
  </si>
  <si>
    <t>8GIv3MLJb0i6SEpGuevc9w</t>
  </si>
  <si>
    <t>Qizme58bZ0CS0Kh1cpzhKQ</t>
  </si>
  <si>
    <t>0.47170212</t>
  </si>
  <si>
    <t>22.17</t>
  </si>
  <si>
    <t>4+g+GTlnWEi/DRM3ZqtjKw</t>
  </si>
  <si>
    <t>IsF9Oi76x0aLs3XAWQoNFw</t>
  </si>
  <si>
    <t>YeB81uB0oUG5jcStziWlNg</t>
  </si>
  <si>
    <t>y5L+zjjBZk6rC1VLclvWuA</t>
  </si>
  <si>
    <t>S4fwXcT5U0GvQFeLnWmfpw</t>
  </si>
  <si>
    <t>YcC0urHX3kSwkNtSpWDW3g</t>
  </si>
  <si>
    <t>0.461875</t>
  </si>
  <si>
    <t>ByDMV+IghU+yPZ1JuaYmPQ</t>
  </si>
  <si>
    <t>aaf+297G1Umk5oiBnQoCPA</t>
  </si>
  <si>
    <t>2IAwR/HeVkaOI6NT5jVVKw</t>
  </si>
  <si>
    <t>wapdShpDyE2IeVAxQlvJEQ</t>
  </si>
  <si>
    <t>1J9BnJGG20G16mrJVzFg1g</t>
  </si>
  <si>
    <t>4PLkVa2QqUOUZer8rYuaVA</t>
  </si>
  <si>
    <t>5dPVaF29tECZlaGiTBcxHA</t>
  </si>
  <si>
    <t>OuTPgnYHpkK4YW01gshyMg</t>
  </si>
  <si>
    <t>1R+JYrgU/ESQDOAUcf988A</t>
  </si>
  <si>
    <t>m5nN/ZscOkagLpyQQ9xt8g</t>
  </si>
  <si>
    <t>yv6n6zNX/EapTrR9bEIgAg</t>
  </si>
  <si>
    <t>i5Z/QIBWnUG5ipl505sayA</t>
  </si>
  <si>
    <t>7lZ8OP+D9E6a3zd6PYASvQ</t>
  </si>
  <si>
    <t>N571iOxxdkag+x4GP3zDCQ</t>
  </si>
  <si>
    <t>iIxY6kbzP0S5svrTmVhjjQ</t>
  </si>
  <si>
    <t>qI1xeehTOUSlvatUGlOcIA</t>
  </si>
  <si>
    <t>mgBY3mN73UqMO+eRFiniqQ</t>
  </si>
  <si>
    <t>+c9tus/kAk+vxgXrRfATHw</t>
  </si>
  <si>
    <t>sDYwhGEehUGxOozAL57M1g</t>
  </si>
  <si>
    <t>o7jGuOkikU+yUHhLhlow3w</t>
  </si>
  <si>
    <t>s45wOvQuRkqsxO8yPlhf6g</t>
  </si>
  <si>
    <t>0.6928125</t>
  </si>
  <si>
    <t>iikgCfjpGUKtoxAlGcl4Yg</t>
  </si>
  <si>
    <t>j0ibYBnpJk+vNks3VmWMtA</t>
  </si>
  <si>
    <t>40.33</t>
  </si>
  <si>
    <t>zWRcmRJThkKKNVnuM+13MQ</t>
  </si>
  <si>
    <t>6ZjgPiv2LEm64oG7zaLanw</t>
  </si>
  <si>
    <t>G+vE0Q+/SEeIFSbA0mBKaQ</t>
  </si>
  <si>
    <t>IRQRjdScvEaUBu6fchIt6w</t>
  </si>
  <si>
    <t>X4jGsJAUBEGYecLrhjqiVQ</t>
  </si>
  <si>
    <t>ngnqx2xOMEqXtpXuKgnveg</t>
  </si>
  <si>
    <t>B7BA7FgNtEeJRtJ48hPTtw</t>
  </si>
  <si>
    <t>W5DTz2gHmku/HdkfqRWPSw</t>
  </si>
  <si>
    <t>NAeJ8DsE3EitDAlrPSvR3A</t>
  </si>
  <si>
    <t>na8Q8gVpWECkdqa6xEVetQ</t>
  </si>
  <si>
    <t>39bQ7ir7b0aLE2ZBYLOKeA</t>
  </si>
  <si>
    <t>KJ6wtXzXBk666twMweTaDA</t>
  </si>
  <si>
    <t>/X5hE6LPXUaSFSPTo9Kr5A</t>
  </si>
  <si>
    <t>mXFE1LlK9keYax9qaucgKw</t>
  </si>
  <si>
    <t>RzxMVUqoNUGllojGFRoN1g</t>
  </si>
  <si>
    <t>yhEaj9z0Q0asDmLPlLQFDw</t>
  </si>
  <si>
    <t>43k+NK5mM0eG3EkoKXZO5g</t>
  </si>
  <si>
    <t>1i2v2Myjy0O2mPS7jtNI+w</t>
  </si>
  <si>
    <t>1H5XYxukxEa6CuOrxnmoiw</t>
  </si>
  <si>
    <t>4IgQCu8gykymaPZju3EmPw</t>
  </si>
  <si>
    <t>KZVdbIYbnU+bzvMRaB8CJg</t>
  </si>
  <si>
    <t>Lw/N8zHT9kC34QyZTt2h9A</t>
  </si>
  <si>
    <t>Kc/4ZkmWf0y149e24qccXg</t>
  </si>
  <si>
    <t>1.44</t>
  </si>
  <si>
    <t>115.2</t>
  </si>
  <si>
    <t>anSmx/BUwEiW1SfqqjUBcg</t>
  </si>
  <si>
    <t>22.5</t>
  </si>
  <si>
    <t>qw39Beih1kOdfTksaOX3jg</t>
  </si>
  <si>
    <t>0.093625</t>
  </si>
  <si>
    <t>7.49</t>
  </si>
  <si>
    <t>5OXR7vopU0mNKicN0f+drw</t>
  </si>
  <si>
    <t>zV77XSzSeESzy8a8ZJUqaw</t>
  </si>
  <si>
    <t>ZIxro5N4t0+XgJFiE18ppg</t>
  </si>
  <si>
    <t>5439.95</t>
  </si>
  <si>
    <t>JP14AO7zME2l0UYOgScX6A</t>
  </si>
  <si>
    <t>310.97</t>
  </si>
  <si>
    <t>DRQwa+Z83U294B5MiBF9zg</t>
  </si>
  <si>
    <t>114.08</t>
  </si>
  <si>
    <t>7nfbBSrbWkeR9bWPSvozVw</t>
  </si>
  <si>
    <t>8.9</t>
  </si>
  <si>
    <t>qnl+SKXNkE+RT/l1A8DJLg</t>
  </si>
  <si>
    <t>111.35</t>
  </si>
  <si>
    <t>A9kTuc2AMkCr+HvfADCqIA</t>
  </si>
  <si>
    <t>0.76</t>
  </si>
  <si>
    <t>91.2</t>
  </si>
  <si>
    <t>rIrOuaMKpkSEMynCmZhPuw</t>
  </si>
  <si>
    <t>234.65</t>
  </si>
  <si>
    <t>RYI/1qlBLkmvXuw3rEF0Zw</t>
  </si>
  <si>
    <t>216.6</t>
  </si>
  <si>
    <t>DdwXYow5UUCoeVdPveeXrA</t>
  </si>
  <si>
    <t>0.73683333</t>
  </si>
  <si>
    <t>88.42</t>
  </si>
  <si>
    <t>evLH4HudH0WD41q1eCY73g</t>
  </si>
  <si>
    <t>0.8300</t>
  </si>
  <si>
    <t>501.08</t>
  </si>
  <si>
    <t>qR/iDXsdWE611QrrrkoaXA</t>
  </si>
  <si>
    <t>123.69</t>
  </si>
  <si>
    <t>oni2RztU0Eipy2a4Z7nRZg</t>
  </si>
  <si>
    <t>764.36</t>
  </si>
  <si>
    <t>5o4qs66mQ0+kT7XPhTRQTg</t>
  </si>
  <si>
    <t>22.6</t>
  </si>
  <si>
    <t>542.4</t>
  </si>
  <si>
    <t>MOZ4OgQ+20Kb0Hq1OXfx1w</t>
  </si>
  <si>
    <t>282.5</t>
  </si>
  <si>
    <t>TKP6KaqO6UqfPbsY9Yxeyg</t>
  </si>
  <si>
    <t>cBcDpc6ZJUCET22u1btF0A</t>
  </si>
  <si>
    <t>abHWQiAYZ0GtNAGiX6twYw</t>
  </si>
  <si>
    <t>3qLlM+Dt+U+S+FH6aJbS4Q</t>
  </si>
  <si>
    <t>EscNvPHZiEq6kgEpKFspGg</t>
  </si>
  <si>
    <t>eYw6j02nkk617zDivtEDBg</t>
  </si>
  <si>
    <t>jxFlS8G6FU+248WGHPfQLQ</t>
  </si>
  <si>
    <t>NP96pd10cU6Q8aPxIZd0aw</t>
  </si>
  <si>
    <t>IlfIxF+IyEe+k0dV07iQyw</t>
  </si>
  <si>
    <t>AVFr0o6YIEKasUoGCFOVsQ</t>
  </si>
  <si>
    <t>bCAWJsxyhEeD1uDJgjm4rQ</t>
  </si>
  <si>
    <t>e5atWCsDCEipTP5hGlJAkA</t>
  </si>
  <si>
    <t>w4WME7jfDkyIOI+6wqRV4w</t>
  </si>
  <si>
    <t>0.16428571</t>
  </si>
  <si>
    <t>18.4</t>
  </si>
  <si>
    <t>cMeTvSrmcUeh++02ghc57w</t>
  </si>
  <si>
    <t>sXkV4E6+q0O4EbzLfkkpuw</t>
  </si>
  <si>
    <t>1DNv/tUbHUW1lFRMg5mjdw</t>
  </si>
  <si>
    <t>8HU6PKvAEkaKr3P7NGNQUQ</t>
  </si>
  <si>
    <t>KZ779ercRUmUYy+BGo86HA</t>
  </si>
  <si>
    <t>0EAD1PFMHEO2MFtBZkrBEg</t>
  </si>
  <si>
    <t>YoCrSV38f02jYMthr/Anbw</t>
  </si>
  <si>
    <t>lpWxhR+4xkuf79f2hVJp7A</t>
  </si>
  <si>
    <t>jyWFj+iSC06KYQX+eSqGpg</t>
  </si>
  <si>
    <t>StJUF21bDE2QOglBJglIpw</t>
  </si>
  <si>
    <t>APKOFG7fk02Q5dYhphLJKg</t>
  </si>
  <si>
    <t>fmvs7xlDP0+tXLhpDZGNLA</t>
  </si>
  <si>
    <t>bOsPSRcLl02pHun4tE2qTQ</t>
  </si>
  <si>
    <t>idzmV8EPpUCZtdgoUo5JsQ</t>
  </si>
  <si>
    <t>bAu1PLy+h0CsY2uNIxhtAw</t>
  </si>
  <si>
    <t>NdQc9eKEzEqDOhLX+M7/pw</t>
  </si>
  <si>
    <t>rZDoQUtbF0auz0WfmhB1kg</t>
  </si>
  <si>
    <t>chUHB4DSlEqzvDUHwIF16A</t>
  </si>
  <si>
    <t>7R0sijn6jUKXAiuH7XbUTQ</t>
  </si>
  <si>
    <t>0.15333333</t>
  </si>
  <si>
    <t>4EGxi2vecEyXMIO1TTDlWw</t>
  </si>
  <si>
    <t>0.19166666</t>
  </si>
  <si>
    <t>2sQlmCkntU2MeG1O/B5DEg</t>
  </si>
  <si>
    <t>Xf5ArP2pnUKbObWVyEHGww</t>
  </si>
  <si>
    <t>v7DwschkeUOT2l53fo2GRQ</t>
  </si>
  <si>
    <t>ejBlSJYv5UqGN1j8GeNa/w</t>
  </si>
  <si>
    <t>turYKfzy5Ui6PKT52bA/5A</t>
  </si>
  <si>
    <t>RHS7Pq/+3k2ts7flw7q2IQ</t>
  </si>
  <si>
    <t>5bJnWHhvFES+8vLPM2OZow</t>
  </si>
  <si>
    <t>4WN/Isap2E2m5w+foK4Lmw</t>
  </si>
  <si>
    <t>Wqe35y31GEC/ZRo807r2jQ</t>
  </si>
  <si>
    <t>dBPhNDzccEKjXviSMpBbGg</t>
  </si>
  <si>
    <t>qqrImVpJakiAodqPvKbqyA</t>
  </si>
  <si>
    <t>6Rgx8+umyUqWRT8ipzqfyw</t>
  </si>
  <si>
    <t>JaD24OmuiUiP9LeRjKwF0A</t>
  </si>
  <si>
    <t>HFKoR8K+u0S4ukayKD3Gjw</t>
  </si>
  <si>
    <t>J+eP/LfGIEiWMiMIZ30rCg</t>
  </si>
  <si>
    <t>2WjkszQJS0WJ3iq3zDVtvw</t>
  </si>
  <si>
    <t>xR2ZPVbvX06RNG4zcz8/ZA</t>
  </si>
  <si>
    <t>gRB7bskwME+3+55SLDfKYw</t>
  </si>
  <si>
    <t>FrOLoAJi802/kWkyBa2sLw</t>
  </si>
  <si>
    <t>YOviGOd4qUCnEzCK3nCAZQ</t>
  </si>
  <si>
    <t>c3HYo2X3Z0mzqf1BvIA14w</t>
  </si>
  <si>
    <t>PG22KjFuwk+BEGwYbtXHNQ</t>
  </si>
  <si>
    <t>WcLE+KaF8kSnOKIPWzN7kA</t>
  </si>
  <si>
    <t>k5w6imJjMkuY8QJemZhLyg</t>
  </si>
  <si>
    <t>yjkKlstMHUqOBY3qs19uiQ</t>
  </si>
  <si>
    <t>139.02</t>
  </si>
  <si>
    <t>25KO5o6h0UmCY2upEo4+xg</t>
  </si>
  <si>
    <t>pQwxg5RnVkCwn3lrOKaPIw</t>
  </si>
  <si>
    <t>+hs3XzKjo0qP1MMJqI/4zQ</t>
  </si>
  <si>
    <t>0zB4kEE/tE2YhAgs9mrbgA</t>
  </si>
  <si>
    <t>TnL2opV9H0iHm3CkokecyQ</t>
  </si>
  <si>
    <t>SKYGmzQcTUqBMTY7ZKlS/g</t>
  </si>
  <si>
    <t>y102VhmO0E2IR66KzZgQ+Q</t>
  </si>
  <si>
    <t>oWi1uZWLdU2Ha6ylwknQMQ</t>
  </si>
  <si>
    <t>qbxHFUfSwEKweLmfU5eRzA</t>
  </si>
  <si>
    <t>UXmVAZdKdkasuLAZwoXIwA</t>
  </si>
  <si>
    <t>1r/VUb8Oj0mLoNZwbBCk+g</t>
  </si>
  <si>
    <t>Ci/ToGjj9kyeyMampFFEdg</t>
  </si>
  <si>
    <t>0.49285714</t>
  </si>
  <si>
    <t>55.2</t>
  </si>
  <si>
    <t>fanpj3EAoUmTNKfyb8fFkQ</t>
  </si>
  <si>
    <t>5s2MF6//GUu+d3nNrI3E9A</t>
  </si>
  <si>
    <t>VZNVgBHkiUS6/bwUh83pNw</t>
  </si>
  <si>
    <t>zlT1b1nN7U+awBb5oYcfWQ</t>
  </si>
  <si>
    <t>t/S0o7LK50y+Br3DMkyp+Q</t>
  </si>
  <si>
    <t>11ZgETlXjUic3WlAIH1Uxw</t>
  </si>
  <si>
    <t>8GPovgWSa027EDPn+KXHyQ</t>
  </si>
  <si>
    <t>F4dZwMmKiUeqGq3llUVsSA</t>
  </si>
  <si>
    <t>j9Ek2fjOq0m8BeIypXddXQ</t>
  </si>
  <si>
    <t>6KSdA4HuZUOlgoDlb0cFUQ</t>
  </si>
  <si>
    <t>B1napaDYW0qzQFfbhAIVFA</t>
  </si>
  <si>
    <t>vQspu0kkvUyvO305PpMaDA</t>
  </si>
  <si>
    <t>ry+9c5KaNUOgwsxrrXXqqA</t>
  </si>
  <si>
    <t>I39IsVDFHUyHe9/HGeAfqA</t>
  </si>
  <si>
    <t>9uNiLeMm2k2e0U/tzGfrNQ</t>
  </si>
  <si>
    <t>BnT2LY3rJEWGG0YmDkeFNg</t>
  </si>
  <si>
    <t>raT4ZtuBmk6sqbubQVPxBw</t>
  </si>
  <si>
    <t>TdLaI+xVIEaHMEQd2KHp2Q</t>
  </si>
  <si>
    <t>vcTQDfHxuEWx2I/SkRPwFg</t>
  </si>
  <si>
    <t>8a/411XYNU+4CJy5TtNKrw</t>
  </si>
  <si>
    <t>0.46</t>
  </si>
  <si>
    <t>8NBQQpnZik26OmRlmhYBIg</t>
  </si>
  <si>
    <t>0.575</t>
  </si>
  <si>
    <t>fhChMhjVr0e4/3sv3/umKA</t>
  </si>
  <si>
    <t>WRi6pOqMDE+8cP218sE3Aw</t>
  </si>
  <si>
    <t>eVRx8mfpQU2vA4LC7MO42w</t>
  </si>
  <si>
    <t>ayAD/rVFz0mAbIUcB+Bzfw</t>
  </si>
  <si>
    <t>t1427Mg8K0WnJ82qkzM1lQ</t>
  </si>
  <si>
    <t>GgY66FJ1F0+Jh9/jEEi7Mw</t>
  </si>
  <si>
    <t>POL2j9TpI0qevNE57Hq3nQ</t>
  </si>
  <si>
    <t>wxKmmFX12E6D3j7Dsv67PQ</t>
  </si>
  <si>
    <t>N1kpMxFVwEeRpT7bTDhXwA</t>
  </si>
  <si>
    <t>WsGVECwOB0y6ajYuazfqCA</t>
  </si>
  <si>
    <t>NGKPU2sXN02Ud0aPS+ZvFg</t>
  </si>
  <si>
    <t>CG3624KTmEyMlvX1ANrthg</t>
  </si>
  <si>
    <t>9Rjp4YRhAUOu25wcxyL2nQ</t>
  </si>
  <si>
    <t>52Znq7FyPkqrhw3/uRxi0g</t>
  </si>
  <si>
    <t>im3gTWzdzEuzEm9/dnvrXw</t>
  </si>
  <si>
    <t>nAzBnVKOyUGKmxNmRjM5PA</t>
  </si>
  <si>
    <t>kft0qA6UCEiv77b4uyt+gg</t>
  </si>
  <si>
    <t>aKux82MW+UuXq07Fy24HOA</t>
  </si>
  <si>
    <t>QwUuv4MgFEK380fO8Q5hNQ</t>
  </si>
  <si>
    <t>mtUB+09CgUim00vHfjLqTg</t>
  </si>
  <si>
    <t>CRVRHL1tXEe6D3spYa+F+g</t>
  </si>
  <si>
    <t>a5ktj+zsO0WYiUUqcF+g9Q</t>
  </si>
  <si>
    <t>RRDKzkeSe0yrIvYHS7W+mA</t>
  </si>
  <si>
    <t>uOJxaMk3Z0KFDktHXc+npQ</t>
  </si>
  <si>
    <t>JrP6S86+lUKsHORlvhis5Q</t>
  </si>
  <si>
    <t>0.19392857</t>
  </si>
  <si>
    <t>21.72</t>
  </si>
  <si>
    <t>TCRYSv+cAEqRYB/kn7CBVA</t>
  </si>
  <si>
    <t>H+/o8t2xmU2MQHQ+06o64w</t>
  </si>
  <si>
    <t>9vH5mxRq7ky3fMGNqPC4uw</t>
  </si>
  <si>
    <t>ZgzMwh6WbEynrAEgXX+cTQ</t>
  </si>
  <si>
    <t>5+x8xiloPkSQL5vLvvGYsw</t>
  </si>
  <si>
    <t>U0Eu73UUD0STiljmZ8/skw</t>
  </si>
  <si>
    <t>5uP3xLg1v0+71WFU+1f2PQ</t>
  </si>
  <si>
    <t>LIB2KdVlmU+91M3hmplDQg</t>
  </si>
  <si>
    <t>ybEVybA9AU6A76a9SIM1gA</t>
  </si>
  <si>
    <t>9J4ldg7yQUG0T6PqQ8BHAw</t>
  </si>
  <si>
    <t>B7uuYRTpKk6UWqdjAtZwGQ</t>
  </si>
  <si>
    <t>KjXbu18+Qka6e3FL9hysog</t>
  </si>
  <si>
    <t>Xbo+rf6Pd0qP7pdOiao37g</t>
  </si>
  <si>
    <t>Ve2v3Q3OI0O3TU6vLhXi3Q</t>
  </si>
  <si>
    <t>pChYWq7IrkCdqfGW4OnDBw</t>
  </si>
  <si>
    <t>0vY85YBJ0U+WTrrFSDElkA</t>
  </si>
  <si>
    <t>T09mzFtbAU2nRmdVih9zrg</t>
  </si>
  <si>
    <t>rRGQo0e6CkCMLqiRG22VPA</t>
  </si>
  <si>
    <t>bOj4Y17QWEaytps1ihFlrA</t>
  </si>
  <si>
    <t>Dd+tWxF+n0Wi07oryGw/yg</t>
  </si>
  <si>
    <t>0.181</t>
  </si>
  <si>
    <t>p2K8RyRnr0iOqlbTDkIprQ</t>
  </si>
  <si>
    <t>0.22625</t>
  </si>
  <si>
    <t>2aYMe81zQ0K0dicEm2hfhQ</t>
  </si>
  <si>
    <t>NJRwvfoTnUKOt57OD2V4BA</t>
  </si>
  <si>
    <t>4MYl+kfSh0G3mm41TKMd8A</t>
  </si>
  <si>
    <t>jnKFkwBZLUCW+BNhr5EDKQ</t>
  </si>
  <si>
    <t>CAHn3GvCIEGRzUV6DcGXUQ</t>
  </si>
  <si>
    <t>Cq9ZfgeCNki/2SmPsvblsQ</t>
  </si>
  <si>
    <t>2hvu6MDD9km9PwhVcFnAng</t>
  </si>
  <si>
    <t>bQr80/1xt0OoeT58OHIa7Q</t>
  </si>
  <si>
    <t>QRTM72zqUEmRuP1YwYI9Mg</t>
  </si>
  <si>
    <t>l9MfdW1cTES1A7vLaiu3Uw</t>
  </si>
  <si>
    <t>QK9MMKO0BkibQjN9Iv0oXg</t>
  </si>
  <si>
    <t>J+OO0flZe0mDKJXIFFNEpA</t>
  </si>
  <si>
    <t>LpawMjFQG0GGtM7SXsAsgg</t>
  </si>
  <si>
    <t>ZuUoOxIeIE6c24sreB2Gkg</t>
  </si>
  <si>
    <t>Yad2ucB49Eqwl9qSf5akmw</t>
  </si>
  <si>
    <t>9m+ISnCAWkacLUegNhVGnw</t>
  </si>
  <si>
    <t>KOMHldIc0kuFd7Z4RLRMQw</t>
  </si>
  <si>
    <t>yfpgbUmahEG2ZNgQL6AWEQ</t>
  </si>
  <si>
    <t>gGg0uaVbckeNG1bL7+/1UQ</t>
  </si>
  <si>
    <t>jV5v3FQrokSxM20SrfkSHA</t>
  </si>
  <si>
    <t>lAeV9MMihU+XtTD68lbhHw</t>
  </si>
  <si>
    <t>2BoULw6dW0+bI4bjlm6C8A</t>
  </si>
  <si>
    <t>WWmrmL6eQUev8bBNJdKXqw</t>
  </si>
  <si>
    <t>Hw/ESDSMoU+0Vrgwbv5XbQ</t>
  </si>
  <si>
    <t>478.4</t>
  </si>
  <si>
    <t>sFoDyddekkW0/Lba6jVMjw</t>
  </si>
  <si>
    <t>erEUAHYBG0+n8wYKXaVozw</t>
  </si>
  <si>
    <t>1Q8MR1W/tEWKF0kjvpvoIA</t>
  </si>
  <si>
    <t>nQ4UJffE0kO3aTBOoYJE5w</t>
  </si>
  <si>
    <t>hrG7/Z7cREKmMWT+uflhSA</t>
  </si>
  <si>
    <t>K7Q2+CDl+0uuQ7qgd1zgJg</t>
  </si>
  <si>
    <t>WIxNVVzyeU6pwmN1iWE7+w</t>
  </si>
  <si>
    <t>n5fK2M2RZ0OViSuiBlqV6g</t>
  </si>
  <si>
    <t>WoRHu4NT8k+4FQzHIPXBxw</t>
  </si>
  <si>
    <t>doCufXqbcUam0OLY/VhK8g</t>
  </si>
  <si>
    <t>ywz1Jng4DkCoe9K2ZzrLIg</t>
  </si>
  <si>
    <t>lsx9nandrkKKTUL0Euf7cQ</t>
  </si>
  <si>
    <t>SA9GTOgbwEKp66htQ2JWQw</t>
  </si>
  <si>
    <t>ICeDt+/pcU2MCtpSYjBVSg</t>
  </si>
  <si>
    <t>ab1SwWZCq06DDFfWnAaTgQ</t>
  </si>
  <si>
    <t>R9hMf2sFG0uZlzBrFiZSPA</t>
  </si>
  <si>
    <t>OxmKxFlkjEqWeE5FP2eOpg</t>
  </si>
  <si>
    <t>ZK2GZOT350OmDeEhjvvufg</t>
  </si>
  <si>
    <t>SI74AR/9kEGH1LR6SvT17w</t>
  </si>
  <si>
    <t>HnSvzzc+5kCxyKUcoqcYjw</t>
  </si>
  <si>
    <t>2BUVXVwkEk2ST99v/DHI2w</t>
  </si>
  <si>
    <t>NGeand+K8E2ZI8dIXed/eg</t>
  </si>
  <si>
    <t>/hMXrVLi6U2LJtZ+qRXWGQ</t>
  </si>
  <si>
    <t>PvodBZJW6k2sBNGbA1ckrw</t>
  </si>
  <si>
    <t>TqbesW6TzUW2uRSi3Pbn4Q</t>
  </si>
  <si>
    <t>1zDSl9ugA02o1BrKT8qJVA</t>
  </si>
  <si>
    <t>75U6vfiXt0OPt7wSBn6v/g</t>
  </si>
  <si>
    <t>jCKrcSRenEiuq7oZzF6olA</t>
  </si>
  <si>
    <t>D3bfENDk0UmlZuVAUndOlQ</t>
  </si>
  <si>
    <t>cRrUvNoTt0iwSL597IS3mA</t>
  </si>
  <si>
    <t>sMTmjvQ940yDM2/0SAIv0w</t>
  </si>
  <si>
    <t>jgr82ohMqk6ZoCE+TcE53A</t>
  </si>
  <si>
    <t>CiI4mQRZOEOTmv1ZmhdEhg</t>
  </si>
  <si>
    <t>jtsoRquSZE2NxGBJ1S76CQ</t>
  </si>
  <si>
    <t>pSql/aPwP0GauWa4G+v5/g</t>
  </si>
  <si>
    <t>hBaKNWGwRUO4JWlhlIkgew</t>
  </si>
  <si>
    <t>Nw5awvHvFkGD/Ce2uUJ+Jg</t>
  </si>
  <si>
    <t>1As7kDUZkUuW7RtaU5bfMQ</t>
  </si>
  <si>
    <t>kNqYfyOL6kWolkFCNLEkJw</t>
  </si>
  <si>
    <t>Ics3PC6KoUicNT/gy/GdsQ</t>
  </si>
  <si>
    <t>5iOnE61AYUSa1X/eDvOJCQ</t>
  </si>
  <si>
    <t>E62zHB47mEOJn/blNbmO2w</t>
  </si>
  <si>
    <t>rZsTWp6Wf0az8txek086kw</t>
  </si>
  <si>
    <t>jpaeYQ8Ko0Cw7W/jz9lLjQ</t>
  </si>
  <si>
    <t>QWHF/lfpBE+SpGLkPpBx6A</t>
  </si>
  <si>
    <t>5TtHeBDZYkyUv0cH3sOmEg</t>
  </si>
  <si>
    <t>mbszKVtwcEuvm5p6U4l3lw</t>
  </si>
  <si>
    <t>nzKDIGCaWkmIT8Ep6/Z3DA</t>
  </si>
  <si>
    <t>2ew29IDRUEqS1xUKvs1kaw</t>
  </si>
  <si>
    <t>ZAw90wtUekuynvWvSMyvPg</t>
  </si>
  <si>
    <t>4Xo0lRIW7kmi2DmXMUqlfw</t>
  </si>
  <si>
    <t>hqDRoX/ohkSU/k9FZFfh3w</t>
  </si>
  <si>
    <t>OZCf15um0kmvxMAsuQz3JQ</t>
  </si>
  <si>
    <t>FVBXRbE3z0qKq/rdH0GlOw</t>
  </si>
  <si>
    <t>4guV6ZmTxEe/agkzm3MZhw</t>
  </si>
  <si>
    <t>bS1kJpFuZ0Cb/etS8JHxLA</t>
  </si>
  <si>
    <t>jx3Ri3DAdk+k+kHmWsSDvA</t>
  </si>
  <si>
    <t>B9jz9gFUW0CE3wt7V1xvCA</t>
  </si>
  <si>
    <t>69UoW430Dkq7S2TKEgrevQ</t>
  </si>
  <si>
    <t>MQpZ9guc2UmvV6kfbNRYpw</t>
  </si>
  <si>
    <t>3cCGJ9kafkm6zXThWT975Q</t>
  </si>
  <si>
    <t>zogezXDKxUCqG9kIoKLgQw</t>
  </si>
  <si>
    <t>xwn6pBxKuUK1YioQ0s+cPA</t>
  </si>
  <si>
    <t>SjrkxmzYSUOW2tkKysx81Q</t>
  </si>
  <si>
    <t>vrWpRc8GIUK9ytSo5xKJAw</t>
  </si>
  <si>
    <t>ULVh2yqRT0iCrvE+2fIEcQ</t>
  </si>
  <si>
    <t>t+5qfLt5GE27Uwg+AMwR/w</t>
  </si>
  <si>
    <t>JE7BVmRB5Eqqdq7S6DHStQ</t>
  </si>
  <si>
    <t>VdXrNK9ruEuOu9jPC4kTMg</t>
  </si>
  <si>
    <t>bVaf3ED3j0+5HZCRrkR+0A</t>
  </si>
  <si>
    <t>ziz5CPONUkeeaYwLFhZ37A</t>
  </si>
  <si>
    <t>PQ5BjlXt7UOuIsAlm5WJBw</t>
  </si>
  <si>
    <t>Q/U3dY2JDkuSp8TdYLFGMA</t>
  </si>
  <si>
    <t>y/GF68LMmkO5dRIfvR9YOA</t>
  </si>
  <si>
    <t>A4rkp8JaWkiQm/iv5Rsh1Q</t>
  </si>
  <si>
    <t>NqPxx1pJrEqTmnGooPlLWg</t>
  </si>
  <si>
    <t>CagIO6hQxk2TR1axMTOhzQ</t>
  </si>
  <si>
    <t>OwLzUYSXrkSthsz9Yv/jSg</t>
  </si>
  <si>
    <t>yn+wZU6ekk2UMKLO9CUkXA</t>
  </si>
  <si>
    <t>8nDYblfABkeBSvyxJIdMkA</t>
  </si>
  <si>
    <t>3YCB2wIGWkKUfSiB83YueQ</t>
  </si>
  <si>
    <t>n0LZrt3CZEGF6FpszwGA3A</t>
  </si>
  <si>
    <t>g/3v6AOtZkmCtCfI6BN8DQ</t>
  </si>
  <si>
    <t>f2IcGmNA+0usHKXzj9UIxw</t>
  </si>
  <si>
    <t>kcm4iAI6f0690XVATrGOAg</t>
  </si>
  <si>
    <t>yCQJdlf2/UaUby0bG9cWbQ</t>
  </si>
  <si>
    <t>Zv0BVqTLAkCDnUjdrWdopw</t>
  </si>
  <si>
    <t>LRKfoiLIqU6/Lj1zImwgog</t>
  </si>
  <si>
    <t>WPtxQJb2rEunEe8PGQvMkQ</t>
  </si>
  <si>
    <t>m56fv2LWrUe1qEcuBcuRvQ</t>
  </si>
  <si>
    <t>y+MEyrHoNkOpdwQR8Xi+8Q</t>
  </si>
  <si>
    <t>0.433125</t>
  </si>
  <si>
    <t>13.86</t>
  </si>
  <si>
    <t>e85DIhCdP0uQomlAaf/WAA</t>
  </si>
  <si>
    <t>srRq7Z9VDkysqU0Ro4eBLg</t>
  </si>
  <si>
    <t>ygMgxVxUgEaQzTgyBPQZRw</t>
  </si>
  <si>
    <t>RSeNjyclxEq9jGgQyLvSQA</t>
  </si>
  <si>
    <t>DXcpSc5GmUG0sF79DwJB4A</t>
  </si>
  <si>
    <t>Tox7R0zODEy9lIZbhN/K9w</t>
  </si>
  <si>
    <t>R+BWG/ZmIE6y2koMC5u4/g</t>
  </si>
  <si>
    <t>PNFeFzJrZUiaiZevoifZqw</t>
  </si>
  <si>
    <t>CeMPq2V87ECSDjWKpPZF2A</t>
  </si>
  <si>
    <t>2ZGDF1Z0zEifAV5RgN8OoA</t>
  </si>
  <si>
    <t>BRA3OKFcP0+viM4x4WKTmw</t>
  </si>
  <si>
    <t>4I9imYlcoEOCKHKrEK1LHw</t>
  </si>
  <si>
    <t>4PWcCjtNxUO6yrFsb3gssw</t>
  </si>
  <si>
    <t>stG6PbLopkestxFEiB7TkA</t>
  </si>
  <si>
    <t>Tucim8XIv0+Ir3HXG/KcFg</t>
  </si>
  <si>
    <t>HCH40Iln3EqSP9EBvITRvg</t>
  </si>
  <si>
    <t>jOBC9MUnSke/lHagu8pCZQ</t>
  </si>
  <si>
    <t>MsTAxFfsSkG2nIeoVOGlug</t>
  </si>
  <si>
    <t>OWE/1/bW50akODWcYHlu+g</t>
  </si>
  <si>
    <t>Yk1ZVrW28EGfvbqEP45ITA</t>
  </si>
  <si>
    <t>IjI6utFJU0Wef+irXePOlg</t>
  </si>
  <si>
    <t>6y+ym2HEJE+8XKABh7VoDQ</t>
  </si>
  <si>
    <t>kqs1ysCQwUGgQjMcyrb5oQ</t>
  </si>
  <si>
    <t>0.44709677</t>
  </si>
  <si>
    <t>UGOn9wT1BUijTy1KneJecA</t>
  </si>
  <si>
    <t>p1KlDWWhtEC9s9D145bCyg</t>
  </si>
  <si>
    <t>//9O9ypSgEWDdSIH/TeKOg</t>
  </si>
  <si>
    <t>NQb5NhO7VUG349g0DiYQqA</t>
  </si>
  <si>
    <t>BHCEsm+GNk2IROGFmrMeHg</t>
  </si>
  <si>
    <t>X6RLDN8sikyxm9SvAnEKvA</t>
  </si>
  <si>
    <t>Qnr/Oy1qpEOW+0zPi9viyQ</t>
  </si>
  <si>
    <t>5NiOUZPayU+3E9hz/u1hLQ</t>
  </si>
  <si>
    <t>1kp/tRG320OeyhAq9O7aNw</t>
  </si>
  <si>
    <t>UAjUOkJoM0KKhKzx9/tihA</t>
  </si>
  <si>
    <t>8IQ3kHbx8kuDzJtXAGPaiQ</t>
  </si>
  <si>
    <t>Py/7miPeUEmfWpoAG7Eq3Q</t>
  </si>
  <si>
    <t>4jf8tKXts06uXm9gUXlwrQ</t>
  </si>
  <si>
    <t>OXUlk6/Mm0aLA27iRo9ZFA</t>
  </si>
  <si>
    <t>tN2uloTU6EyqB4kFeT/J0g</t>
  </si>
  <si>
    <t>2ChLTVvg/UyM7gIqObDlBw</t>
  </si>
  <si>
    <t>ff10WVnb10mn1voFmUGTjg</t>
  </si>
  <si>
    <t>6/fOO4GbkEuWHD4aO5vo2g</t>
  </si>
  <si>
    <t>vbp0XzfcOkWOyk3Iq7j6Pg</t>
  </si>
  <si>
    <t>abPGMvkRHUa8fuFkpTzLcQ</t>
  </si>
  <si>
    <t>g9qFHB5Vxkio88VWY5Xopw</t>
  </si>
  <si>
    <t>1036.41</t>
  </si>
  <si>
    <t>ddOcG7x45E6LxTOZo8Y6kQ</t>
  </si>
  <si>
    <t>iDDqQ038ZEC9b+QBJpJ6zw</t>
  </si>
  <si>
    <t>s7Mq0M/Dw0CnXruszl4tYw</t>
  </si>
  <si>
    <t>0ui82T+G3EGdHHfqhJA1hg</t>
  </si>
  <si>
    <t>dP0Aisof40GjRWQr6ZMkFg</t>
  </si>
  <si>
    <t>BeHRn0Y73Ua0AcEFXno6oA</t>
  </si>
  <si>
    <t>5k1vb2udJkmTSqwpJz3zTA</t>
  </si>
  <si>
    <t>Xv6BlYAHH02iZX13MwEPKA</t>
  </si>
  <si>
    <t>Ey15nJuHuECVspOlY97LHg</t>
  </si>
  <si>
    <t>48CSC2lbpEqakzi5sZSKHA</t>
  </si>
  <si>
    <t>KNdRlEYa/E6M3a4L7HOkJQ</t>
  </si>
  <si>
    <t>kZEEZeA6w0KMa5tjl19oYA</t>
  </si>
  <si>
    <t>i7dEzeHBL0uBrqGHr6zF6Q</t>
  </si>
  <si>
    <t>A33yUYt3R0yBfj7kbzc9pQ</t>
  </si>
  <si>
    <t>XdKk8Zpxk0OplHBnTFhuSw</t>
  </si>
  <si>
    <t>JG7dtCb0wUqKj6fLIqVsnA</t>
  </si>
  <si>
    <t>2OEbVOJ5VUmlb+oCKFFgRA</t>
  </si>
  <si>
    <t>aaMb7DcBDUuDa9I47GEv3g</t>
  </si>
  <si>
    <t>j/qB1tmydE+AnqbRIQGAPw</t>
  </si>
  <si>
    <t>/SAPSdNrHUen4EPhs3H7sA</t>
  </si>
  <si>
    <t>PwI2jw5LWkuFkVngoSuUKA</t>
  </si>
  <si>
    <t>WYw1nfaK9Eu4QiV93JFNqQ</t>
  </si>
  <si>
    <t>tkALvqMf10myUU6Htikz+A</t>
  </si>
  <si>
    <t>D/Tb9tEisEGLJu1vHUuIcQ</t>
  </si>
  <si>
    <t>Rx5PU5YWykuKNUh1hUVwRQ</t>
  </si>
  <si>
    <t>289PpOAwT0iML+trQaXFcg</t>
  </si>
  <si>
    <t>om1IqUUa70iyD8HZ9Oyfxw</t>
  </si>
  <si>
    <t>SHFCoNEzME6TnQQ4tPV41w</t>
  </si>
  <si>
    <t>kCoYhchVzkqeVeI16v5f1g</t>
  </si>
  <si>
    <t>B+Annjj6pEOT152ZmEQ1JA</t>
  </si>
  <si>
    <t>uKvERGkug0CQxyPeU5OeUQ</t>
  </si>
  <si>
    <t>IQ/R2t5VCEWm2UCvZqEnNg</t>
  </si>
  <si>
    <t>/NZ84yaNzUSSVealgKe8+Q</t>
  </si>
  <si>
    <t>0Gyv51tzq0ur5qkrcTuS6g</t>
  </si>
  <si>
    <t>I0/JMDR/T0CnG1dk/BN//A</t>
  </si>
  <si>
    <t>JF/Xq/r9s0efbiU/0VWPzw</t>
  </si>
  <si>
    <t>Zz2ngIPOdEyRQE6ZODTLMA</t>
  </si>
  <si>
    <t>wccO588vkkOeZhg6E4WDDg</t>
  </si>
  <si>
    <t>zPFg3UfBTUuUbkl61zzrAg</t>
  </si>
  <si>
    <t>9xh4TRJQyE6xxFZrcV7BEQ</t>
  </si>
  <si>
    <t>JdG/8sYcgUyJtXvTpon6cg</t>
  </si>
  <si>
    <t>lcvnJ/HxMEC7otWQlGOhlA</t>
  </si>
  <si>
    <t>fsK10Eyv4EWjz5gluzzYBw</t>
  </si>
  <si>
    <t>/OYXy6kPbUCtpC2l+fPYaw</t>
  </si>
  <si>
    <t>Iv6Kwm9FjE6583y+0V1tqg</t>
  </si>
  <si>
    <t>uegcptL8K0Go44qaQJ76aw</t>
  </si>
  <si>
    <t>Xxa+vi219EuT3ocRPZjCvw</t>
  </si>
  <si>
    <t>zzq00jXqfUSLikdVGhsRQQ</t>
  </si>
  <si>
    <t>AlhQhv6izkm/L8L+rluYyw</t>
  </si>
  <si>
    <t>nCRjCMHE80yCQAhG20SFzA</t>
  </si>
  <si>
    <t>Quvfe/6Vx0m0bjtj6hGKLw</t>
  </si>
  <si>
    <t>A3rmSZEETUuTRMn0lt+3ow</t>
  </si>
  <si>
    <t>g4bkn8hUuU29HiferoOE7Q</t>
  </si>
  <si>
    <t>nFNoxPDFAU6l/1yDg3wejQ</t>
  </si>
  <si>
    <t>YRPQRLfF/EeWAxBJ7jUfgA</t>
  </si>
  <si>
    <t>QWVsHLtNeE+i2UGb5aOQcA</t>
  </si>
  <si>
    <t>VJRodJor/0i28s45rtAfRQ</t>
  </si>
  <si>
    <t>DQDRquZv70aiNJWNt2FvmQ</t>
  </si>
  <si>
    <t>VYDeIFYGvUWKxRBvkI7Pcg</t>
  </si>
  <si>
    <t>QHK4m3mJ50K46GOA5bf6tA</t>
  </si>
  <si>
    <t>aYOfOKCJQkSq0pCYM5XcRA</t>
  </si>
  <si>
    <t>sk3quYfJo0OYAo7lNjnLCA</t>
  </si>
  <si>
    <t>caiH9kU1lUKwdZUHk4Ipfw</t>
  </si>
  <si>
    <t>wamj5hrNZESqDnvE1MJbIg</t>
  </si>
  <si>
    <t>U5+Mwhz8nUyBOC40xQK5Tw</t>
  </si>
  <si>
    <t>FxNhMPptn0euR4OvKMopdQ</t>
  </si>
  <si>
    <t>AvGxpDAFp0St2conpef3OQ</t>
  </si>
  <si>
    <t>kALQjOHz+EeYSem9bfk48g</t>
  </si>
  <si>
    <t>ErGPdGmZzUqEC3appxPiRQ</t>
  </si>
  <si>
    <t>psEaMowhYkOFLkmRODiO8g</t>
  </si>
  <si>
    <t>ztdIAUwpzkKkJ9g7XNkqiw</t>
  </si>
  <si>
    <t>GBQETLVid0K9H5d3px13cQ</t>
  </si>
  <si>
    <t>dBjzFE0Cdk2bTTL0ro7JqQ</t>
  </si>
  <si>
    <t>xzUkoNSyXkedMY0dfrLOJw</t>
  </si>
  <si>
    <t>gzod6bEYQEeoiwVQi+nSpw</t>
  </si>
  <si>
    <t>F+ncmHn0IEWd/5qYlITihw</t>
  </si>
  <si>
    <t>KQ05V0kcFUuokvOMbXN6Lg</t>
  </si>
  <si>
    <t>znWGiiruPUW9Q/dIJhuD9Q</t>
  </si>
  <si>
    <t>9FxhEM+g6EyFKGyefmMFGg</t>
  </si>
  <si>
    <t>k7tjEhzyz0Kk1rPlCnfWYg</t>
  </si>
  <si>
    <t>7nPA5t42o0GID+atWSsbzA</t>
  </si>
  <si>
    <t>pRlXE3E410uMbaE+WkGfdQ</t>
  </si>
  <si>
    <t>MMnkuGdSPk2qWJe9XGYvoA</t>
  </si>
  <si>
    <t>XlcIu4Wi/k2Hh1EbUlaAvQ</t>
  </si>
  <si>
    <t>MGhUVZ5Q10atQwq7EBNaKw</t>
  </si>
  <si>
    <t>DMZalJOoeU+g/fXii0BKzA</t>
  </si>
  <si>
    <t>8lKzBfAahkGcfP9IJr5zQw</t>
  </si>
  <si>
    <t>U2bvm/X5n0mKAHVGkx0yiw</t>
  </si>
  <si>
    <t>l8q146OgGk2qd3Y1yl5LZA</t>
  </si>
  <si>
    <t>XJtZlwwE1ESi/Ge27NbFZQ</t>
  </si>
  <si>
    <t>9jGb5e1NokqZ+YYYkGvn0w</t>
  </si>
  <si>
    <t>8gdb5LZhLEK5VjGmEimkYQ</t>
  </si>
  <si>
    <t>PgMfj6W5Y0yPqwoAtR3zjQ</t>
  </si>
  <si>
    <t>A2ATQrw6REeJB8cP5HQeOw</t>
  </si>
  <si>
    <t>hfhXDBiCHE6softATnoWIA</t>
  </si>
  <si>
    <t>woO8ILMurkyInHJjsZfZJA</t>
  </si>
  <si>
    <t>D0saM2hoL0+ddmHRW1/6ow</t>
  </si>
  <si>
    <t>9ck3N2Z9GU6ei/lZsu3VIw</t>
  </si>
  <si>
    <t>V0mseHPoi0Ke7ZgBZOgSEA</t>
  </si>
  <si>
    <t>I2EuC5ha9ES3l3gFhLy2tg</t>
  </si>
  <si>
    <t>XMZPcXfHvEeAzM9mW7kdJQ</t>
  </si>
  <si>
    <t>JfzBPiDdikWAg/TwuuiuhA</t>
  </si>
  <si>
    <t>Lphtal8Ri0mIK9PNqFpvSw</t>
  </si>
  <si>
    <t>G9e9W/acU0CpwQX+bsdbeQ</t>
  </si>
  <si>
    <t>UlkLMI06Y0yv2vEb4avkTQ</t>
  </si>
  <si>
    <t>xjvJaqO080CuQZKhJdK1ng</t>
  </si>
  <si>
    <t>VqWK66vJX0qw10x7SE87WQ</t>
  </si>
  <si>
    <t>4l2PfrXO9EO6ivr5yJEx3Q</t>
  </si>
  <si>
    <t>jcetUipq1UqN2SdOHl0hOQ</t>
  </si>
  <si>
    <t>PulByPcoiU6W2oe5rouzRw</t>
  </si>
  <si>
    <t>vCyWxfnEPUOka+lePffR0g</t>
  </si>
  <si>
    <t>bAq20tMeh0uRYIuBbc4jmQ</t>
  </si>
  <si>
    <t>EJCSe6LAkUKrQ0qjWbqeow</t>
  </si>
  <si>
    <t>XCl20CK8D02vx80HOB6EEA</t>
  </si>
  <si>
    <t>XNqumppjl0iJXKacDVQlaA</t>
  </si>
  <si>
    <t>TNH7+zp2YECMnmK+Ro1xnw</t>
  </si>
  <si>
    <t>/SDu+hMnIkGFkiOTM6M4jg</t>
  </si>
  <si>
    <t>ve1ftpheyU24z0/3mS3vSA</t>
  </si>
  <si>
    <t>o8q5vbgmf0G7EVuibCA8Fw</t>
  </si>
  <si>
    <t>07hBiMEQFk28mj23dExfDw</t>
  </si>
  <si>
    <t>7KoE0NFa4k+ccAUx5kRKwg</t>
  </si>
  <si>
    <t>otm3z4EGWkq9xNqcz/QROQ</t>
  </si>
  <si>
    <t>ZfnrfkFYy0aiYKD6rFUt/w</t>
  </si>
  <si>
    <t>Ip7goLzqdkykktrV4vnlmA</t>
  </si>
  <si>
    <t>V3rwN7xdOU6/EtViyJ9fiQ</t>
  </si>
  <si>
    <t>uQBzMFx9g0ydoag2saNtbw</t>
  </si>
  <si>
    <t>cTQn4MM9xEGAAEDcq8CBNg</t>
  </si>
  <si>
    <t>Qp7ZU+PQtkOtd7mgUNvcyg</t>
  </si>
  <si>
    <t>DD3Gozw4jk+6bLCkYfiGaQ</t>
  </si>
  <si>
    <t>bVRoKOBX/0mDMrPj9hjvaw</t>
  </si>
  <si>
    <t>tIn6epfrEUGqEFOy5gJgWg</t>
  </si>
  <si>
    <t>yQiWfJ7vO0Kb3WwMrVDyEA</t>
  </si>
  <si>
    <t>mdRAFOavw0+nyAfGukCNXw</t>
  </si>
  <si>
    <t>cNLutHCjUkO9Acbs5utiyg</t>
  </si>
  <si>
    <t>gD6t6sxDH0G2tcpDPrmXnA</t>
  </si>
  <si>
    <t>0.05791666</t>
  </si>
  <si>
    <t>PM18CyC+JEu0cW7ExM6o8Q</t>
  </si>
  <si>
    <t>rwsIbsTiPEazxmB5RkRv4Q</t>
  </si>
  <si>
    <t>y/EujHrnCkS5QakSMNZm0w</t>
  </si>
  <si>
    <t>CxkbMRAD40qCF8g1qitpmA</t>
  </si>
  <si>
    <t>0.05914893</t>
  </si>
  <si>
    <t>HGNc8LD/OkyQfI4nSQf0JQ</t>
  </si>
  <si>
    <t>Hil3takgOUyJyMIhbU3IQg</t>
  </si>
  <si>
    <t>fXnB5nSzSUKtnvu/vpy/iA</t>
  </si>
  <si>
    <t>hH9WU0NtBUKNfzySvB4SJw</t>
  </si>
  <si>
    <t>XENxkurPWUiE1V+QWVi51Q</t>
  </si>
  <si>
    <t>kv/1kZKL/0KbljBn3KvYkg</t>
  </si>
  <si>
    <t>wJeF++tGB02iVGSMrmPBXw</t>
  </si>
  <si>
    <t>1JBQ5/ha/kGcFLLg23sP4Q</t>
  </si>
  <si>
    <t>j3sqpUju1EyogHqm5X2ltg</t>
  </si>
  <si>
    <t>gE3t8kQQ9k+8SKDx5NBXbg</t>
  </si>
  <si>
    <t>pUauDtmRwUWhJKNkuiCrug</t>
  </si>
  <si>
    <t>7JFf8+/y4kaominy80/FhQ</t>
  </si>
  <si>
    <t>vb7KpdDnmUmEtoQ4FTzgUA</t>
  </si>
  <si>
    <t>7n/9TgrljU2Gd+w1bdO31g</t>
  </si>
  <si>
    <t>ef0WqIB5h0e0/f9RctPr7w</t>
  </si>
  <si>
    <t>vGOHsuZgVkCP2pYT608l0w</t>
  </si>
  <si>
    <t>2BQzuRi6BEeR/s4snDa2qQ</t>
  </si>
  <si>
    <t>cFh0Ne5IH0mIMyO/M2HzyQ</t>
  </si>
  <si>
    <t>W27YsI7+xUalQoOUh/XeCQ</t>
  </si>
  <si>
    <t>uc3hD/AWPkS8RaxYTGAx9g</t>
  </si>
  <si>
    <t>ziZ0fyfCXEOdwoyjXEjzgg</t>
  </si>
  <si>
    <t>Tx6mfs5b8UCSH+iv9zR4fw</t>
  </si>
  <si>
    <t>3p01RophTEeBhZKVktO8ew</t>
  </si>
  <si>
    <t>RStoDRfBt0WZIzukVMZgRQ</t>
  </si>
  <si>
    <t>ajc0yRsprkmN36Nonf2XVw</t>
  </si>
  <si>
    <t>M5+OUHYsDUW4XSVOgUh5PA</t>
  </si>
  <si>
    <t>V6eUtEp+DUiXObTIAY96eA</t>
  </si>
  <si>
    <t>bjAqMICZnkqywVY5gMWTSQ</t>
  </si>
  <si>
    <t>gxz6fpkVykirGoY9/pAZ4w</t>
  </si>
  <si>
    <t>88OAYcyvU0iiENQpPdnKbg</t>
  </si>
  <si>
    <t>lIlNBxScZEadmqE+XAz4kg</t>
  </si>
  <si>
    <t>iJFVr2d6Y0CfwdrabgU3ow</t>
  </si>
  <si>
    <t>Nm9qG2SEcUWReT02ii2gvQ</t>
  </si>
  <si>
    <t>woL472QiNkiI5BEg+P06+w</t>
  </si>
  <si>
    <t>xR7UzsDeWkGRjNcbSNGh+w</t>
  </si>
  <si>
    <t>We1EgHg5hESarTU9J/dh5A</t>
  </si>
  <si>
    <t>aHyWTYjJREqyX+jhXfEPlg</t>
  </si>
  <si>
    <t>TSeefDkvCUKZnAroY2Uhkg</t>
  </si>
  <si>
    <t>/GKcuiCEcE2zQKdvOrjxoQ</t>
  </si>
  <si>
    <t>sEzcFO+a8kSqcyzb2ge7Cg</t>
  </si>
  <si>
    <t>1l731xqYQ0iGKKCGOW745A</t>
  </si>
  <si>
    <t>0.1955</t>
  </si>
  <si>
    <t>HXxLwkW6f0qS/83PzHQxRA</t>
  </si>
  <si>
    <t>hjvcchQMhkO6GraEkbOK7Q</t>
  </si>
  <si>
    <t>fUe09qXV2EaNbBgAQ/VOwA</t>
  </si>
  <si>
    <t>mlB5yurCqUa2PrEKyZCT/Q</t>
  </si>
  <si>
    <t>jAnDTiTC9k2ZZofisfqlrQ</t>
  </si>
  <si>
    <t>7jGzxvWw/UC6y4qxF5CXtw</t>
  </si>
  <si>
    <t>IhW+Sf6UTkCZB804RTg6GA</t>
  </si>
  <si>
    <t>V3QTF2zZT0O9KCnvX3ShrA</t>
  </si>
  <si>
    <t>4pKbIKWaYkSG+4oDiqhM3Q</t>
  </si>
  <si>
    <t>Y/hj59mjI0O4LHkff9Muxg</t>
  </si>
  <si>
    <t>fCWt+Q524kmKexJHp22MnQ</t>
  </si>
  <si>
    <t>8Oih4gwl70O7kdNjGfdFig</t>
  </si>
  <si>
    <t>WVE1vw+XVk+CpJuDZ+QoRA</t>
  </si>
  <si>
    <t>LBugr37s5kqvaEYBM4nnoQ</t>
  </si>
  <si>
    <t>Pg2+bR4ghE++2oDE8MOFpQ</t>
  </si>
  <si>
    <t>QQp9giPzIEGiQMyoPUEA6Q</t>
  </si>
  <si>
    <t>0.2500</t>
  </si>
  <si>
    <t>eM0SZ/enIkW9GKJ5gX+UxA</t>
  </si>
  <si>
    <t>nxFYt/eQ9Uyd7nx8P/c8Aw</t>
  </si>
  <si>
    <t>/3mu9ZQ7jk+q6YkhB0cbXg</t>
  </si>
  <si>
    <t>RWnH0Hp7ZE+STFh8m0G2yA</t>
  </si>
  <si>
    <t>QaUgeuk0p06CM5uK95jGkw</t>
  </si>
  <si>
    <t>W9SuheuI+k+QPo3l5+rfpg</t>
  </si>
  <si>
    <t>9WfZu+wMMkKO4chzVh3jgw</t>
  </si>
  <si>
    <t>qZNxT/Vb8EK2spahDOBUjg</t>
  </si>
  <si>
    <t>riPd0zpCkku8e+NhCcCfCw</t>
  </si>
  <si>
    <t>OvoQQB4YSEKebmr9++lEGw</t>
  </si>
  <si>
    <t>ZVCZhx/h/UaUtyl2zFsk6A</t>
  </si>
  <si>
    <t>9c1dl/f3Ikur1sul+LvBIA</t>
  </si>
  <si>
    <t>a9lvITaUzUmyWw015jSEtA</t>
  </si>
  <si>
    <t>iKJxg/mdIEuyJMbs373uvg</t>
  </si>
  <si>
    <t>Iwg3CkyV1kWhr3ABNG2Ouw</t>
  </si>
  <si>
    <t>DRDPW3yE20CFHNBFRbvZQg</t>
  </si>
  <si>
    <t>qbjtThFjkU2u+7VZR4/mOw</t>
  </si>
  <si>
    <t>utsATduP+0yNAIHCAwWSmw</t>
  </si>
  <si>
    <t>ON8UlPnhZk23Ab8gsfH0NQ</t>
  </si>
  <si>
    <t>3lzNPXd1tEivilrXdweK6g</t>
  </si>
  <si>
    <t>0rRmhwvmPEigNZChVoeofg</t>
  </si>
  <si>
    <t>gmpodaW89U6J9ObgT1X56w</t>
  </si>
  <si>
    <t>oj/K0+mTvkqasQP82/yC/g</t>
  </si>
  <si>
    <t>8ROH5g/ngEGRDvZQ/QJVjg</t>
  </si>
  <si>
    <t>q0ysPq3UUki9XaruYb66Zg</t>
  </si>
  <si>
    <t>rPjwaW6ynkm+0Oya3nVSRQ</t>
  </si>
  <si>
    <t>kleZDeT6Y0+So+OkYGdXOQ</t>
  </si>
  <si>
    <t>p2KeIHm4RUKOXyquWdgi2g</t>
  </si>
  <si>
    <t>XdiBLKOX5Eywba4SlX6+3Q</t>
  </si>
  <si>
    <t>TPijc6TwO0qsAkGJtRL96w</t>
  </si>
  <si>
    <t>N9bYS4NU4EG7x8cb8N624w</t>
  </si>
  <si>
    <t>C2+50YslSkuJakaf2G0R8w</t>
  </si>
  <si>
    <t>MvgRflNyOEKfbqhefgCupw</t>
  </si>
  <si>
    <t>YKk+Ypf7tkiqEPty2Gksiw</t>
  </si>
  <si>
    <t>rQMD44C+x0Gsys7Ib1eRfA</t>
  </si>
  <si>
    <t>xZ6Wme/zHkeK1oNnaPHgjA</t>
  </si>
  <si>
    <t>/plPjjTcy0aUiFWH0bBoGg</t>
  </si>
  <si>
    <t>2vk8+f33Ak+e934L/uElIw</t>
  </si>
  <si>
    <t>jy5X/aGlkEmKaaYN5kXEKA</t>
  </si>
  <si>
    <t>JmX5yn1OQ0+TFHrTbZo0mA</t>
  </si>
  <si>
    <t>Rhjj4pCIoE6NLh2ghGxkGw</t>
  </si>
  <si>
    <t>hWDApusNZUyFIxhjOIaGJw</t>
  </si>
  <si>
    <t>czaJnc9cmkOnVfsR/aN75w</t>
  </si>
  <si>
    <t>E5R5uBjiDESQZ6/m26brNA</t>
  </si>
  <si>
    <t>mn1ZNmWeSkyP9diW3h3+OQ</t>
  </si>
  <si>
    <t>4n2u4ruPLEW0JWp82nsqxQ</t>
  </si>
  <si>
    <t>QF/z60vnvkKL8e3aNXwcIg</t>
  </si>
  <si>
    <t>Nb64VyTP0E239PFXYqqvtw</t>
  </si>
  <si>
    <t>3QVQRUGnM0WHoLO2CjLgMA</t>
  </si>
  <si>
    <t>HamsGlTgi0u124oa4U/gZQ</t>
  </si>
  <si>
    <t>0ITPrGktW0+BijScFmTRiw</t>
  </si>
  <si>
    <t>7WQ5NUEzTEOim6xVq5SXcA</t>
  </si>
  <si>
    <t>1+6D8nb5U0eYHQDZSJq83Q</t>
  </si>
  <si>
    <t>80Nn648QfkqXIkuMs8KjCw</t>
  </si>
  <si>
    <t>iNftCvrTVk+UigWrLI9x7Q</t>
  </si>
  <si>
    <t>a/4UC739HE+/hf4G2S9IWg</t>
  </si>
  <si>
    <t>1CirL/kSj0SlUT0l4N7FAw</t>
  </si>
  <si>
    <t>oU67X3/hOEmhSYTkKA+xBg</t>
  </si>
  <si>
    <t>/NGG0EYzLUiPfDEEW3GIgw</t>
  </si>
  <si>
    <t>wz6DlM5P1kKewI614T1hDQ</t>
  </si>
  <si>
    <t>F2c/LIcVhkak77yP5sr9Cg</t>
  </si>
  <si>
    <t>pZokdHdHbkKBh++55nqM6A</t>
  </si>
  <si>
    <t>qRLE2Pgmm0SO5fZbiOH8oA</t>
  </si>
  <si>
    <t>TtOkHxW9EEKCO25fv/mcPA</t>
  </si>
  <si>
    <t>BX01q3FCYEeW4dQNYN6/cg</t>
  </si>
  <si>
    <t>NpsWlncj0UibxqMX2MfqXA</t>
  </si>
  <si>
    <t>ZppumuSGUkSvutOamtfyfw</t>
  </si>
  <si>
    <t>4oWzm4itpkiWoIFo8CCW5w</t>
  </si>
  <si>
    <t>7fpmXdLp4Ey49g4rB946eQ</t>
  </si>
  <si>
    <t>0TI+I/YrvESv/krT1exOsA</t>
  </si>
  <si>
    <t>vB+ivMStl0KcBp7UKoCxNw</t>
  </si>
  <si>
    <t>oXTnp+3bj06rDolawA85Cg</t>
  </si>
  <si>
    <t>lTzo30yaRUimfFMt51xPCw</t>
  </si>
  <si>
    <t>Y3mRNWp8KkyuNneMrBBhJw</t>
  </si>
  <si>
    <t>zTL41EVDR0+OT/M8ZnfD5w</t>
  </si>
  <si>
    <t>GadS9dHgHECyvoTKuN7q0w</t>
  </si>
  <si>
    <t>MaYIIQejV0C8HCHA4PVt6w</t>
  </si>
  <si>
    <t>/cfFRJo1okuCUZTSkVzFOg</t>
  </si>
  <si>
    <t>X2KU7HmOmUik7oin2zumcA</t>
  </si>
  <si>
    <t>37zI999XMUKZDGFyN/CUZA</t>
  </si>
  <si>
    <t>vQnzWPZ/GEadkjhdnaoU5w</t>
  </si>
  <si>
    <t>S3cyRErVHkGE4+eCppX+4g</t>
  </si>
  <si>
    <t>2C6hy69xSkSSpc2QkulOUA</t>
  </si>
  <si>
    <t>Is1o7vZ0OEeM9mzm+MUidw</t>
  </si>
  <si>
    <t>saR3B60EwUG2s4PRuZvBqA</t>
  </si>
  <si>
    <t>wxPVJzWWY0KTPGhECeFD6g</t>
  </si>
  <si>
    <t>/ZcOTy6uWUCw2L4LKWZUfA</t>
  </si>
  <si>
    <t>AesUYsXuRkq8XCGeg2prxw</t>
  </si>
  <si>
    <t>XRarhgowg0GLkV91avYyIQ</t>
  </si>
  <si>
    <t>gjtmVhQ3t0mOsRq9DaTtXg</t>
  </si>
  <si>
    <t>wGTSBLtyXkKv5Obi4Li6Hw</t>
  </si>
  <si>
    <t>1gJkJHZEKkin5qyck9XzQg</t>
  </si>
  <si>
    <t>20.15</t>
  </si>
  <si>
    <t>zfAqDdt7b0uZDZnSSk3baw</t>
  </si>
  <si>
    <t>dHNddr1eR0+kdNRphiiUEQ</t>
  </si>
  <si>
    <t>bOGgqIHwp0+v5P0gorPeFw</t>
  </si>
  <si>
    <t>qtUE59Y18EWCv/HwRds4ig</t>
  </si>
  <si>
    <t>0AIAUL0pUUie6Ci/uYSUww</t>
  </si>
  <si>
    <t>0HAyd/n1S0exHi6lhe+QPA</t>
  </si>
  <si>
    <t>bCpiwsvs1ki/Sj7m55UVSA</t>
  </si>
  <si>
    <t>PeJQ3DjyXk2JDtAYk+ynAw</t>
  </si>
  <si>
    <t>srIAQvhAEUasmNaUVe978A</t>
  </si>
  <si>
    <t>Mfw7KICMMUOFp82oBS9rtQ</t>
  </si>
  <si>
    <t>jV9RcqZ590yaevHNWx2EAg</t>
  </si>
  <si>
    <t>X5Rknk4Yo0WVPAy0iOlewQ</t>
  </si>
  <si>
    <t>PeReiXdkE0Cb747i86xzYg</t>
  </si>
  <si>
    <t>k2Ay/nOBxE235bXLHHcfBA</t>
  </si>
  <si>
    <t>v42ZlRlc20mF3V/rYa0FSA</t>
  </si>
  <si>
    <t>mG2PpSpmqUqkyNviALMUsA</t>
  </si>
  <si>
    <t>rNiIOTBG9UyLEUzDm80SIg</t>
  </si>
  <si>
    <t>krZFMPjHvEiQmn7IserMNQ</t>
  </si>
  <si>
    <t>b1+uJWugi06I8nO0Cfjosg</t>
  </si>
  <si>
    <t>v/8pz+haMka4hyqpHQFqbw</t>
  </si>
  <si>
    <t>LA/Houl1jEuqA5S9jhsGBg</t>
  </si>
  <si>
    <t>8optpGOQFE6InhDkhnxZBQ</t>
  </si>
  <si>
    <t>RFyAZNIaMkWcJPoMIjMrlQ</t>
  </si>
  <si>
    <t>OYfauLJ0uEeEIQkMfzQcLA</t>
  </si>
  <si>
    <t>q0zNS1tVKUyCb6VZfIkhjw</t>
  </si>
  <si>
    <t>Xu0jb3S/EU+yDnbBgzkSjw</t>
  </si>
  <si>
    <t>aqfPrhpg+UmmkoC27iE98A</t>
  </si>
  <si>
    <t>GmSlsbSKVE2oSeaSFlo3UA</t>
  </si>
  <si>
    <t>SdOIHpOr+E2h2EbiDfz46g</t>
  </si>
  <si>
    <t>oRXStgRlvkmpTAOcfER35w</t>
  </si>
  <si>
    <t>kcveWOLz6UKHmmvKmSNlVA</t>
  </si>
  <si>
    <t>8MfB0qfBiECOrRERj8HBSA</t>
  </si>
  <si>
    <t>/oLywqbj/UKVl4uG/htFgQ</t>
  </si>
  <si>
    <t>tp9YgwkbUEC08j5dVl5jeQ</t>
  </si>
  <si>
    <t>B6Z0thEG/0SfAeUOUK3O4w</t>
  </si>
  <si>
    <t>tGqptKO9+UOHA4tZuU3X6Q</t>
  </si>
  <si>
    <t>7ReyxanEkU2ymPO5+oNYtQ</t>
  </si>
  <si>
    <t>fU69aA5VBke06zf3eUM/Ww</t>
  </si>
  <si>
    <t>gYiYHmQ1CkC1RRRtNju+2g</t>
  </si>
  <si>
    <t>wCi++Xs5GEylsMtpM5KxpA</t>
  </si>
  <si>
    <t>HdbJP+3/fECSJeZ8uPjAtg</t>
  </si>
  <si>
    <t>uwEhf+etlUaoRgTPJ4Qf/g</t>
  </si>
  <si>
    <t>A1vHDFi+N0CCSDgEjolwgA</t>
  </si>
  <si>
    <t>0.453125</t>
  </si>
  <si>
    <t>1.45</t>
  </si>
  <si>
    <t>jJ6udd9JvUKJrE9+4nWIJw</t>
  </si>
  <si>
    <t>qmXN9elgpk+NejcqRWogFw</t>
  </si>
  <si>
    <t>eSOCo+K/rECAZqUQcz73gA</t>
  </si>
  <si>
    <t>sV6Lvl5IL0mXi/5sIj4CcA</t>
  </si>
  <si>
    <t>pL3U+Bty20Ks7z7qddUWYg</t>
  </si>
  <si>
    <t>QQdG/IHwD0C2f+OyioJSfw</t>
  </si>
  <si>
    <t>yfqDN/JewU+RXgb64iYzmg</t>
  </si>
  <si>
    <t>zBjI/cM1NkmbYeY70Jr0WA</t>
  </si>
  <si>
    <t>hBmfgfF4nkWOT67irRN1vA</t>
  </si>
  <si>
    <t>2/XX5gmKcUigHnbiBTXDug</t>
  </si>
  <si>
    <t>yMeS41n6WUyxqqlqTuT9EQ</t>
  </si>
  <si>
    <t>Ldi9Kvn8aEOwFWP+pJSK9g</t>
  </si>
  <si>
    <t>6WWHyWRoikWT6m2sYk/06A</t>
  </si>
  <si>
    <t>aNaOZIQmF0GUC+dmGBGAmg</t>
  </si>
  <si>
    <t>DVk71ytBCESNSOopMzZB8Q</t>
  </si>
  <si>
    <t>jvAloYEJCUGR/8bErC6gPQ</t>
  </si>
  <si>
    <t>CnMmKq5ejUGyeePH2MZL9g</t>
  </si>
  <si>
    <t>HopzcN1itUOIvbtcgmNJMA</t>
  </si>
  <si>
    <t>8R01mj2pNU+YXRII4l6vZw</t>
  </si>
  <si>
    <t>VmVJTokE70q6gtCqBYCk6g</t>
  </si>
  <si>
    <t>vwI/8VkvXUmioAKP/VzJAA</t>
  </si>
  <si>
    <t>0.03285498</t>
  </si>
  <si>
    <t>wEIviadrhUCQcWGNHywxIw</t>
  </si>
  <si>
    <t>GXlTeiQuVUu662moAIUG2g</t>
  </si>
  <si>
    <t>yJkNWh8KUUeOPNz7eVHGGA</t>
  </si>
  <si>
    <t>zGGs1airvUeqVAHMw2dTVw</t>
  </si>
  <si>
    <t>0.06304347</t>
  </si>
  <si>
    <t>B7nGZ1/zUE+ZqcSZJTyHPA</t>
  </si>
  <si>
    <t>DWTQGz/kHUyrREskYm87aA</t>
  </si>
  <si>
    <t>Xy+PPDBHw0qeTB/gZn2nFg</t>
  </si>
  <si>
    <t>shtWeEEsskGnWHV/1z2ZJw</t>
  </si>
  <si>
    <t>hp36EDoEv0qf0oNx9uZIxQ</t>
  </si>
  <si>
    <t>qLsRNVGbcEyYTADFdcj3Lg</t>
  </si>
  <si>
    <t>WFMSzfzNTE2kkpAhtIDbKQ</t>
  </si>
  <si>
    <t>EHHRwWfgTU+0cJ6DzuT3Cw</t>
  </si>
  <si>
    <t>xH9ylmHwsECdsGaA1Fok0g</t>
  </si>
  <si>
    <t>JAo2OhD2ME2Yr+Z7BdsTQw</t>
  </si>
  <si>
    <t>DCv+WiV2XUeGmHSKvgDqPg</t>
  </si>
  <si>
    <t>WWRfIU/lOEGVTVPsEXMLUQ</t>
  </si>
  <si>
    <t>uE5vwrqpuUK7UJ+0PPkWSw</t>
  </si>
  <si>
    <t>ISxYSOqOb0CfiNJ056vOow</t>
  </si>
  <si>
    <t>Hcq4phIfr0acApiUxwwVxQ</t>
  </si>
  <si>
    <t>RHsppA3TiEen0TltKPpiaA</t>
  </si>
  <si>
    <t>TXYQjYDnfEyNYFnjNIbSEw</t>
  </si>
  <si>
    <t>e4f6zL0xCEeIMUHMb8W4lA</t>
  </si>
  <si>
    <t>bNnMwVp9ckupDA75fKbwGA</t>
  </si>
  <si>
    <t>qXWMMvL5SkqMdy5g1H19sg</t>
  </si>
  <si>
    <t>0.6328125</t>
  </si>
  <si>
    <t>202.5</t>
  </si>
  <si>
    <t>opADn2RuwkaFkJFi8O8B3Q</t>
  </si>
  <si>
    <t>0.234375</t>
  </si>
  <si>
    <t>5fSRfmzypkOsk2LnyoefJg</t>
  </si>
  <si>
    <t>BGwaWl0e8ECxpu2LF0iVEw</t>
  </si>
  <si>
    <t>0.5315625</t>
  </si>
  <si>
    <t>170.1</t>
  </si>
  <si>
    <t>T0J94LPfD0eC2x/Ystq1vA</t>
  </si>
  <si>
    <t>0.196875</t>
  </si>
  <si>
    <t>X028MBHKuEujlFGFn7IC+g</t>
  </si>
  <si>
    <t>U2ppQIAOR0qNoVc4aS0pWg</t>
  </si>
  <si>
    <t>0.92354166</t>
  </si>
  <si>
    <t>DF0FhtX9i0Oj1D4Tfukuyg</t>
  </si>
  <si>
    <t>uiIWxZYqJkCLeGYj0Gl/dw</t>
  </si>
  <si>
    <t>sZuHY9fiSkKqsabMUXZQDA</t>
  </si>
  <si>
    <t>km7vhJoh/EmJAENojxpTjg</t>
  </si>
  <si>
    <t>0.94319148</t>
  </si>
  <si>
    <t>Gr5tt4L7S0WX6S23aACRLQ</t>
  </si>
  <si>
    <t>Esa0g5l68ke8bQU18ouRJQ</t>
  </si>
  <si>
    <t>k+wOZAwB2EWXi8OL+Mz5cA</t>
  </si>
  <si>
    <t>u2aqlMymEkGY3NSTw2va3Q</t>
  </si>
  <si>
    <t>IQYN5oNWz0aGQvScL16FYQ</t>
  </si>
  <si>
    <t>bnuV0GpKgU2o8WbmiQgjtA</t>
  </si>
  <si>
    <t>UMWNoC5/WUKpG3WgBlUpKg</t>
  </si>
  <si>
    <t>688Au46PuE2zOJlRLN1jbA</t>
  </si>
  <si>
    <t>pusCxPqFOUyJUP31hCdzWg</t>
  </si>
  <si>
    <t>sYgRo2c2akeJ27/0+IhnYg</t>
  </si>
  <si>
    <t>idWSGFUyl0OwyCE2/BXmUg</t>
  </si>
  <si>
    <t>0h37Acu1B0CHq4t6xHuD5Q</t>
  </si>
  <si>
    <t>mjUeCOKOLEefOIeNm8DQ2g</t>
  </si>
  <si>
    <t>8ghBdPMCD0Kv6hdHqOl5Xw</t>
  </si>
  <si>
    <t>kStYkjML2k6b7JPC7ZSamQ</t>
  </si>
  <si>
    <t>Oot2uIXeGE2WnbIRYOPu1A</t>
  </si>
  <si>
    <t>yvcIigI+KkqoO2w/V6ETBA</t>
  </si>
  <si>
    <t>p3mJBwf5IUyDxhat5HRh/g</t>
  </si>
  <si>
    <t>m+ph/8nG4EyUnTbBEK8AWQ</t>
  </si>
  <si>
    <t>h4X1UePTK0uW9XOYGrPNAQ</t>
  </si>
  <si>
    <t>GdsBO9+P7U66rFmqBuBkgA</t>
  </si>
  <si>
    <t>pN8KzR09C0K7O86RPeMHGA</t>
  </si>
  <si>
    <t>GSybF1nyr0mHBBXQiBb6pw</t>
  </si>
  <si>
    <t>X4JnVQ/iUk6ACQ3LCgzU4g</t>
  </si>
  <si>
    <t>0h8ucwaKJUi96IbtdlVehw</t>
  </si>
  <si>
    <t>MSumjCiUuUCMDEhZwOWr8Q</t>
  </si>
  <si>
    <t>feNLSYCq0UKiVJZbljtYqA</t>
  </si>
  <si>
    <t>Zhukx6I280WIh+aD7VHAZA</t>
  </si>
  <si>
    <t>q1ik4cnabkSsbwkT4YWZtg</t>
  </si>
  <si>
    <t>yTVC+uga+Uui68drkTGehw</t>
  </si>
  <si>
    <t>mKNiWCCf8Umatu5Vxmv5kQ</t>
  </si>
  <si>
    <t>4u2Kc2AWgEOs6qFPusu0yw</t>
  </si>
  <si>
    <t>2OwPTs72a06cQNlCrHJjFQ</t>
  </si>
  <si>
    <t>opdWJXSXs02momjzgW5IhQ</t>
  </si>
  <si>
    <t>QPaZuNRHL0+xn5TuE+YfgA</t>
  </si>
  <si>
    <t>BXzklnwt/EC2LbUhK7SCHQ</t>
  </si>
  <si>
    <t>ahGFdmr1EUG4zZkvTCVmrA</t>
  </si>
  <si>
    <t>NGklAaiUI0ayebSggueMAQ</t>
  </si>
  <si>
    <t>Ct9lLB79CUa+KRhJqKd+zA</t>
  </si>
  <si>
    <t>Xlo0CbgWMkOZdxGsyuMKwQ</t>
  </si>
  <si>
    <t>N9w+Alr/sUyiB+KKy3e2Vw</t>
  </si>
  <si>
    <t>mfywk2svaEu9JB+xrFs9aA</t>
  </si>
  <si>
    <t>1K/CACMSVUuQPX7C0h9Gtg</t>
  </si>
  <si>
    <t>IdZevi7sGEeH7lO4VLz3nw</t>
  </si>
  <si>
    <t>y1rPWayxRkW4U91DHv9ytA</t>
  </si>
  <si>
    <t>L5BSqlMId0CSLbmXTYiJeQ</t>
  </si>
  <si>
    <t>45.34</t>
  </si>
  <si>
    <t>ae52WV9X4UqsDKWRVIkiFQ</t>
  </si>
  <si>
    <t>IAdl44ut/EG+w1a72rWN/A</t>
  </si>
  <si>
    <t>U53lBQ05SEiejZW27BK1yA</t>
  </si>
  <si>
    <t>2hlsaUdvFku6ZO1V700yQA</t>
  </si>
  <si>
    <t>LREaL59DPU+RK+Ve2hvvZg</t>
  </si>
  <si>
    <t>3Qc3yE6hlUW8d9g1sfy90w</t>
  </si>
  <si>
    <t>g6rq1VjwrEmhN4zc/6phoA</t>
  </si>
  <si>
    <t>NiayQgPm/Eu71LT5+FqRTQ</t>
  </si>
  <si>
    <t>eTUKiGm7G0y91tvwwztpdg</t>
  </si>
  <si>
    <t>MCslI3VVQkmTo2bf31W8JQ</t>
  </si>
  <si>
    <t>WB+EekA9s02qCFjg+dr4Yw</t>
  </si>
  <si>
    <t>iTeUaQcuv0aLN9y1aHm77w</t>
  </si>
  <si>
    <t>bCc/vKyj5EWF72949+6Eww</t>
  </si>
  <si>
    <t>ceAEaEfuO0KD/8O991gy4w</t>
  </si>
  <si>
    <t>LyfdoAt4o0+Xh2X1rCbbkw</t>
  </si>
  <si>
    <t>NwdtX60hcEuU9FvMQKKp0w</t>
  </si>
  <si>
    <t>4uFxSJnM80+3c9WFcZH13g</t>
  </si>
  <si>
    <t>1o03YdzHFU2Hwu6qGT3SuQ</t>
  </si>
  <si>
    <t>uuB5RVB83EqDJalmHsc5AQ</t>
  </si>
  <si>
    <t>Kgf31dK7r0SVJCmtEKdP+w</t>
  </si>
  <si>
    <t>SPRcBQ4zjk+tYnrlcDBrTg</t>
  </si>
  <si>
    <t>dtbkG6LaZUaueCZ6HvaJVA</t>
  </si>
  <si>
    <t>FyQRplmep0q1p6c9/DjJFg</t>
  </si>
  <si>
    <t>vNKZWyOyOUaN9nd6aMlbJg</t>
  </si>
  <si>
    <t>OLTY66a8c0eQqYFoDkH+wg</t>
  </si>
  <si>
    <t>JwViZ1X9dU6xxO9vsdPdvQ</t>
  </si>
  <si>
    <t>p6pjgVpj0k61sPoIcRN+Gw</t>
  </si>
  <si>
    <t>uFaarwuZLUqKuBov9bpzLQ</t>
  </si>
  <si>
    <t>brZ2sFUArU+1xIqtK1fTbA</t>
  </si>
  <si>
    <t>NfXJW7agAU6m0t5Sbp7YnA</t>
  </si>
  <si>
    <t>Y7eEZ5QfhEyxkdycTi5zGg</t>
  </si>
  <si>
    <t>Ijo5YF6v0E+FW9KCElIX3Q</t>
  </si>
  <si>
    <t>Wh8xNH1uW02KezJmbfE3sQ</t>
  </si>
  <si>
    <t>V06kyPt+kUGuCQv+pHOpDg</t>
  </si>
  <si>
    <t>fQsrzkGpSU+ZW/8eseZ6pA</t>
  </si>
  <si>
    <t>0+BQuQv4eUKqrkeIs846Pg</t>
  </si>
  <si>
    <t>5Z46sEaqbE+jZhwlUkXRgw</t>
  </si>
  <si>
    <t>ApqpdeEd+UO2xWbc2uyqJw</t>
  </si>
  <si>
    <t>YEv63YmFBkOvvCq0mJTsVw</t>
  </si>
  <si>
    <t>IfY5PO2Q1k+A+pyNEOWzXQ</t>
  </si>
  <si>
    <t>n2RV7xm+2kyOsPn3VMFHBw</t>
  </si>
  <si>
    <t>4uDnjYjb2E2aIaFNYAyvlw</t>
  </si>
  <si>
    <t>l68h097SfECOlbPKRaZMlQ</t>
  </si>
  <si>
    <t>Nu+Gv0dza0Kqon7U22e4Iw</t>
  </si>
  <si>
    <t>MjF7sm8eJkWoN4rT2BS/Jw</t>
  </si>
  <si>
    <t>XOVt1G4J9U6O3oiYphpDOw</t>
  </si>
  <si>
    <t>h1+PrvASCUuKwNRz46I9NQ</t>
  </si>
  <si>
    <t>SGrBSh27FUu4eXVZSu0gsQ</t>
  </si>
  <si>
    <t>WSWpFZMUDEu5EJZ9v+BFmA</t>
  </si>
  <si>
    <t>kpBZTMWVNUyu9ygbvzFsow</t>
  </si>
  <si>
    <t>aBCwwMw8I0aHwkv84FBlWw</t>
  </si>
  <si>
    <t>OUfRyaGoa0qe0LgHQh1NWQ</t>
  </si>
  <si>
    <t>Frt9ZKXn8Uu27FyB3OwHwA</t>
  </si>
  <si>
    <t>3segTrBUt0SAJjyxe7bgUA</t>
  </si>
  <si>
    <t>twrt2L0b00Oi4UyllLmrEQ</t>
  </si>
  <si>
    <t>UlR0NdWZa0CBKE3g82lBHw</t>
  </si>
  <si>
    <t>RvyMrqQKU0CnWk/ZSDgIYw</t>
  </si>
  <si>
    <t>rh4z36SczEuK9kg4z6nsBw</t>
  </si>
  <si>
    <t>pE+Rz8vBykykYSAFlI2h+g</t>
  </si>
  <si>
    <t>CvWk8xFbTEqljAkCnMK8Gg</t>
  </si>
  <si>
    <t>9mIzkRxS+0esqwnmExZLCw</t>
  </si>
  <si>
    <t>/Ceeq0AXJkSFWN5E+dV+tQ</t>
  </si>
  <si>
    <t>G7bTKRtzo0uyfX81JBv0gA</t>
  </si>
  <si>
    <t>jTMAqY15Ik+nM4Pdi6Ug4A</t>
  </si>
  <si>
    <t>ehvYyyYLB02quALWn+qA+A</t>
  </si>
  <si>
    <t>IEfjta63X0eJ3eV56oWwrQ</t>
  </si>
  <si>
    <t>KButULXPek2mg/oFmUiJMg</t>
  </si>
  <si>
    <t>s+IueqGmL0+mf0dwoatNPQ</t>
  </si>
  <si>
    <t>/LNYtU1p2UarQ6Us96JtRg</t>
  </si>
  <si>
    <t>aJ3haL0F3EWrIzk6SQykDw</t>
  </si>
  <si>
    <t>W/1XYoYJo0iZdQrFskS6qA</t>
  </si>
  <si>
    <t>+e5jsb/9f0y4t5iqDUqJPA</t>
  </si>
  <si>
    <t>VlfMoEx18ESNYGHW6efiBQ</t>
  </si>
  <si>
    <t>0.45657099</t>
  </si>
  <si>
    <t>/ouoy1mJvkeS9kgwPaoOew</t>
  </si>
  <si>
    <t>Fyw2FAyv+E2G1BJCymaDAg</t>
  </si>
  <si>
    <t>usZsqrxbfUOL3P2OebhdUA</t>
  </si>
  <si>
    <t>54Ivt8HgKUyYIkEq+OquFw</t>
  </si>
  <si>
    <t>TcmlbBXCNEONkmgfEI8LDQ</t>
  </si>
  <si>
    <t>p2gmkQNJ50mw8cI9FTSlGg</t>
  </si>
  <si>
    <t>NZy951FUbkiHMc+McTcJFA</t>
  </si>
  <si>
    <t>t9jY0bKZEUK8iIJfENgDcQ</t>
  </si>
  <si>
    <t>CHjMhQRRR0q1JIBbvnCEfw</t>
  </si>
  <si>
    <t>mMkaPjX3Xk2o8tSdLWYNXQ</t>
  </si>
  <si>
    <t>heUn9l30FE66b9ekDOceuQ</t>
  </si>
  <si>
    <t>mxWZmbVrDk2CKeKr5YxDDg</t>
  </si>
  <si>
    <t>aU1+m2Ez9UqFrYQz4ebGmg</t>
  </si>
  <si>
    <t>JWTs3pya/EOh/8+qVaZQSg</t>
  </si>
  <si>
    <t>t1a1PE/GO0eZuZg2QHW9Hg</t>
  </si>
  <si>
    <t>vgEV4034CUa5EAncOZjrkQ</t>
  </si>
  <si>
    <t>RVRlXtG2zU6gyQKLZ1X7+w</t>
  </si>
  <si>
    <t>u2VFONAwu02NFljFwNmybQ</t>
  </si>
  <si>
    <t>F5RboCMUFUaeSRNJ0Qdpaw</t>
  </si>
  <si>
    <t>9R+V152rnUGqYM5oOtlzCQ</t>
  </si>
  <si>
    <t>8zgcwG0zzEiLemhK6COoiw</t>
  </si>
  <si>
    <t>0.87608695</t>
  </si>
  <si>
    <t>479um3pqE0ipdB3rr4/+wA</t>
  </si>
  <si>
    <t>Fao5cr4VcUWOpPFhFhDeaw</t>
  </si>
  <si>
    <t>PimAyqn4ZEmIcrktz4dlVA</t>
  </si>
  <si>
    <t>OFsq64MtGE+WLEM3uyQPAA</t>
  </si>
  <si>
    <t>nEWHlbJU9kOXRB6LXaLW1w</t>
  </si>
  <si>
    <t>5m00dN8TUECHb3/i+nQMPA</t>
  </si>
  <si>
    <t>u0XAQtbqpEW+VcwL9VCh8Q</t>
  </si>
  <si>
    <t>ZAtupkZfaUmdGupMOcSptw</t>
  </si>
  <si>
    <t>P700M/OEs0KRJcW3mpH3+Q</t>
  </si>
  <si>
    <t>JsWiOPBYlkGu2w1+xSbFJQ</t>
  </si>
  <si>
    <t>BM1Q0MdmZkCPviZL2Humfg</t>
  </si>
  <si>
    <t>Y851iaq/xU+P6gDwVXAnHQ</t>
  </si>
  <si>
    <t>wBAW4uP+RkKWUYZwTHU/kg</t>
  </si>
  <si>
    <t>ymAQfMy3QUuQznUYC0sWNw</t>
  </si>
  <si>
    <t>Ncu2gQEdJEq9Qtu72LkS/w</t>
  </si>
  <si>
    <t>cFMWI2QDPkSx9mMEapJv9Q</t>
  </si>
  <si>
    <t>J4dEELvpT0uqTyCyu6JT2g</t>
  </si>
  <si>
    <t>+0Q55QNwlU27fjHjczJnew</t>
  </si>
  <si>
    <t>spphX5VU4UOadMSURiA6BA</t>
  </si>
  <si>
    <t>TaurzmBrc0qagCOK6B8HZw</t>
  </si>
  <si>
    <t>/u/VVaQ0xECV0WShEAcl8Q</t>
  </si>
  <si>
    <t>WNuy+O13bE2ZwFZgWahjpQ</t>
  </si>
  <si>
    <t>XeoHjRRjgUiYiBLI0fV4zQ</t>
  </si>
  <si>
    <t>WxIgTGsrNk+1DPxhkQAqNA</t>
  </si>
  <si>
    <t>kpMFL7GVhUOBH0FGSJz6Qw</t>
  </si>
  <si>
    <t>P0Mjp07wsEq248HaZwmXYA</t>
  </si>
  <si>
    <t>rnIwMr6Sw0mrPWxGrTXcQg</t>
  </si>
  <si>
    <t>xcJj5qQzBkyldClLQYNhbA</t>
  </si>
  <si>
    <t>kDqkvBIeJ0aX6xFJLIPZnQ</t>
  </si>
  <si>
    <t>8ITD+WsfsEmucGBKxlR1XQ</t>
  </si>
  <si>
    <t>LVwIG1bk2kmlgzXeBw0X2Q</t>
  </si>
  <si>
    <t>UWRy7gKiJUOAdXTu0u0bHA</t>
  </si>
  <si>
    <t>sQFgSmiuKEiSFmq72cwkqA</t>
  </si>
  <si>
    <t>J0xeLlZC8UG2sz2A2Njbjw</t>
  </si>
  <si>
    <t>4QijE4bwt0ue/hd/wrMqeQ</t>
  </si>
  <si>
    <t>38c7OR7mpE2gs8zx9GoAtQ</t>
  </si>
  <si>
    <t>0zyN5rye+E+sqLxrpCKAfQ</t>
  </si>
  <si>
    <t>kCZ5PL9ZsE+yTQ0yIteHRA</t>
  </si>
  <si>
    <t>hzQXRa6Iek6HDJpemK1QHA</t>
  </si>
  <si>
    <t>QeSw2uB+BUKhDTFiMWLjkw</t>
  </si>
  <si>
    <t>vzVjjruF1kqAUrq2Uy/PDg</t>
  </si>
  <si>
    <t>IHr2tofNoUOxdmlpIluh9A</t>
  </si>
  <si>
    <t>fNnHNgPGN0Cee6uj9rmMoQ</t>
  </si>
  <si>
    <t>GCqZX7DmBk6FGKiQOpuH9g</t>
  </si>
  <si>
    <t>PPjq60wVC0K1XX7yW24L3w</t>
  </si>
  <si>
    <t>6ACHeRF1bUukULzPd71JQQ</t>
  </si>
  <si>
    <t>D4tIkoCayEOndin7lhJPvA</t>
  </si>
  <si>
    <t>hwiZPlFzaU+IF24siUWlgQ</t>
  </si>
  <si>
    <t>BliDPCJqEE+zvAH33p7v7Q</t>
  </si>
  <si>
    <t>hcD8W5oIUEOqZFSucBHLJw</t>
  </si>
  <si>
    <t>5uWSTrTj206EICLHXfJsiw</t>
  </si>
  <si>
    <t>2Zyyb3bn1EGqQHAS2gXSvw</t>
  </si>
  <si>
    <t>VWZU7asZAEGb1b8MjRqTZg</t>
  </si>
  <si>
    <t>qB4/Xy7jokO7FsxE76qkDw</t>
  </si>
  <si>
    <t>NVZd/mmLcEaxPl37y6QX3g</t>
  </si>
  <si>
    <t>VDWYnzmNUUy56zdsvgkCkQ</t>
  </si>
  <si>
    <t>L6LZtrXnBkiyt3FKQHOFZQ</t>
  </si>
  <si>
    <t>DCqPljlOKEO7zeLaNxmDsQ</t>
  </si>
  <si>
    <t>m32qzCnkF0KkWSWgpT1TQg</t>
  </si>
  <si>
    <t>NlIN0gBQUU2CIWgONlMhiA</t>
  </si>
  <si>
    <t>8GE75Jvh1EaV20ePFj4jmQ</t>
  </si>
  <si>
    <t>X5YzyKptyUmajtF5CLd4yg</t>
  </si>
  <si>
    <t>wfaHzm8qfkqJPhOeef0R1g</t>
  </si>
  <si>
    <t>b//kztNYdU6fPYUYsW9kmQ</t>
  </si>
  <si>
    <t>RzDLgmnFmkapkO1qHA2Ijw</t>
  </si>
  <si>
    <t>O5RKBftpp0q8TflQQn+B5Q</t>
  </si>
  <si>
    <t>DYcOlQenrUKH4S1UUFlDvg</t>
  </si>
  <si>
    <t>/XXxNl3bhUWjiTyZe9+U6Q</t>
  </si>
  <si>
    <t>bw0lHQmIX0a09sv3MFb4yw</t>
  </si>
  <si>
    <t>sMYbbIa0WkSPWD0q4tZERw</t>
  </si>
  <si>
    <t>HvpndgaB70yJmWU7gZZW9g</t>
  </si>
  <si>
    <t>orWeBkjd5EWuDXhcm9YZiA</t>
  </si>
  <si>
    <t>JJ/vfxgwi06cdkQsZ8C41g</t>
  </si>
  <si>
    <t>Kf3TgZUAvke7OWyIEv04Vg</t>
  </si>
  <si>
    <t>n6Ij4DaaNEuCG/yCnqTOsA</t>
  </si>
  <si>
    <t>+4tESUZGnUaW+PyBRTHLXg</t>
  </si>
  <si>
    <t>otikScPe1kO+a1Jq+2j9eA</t>
  </si>
  <si>
    <t>4So0cwc8Y0GGXDRDygrQVA</t>
  </si>
  <si>
    <t>yICy7Vg8yEan0E0axNzC/g</t>
  </si>
  <si>
    <t>/25gahraf0mnP9nSspYzgQ</t>
  </si>
  <si>
    <t>qJsX6tGcf0iYe/auieYGlw</t>
  </si>
  <si>
    <t>bOF9gVsXk0aGGpK2OPyHzw</t>
  </si>
  <si>
    <t>BesoZJSoQki1lcVPVrDnqQ</t>
  </si>
  <si>
    <t>um0gH03HmUummGa1sE32kw</t>
  </si>
  <si>
    <t>b5awepQ5skW0zAPC6IVITQ</t>
  </si>
  <si>
    <t>kfO+AC+glUOYf5OoGgJrkg</t>
  </si>
  <si>
    <t>Hm9fhX7UXkil+XqdNMs5RA</t>
  </si>
  <si>
    <t>VY8U4NOdQE67E6lojoagwQ</t>
  </si>
  <si>
    <t>ezw204e3mker+vRqX6Xvtg</t>
  </si>
  <si>
    <t>kSrVqievJUieKL0ohACuPA</t>
  </si>
  <si>
    <t>Y+c14N7Ppkug99fCAwt73Q</t>
  </si>
  <si>
    <t>e8mPwXgKJU6KMF6xBavhEA</t>
  </si>
  <si>
    <t>q63N4MJoeUe5ikpIl5CuUg</t>
  </si>
  <si>
    <t>lzpXUANjvUu1lL3wzYQ4zg</t>
  </si>
  <si>
    <t>6Hf0ZvLPZEiCwxE7l1w6mQ</t>
  </si>
  <si>
    <t>bQMjjrzH4UiTGdkRir7A4A</t>
  </si>
  <si>
    <t>/msM3y3LIkawjHxKoscj4A</t>
  </si>
  <si>
    <t>/hWnqixtakmYdNAKfE8AWQ</t>
  </si>
  <si>
    <t>yC/ZpByTaUuR95uQjv0DWA</t>
  </si>
  <si>
    <t>Wg50b3COG0OG9IMP9eV+Sw</t>
  </si>
  <si>
    <t>PlamnibtaUOhJfWZIMalMg</t>
  </si>
  <si>
    <t>0c2ITNCfPk+mufLpyH6tRg</t>
  </si>
  <si>
    <t>by2xb1rTR0Kw+CXTF44Zeg</t>
  </si>
  <si>
    <t>mgIu+w+DhES+gZqL8v0zOw</t>
  </si>
  <si>
    <t>j7MVmABotU+K6OVy4OqKPQ</t>
  </si>
  <si>
    <t>D0ujIvNJKEW4ZfrCBolr1A</t>
  </si>
  <si>
    <t>kcnHXCyk90eohSYEXLlZmg</t>
  </si>
  <si>
    <t>hYTnwtSrq0GzAlvWuqWaFw</t>
  </si>
  <si>
    <t>oEXte3isPU2r1p85WKBvJg</t>
  </si>
  <si>
    <t>o3drW3J30Emo4Uq+bEQodg</t>
  </si>
  <si>
    <t>w7VuDG2f70qfl1urfRReDA</t>
  </si>
  <si>
    <t>3YTUENcwnkaetuRhgTxQGA</t>
  </si>
  <si>
    <t>DfFub7S9dUKmalOTf3edFg</t>
  </si>
  <si>
    <t>wpveMYaQNkC3IO5Sz3rCdg</t>
  </si>
  <si>
    <t>VvLqWqFsPEGI/wbOyqE/UA</t>
  </si>
  <si>
    <t>ZKLnkW0Te0e2DyNt1zqIwA</t>
  </si>
  <si>
    <t>GL9FhPu9d0CNifj94FKy7Q</t>
  </si>
  <si>
    <t>dqrEc49oc0S3rC/6fZM1gA</t>
  </si>
  <si>
    <t>CN1sSqn8E0ucynQmayR0uw</t>
  </si>
  <si>
    <t>3YZFDHLp/k6hDGvIDl3K0A</t>
  </si>
  <si>
    <t>2Ct9248JNkSv7G60UHtgMg</t>
  </si>
  <si>
    <t>9X6JNfMSgEW/oDamPXPIOA</t>
  </si>
  <si>
    <t>ST/xPhWgOEmUOytPWv2Ddg</t>
  </si>
  <si>
    <t>ISZZkQmPt0+sPajft01dbQ</t>
  </si>
  <si>
    <t>Cs2kuHPEXEWTB5kaKEQdgg</t>
  </si>
  <si>
    <t>UCaxrAJ9g0axGbV8m5VQXQ</t>
  </si>
  <si>
    <t>YPwUQSaU1kGCI1jOSckzTg</t>
  </si>
  <si>
    <t>mY37ttVORUisn6QF4Iyu8g</t>
  </si>
  <si>
    <t>T0g4NudP50CGSfKKSvcT5g</t>
  </si>
  <si>
    <t>PGOmqDC3j0y0Y0anNOpCnw</t>
  </si>
  <si>
    <t>Zc0cFSuSnUOTxMftbI4Smw</t>
  </si>
  <si>
    <t>qnvEApkBWEywNm7/LFgmBA</t>
  </si>
  <si>
    <t>TeO/TK98bkaAQ8R0xxsWww</t>
  </si>
  <si>
    <t>RGGEEGuND06MiWKMcBy6tA</t>
  </si>
  <si>
    <t>0XnYuqeR8EiMePcuefO59Q</t>
  </si>
  <si>
    <t>owSjCMm1JEaHDp1Sl1U3VQ</t>
  </si>
  <si>
    <t>HOpbba0+SUSEZlep3HxycQ</t>
  </si>
  <si>
    <t>/mzsoH6Qxk2jjY63RndO8g</t>
  </si>
  <si>
    <t>P42txXuGtEClgi1j5zrnUw</t>
  </si>
  <si>
    <t>hXxehS5sVkGqT17zOf0ivg</t>
  </si>
  <si>
    <t>ky2PegIOYUGI+7dkJfn5uw</t>
  </si>
  <si>
    <t>p6KWMz6qCEqLKkywI+xX3g</t>
  </si>
  <si>
    <t>iDkAKWnrOEulKTYKCKnxjA</t>
  </si>
  <si>
    <t>FQbmhFaAiU6qiYGTAwT2cA</t>
  </si>
  <si>
    <t>JLb1rWDIH0uqmBwTz5luuA</t>
  </si>
  <si>
    <t>gEukPFQ0DEK4FdXVw818dw</t>
  </si>
  <si>
    <t>avmz7cNmfUKIGZvClZuiaA</t>
  </si>
  <si>
    <t>0uRy1ajJski++ts784pKWA</t>
  </si>
  <si>
    <t>iDVhKyHt00WiOwh+QtUbow</t>
  </si>
  <si>
    <t>7x6oAh6KV0uwkcf3OSknxQ</t>
  </si>
  <si>
    <t>eJiLqMMd6ESUhYPMtyZ8HA</t>
  </si>
  <si>
    <t>QzP5B7fa+Eu1wzm+wV76OA</t>
  </si>
  <si>
    <t>3zPXwpGoC0S69sxE4kLMzw</t>
  </si>
  <si>
    <t>MTeqH723K0aZI4dy2W7uFw</t>
  </si>
  <si>
    <t>h83oaIhvs0O3S/IysOfTvQ</t>
  </si>
  <si>
    <t>VyV0IQVvxE670NbgM4aTjA</t>
  </si>
  <si>
    <t>Nb5wejIlEUCPv7FOWDT7JA</t>
  </si>
  <si>
    <t>VfKDfDgeAk+EWqUho/r0yw</t>
  </si>
  <si>
    <t>b9NKI8xhu0SGkUJnEPhugw</t>
  </si>
  <si>
    <t>7yU7Ab5ur0a1pzPJQOxnKg</t>
  </si>
  <si>
    <t>68D45dSq2kGNei4CT5o/EQ</t>
  </si>
  <si>
    <t>qoz479ji4kGk0Z3dQbiGLQ</t>
  </si>
  <si>
    <t>GgZ4gRlD/Eae/nDyIJ0RKw</t>
  </si>
  <si>
    <t>0.875</t>
  </si>
  <si>
    <t>c/Kn68Ag0Ueglah8Gidyxw</t>
  </si>
  <si>
    <t>IfI+hL5Tc0im/q8Ze1SDpQ</t>
  </si>
  <si>
    <t>PnTOrpT9U0eLpNOZltdZsw</t>
  </si>
  <si>
    <t>m3Mkh5MQ1UG4o+2wQ/awGQ</t>
  </si>
  <si>
    <t>PKd8nSOvy0+88dRKxESSng</t>
  </si>
  <si>
    <t>MEUrLvQYZkeHbd1Lv8oQGA</t>
  </si>
  <si>
    <t>ouZkh6JxE0u0WbHytyGi1A</t>
  </si>
  <si>
    <t>jqPzVP5dk0CSXHUkamF/pg</t>
  </si>
  <si>
    <t>dOdW22JfG06rc/HTip2M8w</t>
  </si>
  <si>
    <t>qd/skh+gEkum8L12aVIlcw</t>
  </si>
  <si>
    <t>EqGkN8gmokKjihJ9gVEBzA</t>
  </si>
  <si>
    <t>pmcGkIac10uDuNU2bJcwOw</t>
  </si>
  <si>
    <t>tPBVY9jxCE6VvmVSgzSdBQ</t>
  </si>
  <si>
    <t>aPE1EnW2UEu2TEv92xP5WA</t>
  </si>
  <si>
    <t>Wa1+r/OJbUGgxp70xELVFw</t>
  </si>
  <si>
    <t>d5L/SlVjTEWjO7r3muvLAw</t>
  </si>
  <si>
    <t>3PTihEL8P0GP8Xu1KErkNQ</t>
  </si>
  <si>
    <t>kURpO9ZBXUG6mpnNM6I4Sw</t>
  </si>
  <si>
    <t>6bhgPKBCnUi8Xe6Aodu9Pg</t>
  </si>
  <si>
    <t>uxx0E3S78EOGTvYMtpNjjw</t>
  </si>
  <si>
    <t>9MUUS8EGOUiLpjQD0FlIHg</t>
  </si>
  <si>
    <t>z5WefbTjV02jAE5CrH/+HQ</t>
  </si>
  <si>
    <t>s7kK7NZSjk2Ewo4AIyMpvw</t>
  </si>
  <si>
    <t>4BIdceuA/kmWdltk40WRQg</t>
  </si>
  <si>
    <t>SxO+gwXStkqmT0dM9xSJLA</t>
  </si>
  <si>
    <t>sCG9Hllalk++SOgZM9GSIg</t>
  </si>
  <si>
    <t>KjwqgD0pgEOugDKezloTfQ</t>
  </si>
  <si>
    <t>MvOSZF0mC0qJwHXUCZEL2Q</t>
  </si>
  <si>
    <t>iJYyf2MHHE+tHhwn1P7NEA</t>
  </si>
  <si>
    <t>0llC1ypYrE2r+x7PuN5xTA</t>
  </si>
  <si>
    <t>fvxc/5ItmkCxaZnCBnPbpA</t>
  </si>
  <si>
    <t>XAZWZ1hb6EGFAH1kp6BnNA</t>
  </si>
  <si>
    <t>1mNyYwltUkKj99NL5EOZog</t>
  </si>
  <si>
    <t>FXfQwedulEqZSvJfu7A4vA</t>
  </si>
  <si>
    <t>8iY9E41M/kCHXEI66aNrMg</t>
  </si>
  <si>
    <t>w528lA5zU0aUSvEv7/4J4g</t>
  </si>
  <si>
    <t>Cs4fNpzWD0GV/QjCe2JtHg</t>
  </si>
  <si>
    <t>kvPWrYIp7km7H4eJTait7A</t>
  </si>
  <si>
    <t>Iv8/eD3DRkO8wxz/D3DfMQ</t>
  </si>
  <si>
    <t>cpeA78Qc/k2ogP1hnWqf9w</t>
  </si>
  <si>
    <t>aw9SlUHwJ0muSpcIFUofMQ</t>
  </si>
  <si>
    <t>5kg+vhI8PU+SIUdPaBbPBg</t>
  </si>
  <si>
    <t>BJBEzEeu2Ea/pcJsgnV60A</t>
  </si>
  <si>
    <t>p14ddk4BtEiDjlK0ju+x5Q</t>
  </si>
  <si>
    <t>ZSlAIUAjeEKvOeiByLKuAw</t>
  </si>
  <si>
    <t>6fuyTeg0uE25QgklOdoroA</t>
  </si>
  <si>
    <t>fzV6EpIsSEmSfqKBoays7g</t>
  </si>
  <si>
    <t>9fvcH/6NUUuvBB5NoYfOMw</t>
  </si>
  <si>
    <t>xgPaIHJO2UqxOw+8vW5EAg</t>
  </si>
  <si>
    <t>EwdPRzVjik2HlbtJ71L7yA</t>
  </si>
  <si>
    <t>JHgbwT4COEOfNXa9f0qYDQ</t>
  </si>
  <si>
    <t>ba8Q93FnzUiu9cCSakXdsg</t>
  </si>
  <si>
    <t>pTMCRlHD60SBdGqtkhG2tA</t>
  </si>
  <si>
    <t>ELanJ9f9r0WT7kmq9TFrKw</t>
  </si>
  <si>
    <t>KTpRAjCfBUKMFGi25OflmA</t>
  </si>
  <si>
    <t>uxuor9dpDUiZASpGDi7nWQ</t>
  </si>
  <si>
    <t>Kkpm2GdACUK206thKQs6BQ</t>
  </si>
  <si>
    <t>HBHzRnTAZ0WIRU1vUt+j+g</t>
  </si>
  <si>
    <t>g1kofus690Wdo2mKbjxsRA</t>
  </si>
  <si>
    <t>nzdoKDoKPkyga10pWDCmwQ</t>
  </si>
  <si>
    <t>vOh7hc2ICU23chxgxFN0OQ</t>
  </si>
  <si>
    <t>ZptNHI0T/kOVqX4KL0HIow</t>
  </si>
  <si>
    <t>9ehvtG1VdU2tXDenDUPdtA</t>
  </si>
  <si>
    <t>To1sqPRFqEKcFisqYhq0ZQ</t>
  </si>
  <si>
    <t>jJwSMafOUku1I5hY61N7sA</t>
  </si>
  <si>
    <t>pNFLKwk1wUGgUSeA8twCow</t>
  </si>
  <si>
    <t>rc8p6LPkWkuOdJfVcLR9Ig</t>
  </si>
  <si>
    <t>oP5S9oa0W0KX1XZGXQmFCw</t>
  </si>
  <si>
    <t>cuFhTpojdEeFwq9coOkFYQ</t>
  </si>
  <si>
    <t>k3oNoh3ay0+dLbHIcRTc4Q</t>
  </si>
  <si>
    <t>IgFH+dOi1keYHCPtARiYNg</t>
  </si>
  <si>
    <t>2M87cg1AuE+mVPKVMRMJzg</t>
  </si>
  <si>
    <t>2m6iY3xEB0SXOogXT9JWMQ</t>
  </si>
  <si>
    <t>PK/eBKLKFkyZe24InEs9wQ</t>
  </si>
  <si>
    <t>cHkoMraW3EG3fs8mtl4+1Q</t>
  </si>
  <si>
    <t>DZmoA3XDjUmXze/w5VUVaA</t>
  </si>
  <si>
    <t>EP6SXDBiDU6g3me7abkM9g</t>
  </si>
  <si>
    <t>gABXxX75X0ys97sfjiBLwA</t>
  </si>
  <si>
    <t>OeM78Rl9CEekVnmLt4ozAw</t>
  </si>
  <si>
    <t>Z76VQLZmSUilNmVkp7PERg</t>
  </si>
  <si>
    <t>ZAvCOcd7J0WYtjGKpRtYHg</t>
  </si>
  <si>
    <t>taZW3bfKwkOrAQWZKva8yw</t>
  </si>
  <si>
    <t>Ywq2vJtMZ0WKtQkYKzFmDw</t>
  </si>
  <si>
    <t>LGalZgstWEe49c8Ff88QUQ</t>
  </si>
  <si>
    <t>10wTn9GOckqj5Ym2Jlc4Og</t>
  </si>
  <si>
    <t>mAbE9RFuzUSp0B2bsOIWtg</t>
  </si>
  <si>
    <t>POjNVuUB60+0CjSdq2ecJQ</t>
  </si>
  <si>
    <t>hD9Jz3Ss40O7XTk/VM24yg</t>
  </si>
  <si>
    <t>19tUZAa3iUCczeWgblxEoQ</t>
  </si>
  <si>
    <t>qETJ5+GjdU68ynAfnVUMmA</t>
  </si>
  <si>
    <t>geNtFe/9hEC9gKjgHy1ujA</t>
  </si>
  <si>
    <t>qPDTNTEAT0eQ4NscSuxgiQ</t>
  </si>
  <si>
    <t>vc+A1cO22UioeKrQSAtobw</t>
  </si>
  <si>
    <t>jiWx411au0Gvfe4+Ta/zUw</t>
  </si>
  <si>
    <t>jcc9j2u3TkG2FZtkuM2MDg</t>
  </si>
  <si>
    <t>6jMKU6XuV0OE0plOe3AXkA</t>
  </si>
  <si>
    <t>tmnmRlMe9Ee0F4+t+GwTNw</t>
  </si>
  <si>
    <t>mYb/W0lgOkOwH+DgaRDmeQ</t>
  </si>
  <si>
    <t>ePYZ3cs9yk28jq5RStSmSg</t>
  </si>
  <si>
    <t>jDorHzaKKk+KVD/JMmdMxA</t>
  </si>
  <si>
    <t>oWEA6ESVX0Ch3Dqm3kyk0Q</t>
  </si>
  <si>
    <t>hJgFRqg20EePdGXKmSjrWQ</t>
  </si>
  <si>
    <t>yhBNKV5UB0qRbz6ELRbbKA</t>
  </si>
  <si>
    <t>q3sEhqM9E0OjapY2P5jrnQ</t>
  </si>
  <si>
    <t>molAeHZNO0+oo9M2q2oXiQ</t>
  </si>
  <si>
    <t>tGfydy8mLk2RuKNm82EGQA</t>
  </si>
  <si>
    <t>WJq13iwbfEWjnCHG6F8AMA</t>
  </si>
  <si>
    <t>Jkyi8/zgOkaSiUclTqz3ew</t>
  </si>
  <si>
    <t>zJdUdGuVg0+lYHMQNNjwfA</t>
  </si>
  <si>
    <t>XjVCI+mxxEm4V0009Np8Zg</t>
  </si>
  <si>
    <t>dQQBTNfvnk2WPP4m41ViYQ</t>
  </si>
  <si>
    <t>62v8RTx3lUGBuDkRHDBg7Q</t>
  </si>
  <si>
    <t>0liCxpiCtkGJ6avViNbepg</t>
  </si>
  <si>
    <t>6U2KIkEWqEWOGgNYDW9WYA</t>
  </si>
  <si>
    <t>7M+6HbzRp0m6qRpX7L33vg</t>
  </si>
  <si>
    <t>5GmmY1Lms0O+BlEALUniWw</t>
  </si>
  <si>
    <t>5s/6zVdiY0WyfY55zaPvvA</t>
  </si>
  <si>
    <t>YYL6kpPFm0eri3g3Afhvyw</t>
  </si>
  <si>
    <t>3FMjPgDcxU6R8wxoGkJdzA</t>
  </si>
  <si>
    <t>CeiNd8fMsEiZNOjXoD5XZQ</t>
  </si>
  <si>
    <t>Uy8BHBwJ80iMKDP9RZQVQA</t>
  </si>
  <si>
    <t>5qZXCDRo+kOLx7R+TdVB+A</t>
  </si>
  <si>
    <t>84sjzn50oUeDVxK1FeXB3g</t>
  </si>
  <si>
    <t>CzWDBYCpIkqsQg9QX2AOeQ</t>
  </si>
  <si>
    <t>Leotta</t>
  </si>
  <si>
    <t>QjxQJ29v/Eq1LBoA0Wwy+g</t>
  </si>
  <si>
    <t>0.78622526</t>
  </si>
  <si>
    <t>9Mj3VhPl5ka6s5Vyty3B1A</t>
  </si>
  <si>
    <t>0.1634749</t>
  </si>
  <si>
    <t>YJowY5rSQE+QUPWzoFShZQ</t>
  </si>
  <si>
    <t>0.00081944</t>
  </si>
  <si>
    <t>0.59</t>
  </si>
  <si>
    <t>oO/mQnVr+kiZk/H9sGQQiQ</t>
  </si>
  <si>
    <t>0.00122222</t>
  </si>
  <si>
    <t>0.88</t>
  </si>
  <si>
    <t>UBSq2BL6tUKXNtepOdMOIQ</t>
  </si>
  <si>
    <t>2949.63</t>
  </si>
  <si>
    <t>BBmioXbDOk+t/wqNkN8/ug</t>
  </si>
  <si>
    <t>2477.69</t>
  </si>
  <si>
    <t>TM6P3HHhl0anaOcSoT9M2Q</t>
  </si>
  <si>
    <t>0.0025</t>
  </si>
  <si>
    <t>0.06</t>
  </si>
  <si>
    <t>vCo6WJdBiE2232to9MExIQ</t>
  </si>
  <si>
    <t>3zUVOil1lEqRFlMP+sTX5A</t>
  </si>
  <si>
    <t>b6mh4vGMEEqgu5KSmjTrYg</t>
  </si>
  <si>
    <t>6g6dy7zXlkmgSl6XXGU/uA</t>
  </si>
  <si>
    <t>d2dlTTQWeUmGzUzkSdSmUg</t>
  </si>
  <si>
    <t>RwgVuR20706xpeT+h2mh7g</t>
  </si>
  <si>
    <t>cz9NVwrNPUqCT1YUu743qA</t>
  </si>
  <si>
    <t>v0CG3ThMREeatu/oy0oyog</t>
  </si>
  <si>
    <t>Xp6i7Tr8sk+oyEfBWUznyg</t>
  </si>
  <si>
    <t>VyTDY/7zuUqFNp7WRH/6uw</t>
  </si>
  <si>
    <t>4+PkIABXXkqu6MSQ3GTuIg</t>
  </si>
  <si>
    <t>kKoCS+2hiUq/210GD9O/XA</t>
  </si>
  <si>
    <t>lub+R/eYGEeDFbZfyEpfRw</t>
  </si>
  <si>
    <t>ACPZbkrLXEGqY073wb7rAg</t>
  </si>
  <si>
    <t>R6zeskZEf0m6/hTuoVVqfw</t>
  </si>
  <si>
    <t>2qRIS30D7UCQxTRKR88qtw</t>
  </si>
  <si>
    <t>rMhC6gBFaEGn61Z0NlZ50w</t>
  </si>
  <si>
    <t>gbmp8Bv1gkePx1PgHfG0IQ</t>
  </si>
  <si>
    <t>AcBRPRDfTUOrYZqdp/OjWg</t>
  </si>
  <si>
    <t>0zv3ZGzVM0CZRHAij56TTA</t>
  </si>
  <si>
    <t>CEEZKBxncECFKbaDohPdlw</t>
  </si>
  <si>
    <t>TC9nuFC0oEaoO57YvHIWKw</t>
  </si>
  <si>
    <t>H8KDMzY13UeUvO6rTyZGNw</t>
  </si>
  <si>
    <t>54U6MPcbo0may5JAiQyBEQ</t>
  </si>
  <si>
    <t>0.00068055</t>
  </si>
  <si>
    <t>0.49</t>
  </si>
  <si>
    <t>0GRvOuAkPEmMJCK2ni5lNw</t>
  </si>
  <si>
    <t>0.00102777</t>
  </si>
  <si>
    <t>0.74</t>
  </si>
  <si>
    <t>uEHF0YHGP02YGRl49b73fA</t>
  </si>
  <si>
    <t>JqKCpX2/ZkqowQJ6NWiMDg</t>
  </si>
  <si>
    <t>C2//ej89jk23xUhfvgkEvQ</t>
  </si>
  <si>
    <t>0IuRf6LFSk6BX/YXMAQnjQ</t>
  </si>
  <si>
    <t>x7AtTfS4Xku2aR3qAW5aZA</t>
  </si>
  <si>
    <t>dYcvr2H0IUWQ7zHNWkx8sg</t>
  </si>
  <si>
    <t>lpKO2ROaT0+nTTg+eWQ/1g</t>
  </si>
  <si>
    <t>pc4LFuoUnEem69cLtmGIFQ</t>
  </si>
  <si>
    <t>gMofU4WtQkaaAxRQE9parA</t>
  </si>
  <si>
    <t>//M3Brz1Oka+AS4wKxF8QQ</t>
  </si>
  <si>
    <t>gavs6VGFVE2//b0uOGyoZA</t>
  </si>
  <si>
    <t>bfPbESLuVUi4vMNuLXUkGw</t>
  </si>
  <si>
    <t>IFCl+2Hh7U2zqgLJ3RfOeA</t>
  </si>
  <si>
    <t>8N70Vmvh0kmqp/trHNvHcw</t>
  </si>
  <si>
    <t>uJWqg7DWQEmWYDzzHoBj1A</t>
  </si>
  <si>
    <t>ZmL0oZ1WNk6euqU+J1OhOA</t>
  </si>
  <si>
    <t>9ztNBYDcP0C8Q5tn3f/BLA</t>
  </si>
  <si>
    <t>YfLq962f2k2MfPRlcFvvFg</t>
  </si>
  <si>
    <t>SahFJTthYEWJvf6LnF9YhA</t>
  </si>
  <si>
    <t>bKC3yz2x20a9L1kWF2DPzA</t>
  </si>
  <si>
    <t>0.00193204</t>
  </si>
  <si>
    <t>0.046369</t>
  </si>
  <si>
    <t>RT_Labor</t>
  </si>
  <si>
    <t>Xp1bDtdnhEOfQPA5ywZr9Q</t>
  </si>
  <si>
    <t>eCQb6z4nGEKkLpEEMJ1cmA</t>
  </si>
  <si>
    <t>0.05372222</t>
  </si>
  <si>
    <t>38.68</t>
  </si>
  <si>
    <t>9wXQt3IDA0uiK1oBjOhojQ</t>
  </si>
  <si>
    <t>0.83989586</t>
  </si>
  <si>
    <t>vAel1WQTW0Wlp1eEnwScUQ</t>
  </si>
  <si>
    <t>15933.89</t>
  </si>
  <si>
    <t>Eu4awGg6vUuFsAZbWGk+bw</t>
  </si>
  <si>
    <t>h7uB2eBgQk+A9oEPUAFCxw</t>
  </si>
  <si>
    <t>1230.65</t>
  </si>
  <si>
    <t>myU1Kncvc0qGoJzk5xXnsg</t>
  </si>
  <si>
    <t>aKI7g8SIBUuFFuTup0OsRA</t>
  </si>
  <si>
    <t>0.29345833</t>
  </si>
  <si>
    <t>211.29</t>
  </si>
  <si>
    <t>7tQ9Agtz20acLIsOqNZ9Iw</t>
  </si>
  <si>
    <t>0.99999248</t>
  </si>
  <si>
    <t>gNgm5IWe0UqgvcbCgoi8zg</t>
  </si>
  <si>
    <t>cJ663Z4QIk+RH1UlTB48uw</t>
  </si>
  <si>
    <t>48wPv6x2okeKIegWEI9PdA</t>
  </si>
  <si>
    <t>0.04256944</t>
  </si>
  <si>
    <t>30.65</t>
  </si>
  <si>
    <t>keKiDK0gXkaaixLj6p1tVA</t>
  </si>
  <si>
    <t>25.75</t>
  </si>
  <si>
    <t>oQtfxdo+PUmLDrA+Upqgvw</t>
  </si>
  <si>
    <t>0.00284258</t>
  </si>
  <si>
    <t>ZKd/oyNNbUGqck6IJ0qdZg</t>
  </si>
  <si>
    <t>38.62</t>
  </si>
  <si>
    <t>tE9bOmmabEK8NEd909AKNA</t>
  </si>
  <si>
    <t>gz+QrkKYQE+YRGD2F6Dh3Q</t>
  </si>
  <si>
    <t>9qlC8HEDokOT687obKzVxg</t>
  </si>
  <si>
    <t>0.12771841</t>
  </si>
  <si>
    <t>am1TXvete0OaDLt1kjMPjw</t>
  </si>
  <si>
    <t>or9WJvMhukmGzRvIdn0ahA</t>
  </si>
  <si>
    <t>HuoBYQYKykeNqxgss9mSXg</t>
  </si>
  <si>
    <t>cSMSu9O7p0KHhGBmLf+M2A</t>
  </si>
  <si>
    <t>8pIpBMEGrUCfC49FMvUNlQ</t>
  </si>
  <si>
    <t>jLM47KPN6ECnK1WHvLopsg</t>
  </si>
  <si>
    <t>XzC2WO/NbEek4zrJeJcRPg</t>
  </si>
  <si>
    <t>+0Hdq0GdcUyiSFnvw1zJ6w</t>
  </si>
  <si>
    <t>T08W1js+CkmLjNkEbKU+hA</t>
  </si>
  <si>
    <t>W73NqCmTH0qlSl/NNngdnw</t>
  </si>
  <si>
    <t>k32WlqPEsEKQ79BYDbU7tg</t>
  </si>
  <si>
    <t>fVqCLAW1a0CaqJA2dFgGqQ</t>
  </si>
  <si>
    <t>r6IsnFEDT0qVvDejZ50rLg</t>
  </si>
  <si>
    <t>53lTvGwaAkCp1lGNPuSRXA</t>
  </si>
  <si>
    <t>un8iq0N8i0aj/879J/DTkg</t>
  </si>
  <si>
    <t>/or60XEex0KXhmUTod2/Bw</t>
  </si>
  <si>
    <t>raIDnPXRFUSgiP0eDtX3nw</t>
  </si>
  <si>
    <t>slqjSHXlUESrlO3W+9IscA</t>
  </si>
  <si>
    <t>n116hw3pbEmebptqkRPvfg</t>
  </si>
  <si>
    <t>Fdl67ShFDEaFdLNUFIS8Zw</t>
  </si>
  <si>
    <t>0.12791666</t>
  </si>
  <si>
    <t>3.07</t>
  </si>
  <si>
    <t>T/JvtYuEbkWkK6UjNJG3QA</t>
  </si>
  <si>
    <t>Mo7zpfYL0k6gYxvEyEPBUA</t>
  </si>
  <si>
    <t>YGBpiVt8P0ewl690pfbKCQ</t>
  </si>
  <si>
    <t>S9Gdh3WVMU+PTcy5vRxb+g</t>
  </si>
  <si>
    <t>qFjl0Zj86UC3kQYXCCjAhg</t>
  </si>
  <si>
    <t>xyvNt9thIkehaZszx+Vyeg</t>
  </si>
  <si>
    <t>ZgbeZSVI1EGOViGESWp8mQ</t>
  </si>
  <si>
    <t>OcbC6E7KPUSfV6CWDM+aVw</t>
  </si>
  <si>
    <t>1TgtlMqRB0qCKiv/rllU4w</t>
  </si>
  <si>
    <t>5JYb3O6YGUSg5CmYEB1XjQ</t>
  </si>
  <si>
    <t>W8PeW0Fafkef6iGZ056Dvw</t>
  </si>
  <si>
    <t>Fkidp+c4fUeU6++td1u71g</t>
  </si>
  <si>
    <t>nnpW2P9fjk+iTdLmPNzpXg</t>
  </si>
  <si>
    <t>Z6+I9wR4MUGe4LC1JJs3Ug</t>
  </si>
  <si>
    <t>AN5s5SsLDkmn027lNY+uCQ</t>
  </si>
  <si>
    <t>TxjK3d/jWkGkAAieVHqiZg</t>
  </si>
  <si>
    <t>4SSXcdEcEEG5R5wBc4yVLQ</t>
  </si>
  <si>
    <t>5bUk+VJXWEWzzpBXrUqG+g</t>
  </si>
  <si>
    <t>8pv8yz54f06GnXRhmsEMbw</t>
  </si>
  <si>
    <t>fNnP577EOU+DcCc9H0tl3A</t>
  </si>
  <si>
    <t>P/H6AVpkt0as/uiI+CQvrg</t>
  </si>
  <si>
    <t>kVB9C3wxpkafpNI0Y56ZIw</t>
  </si>
  <si>
    <t>NdBWRAtlIUq8ejFIGFJuNg</t>
  </si>
  <si>
    <t>9OkNrrF+xUGZuCulrj2jJQ</t>
  </si>
  <si>
    <t>PHdHS5ZPvEOadoSFirqrpQ</t>
  </si>
  <si>
    <t>lWy0X97ZCUCvKQQ1rPYABg</t>
  </si>
  <si>
    <t>3TaEkUi+PUagzriKEHdvDg</t>
  </si>
  <si>
    <t>ZLBLWYwjxkWlHQRr/60+ug</t>
  </si>
  <si>
    <t>LNEoCAqeCUmH4x4OsARVRA</t>
  </si>
  <si>
    <t>KJUWwrKCkkSqdQiEF2KRAw</t>
  </si>
  <si>
    <t>ypjlGvzyiUWeQ+OK0fwtfw</t>
  </si>
  <si>
    <t>jmc7lyVWhEyZtUpeAIuwQQ</t>
  </si>
  <si>
    <t>Up20dHgB30e2SUdMf5+mAQ</t>
  </si>
  <si>
    <t>FnaTFLI1kkihlIq/7V65Iw</t>
  </si>
  <si>
    <t>7bdbca5X90u97Waqk1ANvQ</t>
  </si>
  <si>
    <t>eJPth3N76k6qvneP+vm3lg</t>
  </si>
  <si>
    <t>hEKftIvfuU6syBsCQaGFiA</t>
  </si>
  <si>
    <t>2C9o0FBoZ0628dQ4EPlS9w</t>
  </si>
  <si>
    <t>X2cnY79byUm8fRZta6pK3w</t>
  </si>
  <si>
    <t>B5R+GVO9/EmF21ov7S/g1A</t>
  </si>
  <si>
    <t>vUdA6569tk+eKhWmStvEUA</t>
  </si>
  <si>
    <t>b1HWOuB5HkmW3Kp18m/0yg</t>
  </si>
  <si>
    <t>rRzYKv6c3E+NMM8OitX2qA</t>
  </si>
  <si>
    <t>UvWq2hTKb0qKg1exIjUglg</t>
  </si>
  <si>
    <t>LG5s2XgRAUWpXy0/qaJKcA</t>
  </si>
  <si>
    <t>X4Omvjc43EWte2gpwFLUBQ</t>
  </si>
  <si>
    <t>mYqsE1lcPkqfvhFM3z5Jew</t>
  </si>
  <si>
    <t>rE/8jkKWvkOKrZeUeeWOsA</t>
  </si>
  <si>
    <t>W/V9cxOevkiHzSCJhHDDlw</t>
  </si>
  <si>
    <t>Tl4GsaZUV0GINsMSlJqnig</t>
  </si>
  <si>
    <t>Kt0SLfy68UqhFaoUseQjeQ</t>
  </si>
  <si>
    <t>UvCOacpJQkKxijiI3J0Qiw</t>
  </si>
  <si>
    <t>SNej+JCPckafqVqQk/Fv1w</t>
  </si>
  <si>
    <t>G2bpPhNjkUiO66hCcV9AYw</t>
  </si>
  <si>
    <t>TCN07/O/1USPZQg63kXJVg</t>
  </si>
  <si>
    <t>uIqCuJyRmkebaHIiJdWKBw</t>
  </si>
  <si>
    <t>lfxI/JVu/kCtfNhKB2DHlw</t>
  </si>
  <si>
    <t>hnGr1VG42ES3KGucPmMwtA</t>
  </si>
  <si>
    <t>xhlv/+AI3UOKtqASenvOXw</t>
  </si>
  <si>
    <t>dJqRo6yFs0S2cY95mik4wA</t>
  </si>
  <si>
    <t>lxP+CjLs2US/76twjxMpng</t>
  </si>
  <si>
    <t>Nm/WK0rb4k6GubVuFzG+qQ</t>
  </si>
  <si>
    <t>vjYkwbCM7Ey69RRT0MJrgw</t>
  </si>
  <si>
    <t>6gVqsuBy2EKuKQNKjQp8Mg</t>
  </si>
  <si>
    <t>EgDxnGdqnUS/mmvGQvxyCQ</t>
  </si>
  <si>
    <t>zzb/0f7hAUOfBKARt9ZMWw</t>
  </si>
  <si>
    <t>4k463KdwrUygc+YtNwytww</t>
  </si>
  <si>
    <t>z7qPcGEiME+oi9gNmEG5cA</t>
  </si>
  <si>
    <t>s0XqcnGqXkWmsEVcLqv7FA</t>
  </si>
  <si>
    <t>2pH7qNEEcEatWab+Dxhwrw</t>
  </si>
  <si>
    <t>5k6LAMXGdku6GwoPRzNS/w</t>
  </si>
  <si>
    <t>0Cr4fzUCMUS28tEwPefhvw</t>
  </si>
  <si>
    <t>0.68392675</t>
  </si>
  <si>
    <t>SIgD7pub/0WU+CljaSLUmQ</t>
  </si>
  <si>
    <t>0.98690756</t>
  </si>
  <si>
    <t>ryTwOUJS8E6lyzcq1O36tw</t>
  </si>
  <si>
    <t>0.68392625</t>
  </si>
  <si>
    <t>LWWJqseQuEOhpBo/QmmPNA</t>
  </si>
  <si>
    <t>YmQuDcFaF02ZrCmAZIfs3g</t>
  </si>
  <si>
    <t>DVTwfbJ/uUCba4J+AoE17A</t>
  </si>
  <si>
    <t>LgPZsdT35UirjZBLIb/prg</t>
  </si>
  <si>
    <t>ggqzhWdJY0CSHWz33NM5TQ</t>
  </si>
  <si>
    <t>0.78622345</t>
  </si>
  <si>
    <t>ThqPshz+WkWfAOSdshXuFA</t>
  </si>
  <si>
    <t>1hBKEhJQ50uuurWbgm0e6w</t>
  </si>
  <si>
    <t>0.8625</t>
  </si>
  <si>
    <t>TQ4ig2WUYUKJDoFaz4jxMg</t>
  </si>
  <si>
    <t>7ioRXcGBjEi+qqRwUupLYw</t>
  </si>
  <si>
    <t>T2/ZYfPp20iowJPlBiOarw</t>
  </si>
  <si>
    <t>19746.6</t>
  </si>
  <si>
    <t>s8eHN29SrUexkXkiDzPyag</t>
  </si>
  <si>
    <t>n8QhJVU5RE2XtYv7ka6pfw</t>
  </si>
  <si>
    <t>2223.06</t>
  </si>
  <si>
    <t>AILY5gNTrkK9vERvwEWWOA</t>
  </si>
  <si>
    <t>2215.99</t>
  </si>
  <si>
    <t>0.947625</t>
  </si>
  <si>
    <t>379.05</t>
  </si>
  <si>
    <t>WZ3tqvYEbkKA5sF6hlvQ8w</t>
  </si>
  <si>
    <t>BSWmPnHL9keevGfkceWbHw</t>
  </si>
  <si>
    <t>ZBdDU3LXYUCUaCzA9Eu1vg</t>
  </si>
  <si>
    <t>5774.13</t>
  </si>
  <si>
    <t>RheMSMa4/U+a2eCo6VytDQ</t>
  </si>
  <si>
    <t>27788.25</t>
  </si>
  <si>
    <t>/yF2nkZ19kiesHRuaXjq1g</t>
  </si>
  <si>
    <t>QgHO07PTu0GuxdQfwyadaA</t>
  </si>
  <si>
    <t>hhvuDmMxd0+5a3Bc1vBRRw</t>
  </si>
  <si>
    <t>ipPIfBHTY0mLutmm5ei4vg</t>
  </si>
  <si>
    <t>CjNQeqd8akqgGLonYFqaZg</t>
  </si>
  <si>
    <t>Vq6uUpomUESrlEXudl++ng</t>
  </si>
  <si>
    <t>VZh3br5VY0WkfmnIGwxBzg</t>
  </si>
  <si>
    <t>1111.53</t>
  </si>
  <si>
    <t>kh4vIN+6e0S3qe/nu0VQ5g</t>
  </si>
  <si>
    <t>wviEnqO2VEeIxcS+kSav7g</t>
  </si>
  <si>
    <t>4081.28</t>
  </si>
  <si>
    <t>RFgYnxGhO0afxHMRnDZMKg</t>
  </si>
  <si>
    <t>0.0203625</t>
  </si>
  <si>
    <t>16.29</t>
  </si>
  <si>
    <t>qhu1H/ffkEyN+0LGcSl9FA</t>
  </si>
  <si>
    <t>0.417</t>
  </si>
  <si>
    <t>333.6</t>
  </si>
  <si>
    <t>0.64258762</t>
  </si>
  <si>
    <t>3fYhPgtul0iXJI7fV+11Zw</t>
  </si>
  <si>
    <t>0.9700</t>
  </si>
  <si>
    <t>Dv5jKfJy00SlZyQIUHjIcg</t>
  </si>
  <si>
    <t>haGE6F3xHkGbWEudEukgcw</t>
  </si>
  <si>
    <t>0.2925</t>
  </si>
  <si>
    <t>Vc9xpduE40+e9hTzssdW1g</t>
  </si>
  <si>
    <t>0.06922478</t>
  </si>
  <si>
    <t>jknbtuF2K02NzAb/4jOwGg</t>
  </si>
  <si>
    <t>0.1668</t>
  </si>
  <si>
    <t>133.44</t>
  </si>
  <si>
    <t>mWhGcUvKvkm1qIovVevcFg</t>
  </si>
  <si>
    <t>0.00975</t>
  </si>
  <si>
    <t>7.8</t>
  </si>
  <si>
    <t>8qipszEia0ODUxdNmFi4jw</t>
  </si>
  <si>
    <t>0.16680002</t>
  </si>
  <si>
    <t>G5RoT8FJjUqYoG7GfQnpTg</t>
  </si>
  <si>
    <t>r3c8w3OaB02XFz0NqIipCw</t>
  </si>
  <si>
    <t>63.77</t>
  </si>
  <si>
    <t>UyiOXdgvR0CsxNUhnbR7vg</t>
  </si>
  <si>
    <t>2079.94</t>
  </si>
  <si>
    <t>WfVPky9KjUyN6o1HoEr4ag</t>
  </si>
  <si>
    <t>7EwCxL+T1EaRcoxTsZUbWA</t>
  </si>
  <si>
    <t>93513.6</t>
  </si>
  <si>
    <t>gmtm4EwoDk2Bj4GyZZeaOQ</t>
  </si>
  <si>
    <t>0.09351</t>
  </si>
  <si>
    <t>93.51</t>
  </si>
  <si>
    <t>5sKwastfcEikMEPehhUpgw</t>
  </si>
  <si>
    <t>0.8748</t>
  </si>
  <si>
    <t>874.8</t>
  </si>
  <si>
    <t>vS0JRlw6ZEKWkYdGjrHI1w</t>
  </si>
  <si>
    <t>KLIKoWxBsk6Ov4VSb5Vqfw</t>
  </si>
  <si>
    <t>8771.11</t>
  </si>
  <si>
    <t>cF3/b3hlikCBnPtPQbmwWw</t>
  </si>
  <si>
    <t>0.39393</t>
  </si>
  <si>
    <t>393.93</t>
  </si>
  <si>
    <t>6N5i2ggN3Uqb71vbcq01uw</t>
  </si>
  <si>
    <t>3SP32pyoEkm+3aU/XTLwRw</t>
  </si>
  <si>
    <t>0.98483</t>
  </si>
  <si>
    <t>PwptTyhjD0aYeF1ofWCTBQ</t>
  </si>
  <si>
    <t>2260.8</t>
  </si>
  <si>
    <t>XkK5y7qdykalPyopjc6SHw</t>
  </si>
  <si>
    <t>0.29059</t>
  </si>
  <si>
    <t>xAsRe3dJAEijMOAwuWaR7A</t>
  </si>
  <si>
    <t>0.07536</t>
  </si>
  <si>
    <t>75.36</t>
  </si>
  <si>
    <t>x+cTmdeeyEiCpjbETP8Fqw</t>
  </si>
  <si>
    <t>dsSvGay69USw15ajf8SabQ</t>
  </si>
  <si>
    <t>6629.33</t>
  </si>
  <si>
    <t>RfnUzAQ3QUuneqXp8Y2iqg</t>
  </si>
  <si>
    <t>qZ/+YklVlkm4PKeY0eBIsQ</t>
  </si>
  <si>
    <t>8052.15</t>
  </si>
  <si>
    <t>E7poeJDJ+kCkyAkgs81P7g</t>
  </si>
  <si>
    <t>4558.8</t>
  </si>
  <si>
    <t>l8/1a38LikGDA9JOi0x2Bw</t>
  </si>
  <si>
    <t>0.17275</t>
  </si>
  <si>
    <t>69.1</t>
  </si>
  <si>
    <t>vb8dBC8tS025YbULc0poGg</t>
  </si>
  <si>
    <t>2149.5</t>
  </si>
  <si>
    <t>A4A3JXoW+UiaSgeRelWpxg</t>
  </si>
  <si>
    <t>0.12125</t>
  </si>
  <si>
    <t>48.5</t>
  </si>
  <si>
    <t>Kz+cMuiJ7EmI4XsKq5AOHg</t>
  </si>
  <si>
    <t>430.14</t>
  </si>
  <si>
    <t>U3tJRtr+oEmrXSnzzQVRLQ</t>
  </si>
  <si>
    <t>0.7632</t>
  </si>
  <si>
    <t>305.28</t>
  </si>
  <si>
    <t>Rmh4DKBQ5EuIl7ZcUFEF4Q</t>
  </si>
  <si>
    <t>0.118925</t>
  </si>
  <si>
    <t>47.57</t>
  </si>
  <si>
    <t>5BFdbu2ZOke+TPlCVF22aQ</t>
  </si>
  <si>
    <t>0.02545</t>
  </si>
  <si>
    <t>10.18</t>
  </si>
  <si>
    <t>zsRUiEuDx0a6wAzIpO0PMQ</t>
  </si>
  <si>
    <t>0.33995</t>
  </si>
  <si>
    <t>135.98</t>
  </si>
  <si>
    <t>LFqSuWJ9FEaECfd47a7g9A</t>
  </si>
  <si>
    <t>TozJ58XMuUmXHtYRmiIMrQ</t>
  </si>
  <si>
    <t>5376.75</t>
  </si>
  <si>
    <t>0.852175</t>
  </si>
  <si>
    <t>340.87</t>
  </si>
  <si>
    <t>7mXzxdOsMUqAbmzXY2YhUg</t>
  </si>
  <si>
    <t>FV608pefJkSm5os3EbSyIQ</t>
  </si>
  <si>
    <t>0.1</t>
  </si>
  <si>
    <t>y1YvP+1pg0Wvjbi5X9GYOQ</t>
  </si>
  <si>
    <t>9ETwPPt8L0aN5wdZhJNURw</t>
  </si>
  <si>
    <t>uBwH+yzGNkCQibFR3Ooeeg</t>
  </si>
  <si>
    <t>0.2702375</t>
  </si>
  <si>
    <t>216.19</t>
  </si>
  <si>
    <t>22Wp64Y8gEapiWGWrUy8jA</t>
  </si>
  <si>
    <t>0.2790375</t>
  </si>
  <si>
    <t>223.23</t>
  </si>
  <si>
    <t>9T5PaxP/uUGFTwz8DE9FvQ</t>
  </si>
  <si>
    <t>0.076325</t>
  </si>
  <si>
    <t>61.06</t>
  </si>
  <si>
    <t>0juf17QGmEOXC504kAOACg</t>
  </si>
  <si>
    <t>0.4028</t>
  </si>
  <si>
    <t>322.24</t>
  </si>
  <si>
    <t>aN+s33OEL0e66YcU4D7umA</t>
  </si>
  <si>
    <t>0.10617502</t>
  </si>
  <si>
    <t>3wD2l9W+WUqbAt9C5sriGQ</t>
  </si>
  <si>
    <t>0.0844</t>
  </si>
  <si>
    <t>67.52</t>
  </si>
  <si>
    <t>NmyHZUC700miLQ/e4zn33g</t>
  </si>
  <si>
    <t>0.2375</t>
  </si>
  <si>
    <t>8x36qdv7UkGB4xRHgrJTbA</t>
  </si>
  <si>
    <t>CNbqRyhD8ESGJJ1ItUVxPg</t>
  </si>
  <si>
    <t>ds31AofFcE2/KTPXd1R1gA</t>
  </si>
  <si>
    <t>IXaHJY06xEedENTkrGDfTw</t>
  </si>
  <si>
    <t>1TWKH4d0DkCcLsPsi+BVVQ</t>
  </si>
  <si>
    <t>KJIhv3MZqEyF8W/dOrqeJQ</t>
  </si>
  <si>
    <t>A90WecUVvUaj6zdcYbDaFg</t>
  </si>
  <si>
    <t>0.47645</t>
  </si>
  <si>
    <t>381.16</t>
  </si>
  <si>
    <t>KBWLT8VgekKj/xiZ9KFoig</t>
  </si>
  <si>
    <t>Zz0o7Uszd0uh84CvWee3dg</t>
  </si>
  <si>
    <t>nh++cd0qsEiBeI5UxDbiJg</t>
  </si>
  <si>
    <t>ymPElBwNNEWnzqFj3Jln6g</t>
  </si>
  <si>
    <t>qzW6OlzJMESs2fur6heRAA</t>
  </si>
  <si>
    <t>Z4t8vhTzGk2E4chTiwgrXQ</t>
  </si>
  <si>
    <t>nmN6S5pKo0O5IfrUL4xZAw</t>
  </si>
  <si>
    <t>0.085</t>
  </si>
  <si>
    <t>EbHamOs1H0C/6YkEK2H+Pw</t>
  </si>
  <si>
    <t>e5T1uMqNt0uaYOhvLJTCtw</t>
  </si>
  <si>
    <t>4p+GXkh89kaDfzTJuCqukg</t>
  </si>
  <si>
    <t>9Seif86bZEWskugCpm+9aQ</t>
  </si>
  <si>
    <t>39168.75</t>
  </si>
  <si>
    <t>3iLXqajLpkSrnhm214mRfQ</t>
  </si>
  <si>
    <t>5280.66</t>
  </si>
  <si>
    <t>qo+IJbJlo06Av3tcxJIUFA</t>
  </si>
  <si>
    <t>taskrsrc_sum_id</t>
  </si>
  <si>
    <t>has_rsrchours</t>
  </si>
  <si>
    <t>cbs_id</t>
  </si>
  <si>
    <t>create_date</t>
  </si>
  <si>
    <t>create_user</t>
  </si>
  <si>
    <t>cost_per_qty_source_type</t>
  </si>
  <si>
    <t>rsrc_type</t>
  </si>
  <si>
    <t>curv_id</t>
  </si>
  <si>
    <t>act_this_per_qty</t>
  </si>
  <si>
    <t>act_this_per_cost</t>
  </si>
  <si>
    <t>rate_type</t>
  </si>
  <si>
    <t>guid</t>
  </si>
  <si>
    <t>ts_pend_act_end_flag</t>
  </si>
  <si>
    <t>actual_crv</t>
  </si>
  <si>
    <t>remain_crv</t>
  </si>
  <si>
    <t>target_crv</t>
  </si>
  <si>
    <t>rollup_dates_flag</t>
  </si>
  <si>
    <t>rem_late_end_date</t>
  </si>
  <si>
    <t>rem_late_start_date</t>
  </si>
  <si>
    <t>target_end_date</t>
  </si>
  <si>
    <t>target_start_date</t>
  </si>
  <si>
    <t>reend_date</t>
  </si>
  <si>
    <t>restart_date</t>
  </si>
  <si>
    <t>act_end_date</t>
  </si>
  <si>
    <t>act_start_date</t>
  </si>
  <si>
    <t>remain_cost</t>
  </si>
  <si>
    <t>act_ot_cost</t>
  </si>
  <si>
    <t>act_reg_cost</t>
  </si>
  <si>
    <t>target_cost</t>
  </si>
  <si>
    <t>cost_per_qty</t>
  </si>
  <si>
    <t>ot_factor</t>
  </si>
  <si>
    <t>relag_drtn_hr_cnt</t>
  </si>
  <si>
    <t>act_reg_qty</t>
  </si>
  <si>
    <t>act_ot_qty</t>
  </si>
  <si>
    <t>target_qty_per_hr</t>
  </si>
  <si>
    <t>target_lag_drtn_hr_cnt</t>
  </si>
  <si>
    <t>remain_qty_per_hr</t>
  </si>
  <si>
    <t>target_qty</t>
  </si>
  <si>
    <t>remain_qty</t>
  </si>
  <si>
    <t>skill_level</t>
  </si>
  <si>
    <t>pobs_id</t>
  </si>
  <si>
    <t>rsrc_id</t>
  </si>
  <si>
    <t>acct_id</t>
  </si>
  <si>
    <t>role_id</t>
  </si>
  <si>
    <t>cost_qty_link_flag</t>
  </si>
  <si>
    <t>task_id</t>
  </si>
  <si>
    <t>taskrsrc_id</t>
  </si>
  <si>
    <t>TASKRSRC</t>
  </si>
  <si>
    <t>PR_FS</t>
  </si>
  <si>
    <t>PR_FF</t>
  </si>
  <si>
    <t>PR_SS</t>
  </si>
  <si>
    <t>arls</t>
  </si>
  <si>
    <t>aref</t>
  </si>
  <si>
    <t>float_path</t>
  </si>
  <si>
    <t>comments</t>
  </si>
  <si>
    <t>lag_hr_cnt</t>
  </si>
  <si>
    <t>pred_type</t>
  </si>
  <si>
    <t>pred_proj_id</t>
  </si>
  <si>
    <t>pred_task_id</t>
  </si>
  <si>
    <t>task_pred_id</t>
  </si>
  <si>
    <t>TASKPRED</t>
  </si>
  <si>
    <t>CL_Uniform</t>
  </si>
  <si>
    <t>Chiusura carreggiata DIR. PA-CT -Apertura al traffico carreggiata DIR. CT-PA con una corsia per senso di marcia - (cost)</t>
  </si>
  <si>
    <t>Verbale di consegna  - (cost)</t>
  </si>
  <si>
    <t>Autorizzazione al Subappalto per Scarificatura - (cost)</t>
  </si>
  <si>
    <t>ULTIMAZIONE LAVORI - (cost)</t>
  </si>
  <si>
    <t>Inzio attività - (cost)</t>
  </si>
  <si>
    <t>contract_manager_import</t>
  </si>
  <si>
    <t>cost_descr</t>
  </si>
  <si>
    <t>qty_name</t>
  </si>
  <si>
    <t>auto_compute_act_flag</t>
  </si>
  <si>
    <t>cost_load_type</t>
  </si>
  <si>
    <t>act_cost</t>
  </si>
  <si>
    <t>vendor_name</t>
  </si>
  <si>
    <t>po_number</t>
  </si>
  <si>
    <t>cost_name</t>
  </si>
  <si>
    <t>cost_type_id</t>
  </si>
  <si>
    <t>cost_item_id</t>
  </si>
  <si>
    <t>PROJCOST</t>
  </si>
  <si>
    <t>ZKCUYQysSUSc7F0+evRYSQ</t>
  </si>
  <si>
    <t>XC7rTLHamkG74pyPczRvUA</t>
  </si>
  <si>
    <t>PT_Normal</t>
  </si>
  <si>
    <t>Linee Elettriche BT interferenti Ricostruzione</t>
  </si>
  <si>
    <t>A1030</t>
  </si>
  <si>
    <t>TK_NotStart</t>
  </si>
  <si>
    <t>DT_FixedDrtn</t>
  </si>
  <si>
    <t>TT_Task</t>
  </si>
  <si>
    <t>CP_Drtn</t>
  </si>
  <si>
    <t>Linee Elettriche BT interferenti Demilizione</t>
  </si>
  <si>
    <t>A1020</t>
  </si>
  <si>
    <t>0mptNcMuVkS5pp9ORZOP1A</t>
  </si>
  <si>
    <t>pa4qDP5dBUGTwzn4qoD86Q</t>
  </si>
  <si>
    <t>Linee Telefoniche Interferenti Ricostruzione</t>
  </si>
  <si>
    <t>A1010</t>
  </si>
  <si>
    <t>Linee Telefoniche Interferenti Demolizione</t>
  </si>
  <si>
    <t>A1000</t>
  </si>
  <si>
    <t>bHtRInwp4rkJZsvvwKhkPa</t>
  </si>
  <si>
    <t>FFRttbLPcEO2ykiDE6xXWQ</t>
  </si>
  <si>
    <t>325.6</t>
  </si>
  <si>
    <t>Smontaggio Ponteggi Pila 55</t>
  </si>
  <si>
    <t>DT_FixedDUR2</t>
  </si>
  <si>
    <t>CP_Phys</t>
  </si>
  <si>
    <t>bHtRGkQ96vMVWS0/wKhkPa</t>
  </si>
  <si>
    <t>7qhmugV4iECG5NrU/VrZCg</t>
  </si>
  <si>
    <t>Strati di Malta Pulvini e Baggioli Pila 55</t>
  </si>
  <si>
    <t>bHtRE9EgXH0Z1L73wKhkPa</t>
  </si>
  <si>
    <t>nDsfa6qzqk+6aZdEwh3xlA</t>
  </si>
  <si>
    <t>Montaggio Ferri Pulvino e Baggiolo Pila 55</t>
  </si>
  <si>
    <t>bHtRDN1lIjoTF3WvwKhkPa</t>
  </si>
  <si>
    <t>gnChE3XD7kqMw+2pRP5MZw</t>
  </si>
  <si>
    <t>Inghisaggi Feri Baggioli Pila 55</t>
  </si>
  <si>
    <t>bHtRCo9G93htHie8wKhkPa</t>
  </si>
  <si>
    <t>NogGNGDef0mvd2BJe9jUug</t>
  </si>
  <si>
    <t>Passivazione Ferri Baggioli Pila 55</t>
  </si>
  <si>
    <t>bHtRBldkZw4zxFCmwKhkPa</t>
  </si>
  <si>
    <t>rg7rAic8J0eg+itKR+ji1Q</t>
  </si>
  <si>
    <t>Bocciardatura Baggioli Pila 55</t>
  </si>
  <si>
    <t>bHtQ/w7SqhoOB9Y2wKhkPa</t>
  </si>
  <si>
    <t>zhBYgOOtH0C+HCqTCF6rcg</t>
  </si>
  <si>
    <t>Montaggio Ponteggi Pila 55</t>
  </si>
  <si>
    <t>bHtQ8UBJo3NOKWVswKhkPa</t>
  </si>
  <si>
    <t>j9umJ4ra00awmWzGbCpHvw</t>
  </si>
  <si>
    <t>1077.6</t>
  </si>
  <si>
    <t>Montaggio Ponteggi Pila 54</t>
  </si>
  <si>
    <t>bHtQ6juzOrtO/qjgwKhkPa</t>
  </si>
  <si>
    <t>rwUNCEgRFU6MeMwaEH8T8Q</t>
  </si>
  <si>
    <t>Strati di Malta Pulvini e Baggioli Pila 54</t>
  </si>
  <si>
    <t>bHtQ48bjZMY8Pne4wKhkPa</t>
  </si>
  <si>
    <t>fsoRxSVBi0KyI85TEDV4uw</t>
  </si>
  <si>
    <t>Montaggio Ferri Pulvino e Baggiolo Pila 54</t>
  </si>
  <si>
    <t>bHtQ2gvvTNhZOMaHwKhkPa</t>
  </si>
  <si>
    <t>lhijzcYd/EaukcIEkrv/QQ</t>
  </si>
  <si>
    <t>Inghisaggi Feri Baggioli Pila 54</t>
  </si>
  <si>
    <t>bHtQ0q6WW61szYNQwKhkPa</t>
  </si>
  <si>
    <t>PD8dj/aFB0mUqHcmdTU6dQ</t>
  </si>
  <si>
    <t>Passivazione Ferri Baggioli Pila 54</t>
  </si>
  <si>
    <t>bHtQyrJLn+tIJ1KlwKhkPa</t>
  </si>
  <si>
    <t>yklcyK9iykSjYQ5ZisQIWw</t>
  </si>
  <si>
    <t>Bocciardatura Baggioli Pila 54</t>
  </si>
  <si>
    <t>bHtQw0nft/4PbUHRwKhkPa</t>
  </si>
  <si>
    <t>e+cxQNDtcE6mBqOMhdEcFQ</t>
  </si>
  <si>
    <t>Smontaggio Ponteggi Pila 54</t>
  </si>
  <si>
    <t>bHtQtr4W4ONSG70EwKhkPa</t>
  </si>
  <si>
    <t>6suP1COQIkWGSl388D+XPg</t>
  </si>
  <si>
    <t>1102.6</t>
  </si>
  <si>
    <t>Montaggio Ponteggi Pila 53</t>
  </si>
  <si>
    <t>bHtQqTavbKE+hev/wKhkPa</t>
  </si>
  <si>
    <t>UJjJvaPYOUS5WPwnZxqLPg</t>
  </si>
  <si>
    <t>Strati di Malta Pulvini e Baggioli Pila 53</t>
  </si>
  <si>
    <t>bHtQoufxq0516nKxwKhkPa</t>
  </si>
  <si>
    <t>EVdpOpSm/UOaJtc5LIDVtw</t>
  </si>
  <si>
    <t>Montaggio Ferri Pulvino e Baggiolo Pila 53</t>
  </si>
  <si>
    <t>bHtQmanMOrEz27JLwKhkPa</t>
  </si>
  <si>
    <t>MNT184hSVkiFXQ8/njHBQg</t>
  </si>
  <si>
    <t>Inghisaggi Feri Baggioli Pila 53</t>
  </si>
  <si>
    <t>bHtQkwoz93AtswWmwKhkPa</t>
  </si>
  <si>
    <t>rrTtFjOkFUCNpKmLmyES5w</t>
  </si>
  <si>
    <t>Passivazione Ferri Baggioli Pila 53</t>
  </si>
  <si>
    <t>bHtQiyk8wf4euqPQwKhkPa</t>
  </si>
  <si>
    <t>jrnTFDdQA0mcmzvIECZpPA</t>
  </si>
  <si>
    <t>Bocciardatura Baggioli Pila 53</t>
  </si>
  <si>
    <t>bHtQhOIbunAzfqEgwKhkPa</t>
  </si>
  <si>
    <t>VJmIGsZQuEewdAwJJKfEdQ</t>
  </si>
  <si>
    <t>1093.6</t>
  </si>
  <si>
    <t>Smontaggio Ponteggi Pila 53</t>
  </si>
  <si>
    <t>bHtQdIHQxSdnOElkwKhkPa</t>
  </si>
  <si>
    <t>NZVyOqFo302TeVpdLi18Hg</t>
  </si>
  <si>
    <t>1158.6</t>
  </si>
  <si>
    <t>Smontaggio Ponteggi Pila 52</t>
  </si>
  <si>
    <t>bHtQEKqTy9YZN3rEwKhkPa</t>
  </si>
  <si>
    <t>FnS7h2lNIkuwjHEC/aiYBQ</t>
  </si>
  <si>
    <t>Strati di Malta Pulvini e Baggioli Pila 52</t>
  </si>
  <si>
    <t>bHtQCMWqL3timJ0SwKhkPa</t>
  </si>
  <si>
    <t>dWgY0up0c0CTte1DfUV26A</t>
  </si>
  <si>
    <t>Montaggio Ferri Pulvino e Baggiolo Pila 52</t>
  </si>
  <si>
    <t>bHtQAVFATot1dbofwKhkPa</t>
  </si>
  <si>
    <t>/L9wwyaXBk67HvSLLtAL7Q</t>
  </si>
  <si>
    <t>Inghisaggi Feri Baggioli Pila 52</t>
  </si>
  <si>
    <t>bHtP9CiNX8pH1m0SwKhkPa</t>
  </si>
  <si>
    <t>h317YxYD5UqSNkpBwlPb6w</t>
  </si>
  <si>
    <t>Passivazione Ferri Baggioli Pila 52</t>
  </si>
  <si>
    <t>bHtP7XDabVNSeG9/wKhkPa</t>
  </si>
  <si>
    <t>zeWEfWIuPk6LT/JsruBl1g</t>
  </si>
  <si>
    <t>Bocciardatura Baggioli Pila 52</t>
  </si>
  <si>
    <t>bHtP5cbO1GkEMT4YwKhkPa</t>
  </si>
  <si>
    <t>IzEB7o+p+kOypgLws6l5SQ</t>
  </si>
  <si>
    <t>Montaggio Ponteggi Pila 52</t>
  </si>
  <si>
    <t>bHtP2AgZP884MaaYwKhkPa</t>
  </si>
  <si>
    <t>Pn//uoZrJkGwF2E25dk2OQ</t>
  </si>
  <si>
    <t>1240.6</t>
  </si>
  <si>
    <t>Smontaggio Ponteggi Pila 51</t>
  </si>
  <si>
    <t>bHtP0Kte8gw0SwV+wKhkPa</t>
  </si>
  <si>
    <t>FmgzMXGng0ik5TvJDGsGmQ</t>
  </si>
  <si>
    <t>Strati di Malta Pulvini e Baggioli Pila 51</t>
  </si>
  <si>
    <t>bHtPx4l+wuhmmZPHwKhkPa</t>
  </si>
  <si>
    <t>WgaFOvrxIUKkkUoaHqAsNQ</t>
  </si>
  <si>
    <t>Montaggio Ferri Pulvino e Baggiolo Pila 51</t>
  </si>
  <si>
    <t>bHtPv0USW6t5AjySwKhkPa</t>
  </si>
  <si>
    <t>zrVcWOrTv0u+mHfFtST+OQ</t>
  </si>
  <si>
    <t>Inghisaggi Feri Baggioli Pila 51</t>
  </si>
  <si>
    <t>bHtPuD7Age517yMswKhkPa</t>
  </si>
  <si>
    <t>8bDJ2o3r0UaP3lYZLJM8mA</t>
  </si>
  <si>
    <t>Passivazione Ferri Baggioli Pila 51</t>
  </si>
  <si>
    <t>bHtPsB2TfwZK0wpgwKhkPa</t>
  </si>
  <si>
    <t>WX0Ctm7ah0aze6jMy4xhog</t>
  </si>
  <si>
    <t>Bocciardatura Baggioli Pila 51</t>
  </si>
  <si>
    <t>bHtPqRFoQs4uZjxBwKhkPa</t>
  </si>
  <si>
    <t>QVuxJFlpKUiJyZIo7s9h+g</t>
  </si>
  <si>
    <t>Montaggio Ponteggi Pila 51</t>
  </si>
  <si>
    <t>bHtPlubQa710vIzBwKhkPa</t>
  </si>
  <si>
    <t>G+G2ol8uSE+NQ01ZU54ntw</t>
  </si>
  <si>
    <t>1321.6</t>
  </si>
  <si>
    <t>Smontaggio Ponteggi Pila 50</t>
  </si>
  <si>
    <t>bHtPjyzvjvh0r2G3wKhkPa</t>
  </si>
  <si>
    <t>MWJxWT1amEO+VpiAh/IasA</t>
  </si>
  <si>
    <t>Strati di Malta Pulvini e Baggioli Pila 50</t>
  </si>
  <si>
    <t>bHtPh29rIjEZujiBwKhkPa</t>
  </si>
  <si>
    <t>wIzzQPpm6Uydm02+putZgA</t>
  </si>
  <si>
    <t>Montaggio Ferri Pulvino e Baggiolo Pila 50</t>
  </si>
  <si>
    <t>bHtPgBQ+xlo+WVPdwKhkPa</t>
  </si>
  <si>
    <t>YT/60TrQSkqVrAsAI35b5g</t>
  </si>
  <si>
    <t>Inghisaggi Feri Baggioli Pila 50</t>
  </si>
  <si>
    <t>bHtPeb90T+M7V3iDwKhkPa</t>
  </si>
  <si>
    <t>zYeUt4HbbUWoiK3E7S+npA</t>
  </si>
  <si>
    <t>Passivazione Ferri Baggioli Pila 50</t>
  </si>
  <si>
    <t>bHtPccWmAOMgKaozwKhkPa</t>
  </si>
  <si>
    <t>EA3gdETF80Wt4Pw5lZ/BgQ</t>
  </si>
  <si>
    <t>Bocciardatura Baggioli Pila 50</t>
  </si>
  <si>
    <t>bHtPbbt8u2ApwdC/wKhkPa</t>
  </si>
  <si>
    <t>h8Y5g+IriUGM1HEPyheZaQ</t>
  </si>
  <si>
    <t>Montaggio Ponteggi Pila 50</t>
  </si>
  <si>
    <t>bHtPZ8Nnwhxd9WVNwKhkPa</t>
  </si>
  <si>
    <t>urovpXOzdU29p5G1sOqHLA</t>
  </si>
  <si>
    <t>1402.6</t>
  </si>
  <si>
    <t>Smontaggio Ponteggi Pila 49</t>
  </si>
  <si>
    <t>bHtPZAJP7xhz4LJ5wKhkPa</t>
  </si>
  <si>
    <t>uQcQ0WRCekCV8TUh1ULl0A</t>
  </si>
  <si>
    <t>Strati di Malta Pulvini e Baggioli Pila 49</t>
  </si>
  <si>
    <t>bHtPXVd3VW8zkMSlwKhkPa</t>
  </si>
  <si>
    <t>P0U7/9/mNUitB85mPOCZig</t>
  </si>
  <si>
    <t>Montaggio Ferri Pulvino e Baggiolo Pila 49</t>
  </si>
  <si>
    <t>bHtPWBakA8oKyvxEwKhkPa</t>
  </si>
  <si>
    <t>zSw9LXBqKUq/AIpojqghFA</t>
  </si>
  <si>
    <t>Inghisaggi Feri Baggioli Pila 49</t>
  </si>
  <si>
    <t>bHtPV5ag5eRzqNrEwKhkPa</t>
  </si>
  <si>
    <t>yLuF9QGb7Ee2tJJGNCm79w</t>
  </si>
  <si>
    <t>Passivazione Ferri Baggioli Pila 49</t>
  </si>
  <si>
    <t>bHtPT1jjLLtuiYZUwKhkPa</t>
  </si>
  <si>
    <t>Ytg2OyfQKUqBTLmmYykA6A</t>
  </si>
  <si>
    <t>Bocciardatura Baggioli Pila 49</t>
  </si>
  <si>
    <t>bHtPSNN+LoNtk8OwwKhkPa</t>
  </si>
  <si>
    <t>py3aLfQr+ke/M1ckLXQ7rQ</t>
  </si>
  <si>
    <t>Montaggio Ponteggi Pila 49</t>
  </si>
  <si>
    <t>bHtPPJTlv6kW2w1xwKhkPa</t>
  </si>
  <si>
    <t>rUjZtsVwMkiU7teI/Aw21A</t>
  </si>
  <si>
    <t>1483.6</t>
  </si>
  <si>
    <t>Smontaggio Ponteggi Pila 48</t>
  </si>
  <si>
    <t>bHtPNcv5yhNsP75qwKhkPa</t>
  </si>
  <si>
    <t>yNRxEny3D0u9nn/yB81fKQ</t>
  </si>
  <si>
    <t>Strati di Malta Pulvini e Baggioli Pila 48</t>
  </si>
  <si>
    <t>bHtPKZDhmPoi5yIAwKhkPa</t>
  </si>
  <si>
    <t>L2aLpDOwS0KDL0ycDNRuSg</t>
  </si>
  <si>
    <t>Montaggio Ferri Pulvino e Baggiolo Pila 48</t>
  </si>
  <si>
    <t>bHtPItvD56oW3RxDwKhkPa</t>
  </si>
  <si>
    <t>u/2k4OWqO0OUKk3NCutpCw</t>
  </si>
  <si>
    <t>Inghisaggi Feri Baggioli Pila 48</t>
  </si>
  <si>
    <t>bHtPGtRbs3oAH0A8wKhkPa</t>
  </si>
  <si>
    <t>7v8/nu/z1UycHt0SBpUdGw</t>
  </si>
  <si>
    <t>Passivazione Ferri Baggioli Pila 48</t>
  </si>
  <si>
    <t>bHtPE/xLua5w5844wKhkPa</t>
  </si>
  <si>
    <t>6+/tko/EhEGxdpoV3aJWGw</t>
  </si>
  <si>
    <t>Bocciardatura Baggioli Pila 48</t>
  </si>
  <si>
    <t>bHtPCVeF55kgk+qTwKhkPa</t>
  </si>
  <si>
    <t>5JMcsXjhfE2EvcJqoNhGcQ</t>
  </si>
  <si>
    <t>Montaggio Ponteggi Pila 48</t>
  </si>
  <si>
    <t>bHtO/IWdIZo+aqTawKhkPa</t>
  </si>
  <si>
    <t>YNsOPbeOPkGbs47cY6UvJg</t>
  </si>
  <si>
    <t>75.4</t>
  </si>
  <si>
    <t>1559.6</t>
  </si>
  <si>
    <t>Smontaggio Ponteggi Pila 47</t>
  </si>
  <si>
    <t>bHtO9CGHk9tUtn9AwKhkPa</t>
  </si>
  <si>
    <t>zKPWt0ZaVkaLSP7algE3vQ</t>
  </si>
  <si>
    <t>Strati di Malta Pulvini e Baggioli Pila 47</t>
  </si>
  <si>
    <t>bHtO7NcBVn9owMVrwKhkPa</t>
  </si>
  <si>
    <t>BnVBgGDXr0WYI0GtPccXHw</t>
  </si>
  <si>
    <t>Montaggio Ferri Pulvino e Baggiolo Pila 47</t>
  </si>
  <si>
    <t>bHtO5VmTWSlnkwE1wKhkPa</t>
  </si>
  <si>
    <t>XyyXdMoP/E+0ixdNqCZJvw</t>
  </si>
  <si>
    <t>Inghisaggi Feri Baggioli Pila 47</t>
  </si>
  <si>
    <t>bHtO3OkCpYYHza97wKhkPa</t>
  </si>
  <si>
    <t>hiJg2O06NUOvVh0zuOlm8g</t>
  </si>
  <si>
    <t>Passivazione Ferri Baggioli Pila 47</t>
  </si>
  <si>
    <t>bHtO1VinJ1c8oA1OwKhkPa</t>
  </si>
  <si>
    <t>zTa6s6LeVU6GJr6pnaVeZg</t>
  </si>
  <si>
    <t>Bocciardatura Baggioli Pila 47</t>
  </si>
  <si>
    <t>bHtOziol+AZl/VQ4wKhkPa</t>
  </si>
  <si>
    <t>lZDZYOaaQEqmlh+NWMzocQ</t>
  </si>
  <si>
    <t>Montaggio Ponteggi Pila 47</t>
  </si>
  <si>
    <t>bHtOwO4XHQYc2IPswKhkPa</t>
  </si>
  <si>
    <t>HCr7nEFJokORGH0VlIXF3g</t>
  </si>
  <si>
    <t>1573.2</t>
  </si>
  <si>
    <t>Smontaggio Ponteggi Pila 46</t>
  </si>
  <si>
    <t>bHtOuUaORn1M7EadwKhkPa</t>
  </si>
  <si>
    <t>qy1pB41/6Uum5Qi0agLzDw</t>
  </si>
  <si>
    <t>Strati di Malta Pulvini e Baggioli Pila 46</t>
  </si>
  <si>
    <t>bHtOrVQUKTI0Lav+wKhkPa</t>
  </si>
  <si>
    <t>5SBZS19CcEeUuHogVRsrCA</t>
  </si>
  <si>
    <t>Montaggio Ferri Pulvino e Baggiolo Pila 46</t>
  </si>
  <si>
    <t>bHtOplIb4UUf1rrywKhkPa</t>
  </si>
  <si>
    <t>zoa4b33zaEKNdGLxQTPAXA</t>
  </si>
  <si>
    <t>Inghisaggi Feri Baggioli Pila 46</t>
  </si>
  <si>
    <t>bHtOntEgj0BwUXyBwKhkPa</t>
  </si>
  <si>
    <t>qB5N03oNFUGueFhdlh07mA</t>
  </si>
  <si>
    <t>Passivazione Ferri Baggioli Pila 46</t>
  </si>
  <si>
    <t>bHtOljAItm4X7OJlwKhkPa</t>
  </si>
  <si>
    <t>keA8Vt/m8U+1SqD8dTsLHQ</t>
  </si>
  <si>
    <t>Bocciardatura Baggioli Pila 46</t>
  </si>
  <si>
    <t>bHtOlYIQDIgAxXKkwKhkPa</t>
  </si>
  <si>
    <t>PSDoFJW9Y0i/z6YgZqHT8w</t>
  </si>
  <si>
    <t>Montaggio Ponteggi Pila 46</t>
  </si>
  <si>
    <t>bHtOjo5EYn8BKjq3wKhkPa</t>
  </si>
  <si>
    <t>gofrKTkU6UO7qaRyYNbklg</t>
  </si>
  <si>
    <t>1654.2</t>
  </si>
  <si>
    <t>Smontaggio Ponteggi Pila 45</t>
  </si>
  <si>
    <t>bHtOh0u1CfAcPazCwKhkPa</t>
  </si>
  <si>
    <t>JFUFLTyhJU+fWAUK7aMDvg</t>
  </si>
  <si>
    <t>Strati di Malta Pulvini e Baggioli Pila 45</t>
  </si>
  <si>
    <t>bHtOg77WCgNrPWaxwKhkPa</t>
  </si>
  <si>
    <t>A3kz9VFZ1EuRf/BZnuA6Og</t>
  </si>
  <si>
    <t>Montaggio Ferri Pulvino e Baggiolo Pila 45</t>
  </si>
  <si>
    <t>bHtOgXMy6Uta0DQwwKhkPa</t>
  </si>
  <si>
    <t>xvhsY4IYp0eyXC20RwqfLA</t>
  </si>
  <si>
    <t>Inghisaggi Feri Baggioli Pila 45</t>
  </si>
  <si>
    <t>bHtOfkePf8o2NXftwKhkPa</t>
  </si>
  <si>
    <t>6VrApoP4MkWd94Xkbzkljw</t>
  </si>
  <si>
    <t>Passivazione Ferri Baggioli Pila 45</t>
  </si>
  <si>
    <t>bHtOccndbl48eTnuwKhkPa</t>
  </si>
  <si>
    <t>taPZ2inxs0iW+5lvtSIL7w</t>
  </si>
  <si>
    <t>Bocciardatura Baggioli Pila 45</t>
  </si>
  <si>
    <t>bHtOarSeYYFk4DAkwKhkPa</t>
  </si>
  <si>
    <t>2b5hJyCVGk6NSxv+pKjvag</t>
  </si>
  <si>
    <t>Montaggio Ponteggi Pila 45</t>
  </si>
  <si>
    <t>bHtOWt+yKvdeAy+swKhkPa</t>
  </si>
  <si>
    <t>gGWbFQIAMESANuJOYTHFog</t>
  </si>
  <si>
    <t>1735.2</t>
  </si>
  <si>
    <t>Smontaggio Ponteggi Pila 44</t>
  </si>
  <si>
    <t>bHtOUsNektwdWUMHwKhkPa</t>
  </si>
  <si>
    <t>sdh1KuMaOEml1pEVIfEPNQ</t>
  </si>
  <si>
    <t>Strati di Malta Pulvini e Baggioli Pila 44</t>
  </si>
  <si>
    <t>bHtOUGx35OU53c+BwKhkPa</t>
  </si>
  <si>
    <t>6qbDYSL9tUSBYUNSAomcXg</t>
  </si>
  <si>
    <t>Montaggio Ferri Pulvino e Baggiolo Pila 44</t>
  </si>
  <si>
    <t>bHtOTonAgnAIuPmDwKhkPa</t>
  </si>
  <si>
    <t>Ea08URLc+k+VNG8fgjLJcQ</t>
  </si>
  <si>
    <t>Inghisaggi Feri Baggioli Pila 44</t>
  </si>
  <si>
    <t>bHtOSSi+QycRqlZmwKhkPa</t>
  </si>
  <si>
    <t>mC8vYbaO8UCmXEDYEqavWA</t>
  </si>
  <si>
    <t>Passivazione Ferri Baggioli Pila 44</t>
  </si>
  <si>
    <t>bHtOQdRqCulk+BsWwKhkPa</t>
  </si>
  <si>
    <t>ZcMZy/FEtkSxtSyoDyP3Tw</t>
  </si>
  <si>
    <t>Bocciardatura Baggioli Pila 44</t>
  </si>
  <si>
    <t>bHtOOn0XgFdvy8PmwKhkPa</t>
  </si>
  <si>
    <t>H+qqS2D/N0GtqIlvUQ4xYA</t>
  </si>
  <si>
    <t>Montaggio Ponteggi Pila 44</t>
  </si>
  <si>
    <t>bHtOLKP/ZA8F+S/gwKhkPa</t>
  </si>
  <si>
    <t>VRRCtyu7+0SGv8fFe0Pw8Q</t>
  </si>
  <si>
    <t>1816.2</t>
  </si>
  <si>
    <t>Smontaggio Ponteggi Pila 43</t>
  </si>
  <si>
    <t>bHtOIehXtmdDbbSjwKhkPa</t>
  </si>
  <si>
    <t>k3xGeHH2qEO39B9f++zdwg</t>
  </si>
  <si>
    <t>Strati di Malta Pulvini e Baggioli Pila 43</t>
  </si>
  <si>
    <t>bHtOGrrvob97NcC0wKhkPa</t>
  </si>
  <si>
    <t>X/eu7GIDI0i3p/Z4uf9azw</t>
  </si>
  <si>
    <t>Montaggio Ferri Pulvino e Baggiolo Pila 43</t>
  </si>
  <si>
    <t>bHtNwR6WPE5Vx5BLwKhkPa</t>
  </si>
  <si>
    <t>0waxB2mD8Umc7elh4fA0sw</t>
  </si>
  <si>
    <t>Inghisaggi Feri Baggioli Pila 43</t>
  </si>
  <si>
    <t>bHtNrCSSP+BxxLV9wKhkPa</t>
  </si>
  <si>
    <t>7ItapwQO/EytqSe9j+V3Vg</t>
  </si>
  <si>
    <t>Passivazione Ferri Baggioli Pila 43</t>
  </si>
  <si>
    <t>bHtNpcYNKEJmu9t6wKhkPa</t>
  </si>
  <si>
    <t>Bocciardatura Baggioli Pila 43</t>
  </si>
  <si>
    <t>bHtNo3AqLbReLg5BwKhkPa</t>
  </si>
  <si>
    <t>uvN1N0E6v0ClI1Q+qKzj6w</t>
  </si>
  <si>
    <t>Montaggio Ponteggi Pila 43</t>
  </si>
  <si>
    <t>bHtNmtZ4yucwZdJ1wKhkPa</t>
  </si>
  <si>
    <t>Kl5zupTgikSMCzU/8QC/FA</t>
  </si>
  <si>
    <t>1897.2</t>
  </si>
  <si>
    <t>Smontaggio Ponteggi Pila 42</t>
  </si>
  <si>
    <t>bHtNkYrNS2c1TCKwwKhkPa</t>
  </si>
  <si>
    <t>fyxUYQuukU6qHehlPszR9A</t>
  </si>
  <si>
    <t>Strati di Malta Pulvini e Baggioli Pila 42</t>
  </si>
  <si>
    <t>bHtNiroZpRFO3mSnwKhkPa</t>
  </si>
  <si>
    <t>wi2T89NOqUeIY6px4WKmWg</t>
  </si>
  <si>
    <t>Montaggio Ferri Pulvino e Baggiolo Pila 42</t>
  </si>
  <si>
    <t>bHtNgmOXU2cdjdkgwKhkPa</t>
  </si>
  <si>
    <t>zr2UF7jVO0GzoLA3tFC5kg</t>
  </si>
  <si>
    <t>Inghisaggi Feri Baggioli Pila 42</t>
  </si>
  <si>
    <t>bHtNdkz0FPI+za1UwKhkPa</t>
  </si>
  <si>
    <t>Z/Yu59iLBEK6hA7ePn4UFA</t>
  </si>
  <si>
    <t>Passivazione Ferri Baggioli Pila 42</t>
  </si>
  <si>
    <t>bHtNcPfGGdRCYBCvwKhkPa</t>
  </si>
  <si>
    <t>N/182Rrzd0OPpTm0YfB5cQ</t>
  </si>
  <si>
    <t>Bocciardatura Baggioli Pila 42</t>
  </si>
  <si>
    <t>bHtNaGcklvBF1yAswKhkPa</t>
  </si>
  <si>
    <t>iqZlSP/cP0KARY9kxSdyag</t>
  </si>
  <si>
    <t>Montaggio Ponteggi Pila 42</t>
  </si>
  <si>
    <t>bHtNWGfC2K8HOB+FwKhkPa</t>
  </si>
  <si>
    <t>2LUfNb5gLU2n+cykEuqUog</t>
  </si>
  <si>
    <t>51.6</t>
  </si>
  <si>
    <t>1978.2</t>
  </si>
  <si>
    <t>Smontaggio Ponteggi Pila 41</t>
  </si>
  <si>
    <t>bHtNUaAhc9pgkH91wKhkPa</t>
  </si>
  <si>
    <t>/1ixXWQXa0+S2nNeklVKcw</t>
  </si>
  <si>
    <t>Strati di Malta Pulvini e Baggioli Pila 41</t>
  </si>
  <si>
    <t>bHtNSsov/UkQeHB5wKhkPa</t>
  </si>
  <si>
    <t>5Bm+TwP9z0qeP5yfJUwF9Q</t>
  </si>
  <si>
    <t>Montaggio Ferri Pulvino e Baggiolo Pila 41</t>
  </si>
  <si>
    <t>bHtNREhdriI92MEwwKhkPa</t>
  </si>
  <si>
    <t>70y8KfC/dEeO76z1PiLGRQ</t>
  </si>
  <si>
    <t>Inghisaggi Feri Baggioli Pila 41</t>
  </si>
  <si>
    <t>bHtNPQsnM9ZOFTtRwKhkPa</t>
  </si>
  <si>
    <t>1VM7xA9upkOO9nPZb8Ne3A</t>
  </si>
  <si>
    <t>Passivazione Ferri Baggioli Pila 41</t>
  </si>
  <si>
    <t>bHtNNgXHFsp1MKUWwKhkPa</t>
  </si>
  <si>
    <t>FHR915u1NkSI6PTkiBGcCg</t>
  </si>
  <si>
    <t>Bocciardatura Baggioli Pila 41</t>
  </si>
  <si>
    <t>bHtNL0PXdYAWF2NZwKhkPa</t>
  </si>
  <si>
    <t>azzzkP8P4EmFQwOh+aEHwA</t>
  </si>
  <si>
    <t>Montaggio Ponteggi Pila 41</t>
  </si>
  <si>
    <t>bHtNHhfJQlU4kfg1wKhkPa</t>
  </si>
  <si>
    <t>3UphzRnS1k+MK6jiGpffLQ</t>
  </si>
  <si>
    <t>2015.6</t>
  </si>
  <si>
    <t>Smontaggio Ponteggi Pila 40</t>
  </si>
  <si>
    <t>bHtNFjhnJWJRTnXTwKhkPa</t>
  </si>
  <si>
    <t>NRwakBL6+U6yfIQhsv+hTw</t>
  </si>
  <si>
    <t>Strati di Malta Pulvini e Baggioli Pila 40</t>
  </si>
  <si>
    <t>bHtNC7Y9gBooxQfcwKhkPa</t>
  </si>
  <si>
    <t>UTpKvc2njk+ynqFBBUTDTg</t>
  </si>
  <si>
    <t>Montaggio Ferri Pulvino e Baggiolo Pila 40</t>
  </si>
  <si>
    <t>bHtNA8De8hYlxeRRwKhkPa</t>
  </si>
  <si>
    <t>POP9vrdbhEKusxzqP9TqwA</t>
  </si>
  <si>
    <t>Inghisaggi Feri Baggioli Pila 40</t>
  </si>
  <si>
    <t>bHtM/XE1twInucH+wKhkPa</t>
  </si>
  <si>
    <t>GQ75mN3pt0+NfnxpCTkqOw</t>
  </si>
  <si>
    <t>Passivazione Ferri Baggioli Pila 40</t>
  </si>
  <si>
    <t>bHtM9pLA4CEJXhWSwKhkPa</t>
  </si>
  <si>
    <t>X9FKWeaVzkKCPIZa2wnvDA</t>
  </si>
  <si>
    <t>Bocciardatura Baggioli Pila 40</t>
  </si>
  <si>
    <t>bHtM7uPy3O1VmxLfwKhkPa</t>
  </si>
  <si>
    <t>0H9DEV4bl02/JIXN6m1Dlw</t>
  </si>
  <si>
    <t>Montaggio Ponteggi Pila 40</t>
  </si>
  <si>
    <t>bHtM3/fXymhXqgvCwKhkPa</t>
  </si>
  <si>
    <t>47VmJSfsYkONnKz5DbEwHA</t>
  </si>
  <si>
    <t>2096.6</t>
  </si>
  <si>
    <t>Smontaggio Ponteggi Pila 39</t>
  </si>
  <si>
    <t>bHtM15PgqARI5fFLwKhkPa</t>
  </si>
  <si>
    <t>w2VhEByqgE6yB0CiRZ0oew</t>
  </si>
  <si>
    <t>Strati di Malta Pulvini e Baggioli Pila 39</t>
  </si>
  <si>
    <t>bHtMzxaW6BUnn7+swKhkPa</t>
  </si>
  <si>
    <t>E53eBUMSHEep04wD8eKHpQ</t>
  </si>
  <si>
    <t>Montaggio Ferri Pulvino e Baggiolo Pila 39</t>
  </si>
  <si>
    <t>bHtMxLoCT9cqsSw1wKhkPa</t>
  </si>
  <si>
    <t>BihYcJgCXEK/HrIIMHK/+w</t>
  </si>
  <si>
    <t>Inghisaggi Feri Baggioli Pila 39</t>
  </si>
  <si>
    <t>bHtMvRTb0ud0tHjPwKhkPa</t>
  </si>
  <si>
    <t>sTnh96awxkKxtsC1zHYsoQ</t>
  </si>
  <si>
    <t>Passivazione Ferri Baggioli Pila 39</t>
  </si>
  <si>
    <t>bHtMvKFA5UlShlCIwKhkPa</t>
  </si>
  <si>
    <t>GBE8L8u+KUOxsrWac21jfg</t>
  </si>
  <si>
    <t>Bocciardatura Baggioli Pila 39</t>
  </si>
  <si>
    <t>bHtMu1lqG0JhrwWFwKhkPa</t>
  </si>
  <si>
    <t>tuu/ly8jk0eRLbyfdW1rxw</t>
  </si>
  <si>
    <t>Montaggio Ponteggi Pila 39</t>
  </si>
  <si>
    <t>bHtMr7irtOAW5CafwKhkPa</t>
  </si>
  <si>
    <t>1LyXW45Lk0mO++dU6Cq92w</t>
  </si>
  <si>
    <t>2177.6</t>
  </si>
  <si>
    <t>Smontaggio Ponteggi Pila 38</t>
  </si>
  <si>
    <t>bHtMqPnclV5SedHvwKhkPa</t>
  </si>
  <si>
    <t>Jk4kDqVi6EW/vimRkJnuEA</t>
  </si>
  <si>
    <t>Strati di Malta Pulvini e Baggioli Pila 38</t>
  </si>
  <si>
    <t>bHtMoAZrnGA65vTZwKhkPa</t>
  </si>
  <si>
    <t>yqeTpMWJiEWp+2qvemoq3Q</t>
  </si>
  <si>
    <t>Montaggio Ferri Pulvino e Baggiolo Pila 38</t>
  </si>
  <si>
    <t>bHtMmdjNke56ziQbwKhkPa</t>
  </si>
  <si>
    <t>gMSnbP2jpESDgfGw+1NhPw</t>
  </si>
  <si>
    <t>Inghisaggi Feri Baggioli Pila 38</t>
  </si>
  <si>
    <t>bHtMk9pYpmIrPeyLwKhkPa</t>
  </si>
  <si>
    <t>Ls+/Kkyse0G/CJ9C8s0QHg</t>
  </si>
  <si>
    <t>Passivazione Ferri Baggioli Pila 38</t>
  </si>
  <si>
    <t>bHtMjDBhnbE9Gr2vwKhkPa</t>
  </si>
  <si>
    <t>CAC9wYIYXUuAqRtOb4Kemw</t>
  </si>
  <si>
    <t>Bocciardatura Baggioli Pila 38</t>
  </si>
  <si>
    <t>bHtMgUHk8cJQRO8GwKhkPa</t>
  </si>
  <si>
    <t>VZRBukN+V0mvZ8jmGnlnNw</t>
  </si>
  <si>
    <t>Montaggio Ponteggi Pila 38</t>
  </si>
  <si>
    <t>bHtMdHxhdi9zA83swKhkPa</t>
  </si>
  <si>
    <t>BkSXyZBieUi8BCRkeZvwHQ</t>
  </si>
  <si>
    <t>2266.6</t>
  </si>
  <si>
    <t>Smontaggio Ponteggi Pila 37</t>
  </si>
  <si>
    <t>bHtMbG/xZhZ3UCrswKhkPa</t>
  </si>
  <si>
    <t>0qCAkwJO1EWsvieLfG3jDw</t>
  </si>
  <si>
    <t>Strati di Malta Pulvini e Baggioli Pila 37</t>
  </si>
  <si>
    <t>bHtMZdKjFQdlFONEwKhkPa</t>
  </si>
  <si>
    <t>d65XudKCzUaIkyD9L7ulWw</t>
  </si>
  <si>
    <t>Montaggio Ferri Pulvino e Baggiolo Pila 37</t>
  </si>
  <si>
    <t>bHtMXcWro4xTn3tLwKhkPa</t>
  </si>
  <si>
    <t>1sB2+Vt+qkGgvcwKb6xoXg</t>
  </si>
  <si>
    <t>Inghisaggi Feri Baggioli Pila 37</t>
  </si>
  <si>
    <t>bHtMVdezRnQspR5UwKhkPa</t>
  </si>
  <si>
    <t>cozQnZLkGUmgo/WDkk2tYw</t>
  </si>
  <si>
    <t>Passivazione Ferri Baggioli Pila 37</t>
  </si>
  <si>
    <t>bHtMTt4ElwNAiluZwKhkPa</t>
  </si>
  <si>
    <t>TZq53pEdAkOsPtqcdbO8bQ</t>
  </si>
  <si>
    <t>Bocciardatura Baggioli Pila 37</t>
  </si>
  <si>
    <t>bHtMRcZg3oIrA6fDwKhkPa</t>
  </si>
  <si>
    <t>7Umz6zpoxU2zCvEhvZc8+Q</t>
  </si>
  <si>
    <t>Montaggio Ponteggi Pila 37</t>
  </si>
  <si>
    <t>bHtMNW+Gy7Mqe6krwKhkPa</t>
  </si>
  <si>
    <t>eFwqXZJRb0OOckSoftgPWw</t>
  </si>
  <si>
    <t>2355.6</t>
  </si>
  <si>
    <t>Smontaggio Ponteggi Pila 36</t>
  </si>
  <si>
    <t>bHtMM9+/cp8syyutwKhkPa</t>
  </si>
  <si>
    <t>mpvHLkcoHkuaz9bdNS9Ujw</t>
  </si>
  <si>
    <t>Strati di Malta Pulvini e Baggioli Pila 36</t>
  </si>
  <si>
    <t>bHtMLaRSvEBG8PZWwKhkPa</t>
  </si>
  <si>
    <t>fp7dGk8wu0KUS64upyH3Ww</t>
  </si>
  <si>
    <t>Montaggio Ferri Pulvino e Baggiolo Pila 36</t>
  </si>
  <si>
    <t>bHtMJsuCfclKuZUHwKhkPa</t>
  </si>
  <si>
    <t>LkJYT6fUzEmvQ+TjXAv/gw</t>
  </si>
  <si>
    <t>Inghisaggi Feri Baggioli Pila 36</t>
  </si>
  <si>
    <t>bHtMH7YQ+VA7pYpWwKhkPa</t>
  </si>
  <si>
    <t>Tgwm+NinvkSaPNhufYc48w</t>
  </si>
  <si>
    <t>Passivazione Ferri Baggioli Pila 36</t>
  </si>
  <si>
    <t>bHtMF0ghOl4Lpjp8wKhkPa</t>
  </si>
  <si>
    <t>LCRYvv6cjkm/jX18urngUA</t>
  </si>
  <si>
    <t>Bocciardatura Baggioli Pila 36</t>
  </si>
  <si>
    <t>bHtMDoWaV8lr/Pc5wKhkPa</t>
  </si>
  <si>
    <t>sFoIvmY+kkWQWKk9hexizw</t>
  </si>
  <si>
    <t>Montaggio Ponteggi Pila 36</t>
  </si>
  <si>
    <t>bHtL/0jexlBpyvFrwKhkPa</t>
  </si>
  <si>
    <t>YfxdLmnkKU6Wd5rftM9K/A</t>
  </si>
  <si>
    <t>2444.6</t>
  </si>
  <si>
    <t>Smontaggio Ponteggi Pila 35</t>
  </si>
  <si>
    <t>bHtL9+uAiwBBfWEbwKhkPa</t>
  </si>
  <si>
    <t>VBTiR9L4K0WNniNo5vhRdQ</t>
  </si>
  <si>
    <t>Strati di Malta Pulvini e Baggioli Pila 35</t>
  </si>
  <si>
    <t>bHtL7rKuhfVw58ujwKhkPa</t>
  </si>
  <si>
    <t>x1PcNgE/0EuThpJn7r80mw</t>
  </si>
  <si>
    <t>Montaggio Ferri Pulvino e Baggiolo Pila 35</t>
  </si>
  <si>
    <t>bHtL3cFG2H9SuMtNwKhkPa</t>
  </si>
  <si>
    <t>UdJ9PTYIrEmuFec+LOMqGg</t>
  </si>
  <si>
    <t>Inghisaggi Feri Baggioli Pila 35</t>
  </si>
  <si>
    <t>bHtL1N03MqgiIUfYwKhkPa</t>
  </si>
  <si>
    <t>OZfdT3Cvw0KVWiZFBlEESw</t>
  </si>
  <si>
    <t>Passivazione Ferri Baggioli Pila 35</t>
  </si>
  <si>
    <t>bHtLyJ4oy/IQZi4HwKhkPa</t>
  </si>
  <si>
    <t>+/DHbllA6U6GrnXFQjRDPQ</t>
  </si>
  <si>
    <t>Bocciardatura Pila 35</t>
  </si>
  <si>
    <t>bHtLh/Qt57YwFSumwKhkPa</t>
  </si>
  <si>
    <t>lFKv97SnoE+ZbXEJLZH+YQ</t>
  </si>
  <si>
    <t>Montaggio Ponteggi Pila 35</t>
  </si>
  <si>
    <t>bHtLb7IHofRCsOmXwKhkPa</t>
  </si>
  <si>
    <t>tG9U/ptO2kOp0Fq9amVmOA</t>
  </si>
  <si>
    <t>Smontaggio Ponteggi Pila 34</t>
  </si>
  <si>
    <t>bHtLZ1cyY6VIe/aBwKhkPa</t>
  </si>
  <si>
    <t>G71rwEN2FkSTF7dukoZCxw</t>
  </si>
  <si>
    <t>Montaggio Ferri Pulvino e Baggiolo Pila 34</t>
  </si>
  <si>
    <t>bHtLX792k7d/v/MCwKhkPa</t>
  </si>
  <si>
    <t>ivDBuUYuREaApRvGqqgzZg</t>
  </si>
  <si>
    <t>Strati di Malta Pulvini e Baggioli Pila 34</t>
  </si>
  <si>
    <t>bHtLV7H90bF+OR02wKhkPa</t>
  </si>
  <si>
    <t>xmWEcZLfH02Psaj7RWh/cA</t>
  </si>
  <si>
    <t>Inghisaggi Feri Baggioli Pila 34</t>
  </si>
  <si>
    <t>bHtLVfIlBJ1X+7dewKhkPa</t>
  </si>
  <si>
    <t>BJb+Y7/7iUuNIBZCBOM/Og</t>
  </si>
  <si>
    <t>Passivazione Ferri Baggioli Pila 34</t>
  </si>
  <si>
    <t>bHtLVLrPgnVP/wGdwKhkPa</t>
  </si>
  <si>
    <t>GJrq1X5u+UGCZTcwp3ctug</t>
  </si>
  <si>
    <t>Bocciardatura Pila 34</t>
  </si>
  <si>
    <t>bHtLTjfmvzw7d04VwKhkPa</t>
  </si>
  <si>
    <t>eBAGKIMuZUm+77s9Di78Qw</t>
  </si>
  <si>
    <t>Montaggio Ponteggi Pila 34</t>
  </si>
  <si>
    <t>bHtLQbIAQKZdE16kwKhkPa</t>
  </si>
  <si>
    <t>bC5Fo8DMiEuoqGXTIW1JSw</t>
  </si>
  <si>
    <t>Smontaggio Ponteggi Pila 33</t>
  </si>
  <si>
    <t>bHtLNpRJlTQZbXeFwKhkPa</t>
  </si>
  <si>
    <t>8vmUCRb5U0mcNqTUZpmuxg</t>
  </si>
  <si>
    <t>Strati di Malta Pulvini e Baggioli Pila 33</t>
  </si>
  <si>
    <t>bHtLL4LAjCg72j77wKhkPa</t>
  </si>
  <si>
    <t>dpqqIBiywkW+xpm88dIL2w</t>
  </si>
  <si>
    <t>Montaggio Ferri Pulvino e Baggiolo Pila 33</t>
  </si>
  <si>
    <t>bHtLKK0I/Flnl6SAwKhkPa</t>
  </si>
  <si>
    <t>CMFyVacH90eG8RhMkFrkEA</t>
  </si>
  <si>
    <t>Inghisaggi Feri Baggioli Pila 33</t>
  </si>
  <si>
    <t>bHtLIUZAjtVfKzvXwKhkPa</t>
  </si>
  <si>
    <t>CBIJ+YW8eEiw0zRYvL8M6g</t>
  </si>
  <si>
    <t>Passivazione Ferri Baggioli Pila 33</t>
  </si>
  <si>
    <t>bHtLFrg6KzdbzztOwKhkPa</t>
  </si>
  <si>
    <t>73Bf16WhuUGBCPFvS+gZmQ</t>
  </si>
  <si>
    <t>Bocciardatura Pila 33</t>
  </si>
  <si>
    <t>bHtLDY9C2BdhfKObwKhkPa</t>
  </si>
  <si>
    <t>CMLIc41GuU+KSNNuOibo6Q</t>
  </si>
  <si>
    <t>Montaggio Ponteggi Pila 33</t>
  </si>
  <si>
    <t>bHtK/9QoQOVukXNDwKhkPa</t>
  </si>
  <si>
    <t>RkcS6yXCEU6MgFATRi0jMg</t>
  </si>
  <si>
    <t>Smontaggio Ponteggi Pila 32</t>
  </si>
  <si>
    <t>bHtK9WyuLq9LzuYmwKhkPa</t>
  </si>
  <si>
    <t>OGbOrYgYJUacgL39TJOprQ</t>
  </si>
  <si>
    <t>Montaggio Ferri Pulvino e Baggiolo Pila 32</t>
  </si>
  <si>
    <t>bHtK7aORLFIHB9hvwKhkPa</t>
  </si>
  <si>
    <t>T0WoWsQC70q7FpcXnQRGcw</t>
  </si>
  <si>
    <t>Strati di Malta Pulvini e Baggioli Pila 32</t>
  </si>
  <si>
    <t>bHtK411hh+0MntotwKhkPa</t>
  </si>
  <si>
    <t>HjXLNVfnbkyJKS3lIEEEiQ</t>
  </si>
  <si>
    <t>Inghisaggi Feri Baggioli Pila 32</t>
  </si>
  <si>
    <t>bHtK14v8MTNdpyKcwKhkPa</t>
  </si>
  <si>
    <t>3PY122epukm/NFvjBZUcyw</t>
  </si>
  <si>
    <t>Passivazione Ferri Baggioli Pila 32</t>
  </si>
  <si>
    <t>bHtK0DrIrRonnUiDwKhkPa</t>
  </si>
  <si>
    <t>JBj6LwN3dEi4ZmOLVNNP7A</t>
  </si>
  <si>
    <t>Bocciardatura Pila 32</t>
  </si>
  <si>
    <t>bHtKyNKFdYk0L8SNwKhkPa</t>
  </si>
  <si>
    <t>a5I24GvHlUqI4XcFn6v+PQ</t>
  </si>
  <si>
    <t>Montaggio Ponteggi Pila 32</t>
  </si>
  <si>
    <t>bHtKu8Se0YJNzb2bwKhkPa</t>
  </si>
  <si>
    <t>PLaY1Pqxi0idyg08zIc7CQ</t>
  </si>
  <si>
    <t>Smontaggio Ponteggi Pila 31</t>
  </si>
  <si>
    <t>bHtKs9SsxHx0EnpUwKhkPa</t>
  </si>
  <si>
    <t>rIQPaECfd0ajpBa/omZhXg</t>
  </si>
  <si>
    <t>Strati di Malta Pulvini e Baggioli Pila 31</t>
  </si>
  <si>
    <t>bHtKqpx4BvV0mb/iwKhkPa</t>
  </si>
  <si>
    <t>Y36tHojCU0q0moZMDc2Nog</t>
  </si>
  <si>
    <t>Montaggio Ferri Pulvino e Baggiolo Pila 31</t>
  </si>
  <si>
    <t>bHtKpafsRP5SF9f3wKhkPa</t>
  </si>
  <si>
    <t>WvmR7lQ5d0GCPXEybcjERQ</t>
  </si>
  <si>
    <t>Inghisaggi Feri Baggioli Pila 31</t>
  </si>
  <si>
    <t>bHtKo38tjB5RszKJwKhkPa</t>
  </si>
  <si>
    <t>JTRvs6wIFUufA9aGWhObHA</t>
  </si>
  <si>
    <t>Passivazione Ferri Baggioli Pila 31</t>
  </si>
  <si>
    <t>bHtKnq1BpIp8bcUAwKhkPa</t>
  </si>
  <si>
    <t>sQic0DJyekmkgInbr4lj3A</t>
  </si>
  <si>
    <t>Bocciardatura Pila 31</t>
  </si>
  <si>
    <t>bHtKlXxKHtZZaZGOwKhkPa</t>
  </si>
  <si>
    <t>v5Nh4irqaEWfAhV7oJbC5g</t>
  </si>
  <si>
    <t>Montaggio Ponteggi Pila 31</t>
  </si>
  <si>
    <t>jJ4jWKXAB0e33MKCzUl7tQ</t>
  </si>
  <si>
    <t>Smontaggio Ponteggi Pila 76</t>
  </si>
  <si>
    <t>kzVcZOmPr06WB9g10DQVLg</t>
  </si>
  <si>
    <t>eVQKCbXR602OvcVV1EbG8A</t>
  </si>
  <si>
    <t>Strati di Malta Pulvini e Baggioli Pila 76</t>
  </si>
  <si>
    <t>YRMoecIFY0Go3tLuqGBh2A</t>
  </si>
  <si>
    <t>a6mAlmhllUCwLUaaf8a8EQ</t>
  </si>
  <si>
    <t>Montaggio Ferri Pulvino e Baggiolo Pila 76</t>
  </si>
  <si>
    <t>nCfyqdMw50+qL5Dqjpkc4w</t>
  </si>
  <si>
    <t>C6qaz535fUKrObNL5z1JrA</t>
  </si>
  <si>
    <t>Inghisaggi Feri Baggioli Pila 76</t>
  </si>
  <si>
    <t>/2IJY17v3kqnEvAsmdUfcA</t>
  </si>
  <si>
    <t>hu014pD3hEKHAU5dzTLWmA</t>
  </si>
  <si>
    <t>Passivazione Ferri Pila 76</t>
  </si>
  <si>
    <t>tfYLHXaaCE67p+8R3eT0xw</t>
  </si>
  <si>
    <t>2Q8Mf434UE6yH1f6V/0NRg</t>
  </si>
  <si>
    <t>Bocciardatura Pulvino 76</t>
  </si>
  <si>
    <t>wg8zMPQUNU+QOF8BQX2VFA</t>
  </si>
  <si>
    <t>K0nPJ0dz0UCAy05zyCEr6Q</t>
  </si>
  <si>
    <t>Montaggio Ponteggi Pila 76</t>
  </si>
  <si>
    <t>yrIbQc763UCjt74iLjDFug</t>
  </si>
  <si>
    <t>IL9wJqp0U0CfK5L93wLKVQ</t>
  </si>
  <si>
    <t>Smontaggio Ponteggi Pila 75</t>
  </si>
  <si>
    <t>2zZt4pd3H0O7/Y5rP9MVCA</t>
  </si>
  <si>
    <t>4PYGvm7pk0usqvOhOoS/TA</t>
  </si>
  <si>
    <t>Strati di Malta Pulvini e Baggioli Pila 75</t>
  </si>
  <si>
    <t>4C/+XIX5EkuP3Ze17e7CXA</t>
  </si>
  <si>
    <t>LZA+15FiL068i+XlOppUjg</t>
  </si>
  <si>
    <t>Montaggio Ferri Pulvino e Baggiolo Pila 75</t>
  </si>
  <si>
    <t>qeXcSLmME0mQYV6eDCxqNA</t>
  </si>
  <si>
    <t>KFpbWl9OzUCuf/ANglVQGA</t>
  </si>
  <si>
    <t>Inghisaggi Feri Baggioli Pila 75</t>
  </si>
  <si>
    <t>LyAud5V0EUew95PIsEyl0g</t>
  </si>
  <si>
    <t>tG0z1o1f6kaLeTY9pxSXSA</t>
  </si>
  <si>
    <t>Passivazione Ferri Pila 75</t>
  </si>
  <si>
    <t>rS3cIGuRxk+LghBMabU7/w</t>
  </si>
  <si>
    <t>eAvTncB0Oka7ET15BzmtcA</t>
  </si>
  <si>
    <t>Bocciardatura Pulvino 75</t>
  </si>
  <si>
    <t>CxWD9QCiYkSeyA0tafUF5Q</t>
  </si>
  <si>
    <t>Montaggio Ponteggi Pila 75</t>
  </si>
  <si>
    <t>Qm/1Y0cnGUyPybiZ4ACrYw</t>
  </si>
  <si>
    <t>f76vrFH24UmDrDAeAJq04g</t>
  </si>
  <si>
    <t>Smontaggio Ponteggi Pila 74</t>
  </si>
  <si>
    <t>soD5YneN/EapVESPMssxXw</t>
  </si>
  <si>
    <t>KpQDIspXC0+pBbFASnITAg</t>
  </si>
  <si>
    <t>Strati di Malta Pulvini e Baggioli Pila 74</t>
  </si>
  <si>
    <t>GDVePHKvpkaguVPAtwGPaQ</t>
  </si>
  <si>
    <t>DEJd63oj/UiKKNQVlV4Ylg</t>
  </si>
  <si>
    <t>Montaggio Ferri Pulvino e Baggiolo Pila 74</t>
  </si>
  <si>
    <t>zmabvsw5S0+Ptq7VDnOhmA</t>
  </si>
  <si>
    <t>Inghisaggi Feri Baggioli Pila 74</t>
  </si>
  <si>
    <t>iAAjDyn2N0a3rhteHZVeZA</t>
  </si>
  <si>
    <t>rhaYts0kXUm74fT+c+9Uyw</t>
  </si>
  <si>
    <t>Passivazione Ferri Pila 74</t>
  </si>
  <si>
    <t>pS26P0IBHkCPLMU03DN/og</t>
  </si>
  <si>
    <t>9UCVmQt8pkmQNKPco8nYrw</t>
  </si>
  <si>
    <t>Bocciardatura Pulvino 74</t>
  </si>
  <si>
    <t>JHDLaYZWp06V0px2tlSLTA</t>
  </si>
  <si>
    <t>ribHvmUdME6KD81KRvHAPg</t>
  </si>
  <si>
    <t>Montaggio Ponteggi Pila 74</t>
  </si>
  <si>
    <t>YrPTDtB3sk62tkHhg42D4A</t>
  </si>
  <si>
    <t>WI5BGhtWyk+z16s+0WmshQ</t>
  </si>
  <si>
    <t>Smontaggio Ponteggi Pila 73</t>
  </si>
  <si>
    <t>9WxuQU0oGE2uZZtgpjkS0A</t>
  </si>
  <si>
    <t>zMo6WvImDU6vBMtCad50yQ</t>
  </si>
  <si>
    <t>Strati di Malta Pulvini e Baggioli Pila 73</t>
  </si>
  <si>
    <t>sSfdKIT9x06EU2jJJpa1Rg</t>
  </si>
  <si>
    <t>Montaggio Ferri Pulvino e Baggiolo Pila 73</t>
  </si>
  <si>
    <t>zR6sRtQjDEao5lfgEyHE7w</t>
  </si>
  <si>
    <t>Jsb4rDjBSkOkAAZW/MsEZQ</t>
  </si>
  <si>
    <t>Inghisaggi Feri Baggioli Pila 73</t>
  </si>
  <si>
    <t>vk38Gx5ajECZUdqhe8oblg</t>
  </si>
  <si>
    <t>3f42EpocpkW1jlhLnI969g</t>
  </si>
  <si>
    <t>Passivazione Ferri Pila 73</t>
  </si>
  <si>
    <t>lcGr1kxkCE2UW3em795sdw</t>
  </si>
  <si>
    <t>7qDepWMAukKrWBjkFo8G6A</t>
  </si>
  <si>
    <t>Bocciardatura Pulvino 73</t>
  </si>
  <si>
    <t>u/UXI+nTAEOAJB3tL7DWGA</t>
  </si>
  <si>
    <t>seZyRDgdS0CGnMg+cZXeUw</t>
  </si>
  <si>
    <t>Montaggio Ponteggi Pila 73</t>
  </si>
  <si>
    <t>hhSzOtsDuUGtLMlA4IGmNw</t>
  </si>
  <si>
    <t>4nf/bVG240OlVluO8V3xNw</t>
  </si>
  <si>
    <t>Smontaggio Ponteggi Pila 72</t>
  </si>
  <si>
    <t>UvXzBJYh3EGvL+73nB3uyQ</t>
  </si>
  <si>
    <t>gBNC8OZEsUq+C1hoLK/ehw</t>
  </si>
  <si>
    <t>Strati di Malta Pulvini e Baggioli Pila 72</t>
  </si>
  <si>
    <t>1i65jza+DEW59zjo2XH0pg</t>
  </si>
  <si>
    <t>26Yp3WWxsUmsllhXwQrFyA</t>
  </si>
  <si>
    <t>Montaggio Ferri Pulvino e Baggiolo Pila 72</t>
  </si>
  <si>
    <t>7UYQ9t36ZkelJepL2YWTsA</t>
  </si>
  <si>
    <t>3pDooYslw0SxuyUYdIyeAQ</t>
  </si>
  <si>
    <t>Inghisaggi Feri Baggioli Pila 72</t>
  </si>
  <si>
    <t>U7XcMzxTJkCwNgO6XTdzqQ</t>
  </si>
  <si>
    <t>G7lCgdypSEKpebBce4DA1Q</t>
  </si>
  <si>
    <t>Passivazione Ferri Pila 72</t>
  </si>
  <si>
    <t>7vggzA4Rk0KIBAg6inWDCQ</t>
  </si>
  <si>
    <t>Cb8dGcJBGka/gnkPENRqCw</t>
  </si>
  <si>
    <t>Bocciardatura Pulvino 72</t>
  </si>
  <si>
    <t>aLR09QOcs0uaGwpLDzqn/Q</t>
  </si>
  <si>
    <t>J8FOxPkXckWVEm/b1GjCJw</t>
  </si>
  <si>
    <t>Montaggio Ponteggi Pila 72</t>
  </si>
  <si>
    <t>aiTl3pPWkEC5pa8CzMRyOA</t>
  </si>
  <si>
    <t>QGZs7lnESkayRZLfw/RnCg</t>
  </si>
  <si>
    <t>Smontaggio Ponteggi Pila 71</t>
  </si>
  <si>
    <t>Y1e8rCCWZ06+irmMp5Kq0A</t>
  </si>
  <si>
    <t>3Zsz6t2MtUGPcJh77ad/Wg</t>
  </si>
  <si>
    <t>Strati di Malta Pulvini e Baggioli Pila 71</t>
  </si>
  <si>
    <t>Aj37i1CUaUG6Pr1eIuLU5A</t>
  </si>
  <si>
    <t>9S/hJFCwvkSujQ7JqvqR8w</t>
  </si>
  <si>
    <t>Montaggio Ferri Pulvino e Baggiolo Pila 71</t>
  </si>
  <si>
    <t>jvPftM9FbUSz4leqYtqh0w</t>
  </si>
  <si>
    <t>oAGV4zYtRUK5151MEf+Fow</t>
  </si>
  <si>
    <t>Inghisaggi Feri Baggioli Pila 71</t>
  </si>
  <si>
    <t>borsHEGh9kWCiB5fXMaOlw</t>
  </si>
  <si>
    <t>eKOKS50v70enAQ/C8tjnig</t>
  </si>
  <si>
    <t>Passivazione Ferri Pila 71</t>
  </si>
  <si>
    <t>RlkzPUF4c0286Zv37k/y+Q</t>
  </si>
  <si>
    <t>sUSkHPUVCUew/5L/yrzHGQ</t>
  </si>
  <si>
    <t>Bocciardatura Pulvino 71</t>
  </si>
  <si>
    <t>4U1Zs6vaG0Wc8a84daT4aw</t>
  </si>
  <si>
    <t>NdT3g6FGrUSSaPJ+4VrXGw</t>
  </si>
  <si>
    <t>Montaggio Ponteggi Pila 71</t>
  </si>
  <si>
    <t>9P9Nvr3BdEW3zHmaKbjkzg</t>
  </si>
  <si>
    <t>4xSgOoYVLU6qUv8sLI2i0g</t>
  </si>
  <si>
    <t>Smontaggio Ponteggi Pila 70</t>
  </si>
  <si>
    <t>G7jbXdGjYUaYa4A6J5/Rgw</t>
  </si>
  <si>
    <t>IIFgiDox4UOy+/bBrrlA7A</t>
  </si>
  <si>
    <t>Strati di Malta Pulvini e Baggioli Pila 70</t>
  </si>
  <si>
    <t>o1R/P1J8IkSszrkM8XVz/Q</t>
  </si>
  <si>
    <t>WEewqbPcMku4eKTlin/QSw</t>
  </si>
  <si>
    <t>Montaggio Ferri Pulvino e Baggiolo Pila 70</t>
  </si>
  <si>
    <t>Cx9UjMvo9kWaUmRaJ+AjrA</t>
  </si>
  <si>
    <t>Du82RWq/w0GsgTnoPhUlMQ</t>
  </si>
  <si>
    <t>Inghisaggi Feri Baggioli Pila 70</t>
  </si>
  <si>
    <t>xaYxqU5ai0yD/8YC3CdHOQ</t>
  </si>
  <si>
    <t>xLnUdv+TMkmKi6Hn8VCVGw</t>
  </si>
  <si>
    <t>Passivazione Ferri Pila 70</t>
  </si>
  <si>
    <t>Nj/iYb1ya0mOZ8ss5sgcqQ</t>
  </si>
  <si>
    <t>pnXCDXEcQ0iecD9z5g454A</t>
  </si>
  <si>
    <t>Bocciardatura Pulvino 70</t>
  </si>
  <si>
    <t>mzQr4enBb0SKZG5HyDj8Mg</t>
  </si>
  <si>
    <t>4/i3ObLYR02mYDH7XzPSkQ</t>
  </si>
  <si>
    <t>Montaggio Ponteggi Pila 70</t>
  </si>
  <si>
    <t>wAuTYP0t502kndVFjkBbSg</t>
  </si>
  <si>
    <t>tK4GSBrmNkmqrG2gSp/Hfw</t>
  </si>
  <si>
    <t>Smontaggio Ponteggi Pila 69</t>
  </si>
  <si>
    <t>mdMX5+Om+Uq8xklid33KpA</t>
  </si>
  <si>
    <t>OAf4HqcvHUWv0HMBW45ngg</t>
  </si>
  <si>
    <t>Strati di Malta Pulvini e Baggioli Pila 69</t>
  </si>
  <si>
    <t>g9k/XEnl7EKzEeCUKQMyYQ</t>
  </si>
  <si>
    <t>6d84xaGABEeXSnzhdn00wQ</t>
  </si>
  <si>
    <t>Montaggio Ferri Pulvino e Baggiolo Pila 69</t>
  </si>
  <si>
    <t>TzkiWR5ckUuIvPcowWpWjQ</t>
  </si>
  <si>
    <t>wVw17Vrfy02txWuCOreyBg</t>
  </si>
  <si>
    <t>Inghisaggi Feri Baggioli Pila 69</t>
  </si>
  <si>
    <t>XectnsfIKk2hSofE/WdZ1g</t>
  </si>
  <si>
    <t>BH7qKZdfrECpdcyFpiZ/BA</t>
  </si>
  <si>
    <t>Passivazione Ferri Pila 69</t>
  </si>
  <si>
    <t>HoGLlGgSVEOT8jXav4N3+g</t>
  </si>
  <si>
    <t>/NdO47t1u0GLOyNcE4hphg</t>
  </si>
  <si>
    <t>Bocciardatura Pulvino 69</t>
  </si>
  <si>
    <t>FXA/JzJyoESyg350gaz8Cw</t>
  </si>
  <si>
    <t>Montaggio Ponteggi Pila 69</t>
  </si>
  <si>
    <t>WysvSWPVjk2V78zsfca5JA</t>
  </si>
  <si>
    <t>ezg1s1D9K0u6FYq3y+vTxg</t>
  </si>
  <si>
    <t>Smontaggio Ponteggi Pila 68</t>
  </si>
  <si>
    <t>Gp+vp8wZG0CuJd0XJ6f/8w</t>
  </si>
  <si>
    <t>7Fx4TwBzlUOp69NORQhr4g</t>
  </si>
  <si>
    <t>Strati di Malta Pulvini e Baggioli Pila 68</t>
  </si>
  <si>
    <t>bOSlvP8VIEOefv2VAKufdg</t>
  </si>
  <si>
    <t>A+UU+/lXI0OkzCuzksI5rw</t>
  </si>
  <si>
    <t>Montaggio Ferri Pulvino e Baggiolo Pila 68</t>
  </si>
  <si>
    <t>C23qBTDas0C0gcc0zvju+w</t>
  </si>
  <si>
    <t>cmGI3/RLUEKLKNyKkC3dBw</t>
  </si>
  <si>
    <t>Inghisaggi Feri Baggioli Pila 68</t>
  </si>
  <si>
    <t>DrT2pRxUIEG6DuylhUH9qw</t>
  </si>
  <si>
    <t>uoMHHz7wCEq7Sc+VTnXkfg</t>
  </si>
  <si>
    <t>Passivazione Ferri Pila 68</t>
  </si>
  <si>
    <t>f2+gS1usfUmLBchUxLh+TQ</t>
  </si>
  <si>
    <t>Bocciardatura Pulvino 68</t>
  </si>
  <si>
    <t>Rrlb/hpzm0iOwJk6jrz4qg</t>
  </si>
  <si>
    <t>25fx6KwqSkKxZMVtMxIDcQ</t>
  </si>
  <si>
    <t>Montaggio Ponteggi Pila 68</t>
  </si>
  <si>
    <t>2mJPaB3DJ0SH89/6SYVKtA</t>
  </si>
  <si>
    <t>uf6FAY4Y7U2lkrx9eymnKw</t>
  </si>
  <si>
    <t>Smontaggio Ponteggi Pila 67</t>
  </si>
  <si>
    <t>Yu4gXZVzoEC2HOAqzvwn1Q</t>
  </si>
  <si>
    <t>B4QpTs7YuEqiBJxC5aggaw</t>
  </si>
  <si>
    <t>Strati di Malta Pulvini e Baggioli Pila 67</t>
  </si>
  <si>
    <t>/d6RDXD6pEWHl+XR93hD5A</t>
  </si>
  <si>
    <t>c5LuLMUPCUKHhbYLj2hjhA</t>
  </si>
  <si>
    <t>Montaggio Ferri Pulvino e Baggiolo Pila 67</t>
  </si>
  <si>
    <t>yILidCIUCUuQCA9ru/Z6QA</t>
  </si>
  <si>
    <t>Inghisaggi Feri Baggioli Pila 67</t>
  </si>
  <si>
    <t>svHCDaS71E6/Yb4Gfh49hw</t>
  </si>
  <si>
    <t>cocP0gpm2kaF896TWZN4iQ</t>
  </si>
  <si>
    <t>Passivazione Ferri Pila 67</t>
  </si>
  <si>
    <t>epq3flxcKk+/9Lx9Mygh7A</t>
  </si>
  <si>
    <t>EMg/qsv8skyJr83+bFgvAw</t>
  </si>
  <si>
    <t>Bocciardatura Pulvino 67</t>
  </si>
  <si>
    <t>56EBOJiGyEGP3Rb6Bo1gIQ</t>
  </si>
  <si>
    <t>cH2vo7uEVkiBeToth6h/EQ</t>
  </si>
  <si>
    <t>Montaggio Ponteggi Pila 67</t>
  </si>
  <si>
    <t>IHPaBmMonkGhzlXg+jVRlg</t>
  </si>
  <si>
    <t>XhKuNrnSt0ulApXx+84NZQ</t>
  </si>
  <si>
    <t>Smontaggio Ponteggi Pila 66</t>
  </si>
  <si>
    <t>V1ZaRqHzs0ifQq0yMb2IYA</t>
  </si>
  <si>
    <t>ff25/hubj0WhD29c05iI3w</t>
  </si>
  <si>
    <t>Strati di Malta Pulvini e Baggioli Pila 66</t>
  </si>
  <si>
    <t>L0v88DiH7UGIdZNRXfHKOg</t>
  </si>
  <si>
    <t>pVF3xKtENEibjVVG23V5LA</t>
  </si>
  <si>
    <t>Montaggio Ferri Pulvino e Baggiolo Pila 66</t>
  </si>
  <si>
    <t>DaeBeva+1E61T0TeiWllAw</t>
  </si>
  <si>
    <t>sR3mEcTjbEOFxVvSyIMu6g</t>
  </si>
  <si>
    <t>Inghisaggi Feri Baggioli Pila 66</t>
  </si>
  <si>
    <t>dFmzdaFWPEedpzsh/zvoCg</t>
  </si>
  <si>
    <t>ACyc1GiQR0aMpycmzZEpnw</t>
  </si>
  <si>
    <t>Passivazione Ferri Pila 66</t>
  </si>
  <si>
    <t>T8lMzNTKeUOXRswEZ0JHKw</t>
  </si>
  <si>
    <t>RsAhsgLYWEO/u2CsSymOdA</t>
  </si>
  <si>
    <t>Bocciardatura Pulvino 66</t>
  </si>
  <si>
    <t>XpFCkLRQYEi+gCF8mt5S0A</t>
  </si>
  <si>
    <t>rs5Uwty9gEuqi1us4LMsSw</t>
  </si>
  <si>
    <t>Montaggio Ponteggi Pila 66</t>
  </si>
  <si>
    <t>8VzPejXW/06r+A65vtoPBg</t>
  </si>
  <si>
    <t>te7yhLPdAkSh6PD4jdAaXw</t>
  </si>
  <si>
    <t>Smontaggio Ponteggi Pila 65</t>
  </si>
  <si>
    <t>dTAfnBCtkUm7N2Mwcuz9Gw</t>
  </si>
  <si>
    <t>Strati di Malta Pulvini e Baggioli Pila 65</t>
  </si>
  <si>
    <t>baSJhLFuMUO1PtbP6JmFZw</t>
  </si>
  <si>
    <t>L+kHH5LDHkGUae6RXmcaJw</t>
  </si>
  <si>
    <t>Montaggio Ferri Pulvino e Baggiolo Pila 65</t>
  </si>
  <si>
    <t>G/clZCyecEmxjy0ivtujiA</t>
  </si>
  <si>
    <t>5F3pUfxu+06VnmKCHaxn6g</t>
  </si>
  <si>
    <t>Inghisaggi Feri Baggioli Pila 65</t>
  </si>
  <si>
    <t>KwXdOut8jEmWv9svl2bWSA</t>
  </si>
  <si>
    <t>J2xI1ShNP0CTM+8h6hTqdw</t>
  </si>
  <si>
    <t>Passivazione Ferri Pila 65</t>
  </si>
  <si>
    <t>2nYVJjsBIEiOK3i7uk8Aaw</t>
  </si>
  <si>
    <t>5Us2YG/CM02zgQF7/+PU7g</t>
  </si>
  <si>
    <t>Bocciardatura Pulvino 65</t>
  </si>
  <si>
    <t>3stPye3EaUmRwmIMpaJj4w</t>
  </si>
  <si>
    <t>shVoLuvHc0iesi2ZwPJ5ZQ</t>
  </si>
  <si>
    <t>Montaggio Ponteggi Pila 65</t>
  </si>
  <si>
    <t>wOx3RV0RS0OXGKKhRx3DIg</t>
  </si>
  <si>
    <t>E8feyjuZsU+XO9K371fA6Q</t>
  </si>
  <si>
    <t>Smontaggio Ponteggi Pila 64</t>
  </si>
  <si>
    <t>2sauvZoFf0uEoxqzqmHU1w</t>
  </si>
  <si>
    <t>dtHncH79g0usHp6lCYULZQ</t>
  </si>
  <si>
    <t>Strati di Malta Pulvini e Baggioli Pila 64</t>
  </si>
  <si>
    <t>gAcK05wUTUahtKFWKvObig</t>
  </si>
  <si>
    <t>0jyViieuIEGR3n3A+pJUpg</t>
  </si>
  <si>
    <t>Montaggio Ferri Pulvino e Baggiolo Pila 64</t>
  </si>
  <si>
    <t>XJVYXINtWkiyz8W6O2n0yQ</t>
  </si>
  <si>
    <t>nd02S/9DiUa6Z73l9CBiDA</t>
  </si>
  <si>
    <t>Inghisaggi Feri Baggioli Pila 64</t>
  </si>
  <si>
    <t>Xypv6PFjX0+JfxAzB8vcag</t>
  </si>
  <si>
    <t>Ykwo3P8BeEW225CjLfLSbA</t>
  </si>
  <si>
    <t>Passivazione Ferri Pila 64</t>
  </si>
  <si>
    <t>zvPt7QLPgUmHOXsQKCxWKw</t>
  </si>
  <si>
    <t>0/zdruRwf0qdGAZIp+0omw</t>
  </si>
  <si>
    <t>Bocciardatura Pulvino 64</t>
  </si>
  <si>
    <t>8hMWEfqWdEO6+mCDqFtc4A</t>
  </si>
  <si>
    <t>PsBUz9sulUa3b2teBdGTAw</t>
  </si>
  <si>
    <t>Montaggio Ponteggi Pila 64</t>
  </si>
  <si>
    <t>MmgsQSkG90yqGVIU6sOFKg</t>
  </si>
  <si>
    <t>jKsFwin6g0OUgkrTqAIjaw</t>
  </si>
  <si>
    <t>Smontaggio Ponteggi Pila 63</t>
  </si>
  <si>
    <t>L49Y3TcvsEaOrfUfft65cg</t>
  </si>
  <si>
    <t>UnAMD6yHA0KXXEZQ0gvJ8A</t>
  </si>
  <si>
    <t>Strati di Malta Pulvini e Baggioli Pila 63</t>
  </si>
  <si>
    <t>BX+ZpXSNwU2fY4wh3RTj9A</t>
  </si>
  <si>
    <t>JwShhknkfE2N67SBUxghaA</t>
  </si>
  <si>
    <t>Montaggio Ferri Pulvino e Baggiolo Pila 63</t>
  </si>
  <si>
    <t>5xPmmd0OI0SohlS2vLRwGA</t>
  </si>
  <si>
    <t>6iQlUyr6NkKsXTtwrqwv7A</t>
  </si>
  <si>
    <t>Inghisaggi Feri Baggioli Pila 63</t>
  </si>
  <si>
    <t>b7TINm1CxU2oO6rY4gvxcw</t>
  </si>
  <si>
    <t>S3q0VAv5CUyIj1WPnx4jOg</t>
  </si>
  <si>
    <t>Passivazione Ferri Pila 63</t>
  </si>
  <si>
    <t>j6KeMdUSb0ykFOxNJNmCQg</t>
  </si>
  <si>
    <t>niSUMKeP3EW4Dt1vrGWcdw</t>
  </si>
  <si>
    <t>Bocciardatura Pulvino 63</t>
  </si>
  <si>
    <t>0djI2qS3UUi6kkOLqDp5lw</t>
  </si>
  <si>
    <t>OXYgXY82f0aeKJ0CXetbig</t>
  </si>
  <si>
    <t>Montaggio Ponteggi Pila 63</t>
  </si>
  <si>
    <t>K6wyC/siWEWDkHh7/wZ94g</t>
  </si>
  <si>
    <t>mCtEae0OH0SF+KdpuCbAPA</t>
  </si>
  <si>
    <t>Smontaggio Ponteggi Pila 62</t>
  </si>
  <si>
    <t>b1ZON+Chx0mBkXKTlek1fg</t>
  </si>
  <si>
    <t>ZFhlbYwHlkajfY7v3V8alQ</t>
  </si>
  <si>
    <t>Strati di Malta Pulvini e Baggioli Pila 62</t>
  </si>
  <si>
    <t>P4fMCxZmiku50T+RMNvSzA</t>
  </si>
  <si>
    <t>FhaevunisEm9/KTVvfPz+w</t>
  </si>
  <si>
    <t>Montaggio Ferri Pulvino e Baggiolo Pila 62</t>
  </si>
  <si>
    <t>6wQ/iNyMJkq6qu9FY+VREg</t>
  </si>
  <si>
    <t>tVpqK7Df6UyZkFsH76qqoQ</t>
  </si>
  <si>
    <t>Inghisaggi Feri Baggioli Pila 62</t>
  </si>
  <si>
    <t>5fe8FGpEZ0C4VQGgKjmLVA</t>
  </si>
  <si>
    <t>Passivazione Ferri Pila 62</t>
  </si>
  <si>
    <t>A2Re7fFqbESzMWaJlJUT+w</t>
  </si>
  <si>
    <t>Q9eYu+loEkGqsQbwRyL5RA</t>
  </si>
  <si>
    <t>Bocciardatura Pulvino 62</t>
  </si>
  <si>
    <t>rCc/X6JSSEmK5Ci9xoDjGw</t>
  </si>
  <si>
    <t>VkI8TSYXd0mrllKxX56xew</t>
  </si>
  <si>
    <t>Montaggio Ponteggi Pila 62</t>
  </si>
  <si>
    <t>JK2tYmczykSgBkcQClHsmQ</t>
  </si>
  <si>
    <t>goeaxhMouUy5jDTxUm/faQ</t>
  </si>
  <si>
    <t>Smontaggio Ponteggi Pila 61</t>
  </si>
  <si>
    <t>k2ztdqdV/0yUPHhUE7WxlA</t>
  </si>
  <si>
    <t>AlhyuPL5TkSQqFNvBUGk7g</t>
  </si>
  <si>
    <t>Strati di Malta Pulvini e Baggioli Pila 61</t>
  </si>
  <si>
    <t>xhhOOo0ikEOKtcFCi6u4Gg</t>
  </si>
  <si>
    <t>5tWWzJgttkOrvPXH+pzWlg</t>
  </si>
  <si>
    <t>Montaggio Ferri Pulvino e Baggiolo Pila 61</t>
  </si>
  <si>
    <t>IeV79NQYrESw4keV1uepOQ</t>
  </si>
  <si>
    <t>di5U+ROlx02MJp0B/OtfIA</t>
  </si>
  <si>
    <t>Inghisaggi Feri Baggioli Pila 61</t>
  </si>
  <si>
    <t>P2IpakvzH0WJFdlCaLoCdg</t>
  </si>
  <si>
    <t>kKYU1ITTD0qxA5h1YpRqgg</t>
  </si>
  <si>
    <t>Passivazione Ferri Pila 61</t>
  </si>
  <si>
    <t>Eyww9+V4EkGLWLtLiYA6uA</t>
  </si>
  <si>
    <t>lH9/B/Bzo0WvAr71mXN59A</t>
  </si>
  <si>
    <t>Bocciardatura Pulvino 61</t>
  </si>
  <si>
    <t>3fSUYryi80Sj3XOIKvnvtg</t>
  </si>
  <si>
    <t>hyFcg5n/L0WLMNGmBcxv8w</t>
  </si>
  <si>
    <t>Montaggio Ponteggi Pila 61</t>
  </si>
  <si>
    <t>EtH/7Z6KCk+teLBBBJpXgg</t>
  </si>
  <si>
    <t>XIv7k7zC1kKPT5TeJ9OZYg</t>
  </si>
  <si>
    <t>Smontaggio Ponteggi Pila 60</t>
  </si>
  <si>
    <t>t3ofRzRV/UqUDED9gYGWSQ</t>
  </si>
  <si>
    <t>Strati di Malta Pulvini e Baggioli Pila 60</t>
  </si>
  <si>
    <t>dgjxawzYXUewZYIchmQMKw</t>
  </si>
  <si>
    <t>c5ez8jnki063AYWR/YsOWQ</t>
  </si>
  <si>
    <t>Montaggio Ferri Pulvino e Baggiolo Pila 60</t>
  </si>
  <si>
    <t>/1OtVKuKVk+xQSQWAvai4Q</t>
  </si>
  <si>
    <t>W6sQmnWQ3k2fg/ovNydWMA</t>
  </si>
  <si>
    <t>Inghisaggi Feri Baggioli Pila 60</t>
  </si>
  <si>
    <t>DSLhffePgkiDey/0hOtoNg</t>
  </si>
  <si>
    <t>dLza7mviokugjvknB29/Ug</t>
  </si>
  <si>
    <t>Passivazione Ferri Pila 60</t>
  </si>
  <si>
    <t>JeEfGOtYXU6pKRJK0YAnoQ</t>
  </si>
  <si>
    <t>FaWPMNqmckKaIVrnuceA4g</t>
  </si>
  <si>
    <t>Bocciardatura Pulvino 60</t>
  </si>
  <si>
    <t>bxgyfiFYBU+21AGQIDb4Ag</t>
  </si>
  <si>
    <t>pUyLCIXJjEyxA1Lr5Merow</t>
  </si>
  <si>
    <t>Montaggio Ponteggi Pila 60</t>
  </si>
  <si>
    <t>yt24OqD/JUycJtB8akmcdQ</t>
  </si>
  <si>
    <t>NRqcNreI9UCSNPdm7GR/Hg</t>
  </si>
  <si>
    <t>Smontaggio Ponteggi Pila 59</t>
  </si>
  <si>
    <t>k5PCumdffkmVoVXc5glbxQ</t>
  </si>
  <si>
    <t>3fxOM3pC5Ei8Fz22l7WtQg</t>
  </si>
  <si>
    <t>Strati di Malta Pulvini e Baggioli Pila 59</t>
  </si>
  <si>
    <t>pNCSH10q4EyjBvu76o1Rug</t>
  </si>
  <si>
    <t>+7zfFLq7O0GcZhlhES1peA</t>
  </si>
  <si>
    <t>Montaggio Ferri Pulvino e Baggiolo Pila 59</t>
  </si>
  <si>
    <t>QeAftXtbpEauoK6W5iJ4rw</t>
  </si>
  <si>
    <t>up9Oto87WEiaUH5a8USFpQ</t>
  </si>
  <si>
    <t>Inghisaggi Feri Baggioli Pila 59</t>
  </si>
  <si>
    <t>s8i5urPz1kWKKmwK7WO/TA</t>
  </si>
  <si>
    <t>xka3jflZ3kqwK+00QpZASA</t>
  </si>
  <si>
    <t>Passivazione Ferri Pila 59</t>
  </si>
  <si>
    <t>OHajX2wBMUGW5dZYSIQK8g</t>
  </si>
  <si>
    <t>V4XBrCwN6U6hIE4pA7m1rQ</t>
  </si>
  <si>
    <t>Bocciardatura Pulvino 59</t>
  </si>
  <si>
    <t>E1gzJKOdYUWUDCLpW294eg</t>
  </si>
  <si>
    <t>lq8oKZ6Q1Ee/FgB1Oh58hg</t>
  </si>
  <si>
    <t>Montaggio Ponteggi Pila 59</t>
  </si>
  <si>
    <t>Ww8BFkuzRkaJvwuJu1zXpQ</t>
  </si>
  <si>
    <t>PWmuVzQNBEO+glKP+Fu1tg</t>
  </si>
  <si>
    <t>Smontaggio Ponteggi Pila 58</t>
  </si>
  <si>
    <t>Z30h8XRGv0eDMaTvN426WA</t>
  </si>
  <si>
    <t>7qvkXxhkoEW6PZOUmONTMQ</t>
  </si>
  <si>
    <t>Strati di Malta Pulvini e Baggioli Pila 58</t>
  </si>
  <si>
    <t>2TEnp2pU30uSx1iRrqWvig</t>
  </si>
  <si>
    <t>pEJIqj2TP0y9bdYfHFHiGw</t>
  </si>
  <si>
    <t>Montaggio Ferri Pulvino e Baggiolo Pila 58</t>
  </si>
  <si>
    <t>8uB1V1GUNEeDgPbsWqQMwg</t>
  </si>
  <si>
    <t>fetnmcw9OkC/vZfiRnbPhg</t>
  </si>
  <si>
    <t>Inghisaggi Feri Baggioli Pila 58</t>
  </si>
  <si>
    <t>EHvm4/gvSEiH34D9VkRpsg</t>
  </si>
  <si>
    <t>9bLyHIRWP0aGYf1V8yRJlA</t>
  </si>
  <si>
    <t>Passivazione Ferri Pila 58</t>
  </si>
  <si>
    <t>xPrpstmhq0qDPPKehtM22w</t>
  </si>
  <si>
    <t>CcDygLrB0UupLhNCjrh84g</t>
  </si>
  <si>
    <t>Bocciardatura Pulvino 58</t>
  </si>
  <si>
    <t>vRLxJHxl6EWRtmBrRp1iWQ</t>
  </si>
  <si>
    <t>3KnNRSX1QkOqDSlWF7O7Mw</t>
  </si>
  <si>
    <t>Montaggio Ponteggi Pila 58</t>
  </si>
  <si>
    <t>/DxJMVMGbUGvq2oB6WGaTg</t>
  </si>
  <si>
    <t>VOFE71M1FkGBZITa0sL+Uw</t>
  </si>
  <si>
    <t>Smontaggio Ponteggi Pila 57</t>
  </si>
  <si>
    <t>8ZMZTmXM5EeCcGvL2AetvQ</t>
  </si>
  <si>
    <t>gW5LdNWhOkO1/fhzdoc88g</t>
  </si>
  <si>
    <t>Strati di Malta Pulvini e Baggioli Pila 57</t>
  </si>
  <si>
    <t>3oiIOMjYkE+0+HUnHSUIUA</t>
  </si>
  <si>
    <t>Ggqn98zWiEuPfFrvKDmv1A</t>
  </si>
  <si>
    <t>Montaggio Ferri Pulvino e Baggiolo Pila 57</t>
  </si>
  <si>
    <t>P9O06ZM62k+2sdDtAzEHcA</t>
  </si>
  <si>
    <t>ckLBr5n2+0KDx84hIhwZrw</t>
  </si>
  <si>
    <t>Inghisaggi Feri Baggioli Pila 57</t>
  </si>
  <si>
    <t>1xQNGkhEmU6X1/bwW2DgtQ</t>
  </si>
  <si>
    <t>//9mSi+/60ilWSNTKeGxyA</t>
  </si>
  <si>
    <t>Passivazione Ferri Pila 57</t>
  </si>
  <si>
    <t>+04Go54I3UeP6sCHVAaVng</t>
  </si>
  <si>
    <t>KJblUncov0Kav1Udzr9otw</t>
  </si>
  <si>
    <t>Bocciardatura Pulvino 57</t>
  </si>
  <si>
    <t>88YVuiL3MUmtlxFjczkLNw</t>
  </si>
  <si>
    <t>xFhZ3QGZNUKNINre80KG+w</t>
  </si>
  <si>
    <t>351.6</t>
  </si>
  <si>
    <t>Montaggio Ponteggi Pila 57</t>
  </si>
  <si>
    <t>tAYc3GjTtEST4m45JSD7PQ</t>
  </si>
  <si>
    <t>Smontaggio Ponteggi Pila 56</t>
  </si>
  <si>
    <t>syFKyryA2UCxeqRK0YSEYw</t>
  </si>
  <si>
    <t>7+ElGDt/80eIw10h1SE3rw</t>
  </si>
  <si>
    <t>Strati di Malta Pulvini e Baggioli Pila 56</t>
  </si>
  <si>
    <t>ScezXLmR60KoqTDrMumxEw</t>
  </si>
  <si>
    <t>zVcT/HXSE0aLr3UEU3BlIw</t>
  </si>
  <si>
    <t>Montaggio Ferri Pulvino e Baggiolo Pila 56</t>
  </si>
  <si>
    <t>h+rXK2quoku+HzWqje9aRA</t>
  </si>
  <si>
    <t>bmKJTnN0lES6oQxIAgGPdQ</t>
  </si>
  <si>
    <t>Inghisaggi Feri Baggioli Pila 56</t>
  </si>
  <si>
    <t>pEeHpUPcPkKS94MtDH20sw</t>
  </si>
  <si>
    <t>IgVu8E9u7kyHiF7GwM22eA</t>
  </si>
  <si>
    <t>Passivazione Ferri Pila 56</t>
  </si>
  <si>
    <t>Tvo7dY3sb0GK3lKqHcDlqg</t>
  </si>
  <si>
    <t>6j+Erpd4EUyIm+8rV/HUrw</t>
  </si>
  <si>
    <t>Bocciardatura Pulvino 56</t>
  </si>
  <si>
    <t>PlOWfJfaG0upVOG4MkgbFA</t>
  </si>
  <si>
    <t>4mrkJITc4EqcT58JvS0wHw</t>
  </si>
  <si>
    <t>Montaggio Ponteggi Pila 56</t>
  </si>
  <si>
    <t>ln5Ie1CDV0ynathhfPIBsw</t>
  </si>
  <si>
    <t>AF0dLPdOoE614sJjT9QtXw</t>
  </si>
  <si>
    <t>JTijlNneF0CVkzOcn6m/oA</t>
  </si>
  <si>
    <t>ovAV7UDb702Ksso7P1/d1A</t>
  </si>
  <si>
    <t>tjDP25M0w0u/xGzRg5FOnQ</t>
  </si>
  <si>
    <t>yaBYCwzezEmBWOfop+ko5g</t>
  </si>
  <si>
    <t>Z0qivXR/nUGR5OYvjyW+3A</t>
  </si>
  <si>
    <t>Y/0edZnl6kmNnZ30MsREtA</t>
  </si>
  <si>
    <t>CS_MEO</t>
  </si>
  <si>
    <t>Fine progetto da Contratto</t>
  </si>
  <si>
    <t>TT_FinMile</t>
  </si>
  <si>
    <t>0r3/CTxDz0edGD9+q5lqjQ</t>
  </si>
  <si>
    <t>Conferimento a discarica</t>
  </si>
  <si>
    <t>v1tR4p6OQEGc0tSdKul2iQ</t>
  </si>
  <si>
    <t>Riduzione di volume</t>
  </si>
  <si>
    <t>sjdcLL8n5EGkXfbTDgJssA</t>
  </si>
  <si>
    <t>Deferrizzazione</t>
  </si>
  <si>
    <t>b01coicWFkSOb0MrNYvdVA</t>
  </si>
  <si>
    <t>Rimozione giunti dalla Campata 55 alla 31</t>
  </si>
  <si>
    <t>FHpB5W5/CEW538xHOSM9NA</t>
  </si>
  <si>
    <t>Autorizzazione al Subappalto per Scarificatura</t>
  </si>
  <si>
    <t>DT_FixedRate</t>
  </si>
  <si>
    <t>TT_Mile</t>
  </si>
  <si>
    <t>Rimozione giunti da Campata 76 a 56</t>
  </si>
  <si>
    <t>dLm/fWoJ0EmIld2JY3GH+g</t>
  </si>
  <si>
    <t>MVV5y7n2AEWD2hc4DBpZEg</t>
  </si>
  <si>
    <t>3iWAjMZ61EujMfAZ0p0PJQ</t>
  </si>
  <si>
    <t>+wqAm+2eN0Gn1HkmfJYbFg</t>
  </si>
  <si>
    <t>Posa delle barriere di sicurezza e segnaletica  55 - 31</t>
  </si>
  <si>
    <t>Pj8H15SLck+9p8WZIWF3wQ</t>
  </si>
  <si>
    <t>Realizzazione dei giunti di dilatazione  55 - 31</t>
  </si>
  <si>
    <t>XD10Z2FL+UySyOleLtn2xw</t>
  </si>
  <si>
    <t>Realizzazione della pavimentazione stradale  55 - 31</t>
  </si>
  <si>
    <t>FsiLBOHLn0efnwbNI4+rbQ</t>
  </si>
  <si>
    <t>Realizzazione sistema di smaltimento acque di piattaforma  55 - 31</t>
  </si>
  <si>
    <t>pLE6OGNVaUSP8z2Xcv42/Q</t>
  </si>
  <si>
    <t>Realizzazione dell'impermeabilizzazione degli impalcati  55 - 31</t>
  </si>
  <si>
    <t>GUnvZmLOnUuJiygqDtCGYw</t>
  </si>
  <si>
    <t>Realizzazione della soletta in cemento armato Campata 56</t>
  </si>
  <si>
    <t>yVD7NnxIrka+2a3tZR5ptQ</t>
  </si>
  <si>
    <t>Realizzazione della soletta in cemento armato Campata 57</t>
  </si>
  <si>
    <t>gNXl/skIoEO9g85d7FRYUg</t>
  </si>
  <si>
    <t>Realizzazione della soletta in cemento armato Campata 58</t>
  </si>
  <si>
    <t>U9tUw11hikCxrJA38EMB3Q</t>
  </si>
  <si>
    <t>Realizzazione della soletta in cemento armato Campata 59</t>
  </si>
  <si>
    <t>abb2L8ceN0mpwOriGRF35A</t>
  </si>
  <si>
    <t>Realizzazione della soletta in cemento armato Campata 60</t>
  </si>
  <si>
    <t>JcGQUTLH/EKt3h9yyOMs0g</t>
  </si>
  <si>
    <t>Realizzazione della soletta in cemento armato Campata 61</t>
  </si>
  <si>
    <t>N25UytIrN06cSaCf71n/6g</t>
  </si>
  <si>
    <t>Realizzazione della soletta in cemento armato Campata 62</t>
  </si>
  <si>
    <t>/RA98m/Pu0SEJ4lMqWdeFA</t>
  </si>
  <si>
    <t>Realizzazione della soletta in cemento armato Campata 63</t>
  </si>
  <si>
    <t>ADgaI8IFM0+6HjUrZ2hpVg</t>
  </si>
  <si>
    <t>Realizzazione della soletta in cemento armato Campata 64</t>
  </si>
  <si>
    <t>oe/o6aIq2E69DnUSCfnqJQ</t>
  </si>
  <si>
    <t>Realizzazione della soletta in cemento armato Campata 65</t>
  </si>
  <si>
    <t>Z2guZyUOaU2tvAIbCV06/A</t>
  </si>
  <si>
    <t>Realizzazione della soletta in cemento armato Campata 66</t>
  </si>
  <si>
    <t>ChXZd/Sqdke83oD2eIo2gQ</t>
  </si>
  <si>
    <t>Realizzazione della soletta in cemento armato Campata 67</t>
  </si>
  <si>
    <t>IZLU716lx0WZKjOSnl0cRQ</t>
  </si>
  <si>
    <t>Realizzazione della soletta in cemento armato Campata 68</t>
  </si>
  <si>
    <t>+37MvskWn0e21VkUhHJNrg</t>
  </si>
  <si>
    <t>Realizzazione della soletta in cemento armato Campata 69</t>
  </si>
  <si>
    <t>f1MFsiP81EqixEY18vhvfA</t>
  </si>
  <si>
    <t>Realizzazione della soletta in cemento armato Campata 70</t>
  </si>
  <si>
    <t>LcO8OFwhXk68oBzonlsgXg</t>
  </si>
  <si>
    <t>Realizzazione della soletta in cemento armato Campata 71</t>
  </si>
  <si>
    <t>iaajg4WMT0WrYHPpEm4WyQ</t>
  </si>
  <si>
    <t>Realizzazione della soletta in cemento armato Campata 72</t>
  </si>
  <si>
    <t>dNMDXbwqSUmaDbBbXlsWPA</t>
  </si>
  <si>
    <t>Realizzazione della soletta in cemento armato Campata 73</t>
  </si>
  <si>
    <t>zsZ+PQSgHEqpHyX7cdSQQA</t>
  </si>
  <si>
    <t>Realizzazione della soletta in cemento armato Campata 74</t>
  </si>
  <si>
    <t>0wLzM4gsaUisxJAuaqhOkw</t>
  </si>
  <si>
    <t>Realizzazione della soletta in cemento armato Campata 75</t>
  </si>
  <si>
    <t>f3nELD9BPU+g6TZunKgFpQ</t>
  </si>
  <si>
    <t>Realizzazione della soletta in cemento armato Campata 76</t>
  </si>
  <si>
    <t>ur96dMrDwEi89PLySq/IBQ</t>
  </si>
  <si>
    <t>Posa travi impalcato Campata 56</t>
  </si>
  <si>
    <t>NIPyfMs2LUqIC1l+9zAmGA</t>
  </si>
  <si>
    <t>Posa travi impalcato Campata 57</t>
  </si>
  <si>
    <t>6K9kI5T3ukmqf5s/mTRrZQ</t>
  </si>
  <si>
    <t>Posa travi impalcato Campata 58</t>
  </si>
  <si>
    <t>RzIDSJFipkOy+brp4/+iow</t>
  </si>
  <si>
    <t>Posa travi impalcato Campata 59</t>
  </si>
  <si>
    <t>jRJxMM2i8kmsBu+X561PTQ</t>
  </si>
  <si>
    <t>Posa travi impalcato Campata 60</t>
  </si>
  <si>
    <t>/md6UxSnCkKO+3UIVQVElQ</t>
  </si>
  <si>
    <t>Posa travi impalcato Campata 61</t>
  </si>
  <si>
    <t>oLVtKW0QQ0iHFLZ29RO3YQ</t>
  </si>
  <si>
    <t>Posa travi impalcato Campata 62</t>
  </si>
  <si>
    <t>Or0dG2qeOkaT/DUxwPdkMA</t>
  </si>
  <si>
    <t>Posa travi impalcato Campata 63</t>
  </si>
  <si>
    <t>6klugzftlUm/+Ige2KPEBw</t>
  </si>
  <si>
    <t>Posa travi impalcato Campata 64</t>
  </si>
  <si>
    <t>8LwKRK9Tg0CTyIT0aW/z9A</t>
  </si>
  <si>
    <t>Posa travi impalcato Campata 65</t>
  </si>
  <si>
    <t>IBakbOWFLkSVk+5dm8sz9w</t>
  </si>
  <si>
    <t>Posa travi impalcato Campata 66</t>
  </si>
  <si>
    <t>adiHBd70LEScpZIZiIGbig</t>
  </si>
  <si>
    <t>Posa travi impalcato Campata 67</t>
  </si>
  <si>
    <t>p6VNqPL2+E+dp5imawQZ6Q</t>
  </si>
  <si>
    <t>Posa travi impalcato Campata 68</t>
  </si>
  <si>
    <t>FipUvcoLs0+JnCVPup/nvw</t>
  </si>
  <si>
    <t>Posa travi impalcato Campata 69</t>
  </si>
  <si>
    <t>JCI8LlIyF0SaIbl6lr7xRQ</t>
  </si>
  <si>
    <t>Posa travi impalcato Campata 70</t>
  </si>
  <si>
    <t>UBNCwftQzUa5su7Dy+vKLA</t>
  </si>
  <si>
    <t>Posa travi impalcato Campata 71</t>
  </si>
  <si>
    <t>zNK2Q7YtU0eSPlk+pkDaLg</t>
  </si>
  <si>
    <t>Posa travi impalcato Campata 72</t>
  </si>
  <si>
    <t>nEeK5IhgAUSxdT8JNhALBQ</t>
  </si>
  <si>
    <t>Posa travi impalcato Campata 73</t>
  </si>
  <si>
    <t>bhoN6qdnJ0+deReuDe7l2Q</t>
  </si>
  <si>
    <t>Posa travi impalcato Campata 74</t>
  </si>
  <si>
    <t>FjuKeo/y80y5fYk52tipyA</t>
  </si>
  <si>
    <t>Posa travi impalcato Campata 75</t>
  </si>
  <si>
    <t>3Pz4u+1anUezlpbWjqW0lg</t>
  </si>
  <si>
    <t>Posa travi impalcato Campata 76</t>
  </si>
  <si>
    <t>JiVBjPAG0UmVzqong3IPRg</t>
  </si>
  <si>
    <t>Demolizione impalcato esistente e rimozione apparecchi di appoggio Campata 56</t>
  </si>
  <si>
    <t>6CYnJOWJa0eWTd6Vdh2p+w</t>
  </si>
  <si>
    <t>Demolizione impalcato esistente e rimozione apparecchi di appoggio Campata 57</t>
  </si>
  <si>
    <t>5m0bEJqag0225KNvNeL8vA</t>
  </si>
  <si>
    <t>Demolizione impalcato esistente e rimozione apparecchi di appoggio Campata 58</t>
  </si>
  <si>
    <t>UXOVbSEC+Eu7iQHdLjCpvA</t>
  </si>
  <si>
    <t>Demolizione impalcato esistente e rimozione apparecchi di appoggio Campata 59</t>
  </si>
  <si>
    <t>Hs39ybfmNESrelk5A4RFIA</t>
  </si>
  <si>
    <t>Demolizione impalcato esistente e rimozione apparecchi di appoggio Campata 60</t>
  </si>
  <si>
    <t>/KzeXNKehkCfuTi5EJPlYA</t>
  </si>
  <si>
    <t>Demolizione impalcato esistente e rimozione apparecchi di appoggio Campata 61</t>
  </si>
  <si>
    <t>KlaXemzYGkiOvp4zr5W7+g</t>
  </si>
  <si>
    <t>Demolizione impalcato esistente e rimozione apparecchi di appoggio Campata 62</t>
  </si>
  <si>
    <t>za0GN7gv+UyDa20pR+iblA</t>
  </si>
  <si>
    <t>Demolizione impalcato esistente e rimozione apparecchi di appoggio Campata 63</t>
  </si>
  <si>
    <t>BFAOGz4rTUaIRIzgt8xp7Q</t>
  </si>
  <si>
    <t>Demolizione impalcato esistente e rimozione apparecchi di appoggio Campata 64</t>
  </si>
  <si>
    <t>dx0/YQv8fkmJljifIfjZaw</t>
  </si>
  <si>
    <t>Demolizione impalcato esistente e rimozione apparecchi di appoggio Campata 65</t>
  </si>
  <si>
    <t>IZJChhpT6kSpDkUnb/XSzg</t>
  </si>
  <si>
    <t>Demolizione impalcato esistente e rimozione apparecchi di appoggio Campata 66</t>
  </si>
  <si>
    <t>jDZ2VmW/iEClq5hfNdwLpA</t>
  </si>
  <si>
    <t>Demolizione impalcato esistente e rimozione apparecchi di appoggio Campata 67</t>
  </si>
  <si>
    <t>raclk2SghUq84Cah7JLgBA</t>
  </si>
  <si>
    <t>Demolizione impalcato esistente e rimozione apparecchi di appoggio Campata 68</t>
  </si>
  <si>
    <t>tzSdzZEJ9Ue2jDePly+JaA</t>
  </si>
  <si>
    <t>Demolizione impalcato esistente e rimozione apparecchi di appoggio Campata 69</t>
  </si>
  <si>
    <t>OSlNSFhFDEKrOD++nPJkQA</t>
  </si>
  <si>
    <t>Demolizione impalcato esistente e rimozione apparecchi di appoggio Campata 70</t>
  </si>
  <si>
    <t>juUbVZGv0ECVgIyv5yeqwQ</t>
  </si>
  <si>
    <t>Demolizione impalcato esistente e rimozione apparecchi di appoggio Campata 71</t>
  </si>
  <si>
    <t>QDDUsifS+06GAmfdrtFi4A</t>
  </si>
  <si>
    <t>Demolizione impalcato esistente e rimozione apparecchi di appoggio Campata 72</t>
  </si>
  <si>
    <t>cuZ79qp1/ki9Dh/4Mx5otA</t>
  </si>
  <si>
    <t>Demolizione impalcato esistente e rimozione apparecchi di appoggio Campata 73</t>
  </si>
  <si>
    <t>rohhfWGqoUGV9hhRjhnb/Q</t>
  </si>
  <si>
    <t>Demolizione impalcato esistente e rimozione apparecchi di appoggio Campata 74</t>
  </si>
  <si>
    <t>3oHdzMQlIEexaTxeIb4+eg</t>
  </si>
  <si>
    <t>Demolizione impalcato esistente e rimozione apparecchi di appoggio Campata 75</t>
  </si>
  <si>
    <t>0bqgUWL4ukG0gIAU+fYmYA</t>
  </si>
  <si>
    <t>Demolizione impalcato esistente e rimozione apparecchi di appoggio Campata 76</t>
  </si>
  <si>
    <t>d+mHi1t8VEa/B+59+fvHwA</t>
  </si>
  <si>
    <t>Scarificazione della pavimentazione stradale esistente da Campata 76 a 56</t>
  </si>
  <si>
    <t>pgQiFIZ81Ey2nySrJWPLjA</t>
  </si>
  <si>
    <t>Rimozione della barriere stradali 76 - 56</t>
  </si>
  <si>
    <t>y2o1t2/rF06WkIDbhxcq+A</t>
  </si>
  <si>
    <t>Realizzazione della soletta in cemento armato Campata 31</t>
  </si>
  <si>
    <t>XD4K2DqrvUa6j4FpQ5i0hA</t>
  </si>
  <si>
    <t>Realizzazione della soletta in cemento armato Campata 32</t>
  </si>
  <si>
    <t>JIIjdf7KDkSFEun48AT+Aw</t>
  </si>
  <si>
    <t>Realizzazione della soletta in cemento armato Campata 33</t>
  </si>
  <si>
    <t>oP96cqs9xUKQnIZZwNcr4g</t>
  </si>
  <si>
    <t>Realizzazione della soletta in cemento armato Campata 34</t>
  </si>
  <si>
    <t>M4YjKoxxOUylKleA/dXSTA</t>
  </si>
  <si>
    <t>Realizzazione della soletta in cemento armato Campata 35</t>
  </si>
  <si>
    <t>cVStgq901k2qg129THDeEw</t>
  </si>
  <si>
    <t>Realizzazione della soletta in cemento armato Campata 36</t>
  </si>
  <si>
    <t>BVB6d9pLm0OCt9I9s09/Qw</t>
  </si>
  <si>
    <t>Realizzazione della soletta in cemento armato Campata 37</t>
  </si>
  <si>
    <t>mzu1CnRC3UCYFasYu5OoTg</t>
  </si>
  <si>
    <t>Realizzazione della soletta in cemento armato Campata 38</t>
  </si>
  <si>
    <t>Dzz88BU+306DM58dYSRvuw</t>
  </si>
  <si>
    <t>Realizzazione della soletta in cemento armato Campata 39</t>
  </si>
  <si>
    <t>Lc8dB62pP0Ge7Z+Cf6z6Vw</t>
  </si>
  <si>
    <t>Realizzazione della soletta in cemento armato Campata 40</t>
  </si>
  <si>
    <t>W8hGejB+OUKCtnC9YZPeyA</t>
  </si>
  <si>
    <t>Realizzazione della soletta in cemento armato Campata 41</t>
  </si>
  <si>
    <t>j612N6W/K0S4pt47JN2c9A</t>
  </si>
  <si>
    <t>Realizzazione della soletta in cemento armato Campata 42</t>
  </si>
  <si>
    <t>QgCMlca88Ui4t4Sq0CpRZA</t>
  </si>
  <si>
    <t>Realizzazione della soletta in cemento armato Campata 43</t>
  </si>
  <si>
    <t>ZygmVc23h0KVOsB/QzRI5A</t>
  </si>
  <si>
    <t>Realizzazione della soletta in cemento armato Campata 44</t>
  </si>
  <si>
    <t>iw8GEUTbtEeOW6ojsyBJOQ</t>
  </si>
  <si>
    <t>Realizzazione della soletta in cemento armato Campata 45</t>
  </si>
  <si>
    <t>vOrxuUJDMkGdsmCQMoO+MA</t>
  </si>
  <si>
    <t>Realizzazione della soletta in cemento armato Campata 46</t>
  </si>
  <si>
    <t>qZtv2HpNU02eVbUFw3sNNA</t>
  </si>
  <si>
    <t>Realizzazione della soletta in cemento armato Campata 47</t>
  </si>
  <si>
    <t>KxdF3raoZ0m6ShPZ0qkYkA</t>
  </si>
  <si>
    <t>Realizzazione della soletta in cemento armato Campata 48</t>
  </si>
  <si>
    <t>KQp2VEW5jU2sZLub8yBuyw</t>
  </si>
  <si>
    <t>Realizzazione della soletta in cemento armato Campata 49</t>
  </si>
  <si>
    <t>rAKveAhxK0m+vrfFM9XONw</t>
  </si>
  <si>
    <t>Realizzazione della soletta in cemento armato Campata 50</t>
  </si>
  <si>
    <t>D4RV2iMElEK5p62AugO0Ng</t>
  </si>
  <si>
    <t>Realizzazione della soletta in cemento armato Campata 51</t>
  </si>
  <si>
    <t>A0rQ62hW20muxSJ07MshIA</t>
  </si>
  <si>
    <t>Realizzazione della soletta in cemento armato Campata 52</t>
  </si>
  <si>
    <t>K6I6YHVJtEmhlKYJfpN+hg</t>
  </si>
  <si>
    <t>Realizzazione della soletta in cemento armato Campata 53</t>
  </si>
  <si>
    <t>7f3sE6L7+UOZy/Tl32Yv/g</t>
  </si>
  <si>
    <t>Realizzazione della soletta in cemento armato Campata 54</t>
  </si>
  <si>
    <t>Rbm8Q28yF0aKcn+vKF+j9g</t>
  </si>
  <si>
    <t>Realizzazione della soletta in cemento armato Campata 55</t>
  </si>
  <si>
    <t>sSXYKoP8oEq8rsyO1XatWQ</t>
  </si>
  <si>
    <t>Posa travi impalcato Campata 31</t>
  </si>
  <si>
    <t>VzYCtLv2EkqLyMId+NEnOw</t>
  </si>
  <si>
    <t>Posa travi impalcato Campata 32</t>
  </si>
  <si>
    <t>xY4XYjfu/ketmpmzkxK77Q</t>
  </si>
  <si>
    <t>Posa travi impalcato Campata 33</t>
  </si>
  <si>
    <t>YvlSkAKOg0qTYWCdtWHkvQ</t>
  </si>
  <si>
    <t>Posa travi impalcato Campata 34</t>
  </si>
  <si>
    <t>iLNbWwHWMUOJZv2BqnANog</t>
  </si>
  <si>
    <t>Posa travi impalcato Campata 35</t>
  </si>
  <si>
    <t>S0lQl5dcnkqOvkESAcxShw</t>
  </si>
  <si>
    <t>Posa travi impalcato Campata 36</t>
  </si>
  <si>
    <t>ABYkWtL/1k6SvaQT4FEoWA</t>
  </si>
  <si>
    <t>Posa travi impalcato Campata 37</t>
  </si>
  <si>
    <t>e/SxW9upkEmcUClH1ekB/g</t>
  </si>
  <si>
    <t>Posa travi impalcato Campata 38</t>
  </si>
  <si>
    <t>4RPWrl4PVkCINPZMlWpC0Q</t>
  </si>
  <si>
    <t>Posa travi impalcato Campata 39</t>
  </si>
  <si>
    <t>BBS3JoBfREGPIufM+krozw</t>
  </si>
  <si>
    <t>Posa travi impalcato Campata 40</t>
  </si>
  <si>
    <t>a2rSa7DW+EepgcfGJPtiNg</t>
  </si>
  <si>
    <t>Posa travi impalcato Campata 41</t>
  </si>
  <si>
    <t>obBgA7RDhU2p0QdMbAH3+g</t>
  </si>
  <si>
    <t>Posa travi impalcato Campata 42</t>
  </si>
  <si>
    <t>nfxykquXfkivR99cA8KzcA</t>
  </si>
  <si>
    <t>Posa travi impalcato Campata 43</t>
  </si>
  <si>
    <t>hhKprcW4W0+Ux3q3HCoXJg</t>
  </si>
  <si>
    <t>Posa travi impalcato Campata 44</t>
  </si>
  <si>
    <t>Eybfimn7VkGbjZ+MjcJMiQ</t>
  </si>
  <si>
    <t>Posa travi impalcato Campata 45</t>
  </si>
  <si>
    <t>oMzad1OU6EuZVW2aNcfZUA</t>
  </si>
  <si>
    <t>Posa travi impalcato Campata 46</t>
  </si>
  <si>
    <t>/C6L5VuYnU2qU+2PFiW0Bw</t>
  </si>
  <si>
    <t>Posa travi impalcato Campata 47</t>
  </si>
  <si>
    <t>oJzdNcToYkOu4jaai5OG4g</t>
  </si>
  <si>
    <t>Posa travi impalcato Campata 48</t>
  </si>
  <si>
    <t>w2nmDEug2kK4aaDR2EPpQQ</t>
  </si>
  <si>
    <t>Posa travi impalcato Campata 49</t>
  </si>
  <si>
    <t>vybsFO6cV06AiiOxg4Ho6w</t>
  </si>
  <si>
    <t>Posa travi impalcato Campata 50</t>
  </si>
  <si>
    <t>P2w9M44BSkW5gtHdCQrIWQ</t>
  </si>
  <si>
    <t>Posa travi impalcato Campata 51</t>
  </si>
  <si>
    <t>VVzI9cDc40qfZcIJrzMVqw</t>
  </si>
  <si>
    <t>Posa travi impalcato Campata 52</t>
  </si>
  <si>
    <t>avVa1TvWbUiZPWurTbv6+A</t>
  </si>
  <si>
    <t>Posa travi impalcato Campata 53</t>
  </si>
  <si>
    <t>V0LuFborHkKtArKPGaN0Jw</t>
  </si>
  <si>
    <t>Posa travi impalcato Campata 54</t>
  </si>
  <si>
    <t>k2kIQlOV20KdytEeDd4Ghg</t>
  </si>
  <si>
    <t>Posa travi impalcato Campata 55</t>
  </si>
  <si>
    <t>79XtFFk9h0C6C1J1agueog</t>
  </si>
  <si>
    <t>Demolizione impalcato esistente e rimozione apparecchi di appoggio Campata 31</t>
  </si>
  <si>
    <t>wd2Fw/BPJkuBWg7msB2EVg</t>
  </si>
  <si>
    <t>Demolizione impalcato esistente e rimozione apparecchi di appoggio Campata 32</t>
  </si>
  <si>
    <t>FHWpHASdu0+lVo9hbVFXQw</t>
  </si>
  <si>
    <t>Demolizione impalcato esistente e rimozione apparecchi di appoggio Campata 33</t>
  </si>
  <si>
    <t>fbsaYF0r2kWBor/MlcAPQA</t>
  </si>
  <si>
    <t>Demolizione impalcato esistente e rimozione apparecchi di appoggio Campata 34</t>
  </si>
  <si>
    <t>4uFvV4qOV0uwo9rDUlyiJg</t>
  </si>
  <si>
    <t>Demolizione impalcato esistente e rimozione apparecchi di appoggio Campata 35</t>
  </si>
  <si>
    <t>D3w9rRzTBkC6NYQhAJqbnA</t>
  </si>
  <si>
    <t>Demolizione impalcato esistente e rimozione apparecchi di appoggio Campata 36</t>
  </si>
  <si>
    <t>UdiyQrTBb0eBckaUVIqjCg</t>
  </si>
  <si>
    <t>Demolizione impalcato esistente e rimozione apparecchi di appoggio Campata 37</t>
  </si>
  <si>
    <t>riO4b7tVuU+EavIhxx4ZGA</t>
  </si>
  <si>
    <t>Demolizione impalcato esistente e rimozione apparecchi di appoggio Campata 38</t>
  </si>
  <si>
    <t>QfoLyNVxsUWF8HhjsGIf4A</t>
  </si>
  <si>
    <t>Demolizione impalcato esistente e rimozione apparecchi di appoggio Campata 39</t>
  </si>
  <si>
    <t>/YQvLxMJW0qXbpQjpOmAEA</t>
  </si>
  <si>
    <t>Demolizione impalcato esistente e rimozione apparecchi di appoggio Campata 40</t>
  </si>
  <si>
    <t>N/Gs5AM+l0mhHwkTFr1Mcg</t>
  </si>
  <si>
    <t>1991.6</t>
  </si>
  <si>
    <t>Demolizione impalcato esistente e rimozione apparecchi di appoggio Campata 41</t>
  </si>
  <si>
    <t>d30QgO4WRkmMSlzAS4+lIA</t>
  </si>
  <si>
    <t>1919.6</t>
  </si>
  <si>
    <t>Demolizione impalcato esistente e rimozione apparecchi di appoggio Campata 42</t>
  </si>
  <si>
    <t>7FAqGbT7rEaWiSJDkJZ9ew</t>
  </si>
  <si>
    <t>1847.6</t>
  </si>
  <si>
    <t>Demolizione impalcato esistente e rimozione apparecchi di appoggio Campata 43</t>
  </si>
  <si>
    <t>YinZjramI0O+m6fNKIsXjg</t>
  </si>
  <si>
    <t>1583.6</t>
  </si>
  <si>
    <t>Demolizione impalcato esistente e rimozione apparecchi di appoggio Campata 44</t>
  </si>
  <si>
    <t>XgT2HVBzyESjEq3hYPILng</t>
  </si>
  <si>
    <t>Demolizione impalcato esistente e rimozione apparecchi di appoggio Campata 45</t>
  </si>
  <si>
    <t>kuyvfzNJm0SXx7wAyzAWew</t>
  </si>
  <si>
    <t>Demolizione impalcato esistente e rimozione apparecchi di appoggio Campata 46</t>
  </si>
  <si>
    <t>8CbMtc7PqUCpERqZ+uOV/A</t>
  </si>
  <si>
    <t>Demolizione impalcato esistente e rimozione apparecchi di appoggio Campata 47</t>
  </si>
  <si>
    <t>ef5WhDJQe0CV3SyAa1RCuA</t>
  </si>
  <si>
    <t>1487.6</t>
  </si>
  <si>
    <t>Demolizione impalcato esistente e rimozione apparecchi di appoggio Campata 48</t>
  </si>
  <si>
    <t>lpveT8UMaEmdiVj/V6uVIg</t>
  </si>
  <si>
    <t>1415.6</t>
  </si>
  <si>
    <t>Demolizione impalcato esistente e rimozione apparecchi di appoggio Campata 49</t>
  </si>
  <si>
    <t>LO839Dx2vUC1ICEvI6ku9Q</t>
  </si>
  <si>
    <t>Demolizione impalcato esistente e rimozione apparecchi di appoggio Campata 50</t>
  </si>
  <si>
    <t>5ZgskAjpCE6DJHcRMxizkw</t>
  </si>
  <si>
    <t>Demolizione impalcato esistente e rimozione apparecchi di appoggio Campata 51</t>
  </si>
  <si>
    <t>CW7W9ISBz0+x6f1vq1v+gA</t>
  </si>
  <si>
    <t>Demolizione impalcato esistente e rimozione apparecchi di appoggio Campata 52</t>
  </si>
  <si>
    <t>hwVtG6ao6kW//yoOx7Cmyg</t>
  </si>
  <si>
    <t>Demolizione impalcato esistente e rimozione apparecchi di appoggio Campata 53</t>
  </si>
  <si>
    <t>nZKhcYb/vkO9/D85ReNkcQ</t>
  </si>
  <si>
    <t>Demolizione impalcato esistente e rimozione apparecchi di appoggio Campata 54</t>
  </si>
  <si>
    <t>3K4pOsuKqEqo6dBVJTM30A</t>
  </si>
  <si>
    <t>Demolizione impalcato esistente e rimozione apparecchi di appoggio Campata 55</t>
  </si>
  <si>
    <t>T25PzCyjcE2LvF1rqwBgRg</t>
  </si>
  <si>
    <t>ULTIMAZIONE LAVORI</t>
  </si>
  <si>
    <t>QDX/bGMm9kelKHKQrh3sgA</t>
  </si>
  <si>
    <t>Realizzazione pulvino e baggioli 58 bis</t>
  </si>
  <si>
    <t>XSGZInlB+kiMBXQE4W92MQ</t>
  </si>
  <si>
    <t>Inzio attività</t>
  </si>
  <si>
    <t>Qs1MH9lecEOVg3BuMy3bhg</t>
  </si>
  <si>
    <t>Posa giunto su impalcato DIR PA</t>
  </si>
  <si>
    <t>ZMP2nz/TTEeZtjZV0OIWRw</t>
  </si>
  <si>
    <t>Realizzazione opere a verde e ripristino dei luoghi ante operam</t>
  </si>
  <si>
    <t>YrW+dVx9X0inN6FmabxOiw</t>
  </si>
  <si>
    <t>Dismisisione aree di cantiere</t>
  </si>
  <si>
    <t>TLKxpisCJ0K69t+PIiXTbA</t>
  </si>
  <si>
    <t>Posa delle barriere di sicurezza e segnaletica  56 - 76</t>
  </si>
  <si>
    <t>V7SsV+FZx0mZJFGS5Ny5Og</t>
  </si>
  <si>
    <t>Realizzazione dei giunti di dilatazione 76 - 56</t>
  </si>
  <si>
    <t>yDn1C2j9xU+r7xoJjhy4KQ</t>
  </si>
  <si>
    <t>Realizzazione della pavimentazione stradale  56 - 76</t>
  </si>
  <si>
    <t>qOUlf2Qx4ki4hL2K0NGD4Q</t>
  </si>
  <si>
    <t>Realizzazione sistema di smaltimento acque di piattaforma  56 - 76</t>
  </si>
  <si>
    <t>wZ2V4jKygUmYW9alHZB69g</t>
  </si>
  <si>
    <t>Realizzazione dell'impermeabilizzazione degli impalcati  56 - 76</t>
  </si>
  <si>
    <t>E0AJ9PJOuUC4FTsdBaSIVg</t>
  </si>
  <si>
    <t>Scarificazione della pavimentazione stradale esistente dalla Campata 55 alla 31</t>
  </si>
  <si>
    <t>WF/hz0x8tE2I35pHZ0QdFA</t>
  </si>
  <si>
    <t>Rimozione della barriere stradali 55 - 31</t>
  </si>
  <si>
    <t>2VCuBgLLe0+2LWS45cKs9Q</t>
  </si>
  <si>
    <t>Chiusura carreggiata DIR. PA-CT -Apertura al traffico carreggiata DIR. CT-PA con una corsia per senso di marcia</t>
  </si>
  <si>
    <t>iB2xbDhVUk+wBEdDQnz+wQ</t>
  </si>
  <si>
    <t>CS_MSOA</t>
  </si>
  <si>
    <t>Verbale di consegna</t>
  </si>
  <si>
    <t>pACsQrdFJE6r03ZtNRxV9w</t>
  </si>
  <si>
    <t>Posa giunto su impalcato DIR CT 59-60</t>
  </si>
  <si>
    <t>BE8zAzIPhkijmyKmMT+b7w</t>
  </si>
  <si>
    <t>Posa della pavimentazione 59-60</t>
  </si>
  <si>
    <t>OpVY9LseJU+PFXxAu9iWQw</t>
  </si>
  <si>
    <t>Realizzazione soletta impalcato 59-60</t>
  </si>
  <si>
    <t>2VhpdruaUE63Z8Rf+npRyw</t>
  </si>
  <si>
    <t>Posa n.3  travi  in acciaio e appoggi 59-60</t>
  </si>
  <si>
    <t>xhd92h0bqEOKWVORu4X4fw</t>
  </si>
  <si>
    <t>Ricostruzione baggioli 59-60</t>
  </si>
  <si>
    <t>M0jVJRYPyEidTfo47mph2w</t>
  </si>
  <si>
    <t>Demolizione travi-soletta- cordolo 59-60</t>
  </si>
  <si>
    <t>ui0I5OhelUqBivaBF6r2lw</t>
  </si>
  <si>
    <t>Realizzazione della piattaforma stradale 58-59</t>
  </si>
  <si>
    <t>K9yad4PKFkGOaVO1cDDrSg</t>
  </si>
  <si>
    <t>Realizzazione della soletta impalcato 58 bis - 59bis</t>
  </si>
  <si>
    <t>El7z/uOtcEad1xq6Pz64VQ</t>
  </si>
  <si>
    <t>Posa travi impalcato e appoggi  58 bis - 59 bis</t>
  </si>
  <si>
    <t>198NKVre+0G9xPXuT6H8tg</t>
  </si>
  <si>
    <t>Realizzazione elevazione Pila 58 bis</t>
  </si>
  <si>
    <t>hlAbsSMl2Eyts8J+/nMJyw</t>
  </si>
  <si>
    <t>Realizzazione della fondazione Pila 58 bis</t>
  </si>
  <si>
    <t>yOeXqwELE0OHeIYg9UVHmg</t>
  </si>
  <si>
    <t>Scapitozzatura n.9 pali</t>
  </si>
  <si>
    <t>hIIWyjgYjESYH0KzA+SoWg</t>
  </si>
  <si>
    <t>Realizzazione di n.9 pali  fondazione Pila 58 bis (perforazione,posa armatura e getto)</t>
  </si>
  <si>
    <t>Realizzazione piste di cantiere, viabilità e risoluzioni interferenze</t>
  </si>
  <si>
    <t>v7uywZFm5kup1UM1psoV4A</t>
  </si>
  <si>
    <t>Segnaletica e delimitazioni di sicurezza</t>
  </si>
  <si>
    <t>WMLbfgqnnUehJ8GfC+Xt+w</t>
  </si>
  <si>
    <t>Allestimento Campo base e aree tecniche</t>
  </si>
  <si>
    <t>crt_path_num</t>
  </si>
  <si>
    <t>control_updates_flag</t>
  </si>
  <si>
    <t>location_id</t>
  </si>
  <si>
    <t>update_user</t>
  </si>
  <si>
    <t>update_date</t>
  </si>
  <si>
    <t>post_pess_finish_date</t>
  </si>
  <si>
    <t>post_pess_start_date</t>
  </si>
  <si>
    <t>pre_pess_finish_date</t>
  </si>
  <si>
    <t>pre_pess_start_date</t>
  </si>
  <si>
    <t>external_late_end_date</t>
  </si>
  <si>
    <t>external_early_start_date</t>
  </si>
  <si>
    <t>act_this_per_equip_qty</t>
  </si>
  <si>
    <t>act_this_per_work_qty</t>
  </si>
  <si>
    <t>driving_path_flag</t>
  </si>
  <si>
    <t>cstr_type2</t>
  </si>
  <si>
    <t>cstr_date2</t>
  </si>
  <si>
    <t>tmpl_guid</t>
  </si>
  <si>
    <t>float_path_order</t>
  </si>
  <si>
    <t>resume_date</t>
  </si>
  <si>
    <t>suspend_date</t>
  </si>
  <si>
    <t>priority_type</t>
  </si>
  <si>
    <t>cstr_type</t>
  </si>
  <si>
    <t>early_end_date</t>
  </si>
  <si>
    <t>early_start_date</t>
  </si>
  <si>
    <t>expect_end_date</t>
  </si>
  <si>
    <t>late_end_date</t>
  </si>
  <si>
    <t>late_start_date</t>
  </si>
  <si>
    <t>cstr_date</t>
  </si>
  <si>
    <t>remain_equip_qty</t>
  </si>
  <si>
    <t>act_equip_qty</t>
  </si>
  <si>
    <t>target_equip_qty</t>
  </si>
  <si>
    <t>target_drtn_hr_cnt</t>
  </si>
  <si>
    <t>target_work_qty</t>
  </si>
  <si>
    <t>remain_work_qty</t>
  </si>
  <si>
    <t>act_work_qty</t>
  </si>
  <si>
    <t>remain_drtn_hr_cnt</t>
  </si>
  <si>
    <t>free_float_hr_cnt</t>
  </si>
  <si>
    <t>total_float_hr_cnt</t>
  </si>
  <si>
    <t>task_name</t>
  </si>
  <si>
    <t>task_code</t>
  </si>
  <si>
    <t>status_code</t>
  </si>
  <si>
    <t>duration_type</t>
  </si>
  <si>
    <t>task_type</t>
  </si>
  <si>
    <t>complete_pct_type</t>
  </si>
  <si>
    <t>lock_plan_flag</t>
  </si>
  <si>
    <t>est_wt</t>
  </si>
  <si>
    <t>rev_fdbk_flag</t>
  </si>
  <si>
    <t>phys_complete_pct</t>
  </si>
  <si>
    <t>clndr_id</t>
  </si>
  <si>
    <t>wbs_id</t>
  </si>
  <si>
    <t>TASK</t>
  </si>
  <si>
    <t>0.125</t>
  </si>
  <si>
    <t>cost_per_qty5</t>
  </si>
  <si>
    <t>cost_per_qty4</t>
  </si>
  <si>
    <t>cost_per_qty3</t>
  </si>
  <si>
    <t>cost_per_qty2</t>
  </si>
  <si>
    <t>shift_period_id</t>
  </si>
  <si>
    <t>start_date</t>
  </si>
  <si>
    <t>max_qty_per_hr</t>
  </si>
  <si>
    <t>rsrc_rate_id</t>
  </si>
  <si>
    <t>RSRCRATE</t>
  </si>
  <si>
    <t>AS_Project</t>
  </si>
  <si>
    <t># Milestone</t>
  </si>
  <si>
    <t>export_flag</t>
  </si>
  <si>
    <t>actv_code_type_scope</t>
  </si>
  <si>
    <t>actv_code_type</t>
  </si>
  <si>
    <t>seq_num</t>
  </si>
  <si>
    <t>actv_short_len</t>
  </si>
  <si>
    <t>actv_code_type_id</t>
  </si>
  <si>
    <t>ACTVTYPE</t>
  </si>
  <si>
    <t>QT_Hour</t>
  </si>
  <si>
    <t>MP</t>
  </si>
  <si>
    <t>MANPOWER</t>
  </si>
  <si>
    <t>ryBWCi6wpk2QLqNfCEtk2Q</t>
  </si>
  <si>
    <t>7.75</t>
  </si>
  <si>
    <t>SQ8</t>
  </si>
  <si>
    <t>COS - SQUADRA 8 OPERAI</t>
  </si>
  <si>
    <t>0SYoSDFRVU2lTlEtn99QAA</t>
  </si>
  <si>
    <t>COR</t>
  </si>
  <si>
    <t>CORPORATE COSEDIL</t>
  </si>
  <si>
    <t>SD17ik74FUOnUuaWcfMXkA</t>
  </si>
  <si>
    <t>iEH6Vv1uyUaQmTPNPzBmCw</t>
  </si>
  <si>
    <t>7SWXZOBobkaKzUvKI7jblw</t>
  </si>
  <si>
    <t>BldfFFp0BkGslUn7hIULNQ</t>
  </si>
  <si>
    <t>BliVBWEs1Ee6BrjOsaCmMw</t>
  </si>
  <si>
    <t>e2h2DzrPB0iFUWZdwotz/Q</t>
  </si>
  <si>
    <t>X1UXjBUQhUGBs8W2rJOLow</t>
  </si>
  <si>
    <t>0m2QaKKrpUqwL4ovLa7pCA</t>
  </si>
  <si>
    <t>6wKt61h5HUyzayR9ptT4vg</t>
  </si>
  <si>
    <t>yc+Ln+g54UefEI5Hlc/s8Q</t>
  </si>
  <si>
    <t>Dp335mEqDE28OZTtRPj7gQ</t>
  </si>
  <si>
    <t>EmM2oca3M0+q7gwMMBOP8Q</t>
  </si>
  <si>
    <t>RrmGAbdsZkGxs39U8H4Vgg</t>
  </si>
  <si>
    <t>93gmqx/tMU+iC+Kaxl94fA</t>
  </si>
  <si>
    <t>wtRt0lk0zUegsMUqFlgngQ</t>
  </si>
  <si>
    <t>NnAJ/tVaBkaFPjY0Eb/X5A</t>
  </si>
  <si>
    <t>lvtmjZcOk0yyfo4jNzdstQ</t>
  </si>
  <si>
    <t>kscRhwGLDku+YE6URU5LTw</t>
  </si>
  <si>
    <t>SvP9+rjon0KSJwD5RZe6bQ</t>
  </si>
  <si>
    <t>AgaoIZibW0Ges8nN6cYXlA</t>
  </si>
  <si>
    <t>5nOndeXXp0S9FoKEomFkAg</t>
  </si>
  <si>
    <t>3bUkb9auz0GRtoIb9HqK5A</t>
  </si>
  <si>
    <t>GgQxJimg7kaduCBdfMXRKQ</t>
  </si>
  <si>
    <t>hMA+A/oHO0iv3aS75qgLHA</t>
  </si>
  <si>
    <t>MR+e3DtVI0yGZJByC3fhbQ</t>
  </si>
  <si>
    <t>r+42ew+LfUqbh4juGBUlcQ</t>
  </si>
  <si>
    <t>CAVI, DIVERSI DA QUELLI DI CUI ALLA VOCE ""17 04 10"" Provenienti dalle attività di costruzione e demolizione.  ... ione. Compreso il terreno proveniente da siti contaminati.</t>
  </si>
  <si>
    <t>kv5Su+lpUU6EOfmUULXK4g</t>
  </si>
  <si>
    <t>jjjsOHFze0O9R8PHktd4Xw</t>
  </si>
  <si>
    <t>MISCELE BITUMINOSE DIVERSE DA QUELLE DI CUI ALLA VOCE ""17 03 01"" Provenienti dalle attività di costruzione e demolizione.  ... ione. Compreso il terreno proveniente da siti contaminati.</t>
  </si>
  <si>
    <t>uzFI2AQNX0mLBgc1y7yh6g</t>
  </si>
  <si>
    <t>8Gb5OljNEU2wLBm9rBqcRw</t>
  </si>
  <si>
    <t>esSGhYvgl0OkFxsNS2s1NQ</t>
  </si>
  <si>
    <t>Y/+hTemwgkKIWXOcIgwL1A</t>
  </si>
  <si>
    <t>JAQ/lre06E21jv09t+X+qg</t>
  </si>
  <si>
    <t>iXYIeRTPh0+5qS/kzKGt3Q</t>
  </si>
  <si>
    <t>1q3jbCPHlUiRuaRzVM2QOw</t>
  </si>
  <si>
    <t>ISQq/eX+ZUOSKpg6VoPm/Q</t>
  </si>
  <si>
    <t>ITMoJztUoke3aPqckV2U/g</t>
  </si>
  <si>
    <t>0AKNitLfB0mVs1V7a3ix7w</t>
  </si>
  <si>
    <t>eiGyyEKtA0iRNeS5wTzHfQ</t>
  </si>
  <si>
    <t>OM3DJepBJEyCeX6XvpPchg</t>
  </si>
  <si>
    <t>YHIXY+InxEqz/TAFmN8ZiA</t>
  </si>
  <si>
    <t>bA4HD2PZa0mxtQ168lo7+w</t>
  </si>
  <si>
    <t>3oAoGRWHrU6ZBGIjTWkx0w</t>
  </si>
  <si>
    <t>uHcANK+geECGjL/KXOlg1Q</t>
  </si>
  <si>
    <t>iToc+eJZwkG72zbk/A0Txg</t>
  </si>
  <si>
    <t>0a4hcpt0LEadArwZ27D0QA</t>
  </si>
  <si>
    <t>iDQj1CbxLEeNlh0XutfGVA</t>
  </si>
  <si>
    <t>TtNoY75Sj0mBYsO63Mfp5A</t>
  </si>
  <si>
    <t>4oUd0hNT1EW2FOaD9mq57g</t>
  </si>
  <si>
    <t>RG9MoFwAz0ub7lh9UjfuaA</t>
  </si>
  <si>
    <t>PsZ+nmFSXkabGACjnGWfpw</t>
  </si>
  <si>
    <t>G3uPgpAmtUih9BqZSXuNFw</t>
  </si>
  <si>
    <t>GpQQ5mfK802yQMPtUAPypA</t>
  </si>
  <si>
    <t>r3GhQmjGJUyjVJBUcQWyoQ</t>
  </si>
  <si>
    <t>dLB+IlwZiUGV0uqbUq5bhw</t>
  </si>
  <si>
    <t>0wjnCLNyDkKgnyh2u9jDyQ</t>
  </si>
  <si>
    <t>5FRAXLbQeEqO4ogHp37WpQ</t>
  </si>
  <si>
    <t>1J3pOCVVc0efDs3E3KWtbA</t>
  </si>
  <si>
    <t>hajj/sWMY0micb4H2OXQmA</t>
  </si>
  <si>
    <t>LUC5N9iZG0miDkSZAuXFew</t>
  </si>
  <si>
    <t>cKgvBzKNX0KuTUyY9KR9yg</t>
  </si>
  <si>
    <t>6qq+sT+SoEac2AxgrS4EIQ</t>
  </si>
  <si>
    <t>SfBEtVkocEeNsQqYrwVs/g</t>
  </si>
  <si>
    <t>5iXcCsHd40mryCayM+Py7Q</t>
  </si>
  <si>
    <t>11nQEZxpmU2u7FiZ9XciuA</t>
  </si>
  <si>
    <t>wOOKxwOFQUS5PiQ4+gRQYQ</t>
  </si>
  <si>
    <t>VcYW8oxNV0aP9XX9U0Uwgg</t>
  </si>
  <si>
    <t>mr08rIIeOUK7zXCCwxlU9Q</t>
  </si>
  <si>
    <t>pL9j5UgxkUiq9kjUs1w7pg</t>
  </si>
  <si>
    <t>fV4ZIflWgEWMFoefX+SAFQ</t>
  </si>
  <si>
    <t>wsP3dCYFg0mxiwmqSpD43g</t>
  </si>
  <si>
    <t>UezUiTT5aU6/NqJ9v81C+Q</t>
  </si>
  <si>
    <t>5wM8PY+abk6AHsi70Rr1gg</t>
  </si>
  <si>
    <t>g1d/r/poBk6stJ3TGB3ZKw</t>
  </si>
  <si>
    <t>NtUwRd5vAUyMcl8Me+LhOA</t>
  </si>
  <si>
    <t>V5afnUDLFECxmLPU9ZZtxA</t>
  </si>
  <si>
    <t>PlwmMOIwTEOtSyvmUSZrTQ</t>
  </si>
  <si>
    <t>dlbyqJn7SEasFBZ41N7yJA</t>
  </si>
  <si>
    <t>IyHmIaGTTUOGfW62vdv9Ag</t>
  </si>
  <si>
    <t>P+iJMuxkG0m64gvs5x+5jg</t>
  </si>
  <si>
    <t>9n2ttbwqw0WTGENPSnijpw</t>
  </si>
  <si>
    <t>MJHUOStmWUy4tmqtlJ7Qew</t>
  </si>
  <si>
    <t>z3RWy7J4k02lcUCPNbN3Ew</t>
  </si>
  <si>
    <t>e3/8ymX4NU6l+VOukmPFDw</t>
  </si>
  <si>
    <t>u8xIsWRTzEWnjhYzg00mlA</t>
  </si>
  <si>
    <t>fk/yt0xO10iv4c7DVUkrCA</t>
  </si>
  <si>
    <t>4JwuqkUhgE2mnRYHB3GYuA</t>
  </si>
  <si>
    <t>diQozXMTqUONBwFc9ntLvg</t>
  </si>
  <si>
    <t>Ukym/ei9U0mR0TfgNpTOGg</t>
  </si>
  <si>
    <t>etay6t/KDUGRVNA9p+jrnQ</t>
  </si>
  <si>
    <t>COS</t>
  </si>
  <si>
    <t>jxWy0KDtXECuEsxmUBx7Og</t>
  </si>
  <si>
    <t>ANAS</t>
  </si>
  <si>
    <t>ELENCO PREZZI ANAS</t>
  </si>
  <si>
    <t>MYpcnyxVU0WRE1RSYy0pCg</t>
  </si>
  <si>
    <t>vReHvDjDIUGN7y4StZFtJQ</t>
  </si>
  <si>
    <t>last_checksum</t>
  </si>
  <si>
    <t>level_flag</t>
  </si>
  <si>
    <t>load_tasks_flag</t>
  </si>
  <si>
    <t>rsrc_notes</t>
  </si>
  <si>
    <t>timesheet_flag</t>
  </si>
  <si>
    <t>ts_approve_user_id</t>
  </si>
  <si>
    <t>unit_id</t>
  </si>
  <si>
    <t>curr_id</t>
  </si>
  <si>
    <t>ot_flag</t>
  </si>
  <si>
    <t>def_cost_qty_link_flag</t>
  </si>
  <si>
    <t>active_flag</t>
  </si>
  <si>
    <t>cost_qty_type</t>
  </si>
  <si>
    <t>def_qty_per_hr</t>
  </si>
  <si>
    <t>rsrc_title_name</t>
  </si>
  <si>
    <t>rsrc_short_name</t>
  </si>
  <si>
    <t>rsrc_name</t>
  </si>
  <si>
    <t>other_phone</t>
  </si>
  <si>
    <t>office_phone</t>
  </si>
  <si>
    <t>employee_code</t>
  </si>
  <si>
    <t>email_addr</t>
  </si>
  <si>
    <t>rsrc_seq_num</t>
  </si>
  <si>
    <t>user_id</t>
  </si>
  <si>
    <t>shift_id</t>
  </si>
  <si>
    <t>parent_rsrc_id</t>
  </si>
  <si>
    <t>RSRC</t>
  </si>
  <si>
    <t>j4iyzhNL90i4Jrq2MxeJ0A</t>
  </si>
  <si>
    <t>EE_Rem_hr</t>
  </si>
  <si>
    <t>EC_Cmp_pct</t>
  </si>
  <si>
    <t>Ponteggi da Pila 55 a 31</t>
  </si>
  <si>
    <t>WS_Open</t>
  </si>
  <si>
    <t>ceg8l/4mCUm26fQf3LahqQ</t>
  </si>
  <si>
    <t>Ponteggi da Pila 76 a 56</t>
  </si>
  <si>
    <t>bHtBA6rA7MZqxtmSwKhkPa</t>
  </si>
  <si>
    <t>qSUBdqMzv0SQpx6soWpy2g</t>
  </si>
  <si>
    <t>Month</t>
  </si>
  <si>
    <t>Risanamento Pile e Pulvini e Ricostruzioni Baggioli - Pila 55</t>
  </si>
  <si>
    <t>bHtA9kUhBRwF+IjrwKhkPa</t>
  </si>
  <si>
    <t>nxUb8HBPbUCEXdVbfKyvjQ</t>
  </si>
  <si>
    <t>Risanamento Pile e Pulvini e Ricostruzioni Baggioli - Pila 54</t>
  </si>
  <si>
    <t>bHtA7D4XAhk5KZFZwKhkPa</t>
  </si>
  <si>
    <t>Risanamento Pile e Pulvini e Ricostruzioni Baggioli - Pila 53</t>
  </si>
  <si>
    <t>bHtA4329BPIl7sg6wKhkPa</t>
  </si>
  <si>
    <t>Risanamento Pile e Pulvini e Ricostruzioni Baggioli - Pila 52</t>
  </si>
  <si>
    <t>bHtA2/EMaG1XFM+JwKhkPa</t>
  </si>
  <si>
    <t>CLO7YOHDgkCJoQ/INwVmsA</t>
  </si>
  <si>
    <t>Risanamento Pile e Pulvini e Ricostruzioni Baggioli - Pila 51</t>
  </si>
  <si>
    <t>bHtA018efBwdVLqVwKhkPa</t>
  </si>
  <si>
    <t>Y0bOoyhzA0KfKdjZ2pnKFg</t>
  </si>
  <si>
    <t>Risanamento Pile e Pulvini e Ricostruzioni Baggioli - Pila 50</t>
  </si>
  <si>
    <t>bHtAx9NcHV8fG32twKhkPa</t>
  </si>
  <si>
    <t>ctujDRrkgUeFpNpVGJMPvg</t>
  </si>
  <si>
    <t>Risanamento Pile e Pulvini e Ricostruzioni Baggioli - Pila 49</t>
  </si>
  <si>
    <t>bHtAvnu5Kx5tbYBRwKhkPa</t>
  </si>
  <si>
    <t>xvSaw1nrLkKncnf2jvZyHA</t>
  </si>
  <si>
    <t>Risanamento Pile e Pulvini e Ricostruzioni Baggioli - Pila 48</t>
  </si>
  <si>
    <t>bHtAtgUJyDEzCkphwKhkPa</t>
  </si>
  <si>
    <t>6TgfZmYX3k+S+yFaAf66ig</t>
  </si>
  <si>
    <t>Risanamento Pile e Pulvini e Ricostruzioni Baggioli - Pila 47</t>
  </si>
  <si>
    <t>bHtArxqNG4E0vaycwKhkPa</t>
  </si>
  <si>
    <t>E6QEUf+g9EiwVq2pWyTdlA</t>
  </si>
  <si>
    <t>Risanamento Pile e Pulvini e Ricostruzioni Baggioli - Pila 46</t>
  </si>
  <si>
    <t>bHtArNr78TB3r2otwKhkPa</t>
  </si>
  <si>
    <t>RlAXllWP10meKCnU0nTScQ</t>
  </si>
  <si>
    <t>Risanamento Pile e Pulvini e Ricostruzioni Baggioli - Pila 45</t>
  </si>
  <si>
    <t>bHtAqPPGUnoGGbIewKhkPa</t>
  </si>
  <si>
    <t>K7enyPGYJ0ev7ddqz/e30Q</t>
  </si>
  <si>
    <t>Risanamento Pile e Pulvini e Ricostruzioni Baggioli - Pila 44</t>
  </si>
  <si>
    <t>bHtAo3dwv4wp9COrwKhkPa</t>
  </si>
  <si>
    <t>Yc+9OYq/f0SRmmmcR0xpQA</t>
  </si>
  <si>
    <t>Risanamento Pile e Pulvini e Ricostruzioni Baggioli - Pila 43</t>
  </si>
  <si>
    <t>bHtAn5u3jbk4p7abwKhkPa</t>
  </si>
  <si>
    <t>7R/sqksmzUqq23bclag1WQ</t>
  </si>
  <si>
    <t>Risanamento Pile e Pulvini e Ricostruzioni Baggioli - Pila 42</t>
  </si>
  <si>
    <t>bHtAl1PRyh0DtaCmwKhkPa</t>
  </si>
  <si>
    <t>kGD/CtxPZkOj15oD7iOsOA</t>
  </si>
  <si>
    <t>Risanamento Pile e Pulvini e Ricostruzioni Baggioli - Pila 41</t>
  </si>
  <si>
    <t>bHtAjF242S4M0pPywKhkPa</t>
  </si>
  <si>
    <t>GHkpVXVCb0ep444cAISXRw</t>
  </si>
  <si>
    <t>Risanamento Pile e Pulvini e Ricostruzioni Baggioli - Pila 40</t>
  </si>
  <si>
    <t>bHtAfnUnheoQWgF3wKhkPa</t>
  </si>
  <si>
    <t>cqUmOmDESE2SvxYoTBzjXA</t>
  </si>
  <si>
    <t>Risanamento Pile e Pulvini e Ricostruzioni Baggioli - Pila 39</t>
  </si>
  <si>
    <t>bHtAcyWPTeZbYPbawKhkPa</t>
  </si>
  <si>
    <t>Iw07hDtoUUSNM0roBxJP3A</t>
  </si>
  <si>
    <t>Risanamento Pile e Pulvini e Ricostruzioni Baggioli - Pila 38</t>
  </si>
  <si>
    <t>bHtAaj81jEEHTrwJwKhkPa</t>
  </si>
  <si>
    <t>AcVYL2ufrk+tyspwIe7ISw</t>
  </si>
  <si>
    <t>Risanamento Pile e Pulvini e Ricostruzioni Baggioli - Pila 37</t>
  </si>
  <si>
    <t>bHtAY7LSjYlx9m2IwKhkPa</t>
  </si>
  <si>
    <t>g9C2feNX1ECY5pEIvNVLSQ</t>
  </si>
  <si>
    <t>Risanamento Pile e Pulvini e Ricostruzioni Baggioli - Pila 36</t>
  </si>
  <si>
    <t>bHtAXOgWjX1xAdX4wKhkPa</t>
  </si>
  <si>
    <t>/yWoLJSr5UacGPhe60ky0w</t>
  </si>
  <si>
    <t>Risanamento Pile e Pulvini e Ricostruzioni Baggioli - Pila 35</t>
  </si>
  <si>
    <t>bHtATKlEZKR7p9i3wKhkPa</t>
  </si>
  <si>
    <t>E3+BlyYBqkyAUJDAjO+NQQ</t>
  </si>
  <si>
    <t>Risanamento Pile e Pulvini e Ricostruzioni Baggioli - Pila 34</t>
  </si>
  <si>
    <t>bHtAQeDlmywxtKZzwKhkPa</t>
  </si>
  <si>
    <t>fy15pVCawUyMDjUwEJ7kgA</t>
  </si>
  <si>
    <t>Risanamento Pile e Pulvini e Ricostruzioni Baggioli - Pila 33</t>
  </si>
  <si>
    <t>bHtAN+8DCRk8QSBrwKhkPa</t>
  </si>
  <si>
    <t>YDI5mwjcfUajLUpDdMqizw</t>
  </si>
  <si>
    <t>Risanamento Pile e Pulvini e Ricostruzioni Baggioli - Pila 32</t>
  </si>
  <si>
    <t>bHtALplWZRMTgZAFwKhkPa</t>
  </si>
  <si>
    <t>YeXu7iCxmkOt57p7zr2c5w</t>
  </si>
  <si>
    <t>Risanamento Pile e Pulvini e Ricostruzioni Baggioli - Pila 31</t>
  </si>
  <si>
    <t>q9XBAkGDg0qI1MhUe9vfGw</t>
  </si>
  <si>
    <t>DhgUREItSUaKTPY3FdAqHA</t>
  </si>
  <si>
    <t>Risanamento Pile e Pulvini e Ricostruzioni Baggioli - Pila 76</t>
  </si>
  <si>
    <t>yWY0XF4QG02ypuy488BBvQ</t>
  </si>
  <si>
    <t>CBlb1YSCXEqH8mkMipgdng</t>
  </si>
  <si>
    <t>Risanamento Pile e Pulvini e Ricostruzioni Baggioli - Pila 75</t>
  </si>
  <si>
    <t>KTeP/xKl1E+BJORDoCdwHw</t>
  </si>
  <si>
    <t>4EpvEgYXcUuw3MLz17fRLw</t>
  </si>
  <si>
    <t>Risanamento Pile e Pulvini e Ricostruzioni Baggioli - Pila 74</t>
  </si>
  <si>
    <t>y/0dpiXs30yhaDnh0bvkYg</t>
  </si>
  <si>
    <t>MsGqGJXLrEG9rWPYWkP5rA</t>
  </si>
  <si>
    <t>Risanamento Pile e Pulvini e Ricostruzioni Baggioli - Pila 73</t>
  </si>
  <si>
    <t>0Up7y1E8qkmRApPb9TF4nA</t>
  </si>
  <si>
    <t>dgTWyN6Kik+SmVMIlvLVNQ</t>
  </si>
  <si>
    <t>Risanamento Pile e Pulvini e Ricostruzioni Baggioli - Pila 72</t>
  </si>
  <si>
    <t>KvI6Of5ODEyq4H9B5FPe3w</t>
  </si>
  <si>
    <t>XJNWtq2gQk2+VqDYw8+yAg</t>
  </si>
  <si>
    <t>Risanamento Pile e Pulvini e Ricostruzioni Baggioli - Pila 71</t>
  </si>
  <si>
    <t>P8ViEzFyrEmoqB+VgrvaUw</t>
  </si>
  <si>
    <t>Ckr3UbOMVUyAK8ArkIjaIQ</t>
  </si>
  <si>
    <t>Risanamento Pile e Pulvini e Ricostruzioni Baggioli - Pila 70</t>
  </si>
  <si>
    <t>ZXjdBbBUzUOs3eKyktga9Q</t>
  </si>
  <si>
    <t>zGSjIydesk2jYKCYXcJ6fg</t>
  </si>
  <si>
    <t>Risanamento Pile e Pulvini e Ricostruzioni Baggioli - Pila 69</t>
  </si>
  <si>
    <t>GQs7Rpryh0aePQEYiljzZQ</t>
  </si>
  <si>
    <t>Vra+DbXdQU+LRm3ewCe7GQ</t>
  </si>
  <si>
    <t>Risanamento Pile e Pulvini e Ricostruzioni Baggioli - Pila 68</t>
  </si>
  <si>
    <t>L1Q3nb5TXkqCQ9G2umD58g</t>
  </si>
  <si>
    <t>8kZxEdPpoEKOR2hoy98/1Q</t>
  </si>
  <si>
    <t>Risanamento Pile e Pulvini e Ricostruzioni Baggioli - Pila 67</t>
  </si>
  <si>
    <t>vE2apAKMJ0auzKETdOZs5w</t>
  </si>
  <si>
    <t>WIshLMq7tk622dFTzCPuRA</t>
  </si>
  <si>
    <t>Risanamento Pile e Pulvini e Ricostruzioni Baggioli - Pila 66</t>
  </si>
  <si>
    <t>J9iaBmyHWUy4Gkl4HUhM4w</t>
  </si>
  <si>
    <t>KqaUmnPuwk6A5jTizMWniA</t>
  </si>
  <si>
    <t>Risanamento Pile e Pulvini e Ricostruzioni Baggioli - Pila 65</t>
  </si>
  <si>
    <t>U6kX8tBONEO1ydEc8fwjUw</t>
  </si>
  <si>
    <t>Q52m3+C8PE2B0bzXNur2tw</t>
  </si>
  <si>
    <t>Risanamento Pile e Pulvini e Ricostruzioni Baggioli - Pila 64</t>
  </si>
  <si>
    <t>Cg0xOhbkxU2WeVqqUvGLww</t>
  </si>
  <si>
    <t>cY14yC9yP0G6qvSPwhNeLw</t>
  </si>
  <si>
    <t>Risanamento Pile e Pulvini e Ricostruzioni Baggioli - Pila 63</t>
  </si>
  <si>
    <t>xZvpkWFyQ0iSpjG99nCOsw</t>
  </si>
  <si>
    <t>MBP6r7R5/kGRJKWxhpmrXg</t>
  </si>
  <si>
    <t>Risanamento Pile e Pulvini e Ricostruzioni Baggioli - Pila 62</t>
  </si>
  <si>
    <t>zIOJ5hVRgUeav8ZKcAAnPw</t>
  </si>
  <si>
    <t>RLexTdxTVEeJOi1UahCscA</t>
  </si>
  <si>
    <t>Risanamento Pile e Pulvini e Ricostruzioni Baggioli - Pila 61</t>
  </si>
  <si>
    <t>krJ505WlwUql6s3A+SCulg</t>
  </si>
  <si>
    <t>Xio614jXl0qgBYDFjnMiwQ</t>
  </si>
  <si>
    <t>Risanamento Pile e Pulvini e Ricostruzioni Baggioli - Pila 60</t>
  </si>
  <si>
    <t>DPmaxL4gdE6BuNFHaw/Y9Q</t>
  </si>
  <si>
    <t>iZIhW5HFuUaj+Sk4ZF3JaA</t>
  </si>
  <si>
    <t>Risanamento Pile e Pulvini e Ricostruzioni Baggioli - Pila 59</t>
  </si>
  <si>
    <t>cbG+64oyfU+CpWn72QnxgQ</t>
  </si>
  <si>
    <t>BOTCjyTsgEaPDvXpMqg7KA</t>
  </si>
  <si>
    <t>Risanamento Pile e Pulvini e Ricostruzioni Baggioli - Pila 58</t>
  </si>
  <si>
    <t>pCszLvqMoUCROqfkTqtWUg</t>
  </si>
  <si>
    <t>LaQiG64r8ESnp+kwFB1Phg</t>
  </si>
  <si>
    <t>Risanamento Pile e Pulvini e Ricostruzioni Baggioli - Pila 57</t>
  </si>
  <si>
    <t>FXEoEE78Dk6B3CNA1JWBIA</t>
  </si>
  <si>
    <t>6vendS4c30WJFQBBIJDJ3A</t>
  </si>
  <si>
    <t>Risanamento Pile e Pulvini e Ricostruzioni Baggioli - Pila 56</t>
  </si>
  <si>
    <t>sd/f3fVxw0a7ViSrehvEow</t>
  </si>
  <si>
    <t>RIPRISTINI AMBIENTALI</t>
  </si>
  <si>
    <t>9EzeYUjbbkebQ4A17n0y9g</t>
  </si>
  <si>
    <t>LINEE ELETTRICHE BT INTERFERENTI</t>
  </si>
  <si>
    <t>k5XsFiMtL0O7Ns038BpC6Q</t>
  </si>
  <si>
    <t>LINEE TELEFONICHE INTERFERENTI</t>
  </si>
  <si>
    <t>RLbTmP9fPk6ABA+tZq2jBQ</t>
  </si>
  <si>
    <t>PONTEGGI</t>
  </si>
  <si>
    <t>O87ucsuqYkaSrX3lYzoTyQ</t>
  </si>
  <si>
    <t>NUOVA PILA BY PASS</t>
  </si>
  <si>
    <t>rYZruoqbTEiAY7sIMzFo5A</t>
  </si>
  <si>
    <t>NUOVO SISTEMA DI RACCOLTA ACQUE DI PIATTAFORMA</t>
  </si>
  <si>
    <t>JrL6E0cit0GvwOsD54JmHQ</t>
  </si>
  <si>
    <t>COMPLETAMENTO RISANAMENTO CORTICALE PULVINI DA P 31 a 76</t>
  </si>
  <si>
    <t>2D9C70NJiku7qfytbqdCCg</t>
  </si>
  <si>
    <t>SEGNALETICA ORIZZONTALE E VERTICALE</t>
  </si>
  <si>
    <t>HWrDR4ow2U63bKU6vPpyAA</t>
  </si>
  <si>
    <t>BARRIERE DI SICUREZZA E RETI DI PROTEZIONE</t>
  </si>
  <si>
    <t>5D90ltulWEKKlwDPmzpTWA</t>
  </si>
  <si>
    <t>PAVIMENTAZIONI</t>
  </si>
  <si>
    <t>ne7+tdgoEEGLRp69gtS4Pg</t>
  </si>
  <si>
    <t>IMPERMEABILIZZAZIONE IMPALCATI</t>
  </si>
  <si>
    <t>essZL0zeskiFpWFIaxvG9g</t>
  </si>
  <si>
    <t>APPARECCHI DI APPOGGIO E GIUNTI</t>
  </si>
  <si>
    <t>uzEayVyn9ESbqzpflfIf+A</t>
  </si>
  <si>
    <t>NUOVO IMPALCATO IN ACCIAIO CLS</t>
  </si>
  <si>
    <t>ynLQFNFn4UOIVgT9S/Gsdw</t>
  </si>
  <si>
    <t>DEMOLIZIONI</t>
  </si>
  <si>
    <t>kpdLEGq6ukOVTWKBVKdbQg</t>
  </si>
  <si>
    <t>Viabilita di Cantiere</t>
  </si>
  <si>
    <t>G70GYI+Q/UCgLp4ekad4+A</t>
  </si>
  <si>
    <t>Nuove rampe di collegamento</t>
  </si>
  <si>
    <t>7k4KZcyT4UOhe20cJodrNg</t>
  </si>
  <si>
    <t>Guado E</t>
  </si>
  <si>
    <t>q6ZAJLhjgkuY1aUgiB7VFQ</t>
  </si>
  <si>
    <t>Guadi D</t>
  </si>
  <si>
    <t>F1gvoebLUUqYHgVcRhgl0w</t>
  </si>
  <si>
    <t>Guadi C</t>
  </si>
  <si>
    <t>uSEHXHpJykGFnbmhUXqXnA</t>
  </si>
  <si>
    <t>Guadi B</t>
  </si>
  <si>
    <t>feJdEIYQj0+YxwAGZXjvzQ</t>
  </si>
  <si>
    <t>Guadi A</t>
  </si>
  <si>
    <t>fwimN4C4sUaIjukUwOy59g</t>
  </si>
  <si>
    <t>0Jb1WuSMs060GMVF49EVHA</t>
  </si>
  <si>
    <t>Fermo mezzi</t>
  </si>
  <si>
    <t>9HJfKSCN3U6WiAsEz4w7FA</t>
  </si>
  <si>
    <t>Cisterna carburante</t>
  </si>
  <si>
    <t>WZFFNhV3nUamXe3slJ46vQ</t>
  </si>
  <si>
    <t>Magazzino</t>
  </si>
  <si>
    <t>hNTu7s8HmUib4e5oOCluvA</t>
  </si>
  <si>
    <t>Offerta B.6 – Pari opportunità di genere, generazionali ed inclusione lavorativa</t>
  </si>
  <si>
    <t>vE7fPReHwkeS5lrTr0LD+A</t>
  </si>
  <si>
    <t>64nlLxjpC02fyhh18Ll+TQ</t>
  </si>
  <si>
    <t>H7shEM/05kuLqDMqtNF8Cg</t>
  </si>
  <si>
    <t>Criterio B.5.3 – Materiali/Tecnologie per la realizzazione di prefabbricati e demolizioni</t>
  </si>
  <si>
    <t>felHEm0mSE2LRF/TmWi1oA</t>
  </si>
  <si>
    <t>Criterio B.5.2 – Materiali per la realizzazione di congl. bitum, imperm. e vernic.</t>
  </si>
  <si>
    <t>lcStheK6m0eXTTiPI4R6Hg</t>
  </si>
  <si>
    <t>Criterio B.5.1 – Materiali per la realizzazione dei conglomerati cementizi e malte</t>
  </si>
  <si>
    <t>8mS2AtO3xkOqtI+JBd7ogw</t>
  </si>
  <si>
    <t>1c9Krp9i2kWDpAGMAls7hA</t>
  </si>
  <si>
    <t>owFRKX0eoU+bZBh6BiNEqg</t>
  </si>
  <si>
    <t>9JP+MfjQXkifKRGvIFrI5w</t>
  </si>
  <si>
    <t>Oneri di sicurezza (100% COVID + 15% ALTRI)</t>
  </si>
  <si>
    <t>EygQDauCkUihh8DYsZ+l+Q</t>
  </si>
  <si>
    <t>BcRepRlCL0avZ8fm3Lw9DQ</t>
  </si>
  <si>
    <t>NPY04mvioE+Q/nz3B2LhbQ</t>
  </si>
  <si>
    <t>rOCC+NiqBU6gjkbBAPjtKw</t>
  </si>
  <si>
    <t>Oneri a rimborso</t>
  </si>
  <si>
    <t>geoDcfBWQ0qe32FKvbU4+g</t>
  </si>
  <si>
    <t>mI2gH8TDikSqDIVTL6mcsA</t>
  </si>
  <si>
    <t>M50nKfhUq02AUCaApsOzjA</t>
  </si>
  <si>
    <t>zWohibQJn0mQJXJ+QgXVxg</t>
  </si>
  <si>
    <t>s4QLek+I20qXjoh5eflyCg</t>
  </si>
  <si>
    <t>N/q4+pTVxESsE0l5tjnMhA</t>
  </si>
  <si>
    <t>Testimoniali di stato</t>
  </si>
  <si>
    <t>EG4FMADSD0O+3GijdKzYxQ</t>
  </si>
  <si>
    <t>Polizza per svincolo ritenute</t>
  </si>
  <si>
    <t>azM5X40WN0+ED813BMcZtA</t>
  </si>
  <si>
    <t>LACpwTWwCECr/6eFNb/Y3g</t>
  </si>
  <si>
    <t>uKEj303icUqSvYFpEzUYfw</t>
  </si>
  <si>
    <t>JPcnhXzelkezeYkTCAGytA</t>
  </si>
  <si>
    <t>CQSemmnWQEGOguAS1Py5CQ</t>
  </si>
  <si>
    <t>YYwD8GvVOk6Ge9t0oOa06Q</t>
  </si>
  <si>
    <t>KqfB3YAz+kyuc9d5AIj2vA</t>
  </si>
  <si>
    <t>Consulenza tecnica per impianti</t>
  </si>
  <si>
    <t>l9aATqdaKkyNSM5YbELvDA</t>
  </si>
  <si>
    <t>gVlYIdaNgEaeoajdeznEIw</t>
  </si>
  <si>
    <t>k9HMdHaupEmKzAkHz6D/BQ</t>
  </si>
  <si>
    <t>AphyjEGkhE2RYYp5a2QXUw</t>
  </si>
  <si>
    <t>Altre consulenze (archeologia, botanica, ecc.)</t>
  </si>
  <si>
    <t>q02xnlddzkWIr3Xxh5c1uA</t>
  </si>
  <si>
    <t>SkuqkJBnlkG194KPs86BFQ</t>
  </si>
  <si>
    <t>ZPHAbOE3mkWJNDBt0Sdz9g</t>
  </si>
  <si>
    <t>LG7HSlfB+0yrHhM3YsWQJA</t>
  </si>
  <si>
    <t>06X1H4GAzk+R50CTY6OdBA</t>
  </si>
  <si>
    <t>Demolizione basamento gru a torre</t>
  </si>
  <si>
    <t>7k7hfmNV/EGoy7BWsUp0YA</t>
  </si>
  <si>
    <t>Realizzazione basamento gru a torre in C.A.</t>
  </si>
  <si>
    <t>8HlEXPHwk0eqYrGCbnyHOQ</t>
  </si>
  <si>
    <t>Acquisto tronchetto di base gru a torre da annegare</t>
  </si>
  <si>
    <t>MMb7htBf9kWXugFD7qdrtw</t>
  </si>
  <si>
    <t>Trasporto A/R montaggio e smontaggio gru a torre</t>
  </si>
  <si>
    <t>NBTEXwBgFEyhv4wxm7rRRA</t>
  </si>
  <si>
    <t>52tKLXMMW0+Sp/CrOceKIA</t>
  </si>
  <si>
    <t>Andatoie e passerelle</t>
  </si>
  <si>
    <t>q79FkhGcXEe7wrqmespFdg</t>
  </si>
  <si>
    <t>Recinzione con pannelli modulari elettrosaldati e piedini in cls</t>
  </si>
  <si>
    <t>E8eo2ltvjU2Qy3j5Ca8n8g</t>
  </si>
  <si>
    <t>Containers corazzato per ricovero attrezzatura</t>
  </si>
  <si>
    <t>oDUHwddzUkSuq0FZkJherQ</t>
  </si>
  <si>
    <t>WC chimico (mensile) + spurgo fossa Himoff (n. 5 spurghi x 700 € = 3.500 € /15 mesi = 230 €/mese)</t>
  </si>
  <si>
    <t>6GVAfYbpOUm5JHh9PXr3bg</t>
  </si>
  <si>
    <t>Manutenzione straordinaria apprestamenti di cantiere esistenti</t>
  </si>
  <si>
    <t>nENj/EHk70Cn9BB3OBqiJQ</t>
  </si>
  <si>
    <t>Impianto elettrico, illuminazione, messa a terra (montaggio e smont)</t>
  </si>
  <si>
    <t>2AOgxOVuc0eAIB3+5lOcyw</t>
  </si>
  <si>
    <t>Impianto idrico cantiere</t>
  </si>
  <si>
    <t>4vyvHSJhYECV3qORtoSR4A</t>
  </si>
  <si>
    <t>Pesa a ponte</t>
  </si>
  <si>
    <t>o7OOMM6q8UaUJBIbsgGikw</t>
  </si>
  <si>
    <t>Lavori disimpianto  cantiere</t>
  </si>
  <si>
    <t>/sBurokEU0y0qzLDKXeGgA</t>
  </si>
  <si>
    <t>Tabelle lavori + spese pubblicità</t>
  </si>
  <si>
    <t>7WDArCM69kmBHlNKFwXdpA</t>
  </si>
  <si>
    <t>Segnaletica e mantenimento viabilità e recinzione cantiere + segnaletica di deviazione</t>
  </si>
  <si>
    <t>ctHF6eoN8keyUp7YYqXj4Q</t>
  </si>
  <si>
    <t>Arredamenti cantiere</t>
  </si>
  <si>
    <t>Ck0TEmWhKkqHSGCD2TNYxA</t>
  </si>
  <si>
    <t>Baraccamenti (uffici imprese e DL, mensa, infermeria e dormitori)(aquisto e trasporti  baraccamenti)</t>
  </si>
  <si>
    <t>TI7n0Ki7e0OiWN/Vn92QKg</t>
  </si>
  <si>
    <t>Realizzazione Impianto Cantiere (opere accessorie per baraccamenti e piazzale)</t>
  </si>
  <si>
    <t>EOynv5nbQUCe4tpBGW/GNw</t>
  </si>
  <si>
    <t>FERMO MEZZI</t>
  </si>
  <si>
    <t>M</t>
  </si>
  <si>
    <t>ri5/MYN4q0uKAyFzZuZX8g</t>
  </si>
  <si>
    <t>CISTERNA CARBURANTE</t>
  </si>
  <si>
    <t>L</t>
  </si>
  <si>
    <t>1o2Z8OXwtE2uLnJsKBnakw</t>
  </si>
  <si>
    <t>MAGAZZINO</t>
  </si>
  <si>
    <t>I</t>
  </si>
  <si>
    <t>TPtDzko/G0i0b3QuXriQug</t>
  </si>
  <si>
    <t>ONERI GENERALI DI CONTRATTO PER MIGLIORIE</t>
  </si>
  <si>
    <t>9ZsaOuoxZEyMCgqmIWbElw</t>
  </si>
  <si>
    <t>ONERI GENERALI DI CONTRATTO - ASSICURAZIONI</t>
  </si>
  <si>
    <t>1rmGjQALiEG8xBCL61jxVw</t>
  </si>
  <si>
    <t>CONSULENZE PROFESSIONISTI</t>
  </si>
  <si>
    <t>jMWEK0hZhkahKlUyFbDmmQ</t>
  </si>
  <si>
    <t>RAPPORTI CON PUBBLICO</t>
  </si>
  <si>
    <t>uPOcNRepEk2KEsHy7y3cIQ</t>
  </si>
  <si>
    <t>IMPIANTO E SMONTAGGIO UFFICI CANTIERE</t>
  </si>
  <si>
    <t>ADDj8Xklbk6EoC+tXQT0AA</t>
  </si>
  <si>
    <t>wGjuqTAAdESWtoMcptWSAg</t>
  </si>
  <si>
    <t>2+4ip0T3YE6EObpIGhjc1w</t>
  </si>
  <si>
    <t>PllwWM1NT0Cu+dMLUxeCXw</t>
  </si>
  <si>
    <t>MqNKBklmeki63sG+876E7A</t>
  </si>
  <si>
    <t>T4nevCdQgEWCL09dcYy0Sg</t>
  </si>
  <si>
    <t>g5z1ukmrt0KREE/he9ZZBg</t>
  </si>
  <si>
    <t>6Ab0NWh8+UCejcJnLsl14g</t>
  </si>
  <si>
    <t>VEICOLI, MEZZI, ATTREZZATURE DI CANTIERE</t>
  </si>
  <si>
    <t>LcEqoZ2USU+SkDUBSsJ4bQ</t>
  </si>
  <si>
    <t>Imposte e tasse</t>
  </si>
  <si>
    <t>fk+7SqiE0k6quyXALy4XFQ</t>
  </si>
  <si>
    <t>U+Izkjk+AUSneB36XN2Wdg</t>
  </si>
  <si>
    <t>xz4E3rHy6ESPG6FP6z5DUA</t>
  </si>
  <si>
    <t>qp5n0vfl60+rtOf3LTMBUg</t>
  </si>
  <si>
    <t>efdkCddGM0qU0Rm2VwcpPw</t>
  </si>
  <si>
    <t>XtAhILyHlUqiDuO1eeQS8A</t>
  </si>
  <si>
    <t>5van/VACkk6EW3q3JNgJYg</t>
  </si>
  <si>
    <t>VV3LJOC0Gkybsml1CFj+YQ</t>
  </si>
  <si>
    <t>kg3uGhl//0GGeofxm2ykdg</t>
  </si>
  <si>
    <t>GESTIONE UFFICI DI CANTIERE E SERVIZI GENERALI</t>
  </si>
  <si>
    <t>4M3rsyoe40yKHzaypDXgCQ</t>
  </si>
  <si>
    <t>oTqDjXDg606PcmY1yrpb2A</t>
  </si>
  <si>
    <t>CRSGeZ8qt0WpkuSa3ccvCg</t>
  </si>
  <si>
    <t>7+XqWIkPWEerWXD0FazPXA</t>
  </si>
  <si>
    <t>EohvYxWXb0inTTpbC6yHKg</t>
  </si>
  <si>
    <t>Kgm/Cv/TTUqIH/zpD3vJLg</t>
  </si>
  <si>
    <t>8zUw79WBiU+EyTcy753opQ</t>
  </si>
  <si>
    <t>ZV7onGUvj0++hQ3NhXpTxQ</t>
  </si>
  <si>
    <t>COSTI PER PERSONALE IMPIEGATO</t>
  </si>
  <si>
    <t>vHeuTVyxeUGOCw1ca1TlnQ</t>
  </si>
  <si>
    <t>DECOSTRUZIONE E RICOSTRUZONE IMPALCATO A 3 TRAVI CARREGGIATA PA-CT</t>
  </si>
  <si>
    <t>BbR6nWahbkasMnR5AagMHA</t>
  </si>
  <si>
    <t>OVERHEAD</t>
  </si>
  <si>
    <t>pxHkCMI70ESpjc5Dtp+FcQ</t>
  </si>
  <si>
    <t>Realizzazione della soletta in cemento armato - Campata da 76 a 56</t>
  </si>
  <si>
    <t>YuEVksMHpEScGcVQByxqGg</t>
  </si>
  <si>
    <t>Posa travi impalcato Campata da 76 a 56</t>
  </si>
  <si>
    <t>pbxLzYIagEWop1d3Fq+oaQ</t>
  </si>
  <si>
    <t>Ricostruzioni baggioli in testa ai pulvini e completamento risanamenti corticali CAMPATA da 76 A 56</t>
  </si>
  <si>
    <t>v62maycbkEauuCpZhjxmRQ</t>
  </si>
  <si>
    <t>Realizzazione della soletta in cemento armato - Campata da 55 a 31</t>
  </si>
  <si>
    <t>w1g4fmCeHESQDzgKfVXg2w</t>
  </si>
  <si>
    <t>Posa travi impalcato - Campata da 55 a 31</t>
  </si>
  <si>
    <t>mEKlYDTh2EC2GOwH5szLnQ</t>
  </si>
  <si>
    <t>Ricostruzioni baggioli in testa ai pulvini e completamento risanamenti corticali CAMPATA da 55 A 31</t>
  </si>
  <si>
    <t>W/jdu301C0qx3aIgBn79nw</t>
  </si>
  <si>
    <t>Demolizione impalcato esistente e rimozione apparecchi di appoggio  76 - 56</t>
  </si>
  <si>
    <t>8Gb9uB9J/0aAWBCMXuCUGg</t>
  </si>
  <si>
    <t>Demolizione impalcato esistente e rimozione apparecchi di appoggio  55 - 31</t>
  </si>
  <si>
    <t>r5MGni7sLUmkBAcnG8ZDqw</t>
  </si>
  <si>
    <t>IMPALCATO A 3 TRAVI- Campata da 76 a 56</t>
  </si>
  <si>
    <t>ilB23vst9Ui8x09g1N5hZA</t>
  </si>
  <si>
    <t>IMPALCATO A 3 TRAVI- Campata da 55 a 31</t>
  </si>
  <si>
    <t>EKHjPEspGUShkpDmb1kNFA</t>
  </si>
  <si>
    <t>FASE 4 PAVIMENTAZIONE</t>
  </si>
  <si>
    <t>HPoXISvct02B2qRCitERIg</t>
  </si>
  <si>
    <t>FASE 3-APPOGGI VARO TRAVI IMPALCATO E SOLETTA</t>
  </si>
  <si>
    <t>2psD4QMY9U2bzdJumEUbhg</t>
  </si>
  <si>
    <t>FASE 2 -FONDAZIONE ELEVAZIONE -PULVINO -BAGGIOLI</t>
  </si>
  <si>
    <t>qZ2r6x5rcEegvS2KLHJUpA</t>
  </si>
  <si>
    <t xml:space="preserve">FASE 1 Opere di sottofondazione  PILA </t>
  </si>
  <si>
    <t>rv9US9hhak6LouKyyOB7HQ</t>
  </si>
  <si>
    <t>DEMOLIZIONE VECCHIO PROGRAMMA</t>
  </si>
  <si>
    <t>fajbhHxAlUaDO7CJtL1Q4A</t>
  </si>
  <si>
    <t>COSTRUZIONE CAMPATA 59-60</t>
  </si>
  <si>
    <t>dmImEIorP0+JAoi7KQ2ymQ</t>
  </si>
  <si>
    <t>DEMOLIZIONI CAMPATA 59-60</t>
  </si>
  <si>
    <t>C4PHH+wOzEy2r+YhvY702Q</t>
  </si>
  <si>
    <t>COSTRUZIONE CAMPATA 58bis - 59bis</t>
  </si>
  <si>
    <t>jGqUApq3wkibM1slDR/2vA</t>
  </si>
  <si>
    <t>BY-PASS - TRA PILA 58 E PILA 60 FASE 02</t>
  </si>
  <si>
    <t>Uo0V3Xl1d0uhPFYC7C6Qew</t>
  </si>
  <si>
    <t>BY-PASS - PILA 58-PILA 59</t>
  </si>
  <si>
    <t>h/+ITgHwJkiyxcPvDZh5VA</t>
  </si>
  <si>
    <t>ATTIVITA' DI COMPLETAMENTO</t>
  </si>
  <si>
    <t>pE9uYanefUmjS2wUwoE7+w</t>
  </si>
  <si>
    <t>BY-PASS - TRA PILA 58 E PILA 60 FASE 01</t>
  </si>
  <si>
    <t>t1e2XBa8F0SUIdHVbcjEBA</t>
  </si>
  <si>
    <t>OPERE PROPEDEUTICHE AL LAVORO</t>
  </si>
  <si>
    <t>b8Y1Z1QnzEO6qifM9YBLwA</t>
  </si>
  <si>
    <t>PA27_A22_PLO Viadotto Morello III REV 03 250303</t>
  </si>
  <si>
    <t>137_4</t>
  </si>
  <si>
    <t>plan_open_state</t>
  </si>
  <si>
    <t>ev_etc_compute_type</t>
  </si>
  <si>
    <t>ev_compute_type</t>
  </si>
  <si>
    <t>anticip_end_date</t>
  </si>
  <si>
    <t>anticip_start_date</t>
  </si>
  <si>
    <t>indep_remain_work_qty</t>
  </si>
  <si>
    <t>dscnt_period_type</t>
  </si>
  <si>
    <t>ann_dscnt_rate_pct</t>
  </si>
  <si>
    <t>indep_remain_total_cost</t>
  </si>
  <si>
    <t>orig_cost</t>
  </si>
  <si>
    <t>ev_etc_user_value</t>
  </si>
  <si>
    <t>ev_user_pct</t>
  </si>
  <si>
    <t>parent_wbs_id</t>
  </si>
  <si>
    <t>phase_id</t>
  </si>
  <si>
    <t>wbs_name</t>
  </si>
  <si>
    <t>wbs_short_name</t>
  </si>
  <si>
    <t>sum_data_flag</t>
  </si>
  <si>
    <t>proj_node_flag</t>
  </si>
  <si>
    <t>obs_id</t>
  </si>
  <si>
    <t>PROJWBS</t>
  </si>
  <si>
    <t>priority_type,ASC_BY_FIELD/ASC</t>
  </si>
  <si>
    <t>rcal_Predecessor</t>
  </si>
  <si>
    <t>FT_FF</t>
  </si>
  <si>
    <t>SD_Both</t>
  </si>
  <si>
    <t>LevelPriorityList</t>
  </si>
  <si>
    <t>key_activity_for_multiple_longest_paths</t>
  </si>
  <si>
    <t>use_total_float_multiple_longest_paths</t>
  </si>
  <si>
    <t>max_multiple_longest_path</t>
  </si>
  <si>
    <t>limit_multiple_longest_path_calc</t>
  </si>
  <si>
    <t>enable_multiple_longest_path_calc</t>
  </si>
  <si>
    <t>sched_use_project_end_date_for_float</t>
  </si>
  <si>
    <t>level_all_rsrc_flag</t>
  </si>
  <si>
    <t>level_keep_sched_date_flag</t>
  </si>
  <si>
    <t>level_within_float_flag</t>
  </si>
  <si>
    <t>level_over_alloc_pct</t>
  </si>
  <si>
    <t>level_outer_assign_priority</t>
  </si>
  <si>
    <t>level_outer_assign_flag</t>
  </si>
  <si>
    <t>level_float_thrs_cnt</t>
  </si>
  <si>
    <t>sched_progress_override</t>
  </si>
  <si>
    <t>sched_use_expect_end_flag</t>
  </si>
  <si>
    <t>sched_calendar_on_relationship_lag</t>
  </si>
  <si>
    <t>sched_float_type</t>
  </si>
  <si>
    <t>sched_setplantoforecast</t>
  </si>
  <si>
    <t>sched_retained_logic</t>
  </si>
  <si>
    <t>sched_lag_early_start_flag</t>
  </si>
  <si>
    <t>sched_open_critical_flag</t>
  </si>
  <si>
    <t>sched_outer_depend_type</t>
  </si>
  <si>
    <t>schedoptions_id</t>
  </si>
  <si>
    <t>SCHEDOPTIONS</t>
  </si>
  <si>
    <t>(0||CalendarData()(  (0||DaysOfWeek()(    (0||1()())    (0||2()(      (0||0(s|08:00|f|12:00)())      (0||1(s|13:00|f|17:00)())))    (0||3()(      (0||0(s|08:00|f|12:00)())      (0||1(s|13:00|f|17:00)())))    (0||4()(      (0||0(s|08:00|f|12:00)())      (0||1(s|13:00|f|17:00)())))    (0||5()(      (0||0(s|08:00|f|12:00)())      (0||1(s|13:00|f|17:00)())))    (0||6()(      (0||0(s|08:00|f|12:00)())      (0||1(s|13:00|f|17:00)())))    (0||7()())))  (0||VIEW(ShowTotal|N)())  (0||Exceptions()(    (0||0(d|46023)())    (0||1(d|46028)())    (0||2(d|46118)())    (0||3(d|46143)())    (0||4(d|46175)())    (0||5(d|46364)())    (0||6(d|46381)())    (0||7(d|46388)())    (0||8(d|46393)())    (0||9(d|46475)())    (0||10(d|46540)())    (0||11(d|46664)())    (0||12(d|46692)())    (0||13(d|46729)())    (0||14(d|46758)())    (0||15(d|46860)())    (0||16(d|46874)())    (0||17(d|46906)())    (0||18(d|46980)())    (0||19(d|47030)())    (0||20(d|47058)())    (0||21(d|47095)())    (0||22(d|47112)())    (0||23(d|47113)())    (0||24(d|47119)())    (0||25(d|47210)())    (0||26(d|47233)())    (0||27(d|47239)())    (0||28(d|47345)())    (0||29(d|47395)())    (0||30(d|47423)())    (0||31(d|47477)())    (0||32(d|47478)())    (0||33(d|47484)())    (0||34(d|47595)())    (0||35(d|47598)())    (0||36(d|47604)())    (0||37(d|47710)())    (0||38(d|47760)())    (0||39(d|47788)())    (0||40(d|47842)())    (0||41(d|47843)())    (0||42(d|47849)())    (0||43(d|47854)())    (0||44(d|47952)())    (0||45(d|47963)())    (0||46(d|47969)())    (0||47(d|48001)())    (0||48(d|48075)())    (0||49(d|48190)())    (0||50(d|48207)())    (0||51(d|48208)())))))</t>
  </si>
  <si>
    <t>CA_Base</t>
  </si>
  <si>
    <t>PA 27 Calendar</t>
  </si>
  <si>
    <t>(0||CalendarData()(  (0||DaysOfWeek()(    (0||1()())    (0||2()(      (0||0(s|08:00|f|12:00)())      (0||1(s|13:00|f|17:00)())))    (0||3()(      (0||0(s|08:00|f|12:00)())      (0||1(s|13:00|f|17:00)())))    (0||4()(      (0||0(s|08:00|f|12:00)())      (0||1(s|13:00|f|17:00)())))    (0||5()(      (0||0(s|08:00|f|12:00)())      (0||1(s|13:00|f|17:00)())))    (0||6()(      (0||0(s|08:00|f|12:00)())      (0||1(s|13:00|f|17:00)())))    (0||7()())))  (0||VIEW(ShowTotal|Y)())  (0||Exceptions()(    (0||0(d|46023)())    (0||1(d|46028)())    (0||2(d|46118)())    (0||3(d|46143)())    (0||4(d|46175)())    (0||5(d|46364)())    (0||6(d|46381)())    (0||7(d|46388)())    (0||8(d|46393)())    (0||9(d|46475)())    (0||10(d|46540)())    (0||11(d|46664)())    (0||12(d|46692)())    (0||13(d|46729)())    (0||14(d|46758)())    (0||15(d|46860)())    (0||16(d|46874)())    (0||17(d|46906)())    (0||18(d|46980)())    (0||19(d|47030)())    (0||20(d|47058)())    (0||21(d|47095)())    (0||22(d|47112)())    (0||23(d|47113)())    (0||24(d|47119)())    (0||25(d|47210)())    (0||26(d|47233)())    (0||27(d|47239)())    (0||28(d|47345)())    (0||29(d|47395)())    (0||30(d|47423)())    (0||31(d|47477)())    (0||32(d|47478)())    (0||33(d|47484)())    (0||34(d|47595)())    (0||35(d|47598)())    (0||36(d|47604)())    (0||37(d|47710)())    (0||38(d|47760)())    (0||39(d|47788)())    (0||40(d|47842)())    (0||41(d|47843)())    (0||42(d|47849)())    (0||43(d|47854)())    (0||44(d|47952)())    (0||45(d|47963)())    (0||46(d|47969)())    (0||47(d|48001)())    (0||48(d|48075)())    (0||49(d|48190)())    (0||50(d|48207)())    (0||51(d|48208)())))))</t>
  </si>
  <si>
    <t>Standard with Holiday</t>
  </si>
  <si>
    <t>(0||CalendarData()((0||DaysOfWeek()((0||1()((0||0(f|00:00|s|00:00)())))(0||2()((0||0(f|00:00|s|00:00)())))(0||3()((0||0(f|00:00|s|00:00)())))(0||4()((0||0(f|00:00|s|00:00)())))(0||5()((0||0(f|00:00|s|00:00)())))(0||6()((0||0(f|00:00|s|00:00)())))(0||7()((0||0(f|00:00|s|00:00)())))))(0||Exceptions()())))</t>
  </si>
  <si>
    <t>CA_Project</t>
  </si>
  <si>
    <t>Elapsed Duration Calendar</t>
  </si>
  <si>
    <t>(0||CalendarData()((0||DaysOfWeek()((0||1()())(0||2()((0||0(f|13:00|s|09:00)())(0||1(f|18:00|s|14:00)())))(0||3()((0||0(f|13:00|s|09:00)())(0||1(f|18:00|s|14:00)())))(0||4()((0||0(f|13:00|s|09:00)())(0||1(f|18:00|s|14:00)())))(0||5()((0||0(f|13:00|s|09:00)())(0||1(f|18:00|s|14:00)())))(0||6()((0||0(f|13:00|s|09:00)())(0||1(f|18:00|s|14:00)())))(0||7()())))(0||Exceptions()())))</t>
  </si>
  <si>
    <t>Calendario 1</t>
  </si>
  <si>
    <t>(0||CalendarData()((0||DaysOfWeek()((0||1()((0||0(f|12:00|s|07:00)())(0||1(f|16:00|s|13:00)())))(0||2()((0||0(f|12:00|s|07:00)())(0||1(f|16:00|s|13:00)())))(0||3()((0||0(f|12:00|s|07:00)())(0||1(f|16:00|s|13:00)())))(0||4()((0||0(f|12:00|s|07:00)())(0||1(f|16:00|s|13:00)())))(0||5()((0||0(f|12:00|s|07:00)())(0||1(f|16:00|s|13:00)())))(0||6()((0||0(f|12:00|s|07:00)())(0||1(f|16:00|s|13:00)())))(0||7()((0||0(f|12:00|s|07:00)())(0||1(f|16:00|s|13:00)())))))(0||Exceptions()())))</t>
  </si>
  <si>
    <t xml:space="preserve">Giorni naturali </t>
  </si>
  <si>
    <t>(0||CalendarData()((0||DaysOfWeek()((0||1()((0||0(f|12:00|s|07:00)())(0||1(f|16:00|s|13:00)())))(0||2()((0||0(f|13:00|s|09:00)())(0||1(f|18:00|s|14:00)())))(0||3()((0||0(f|13:00|s|09:00)())(0||1(f|18:00|s|14:00)())))(0||4()((0||0(f|13:00|s|09:00)())(0||1(f|18:00|s|14:00)())))(0||5()((0||0(f|13:00|s|09:00)())(0||1(f|18:00|s|14:00)())))(0||6()((0||0(f|13:00|s|09:00)())(0||1(f|18:00|s|14:00)())))(0||7()((0||0(f|12:00|s|07:00)())(0||1(f|16:00|s|13:00)())))))(0||Exceptions()())))</t>
  </si>
  <si>
    <t>Standard</t>
  </si>
  <si>
    <t>(0||CalendarData()((0||DaysOfWeek()((0||1()())(0||2()((0||0(f|16:00|s|08:00)())))(0||3()((0||0(f|16:00|s|08:00)())))(0||4()((0||0(f|16:00|s|08:00)())))(0||5()((0||0(f|16:00|s|08:00)())))(0||6()((0||0(f|16:00|s|08:00)())))(0||7()())))(0||Exceptions()((0||0(d|41519)())(0||1(d|41155)())(0||2(d|40364)())(0||3(d|40910)())(0||4(d|41633)())(0||5(d|41094)())(0||6(d|40427)())(0||7(d|40536)())(0||8(d|41235)())(0||9(d|40179)())(0||10(d|40903)())(0||11(d|40543)())(0||12(d|40791)())(0||13(d|41421)())(0||14(d|40728)())(0||15(d|41275)())(0||16(d|41606)())(0||17(d|40329)())(0||18(d|41459)())(0||19(d|40871)())(0||20(d|40507)())(0||21(d|41057)())(0||22(d|40693)())(0||23(d|41268)())))))</t>
  </si>
  <si>
    <t>Corporate - Standard Full Time</t>
  </si>
  <si>
    <t>(0||CalendarData()(  (0||DaysOfWeek()(    (0||1()())    (0||2()(      (0||0(s|08:00|f|12:00)())      (0||1(s|13:00|f|17:00)())))    (0||3()(      (0||0(s|08:00|f|12:00)())      (0||1(s|13:00|f|17:00)())))    (0||4()(      (0||0(s|08:00|f|12:00)())      (0||1(s|13:00|f|17:00)())))    (0||5()(      (0||0(s|08:00|f|12:00)())      (0||1(s|13:00|f|17:00)())))    (0||6()(      (0||0(s|08:00|f|12:00)())      (0||1(s|13:00|f|17:00)())))    (0||7()())))  (0||VIEW(ShowTotal|Y)())  (0||Exceptions()())))</t>
  </si>
  <si>
    <t>Standard 5 Day Workweek</t>
  </si>
  <si>
    <t>clndr_data</t>
  </si>
  <si>
    <t>rsrc_private</t>
  </si>
  <si>
    <t>year_hr_cnt</t>
  </si>
  <si>
    <t>month_hr_cnt</t>
  </si>
  <si>
    <t>week_hr_cnt</t>
  </si>
  <si>
    <t>day_hr_cnt</t>
  </si>
  <si>
    <t>clndr_type</t>
  </si>
  <si>
    <t>last_chng_date</t>
  </si>
  <si>
    <t>base_clndr_id</t>
  </si>
  <si>
    <t>clndr_name</t>
  </si>
  <si>
    <t>default_flag</t>
  </si>
  <si>
    <t>CALENDAR</t>
  </si>
  <si>
    <t>WBS_Com</t>
  </si>
  <si>
    <t>SL_Taskrsrc</t>
  </si>
  <si>
    <t>HL_None</t>
  </si>
  <si>
    <t>CT_TotFloat</t>
  </si>
  <si>
    <t>b9rCTMm1RUu+rdGSFz92DA</t>
  </si>
  <si>
    <t>.</t>
  </si>
  <si>
    <t>sumtask_loaded</t>
  </si>
  <si>
    <t>trsrcsum_loaded</t>
  </si>
  <si>
    <t>sum_refresh_date</t>
  </si>
  <si>
    <t>close_period_flag</t>
  </si>
  <si>
    <t>next_data_date</t>
  </si>
  <si>
    <t>wbs_heir_levels</t>
  </si>
  <si>
    <t>sched_wbs_heir_type</t>
  </si>
  <si>
    <t>sync_wbs_heir_flag</t>
  </si>
  <si>
    <t>baseline_names_to_export</t>
  </si>
  <si>
    <t>baselines_to_export</t>
  </si>
  <si>
    <t>new_fin_dates_id</t>
  </si>
  <si>
    <t>loaded_scope_level</t>
  </si>
  <si>
    <t>schedule_type</t>
  </si>
  <si>
    <t>px_priority</t>
  </si>
  <si>
    <t>px_last_update_date</t>
  </si>
  <si>
    <t>publish_spread_assign_level</t>
  </si>
  <si>
    <t>px_enable_publication_flag</t>
  </si>
  <si>
    <t>rsrc_role_match_flag</t>
  </si>
  <si>
    <t>hist_level</t>
  </si>
  <si>
    <t>hist_interval</t>
  </si>
  <si>
    <t>last_level_date</t>
  </si>
  <si>
    <t>matrix_id</t>
  </si>
  <si>
    <t>last_schedule_date</t>
  </si>
  <si>
    <t>fintmpl_id</t>
  </si>
  <si>
    <t>apply_actuals_date</t>
  </si>
  <si>
    <t>cr_external_key</t>
  </si>
  <si>
    <t>last_baseline_update_date</t>
  </si>
  <si>
    <t>last_fin_dates_id</t>
  </si>
  <si>
    <t>sum_assign_level</t>
  </si>
  <si>
    <t>allow_neg_act_flag</t>
  </si>
  <si>
    <t>reset_planned_flag</t>
  </si>
  <si>
    <t>rem_target_link_flag</t>
  </si>
  <si>
    <t>use_project_baseline_flag</t>
  </si>
  <si>
    <t>def_rollup_dates_flag</t>
  </si>
  <si>
    <t>task_code_prefix_flag</t>
  </si>
  <si>
    <t>critical_path_type</t>
  </si>
  <si>
    <t>act_pct_link_flag</t>
  </si>
  <si>
    <t>def_task_type</t>
  </si>
  <si>
    <t>act_this_per_link_flag</t>
  </si>
  <si>
    <t>add_act_remain_flag</t>
  </si>
  <si>
    <t>def_rate_type</t>
  </si>
  <si>
    <t>proj_url</t>
  </si>
  <si>
    <t>web_local_root_path</t>
  </si>
  <si>
    <t>add_by_name</t>
  </si>
  <si>
    <t>def_qty_type</t>
  </si>
  <si>
    <t>task_code_prefix</t>
  </si>
  <si>
    <t>def_duration_type</t>
  </si>
  <si>
    <t>fcst_start_date</t>
  </si>
  <si>
    <t>last_tasksum_date</t>
  </si>
  <si>
    <t>add_date</t>
  </si>
  <si>
    <t>scd_end_date</t>
  </si>
  <si>
    <t>plan_end_date</t>
  </si>
  <si>
    <t>plan_start_date</t>
  </si>
  <si>
    <t>last_recalc_date</t>
  </si>
  <si>
    <t>def_cost_per_qty</t>
  </si>
  <si>
    <t>critical_drtn_hr_cnt</t>
  </si>
  <si>
    <t>strgy_priority_num</t>
  </si>
  <si>
    <t>wbs_max_sum_level</t>
  </si>
  <si>
    <t>priority_num</t>
  </si>
  <si>
    <t>task_code_step</t>
  </si>
  <si>
    <t>task_code_base</t>
  </si>
  <si>
    <t>sum_base_proj_id</t>
  </si>
  <si>
    <t>base_type_id</t>
  </si>
  <si>
    <t>source_proj_id</t>
  </si>
  <si>
    <t>orig_proj_id</t>
  </si>
  <si>
    <t>proj_short_name</t>
  </si>
  <si>
    <t>def_complete_pct_type</t>
  </si>
  <si>
    <t>name_sep_char</t>
  </si>
  <si>
    <t>batch_sum_flag</t>
  </si>
  <si>
    <t>cost_qty_recalc_flag</t>
  </si>
  <si>
    <t>step_complete_flag</t>
  </si>
  <si>
    <t>project_flag</t>
  </si>
  <si>
    <t>checkout_flag</t>
  </si>
  <si>
    <t>rsrc_multi_assign_flag</t>
  </si>
  <si>
    <t>allow_complete_flag</t>
  </si>
  <si>
    <t>rsrc_self_add_flag</t>
  </si>
  <si>
    <t>fy_start_month_num</t>
  </si>
  <si>
    <t>PROJECT</t>
  </si>
  <si>
    <t>CA</t>
  </si>
  <si>
    <t>COST ACCOUNT</t>
  </si>
  <si>
    <t>CA_COSTI</t>
  </si>
  <si>
    <t>COSTI</t>
  </si>
  <si>
    <t>acct_descr</t>
  </si>
  <si>
    <t>acct_short_name</t>
  </si>
  <si>
    <t>acct_name</t>
  </si>
  <si>
    <t>acct_seq_num</t>
  </si>
  <si>
    <t>parent_acct_id</t>
  </si>
  <si>
    <t>ACCOUNT</t>
  </si>
  <si>
    <t>cad</t>
  </si>
  <si>
    <t>ml</t>
  </si>
  <si>
    <t>mc</t>
  </si>
  <si>
    <t>unit_name</t>
  </si>
  <si>
    <t>unit_abbrev</t>
  </si>
  <si>
    <t>UMEASURE</t>
  </si>
  <si>
    <t>FT_MONEY</t>
  </si>
  <si>
    <t>P RICAVI</t>
  </si>
  <si>
    <t>user_field_268</t>
  </si>
  <si>
    <t>P COSTI INDIRETTI</t>
  </si>
  <si>
    <t>user_field_267</t>
  </si>
  <si>
    <t>P COSTI DIRETTI</t>
  </si>
  <si>
    <t>user_field_266</t>
  </si>
  <si>
    <t>COSTI INDIRETTI</t>
  </si>
  <si>
    <t>user_field_263</t>
  </si>
  <si>
    <t>COSTI DIRETTI</t>
  </si>
  <si>
    <t>user_field_262</t>
  </si>
  <si>
    <t>FT_TEXT</t>
  </si>
  <si>
    <t>CPM WBS</t>
  </si>
  <si>
    <t>user_field_207</t>
  </si>
  <si>
    <t>MSP Activity ID</t>
  </si>
  <si>
    <t>user_field_182</t>
  </si>
  <si>
    <t>summary_indicator_expression</t>
  </si>
  <si>
    <t>indicator_expression</t>
  </si>
  <si>
    <t>super_flag</t>
  </si>
  <si>
    <t>logical_data_type</t>
  </si>
  <si>
    <t>udf_type_label</t>
  </si>
  <si>
    <t>udf_type_name</t>
  </si>
  <si>
    <t>table_name</t>
  </si>
  <si>
    <t>UDFTYPE</t>
  </si>
  <si>
    <t>COSEDIL S.p.A.</t>
  </si>
  <si>
    <t>CORPORATE</t>
  </si>
  <si>
    <t>obs_descr</t>
  </si>
  <si>
    <t>obs_name</t>
  </si>
  <si>
    <t>parent_obs_id</t>
  </si>
  <si>
    <t>OBS</t>
  </si>
  <si>
    <t>Personal Time</t>
  </si>
  <si>
    <t>PERS</t>
  </si>
  <si>
    <t>General &amp; Accounting</t>
  </si>
  <si>
    <t>G&amp;A</t>
  </si>
  <si>
    <t>Corporate Overhead</t>
  </si>
  <si>
    <t>COH</t>
  </si>
  <si>
    <t>Sick Leave</t>
  </si>
  <si>
    <t>SICK</t>
  </si>
  <si>
    <t>Holiday</t>
  </si>
  <si>
    <t>HOL</t>
  </si>
  <si>
    <t>Jury Duty</t>
  </si>
  <si>
    <t>JURY</t>
  </si>
  <si>
    <t>Vacation</t>
  </si>
  <si>
    <t>VAC</t>
  </si>
  <si>
    <t>nonwork_type</t>
  </si>
  <si>
    <t>nonwork_code</t>
  </si>
  <si>
    <t>nonwork_type_id</t>
  </si>
  <si>
    <t>NONWORK</t>
  </si>
  <si>
    <t>Calendar 15 Giorni</t>
  </si>
  <si>
    <t>fintmpl_name</t>
  </si>
  <si>
    <t>FINTMPL</t>
  </si>
  <si>
    <t>ILS</t>
  </si>
  <si>
    <t>Israel Shekel</t>
  </si>
  <si>
    <t>(#1.1)</t>
  </si>
  <si>
    <t>#1.1</t>
  </si>
  <si>
    <t>,</t>
  </si>
  <si>
    <t>NIS</t>
  </si>
  <si>
    <t>CHF</t>
  </si>
  <si>
    <t>Swiss Franc</t>
  </si>
  <si>
    <t>kr</t>
  </si>
  <si>
    <t>SEK</t>
  </si>
  <si>
    <t>Swedish Krona</t>
  </si>
  <si>
    <t>Sk</t>
  </si>
  <si>
    <t>RUB</t>
  </si>
  <si>
    <t>Russian Rouble</t>
  </si>
  <si>
    <t>R</t>
  </si>
  <si>
    <t>MXN</t>
  </si>
  <si>
    <t>Mexican Peso</t>
  </si>
  <si>
    <t>N$</t>
  </si>
  <si>
    <t>KRW</t>
  </si>
  <si>
    <t>Korean Won</t>
  </si>
  <si>
    <t>K</t>
  </si>
  <si>
    <t>JPY</t>
  </si>
  <si>
    <t>Japanese Yen</t>
  </si>
  <si>
    <t>¥</t>
  </si>
  <si>
    <t>40.67</t>
  </si>
  <si>
    <t>INR</t>
  </si>
  <si>
    <t>Indian Rupee</t>
  </si>
  <si>
    <t>Rs</t>
  </si>
  <si>
    <t>HKD</t>
  </si>
  <si>
    <t>Hong Kong Dollar</t>
  </si>
  <si>
    <t>HK$</t>
  </si>
  <si>
    <t>0.739088</t>
  </si>
  <si>
    <t>EUR</t>
  </si>
  <si>
    <t>EURO</t>
  </si>
  <si>
    <t>€</t>
  </si>
  <si>
    <t>CNY</t>
  </si>
  <si>
    <t>Chinese Yuan</t>
  </si>
  <si>
    <t>Canadian Dollar</t>
  </si>
  <si>
    <t>CA$</t>
  </si>
  <si>
    <t>0.501762</t>
  </si>
  <si>
    <t>U.K.</t>
  </si>
  <si>
    <t>British Pound</t>
  </si>
  <si>
    <t>£</t>
  </si>
  <si>
    <t>BRL</t>
  </si>
  <si>
    <t>Brazilian Real</t>
  </si>
  <si>
    <t>R$</t>
  </si>
  <si>
    <t>AUST</t>
  </si>
  <si>
    <t>Australian Dollar</t>
  </si>
  <si>
    <t>A$</t>
  </si>
  <si>
    <t>ARS</t>
  </si>
  <si>
    <t>Argentine Peso</t>
  </si>
  <si>
    <t>$</t>
  </si>
  <si>
    <t>USD</t>
  </si>
  <si>
    <t>Dollar</t>
  </si>
  <si>
    <t>base_exch_rate</t>
  </si>
  <si>
    <t>group_digit_cnt</t>
  </si>
  <si>
    <t>curr_short_name</t>
  </si>
  <si>
    <t>curr_type</t>
  </si>
  <si>
    <t>neg_curr_fmt_type</t>
  </si>
  <si>
    <t>pos_curr_fmt_type</t>
  </si>
  <si>
    <t>digit_group_symbol</t>
  </si>
  <si>
    <t>decimal_symbol</t>
  </si>
  <si>
    <t>curr_symbol</t>
  </si>
  <si>
    <t>decimal_digit_cnt</t>
  </si>
  <si>
    <t>CURRTYPE</t>
  </si>
  <si>
    <t>Project Management</t>
  </si>
  <si>
    <t>dbxDatabaseNoName</t>
  </si>
  <si>
    <t>Luca</t>
  </si>
  <si>
    <t>Project</t>
  </si>
  <si>
    <t>24.12</t>
  </si>
  <si>
    <t>ERMHDR</t>
  </si>
  <si>
    <t>Analisi XER Primavera per spiegare gap €382.292 vs €316.919. Trovata causa esatta.</t>
  </si>
  <si>
    <t>Letto XER da P6 (3509 righe). Trovata WBS 01.17 = wbs_id 32349. Estratti 17 TASKRSRC. Valori scalati ×10000. Ricavati prezzi e quantità reali P6.</t>
  </si>
  <si>
    <t>CAUSA PRINCIPALE: a.02.003.c → Qtà P6 = 3.754,79 m³ vs Budget = 1.425,87 m³ (+2.329 m³ × €10,80 = +€25.152). B.04.001 aggregato in P6 = 859,13 m² vs budget 759,76 m² (+99 m²). B.05.030 = 88.250 kg vs 88.198 (+52 kg irrisorio). Prezzi P6 identici al budget (eccetto a.02.007.a: €1,00 vs €2,50). Totale XER = €382.291,76 = quadra perfettamente.</t>
  </si>
  <si>
    <t>Foglio aggiornato con dati reali XER. L23=0 (quadra). Gap spiegato principalmente da quantità a.02.003.c quasi triplicate in P6 rispetto al budget.</t>
  </si>
  <si>
    <t>GUADO A – WBS 01.17  |  Confronto Budget vs Primavera P6 (da XER)</t>
  </si>
  <si>
    <t>Qtà P6 (XER)</t>
  </si>
  <si>
    <t>Δ Qtà</t>
  </si>
  <si>
    <t>Δ Qtà %</t>
  </si>
  <si>
    <t>€/u P6 (XER)</t>
  </si>
  <si>
    <t>Imp. Budget</t>
  </si>
  <si>
    <t>Imp. P6 (XER)</t>
  </si>
  <si>
    <t>Δ Importo %</t>
  </si>
  <si>
    <t>B.04.001 (cass.A)</t>
  </si>
  <si>
    <t>B.04.001 (cass.B)</t>
  </si>
  <si>
    <t>B.04.001 (totale)</t>
  </si>
  <si>
    <t>Δ Importo (€)</t>
  </si>
  <si>
    <t>Richiesta confronto chiaro nel foglio Guado A - WBS 01.17 per capire l'inghippo.</t>
  </si>
  <si>
    <t>Ricostruito interamente il foglio con 14 colonne (A-N): Prg, Articolo, UM, Qtà Budget, Qtà P6 XER, Δ Qtà, Δ%Qtà, €/u Budget, €/u P6, Δ€/u, Imp.Budget, Imp.P6, Δ Importo, Δ%. Aggiunta sezione diagnosi gap con breakdown voce per voce.</t>
  </si>
  <si>
    <t>Budget totale €292.865, P6 totale €382.292. Differenza principale: a.02.003.c +2.329 m³ (×€10,80 = +€25.152). B.04.001 aggregato P6 = 859 m² vs 760 m² budget (+€2.059). a.02.007.a risparmio -€3.218 (prezzo P6 €1 vs €2,50 budget). Totale gap spiegato ≈ €89.427 vs budget.</t>
  </si>
  <si>
    <t>Foglio pulito con formattazione professionale. Righe rosse per scostamenti grandi, verde per risparmio. B.04.001 mostrata in dettaglio (2 righe) + riga aggregata per confronto P6.</t>
  </si>
  <si>
    <t>Riga</t>
  </si>
  <si>
    <t>Voce / Causa scostamento</t>
  </si>
  <si>
    <t>ANALISI DEL GAP  |  Budget €292.865  →  P6 €291.836  |  Δ = −€1.029  (P6 quasi uguale al budget ✓)</t>
  </si>
  <si>
    <t>% del gap (−€1.029)</t>
  </si>
  <si>
    <t>Riga 17</t>
  </si>
  <si>
    <t>B.04.001 (agg.) – Qtà P6 (859 m²) &gt; Budget (760 m²): +99 m²</t>
  </si>
  <si>
    <t>Riga 18</t>
  </si>
  <si>
    <t>B.05.030 – Qtà P6 (88.250 kg) &gt; Budget (88.198 kg): +52 kg</t>
  </si>
  <si>
    <t>Riga 9</t>
  </si>
  <si>
    <t>a.03.007.a – Qtà P6 (68) &gt; Budget (67,52): +0,48 m³</t>
  </si>
  <si>
    <t>Riga 8</t>
  </si>
  <si>
    <t>A.02.020.a – Qtà P6 (190) &gt; Budget (189,72): +0,28 m³</t>
  </si>
  <si>
    <t>Riga 7</t>
  </si>
  <si>
    <t>a.02.007.a – €/u P6 (€1,00) &lt; Budget (€2,50): RISPARMIO PREZZO</t>
  </si>
  <si>
    <t>Riga 6</t>
  </si>
  <si>
    <t>a.02.003.c – Qtà P6 (1.426) = Budget (1.426) ✓ QUADRA</t>
  </si>
  <si>
    <t>Altre voci / arrotondamenti</t>
  </si>
  <si>
    <t>TOTALE GAP (Budget − P6)</t>
  </si>
  <si>
    <t>📌 CONCLUSIONE: Con le quantità corrette, Budget (€292.865) e P6 (€291.836) sono SOSTANZIALMENTE ALLINEATI (diff. −€1.029 = −0,4%). Il gap principale è B.04.001 (+€2.059) compensato da a.02.007.a (prezzo P6 €1,00 vs €2,50 budget = risparmio −€3.218). NESSUN errore rilevante — i valori sono coerenti.</t>
  </si>
  <si>
    <t>Utente corregge E6 (a.02.003.c) da 3754.79 a 1426 m³ — la quantità precedente era sbagliata (letta male dallo screen).</t>
  </si>
  <si>
    <t>Reso L dinamico (=E×I) per tutti le righe. Ricalcolato totali. Riscritta sezione diagnosi con valori corretti.</t>
  </si>
  <si>
    <t>Con quantità corretta: Budget=€292.865, P6=€291.836, gap=−€1.029 (−0,4%). Il gap principale è B.04.001 (+€2.059 per 99 m² in più in P6) compensato da a.02.007.a (risparmio −€3.218 per prezzo P6 €1 vs €2,50 budget). I due sistemi sono ALLINEATI.</t>
  </si>
  <si>
    <t>Conclusione: nessun errore rilevante. Budget e P6 coerenti.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</si>
</sst>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000000000"/>
    <numFmt numFmtId="165" formatCode="#,##0.000"/>
    <numFmt numFmtId="166" formatCode="#,##0.0000000000000"/>
    <numFmt numFmtId="167" formatCode="0.00&quot;%&quot;"/>
    <numFmt numFmtId="168" formatCode="0.0%;\-0.0%;\-"/>
    <numFmt numFmtId="169" formatCode="#,##0.000;\-#,##0.000;\-"/>
    <numFmt numFmtId="170" formatCode="\€#,##0.00;\-\€#,##0.00;\-"/>
    <numFmt numFmtId="172" formatCode="0.0%"/>
    <numFmt numFmtId="173" formatCode="\€#,##0.00;\-\€#,##0.00"/>
  </numFmts>
  <fonts count="13" x14ac:knownFonts="1">
    <font>
      <sz val="11"/>
      <color theme="1"/>
      <name val="Calibri"/>
      <family val="2"/>
      <scheme val="minor"/>
    </font>
    <font>
      <u/>
      <sz val="1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37562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37562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888888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11"/>
      <color rgb="FF595959"/>
      <name val="Calibri"/>
      <family val="2"/>
      <scheme val="minor"/>
    </font>
    <font>
      <b/>
      <i/>
      <sz val="10"/>
      <color rgb="FF37562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E7F3E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37562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/>
    </xf>
    <xf numFmtId="0" fontId="0" fillId="0" borderId="0" xfId="0" applyFill="1"/>
    <xf numFmtId="165" fontId="0" fillId="0" borderId="0" xfId="0" applyNumberFormat="1" applyFill="1"/>
    <xf numFmtId="0" fontId="0" fillId="6" borderId="0" xfId="0" applyFill="1"/>
    <xf numFmtId="165" fontId="0" fillId="6" borderId="0" xfId="0" applyNumberFormat="1" applyFill="1"/>
    <xf numFmtId="0" fontId="2" fillId="2" borderId="0" xfId="0" applyFont="1" applyFill="1"/>
    <xf numFmtId="14" fontId="0" fillId="0" borderId="0" xfId="0" applyNumberFormat="1"/>
    <xf numFmtId="165" fontId="0" fillId="0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Fill="1" applyAlignment="1">
      <alignment horizontal="center"/>
    </xf>
    <xf numFmtId="10" fontId="0" fillId="0" borderId="0" xfId="0" applyNumberFormat="1" applyFill="1" applyAlignment="1">
      <alignment horizontal="center"/>
    </xf>
    <xf numFmtId="167" fontId="0" fillId="6" borderId="0" xfId="0" applyNumberFormat="1" applyFill="1" applyAlignment="1">
      <alignment horizontal="center"/>
    </xf>
    <xf numFmtId="10" fontId="0" fillId="6" borderId="0" xfId="0" applyNumberFormat="1" applyFill="1" applyAlignment="1">
      <alignment horizontal="center"/>
    </xf>
    <xf numFmtId="4" fontId="0" fillId="0" borderId="0" xfId="0" applyNumberFormat="1"/>
    <xf numFmtId="0" fontId="0" fillId="4" borderId="0" xfId="0" applyFill="1"/>
    <xf numFmtId="4" fontId="0" fillId="4" borderId="0" xfId="0" applyNumberFormat="1" applyFill="1"/>
    <xf numFmtId="0" fontId="0" fillId="5" borderId="0" xfId="0" applyFill="1"/>
    <xf numFmtId="4" fontId="0" fillId="5" borderId="0" xfId="0" applyNumberFormat="1" applyFill="1"/>
    <xf numFmtId="0" fontId="3" fillId="0" borderId="0" xfId="0" applyFont="1"/>
    <xf numFmtId="0" fontId="4" fillId="0" borderId="0" xfId="0" applyFont="1"/>
    <xf numFmtId="3" fontId="0" fillId="0" borderId="0" xfId="0" applyNumberFormat="1"/>
    <xf numFmtId="22" fontId="0" fillId="0" borderId="0" xfId="0" applyNumberFormat="1"/>
    <xf numFmtId="0" fontId="9" fillId="0" borderId="0" xfId="0" applyFont="1"/>
    <xf numFmtId="0" fontId="2" fillId="2" borderId="0" xfId="0" applyFont="1" applyFill="1" applyAlignment="1">
      <alignment horizontal="center" wrapText="1"/>
    </xf>
    <xf numFmtId="0" fontId="10" fillId="7" borderId="0" xfId="0" applyFont="1" applyFill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0" fontId="10" fillId="7" borderId="0" xfId="0" applyNumberFormat="1" applyFont="1" applyFill="1"/>
    <xf numFmtId="172" fontId="4" fillId="0" borderId="0" xfId="0" applyNumberFormat="1" applyFont="1"/>
    <xf numFmtId="0" fontId="0" fillId="8" borderId="0" xfId="0" applyFill="1"/>
    <xf numFmtId="4" fontId="0" fillId="8" borderId="0" xfId="0" applyNumberFormat="1" applyFill="1"/>
    <xf numFmtId="168" fontId="0" fillId="8" borderId="0" xfId="0" applyNumberFormat="1" applyFill="1"/>
    <xf numFmtId="169" fontId="0" fillId="8" borderId="0" xfId="0" applyNumberFormat="1" applyFill="1"/>
    <xf numFmtId="170" fontId="0" fillId="8" borderId="0" xfId="0" applyNumberFormat="1" applyFill="1"/>
    <xf numFmtId="0" fontId="0" fillId="9" borderId="0" xfId="0" applyFill="1"/>
    <xf numFmtId="4" fontId="0" fillId="9" borderId="0" xfId="0" applyNumberFormat="1" applyFill="1"/>
    <xf numFmtId="168" fontId="0" fillId="9" borderId="0" xfId="0" applyNumberFormat="1" applyFill="1"/>
    <xf numFmtId="169" fontId="0" fillId="9" borderId="0" xfId="0" applyNumberFormat="1" applyFill="1"/>
    <xf numFmtId="170" fontId="0" fillId="9" borderId="0" xfId="0" applyNumberFormat="1" applyFill="1"/>
    <xf numFmtId="0" fontId="0" fillId="10" borderId="0" xfId="0" applyFill="1"/>
    <xf numFmtId="4" fontId="0" fillId="10" borderId="0" xfId="0" applyNumberFormat="1" applyFill="1"/>
    <xf numFmtId="168" fontId="0" fillId="10" borderId="0" xfId="0" applyNumberFormat="1" applyFill="1"/>
    <xf numFmtId="169" fontId="0" fillId="10" borderId="0" xfId="0" applyNumberFormat="1" applyFill="1"/>
    <xf numFmtId="170" fontId="0" fillId="10" borderId="0" xfId="0" applyNumberFormat="1" applyFill="1"/>
    <xf numFmtId="0" fontId="7" fillId="10" borderId="0" xfId="0" applyFont="1" applyFill="1"/>
    <xf numFmtId="0" fontId="0" fillId="11" borderId="0" xfId="0" applyFill="1"/>
    <xf numFmtId="4" fontId="0" fillId="11" borderId="0" xfId="0" applyNumberFormat="1" applyFill="1"/>
    <xf numFmtId="168" fontId="0" fillId="11" borderId="0" xfId="0" applyNumberFormat="1" applyFill="1"/>
    <xf numFmtId="169" fontId="0" fillId="11" borderId="0" xfId="0" applyNumberFormat="1" applyFill="1"/>
    <xf numFmtId="170" fontId="0" fillId="11" borderId="0" xfId="0" applyNumberFormat="1" applyFill="1"/>
    <xf numFmtId="0" fontId="8" fillId="11" borderId="0" xfId="0" applyFont="1" applyFill="1"/>
    <xf numFmtId="168" fontId="0" fillId="4" borderId="0" xfId="0" applyNumberFormat="1" applyFill="1"/>
    <xf numFmtId="169" fontId="0" fillId="4" borderId="0" xfId="0" applyNumberFormat="1" applyFill="1"/>
    <xf numFmtId="170" fontId="0" fillId="4" borderId="0" xfId="0" applyNumberFormat="1" applyFill="1"/>
    <xf numFmtId="170" fontId="5" fillId="4" borderId="0" xfId="0" applyNumberFormat="1" applyFont="1" applyFill="1"/>
    <xf numFmtId="168" fontId="5" fillId="4" borderId="0" xfId="0" applyNumberFormat="1" applyFont="1" applyFill="1"/>
    <xf numFmtId="168" fontId="0" fillId="5" borderId="0" xfId="0" applyNumberFormat="1" applyFill="1"/>
    <xf numFmtId="169" fontId="0" fillId="5" borderId="0" xfId="0" applyNumberFormat="1" applyFill="1"/>
    <xf numFmtId="170" fontId="0" fillId="5" borderId="0" xfId="0" applyNumberFormat="1" applyFill="1"/>
    <xf numFmtId="170" fontId="4" fillId="5" borderId="0" xfId="0" applyNumberFormat="1" applyFont="1" applyFill="1"/>
    <xf numFmtId="168" fontId="4" fillId="5" borderId="0" xfId="0" applyNumberFormat="1" applyFont="1" applyFill="1"/>
    <xf numFmtId="0" fontId="6" fillId="0" borderId="0" xfId="0" applyFont="1"/>
    <xf numFmtId="0" fontId="10" fillId="7" borderId="0" xfId="0" applyFont="1" applyFill="1" applyAlignment="1">
      <alignment horizontal="center"/>
    </xf>
    <xf numFmtId="173" fontId="4" fillId="0" borderId="0" xfId="0" applyNumberFormat="1" applyFont="1"/>
    <xf numFmtId="173" fontId="3" fillId="0" borderId="0" xfId="0" applyNumberFormat="1" applyFont="1"/>
    <xf numFmtId="172" fontId="3" fillId="0" borderId="0" xfId="0" applyNumberFormat="1" applyFont="1"/>
    <xf numFmtId="0" fontId="11" fillId="0" borderId="0" xfId="0" applyFont="1"/>
    <xf numFmtId="173" fontId="11" fillId="0" borderId="0" xfId="0" applyNumberFormat="1" applyFont="1"/>
    <xf numFmtId="172" fontId="11" fillId="0" borderId="0" xfId="0" applyNumberFormat="1" applyFont="1"/>
    <xf numFmtId="0" fontId="2" fillId="12" borderId="0" xfId="0" applyFont="1" applyFill="1"/>
    <xf numFmtId="173" fontId="2" fillId="12" borderId="0" xfId="0" applyNumberFormat="1" applyFont="1" applyFill="1"/>
    <xf numFmtId="9" fontId="2" fillId="12" borderId="0" xfId="0" applyNumberFormat="1" applyFont="1" applyFill="1"/>
    <xf numFmtId="0" fontId="12" fillId="0" borderId="0" xfId="0" applyFont="1"/>
  </cellXfs>
  <cellStyles count="1">
    <cellStyle name="Normale" xfId="0" builtinId="0"/>
  </cellStyles>
  <dxfs count="23">
    <dxf>
      <font>
        <color rgb="FFC55A11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7F3E7"/>
        </patternFill>
      </fill>
    </dxf>
    <dxf>
      <font>
        <color rgb="FFC00000"/>
      </font>
      <fill>
        <patternFill patternType="solid">
          <fgColor indexed="64"/>
          <bgColor rgb="FFFFE7E7"/>
        </patternFill>
      </fill>
    </dxf>
    <dxf>
      <font>
        <color rgb="FFC55A11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7F3E7"/>
        </patternFill>
      </fill>
    </dxf>
    <dxf>
      <font>
        <color rgb="FFC00000"/>
      </font>
      <fill>
        <patternFill patternType="solid">
          <fgColor indexed="64"/>
          <bgColor rgb="FFFFE7E7"/>
        </patternFill>
      </fill>
    </dxf>
    <dxf>
      <font>
        <color rgb="FFC55A11"/>
      </font>
      <fill>
        <patternFill patternType="solid">
          <fgColor indexed="64"/>
          <bgColor rgb="FFFCE4D6"/>
        </patternFill>
      </fill>
    </dxf>
    <dxf>
      <font>
        <color rgb="FFC55A11"/>
      </font>
      <fill>
        <patternFill patternType="solid">
          <fgColor indexed="64"/>
          <bgColor rgb="FFFCE4D6"/>
        </patternFill>
      </fill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C00000"/>
      </font>
    </dxf>
    <dxf>
      <font>
        <color rgb="FFC00000"/>
      </font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247650</xdr:colOff>
      <xdr:row>18</xdr:row>
      <xdr:rowOff>123825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CC3AA66-7EEF-3AB4-6162-ABE859157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97250" cy="3552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37_4.xer" TargetMode="External"/><Relationship Id="rId2" Type="http://schemas.openxmlformats.org/officeDocument/2006/relationships/externalLinkPath" Target="file:///C:\Users\l.savatta\Desktop\137_4.xer" TargetMode="External"/><Relationship Id="rId1" Type="http://schemas.openxmlformats.org/officeDocument/2006/relationships/externalLinkPath" Target="/Users/l.savatta/Desktop/137_4.x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37_4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94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AB9E99-508C-47C4-80B6-1F7A67CACE4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029edeb-07a2-4c85-8d68-59855d2a6e80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1879-F4A3-4B20-9D7F-8706DC8F936D}">
  <dimension ref="A1:F10"/>
  <sheetViews>
    <sheetView workbookViewId="0"/>
  </sheetViews>
  <sheetFormatPr defaultRowHeight="15" x14ac:dyDescent="0.25"/>
  <sheetData>
    <row r="1" spans="1:6" x14ac:dyDescent="0.25">
      <c r="A1" s="13" t="s">
        <v>1209</v>
      </c>
      <c r="B1" s="13" t="s">
        <v>1210</v>
      </c>
      <c r="C1" s="13" t="s">
        <v>1211</v>
      </c>
      <c r="D1" s="13" t="s">
        <v>1212</v>
      </c>
      <c r="E1" s="13" t="s">
        <v>1213</v>
      </c>
      <c r="F1" s="13" t="s">
        <v>1214</v>
      </c>
    </row>
    <row r="2" spans="1:6" x14ac:dyDescent="0.25">
      <c r="A2">
        <v>1</v>
      </c>
      <c r="B2" s="14">
        <v>46126</v>
      </c>
      <c r="C2" t="s">
        <v>1215</v>
      </c>
      <c r="D2" t="s">
        <v>1216</v>
      </c>
      <c r="E2" t="s">
        <v>1217</v>
      </c>
      <c r="F2" t="s">
        <v>1218</v>
      </c>
    </row>
    <row r="3" spans="1:6" x14ac:dyDescent="0.25">
      <c r="A3">
        <v>3</v>
      </c>
      <c r="B3" s="14">
        <v>46126</v>
      </c>
      <c r="C3" t="s">
        <v>1226</v>
      </c>
      <c r="D3" t="s">
        <v>1227</v>
      </c>
      <c r="E3" t="s">
        <v>1228</v>
      </c>
      <c r="F3" t="s">
        <v>1229</v>
      </c>
    </row>
    <row r="4" spans="1:6" x14ac:dyDescent="0.25">
      <c r="A4">
        <v>4</v>
      </c>
      <c r="B4" s="14">
        <v>46126</v>
      </c>
      <c r="C4" t="s">
        <v>1231</v>
      </c>
      <c r="D4" t="s">
        <v>1232</v>
      </c>
      <c r="E4" t="s">
        <v>1233</v>
      </c>
      <c r="F4" t="s">
        <v>1234</v>
      </c>
    </row>
    <row r="5" spans="1:6" x14ac:dyDescent="0.25">
      <c r="A5">
        <v>5</v>
      </c>
      <c r="B5" s="14">
        <v>46126</v>
      </c>
      <c r="C5" t="s">
        <v>1235</v>
      </c>
      <c r="D5" t="s">
        <v>1236</v>
      </c>
      <c r="E5" t="s">
        <v>1237</v>
      </c>
      <c r="F5" t="s">
        <v>1238</v>
      </c>
    </row>
    <row r="6" spans="1:6" x14ac:dyDescent="0.25">
      <c r="A6">
        <v>6</v>
      </c>
      <c r="B6" s="14">
        <v>46126</v>
      </c>
      <c r="C6" t="s">
        <v>1239</v>
      </c>
      <c r="D6" t="s">
        <v>1240</v>
      </c>
      <c r="E6" t="s">
        <v>1241</v>
      </c>
      <c r="F6" t="s">
        <v>1242</v>
      </c>
    </row>
    <row r="7" spans="1:6" x14ac:dyDescent="0.25">
      <c r="A7">
        <v>7</v>
      </c>
      <c r="B7" s="14">
        <v>46126</v>
      </c>
      <c r="C7" t="s">
        <v>1243</v>
      </c>
      <c r="D7" t="s">
        <v>1244</v>
      </c>
      <c r="E7" t="s">
        <v>1245</v>
      </c>
      <c r="F7" t="s">
        <v>1246</v>
      </c>
    </row>
    <row r="8" spans="1:6" x14ac:dyDescent="0.25">
      <c r="A8">
        <v>8</v>
      </c>
      <c r="B8" s="14">
        <v>46126</v>
      </c>
      <c r="C8" t="s">
        <v>5434</v>
      </c>
      <c r="D8" t="s">
        <v>5435</v>
      </c>
      <c r="E8" t="s">
        <v>5436</v>
      </c>
      <c r="F8" t="s">
        <v>5437</v>
      </c>
    </row>
    <row r="9" spans="1:6" x14ac:dyDescent="0.25">
      <c r="A9">
        <v>9</v>
      </c>
      <c r="B9" s="14">
        <v>46126</v>
      </c>
      <c r="C9" t="s">
        <v>5450</v>
      </c>
      <c r="D9" t="s">
        <v>5451</v>
      </c>
      <c r="E9" t="s">
        <v>5452</v>
      </c>
      <c r="F9" t="s">
        <v>5453</v>
      </c>
    </row>
    <row r="10" spans="1:6" x14ac:dyDescent="0.25">
      <c r="A10">
        <v>10</v>
      </c>
      <c r="B10" s="14">
        <v>46126</v>
      </c>
      <c r="C10" t="s">
        <v>5473</v>
      </c>
      <c r="D10" t="s">
        <v>5474</v>
      </c>
      <c r="E10" t="s">
        <v>5475</v>
      </c>
      <c r="F10" t="s">
        <v>5476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29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.28515625" style="1" customWidth="1"/>
    <col min="2" max="2" width="10.5703125" style="1" customWidth="1"/>
    <col min="3" max="3" width="10" style="1" customWidth="1"/>
    <col min="4" max="4" width="2.85546875" style="1" customWidth="1"/>
    <col min="5" max="5" width="10.85546875" style="1" customWidth="1"/>
    <col min="6" max="6" width="28.5703125" style="1" customWidth="1"/>
    <col min="7" max="7" width="8.85546875" style="1" customWidth="1"/>
    <col min="8" max="8" width="9.85546875" style="1" customWidth="1"/>
    <col min="9" max="9" width="35.42578125" style="2" customWidth="1"/>
    <col min="10" max="10" width="6.5703125" style="1" customWidth="1"/>
    <col min="11" max="11" width="12.85546875" style="1" customWidth="1"/>
    <col min="12" max="12" width="8.42578125" style="3" customWidth="1"/>
    <col min="13" max="13" width="8.5703125" style="3" customWidth="1"/>
    <col min="14" max="14" width="8" style="3" customWidth="1"/>
    <col min="15" max="17" width="17.140625" style="4" customWidth="1"/>
    <col min="18" max="18" width="21.42578125" style="1" customWidth="1"/>
    <col min="19" max="19" width="7.140625" style="1" customWidth="1"/>
    <col min="20" max="20" width="28.5703125" style="1" customWidth="1"/>
    <col min="21" max="21" width="14.28515625" style="1" customWidth="1"/>
    <col min="22" max="22" width="28.5703125" style="1" customWidth="1"/>
    <col min="23" max="23" width="11.42578125" style="1" customWidth="1"/>
    <col min="24" max="25" width="7.140625" style="1" customWidth="1"/>
    <col min="26" max="26" width="11.42578125" style="1" customWidth="1"/>
    <col min="27" max="28" width="11.42578125" style="5" customWidth="1"/>
    <col min="29" max="29" width="7.140625" style="1" customWidth="1"/>
    <col min="30" max="30" width="21.42578125" style="1" customWidth="1"/>
    <col min="31" max="32" width="17.140625" style="4" customWidth="1"/>
    <col min="33" max="33" width="12.85546875" style="2" customWidth="1"/>
    <col min="34" max="35" width="11.42578125" style="3" customWidth="1"/>
    <col min="36" max="36" width="12.85546875" style="5" customWidth="1"/>
    <col min="37" max="37" width="11.42578125" style="4" customWidth="1"/>
    <col min="38" max="38" width="7.140625" style="1" customWidth="1"/>
    <col min="39" max="39" width="21.42578125" style="1" customWidth="1"/>
    <col min="40" max="40" width="14.28515625" style="6" customWidth="1"/>
    <col min="41" max="42" width="14.28515625" style="1" customWidth="1"/>
    <col min="43" max="43" width="28.5703125" style="1" customWidth="1"/>
    <col min="44" max="44" width="14.28515625" style="1" customWidth="1"/>
    <col min="45" max="45" width="28.5703125" style="1" customWidth="1"/>
    <col min="46" max="46" width="14.28515625" style="1" customWidth="1"/>
    <col min="47" max="47" width="28.5703125" style="1" customWidth="1"/>
    <col min="48" max="48" width="14.28515625" style="1" customWidth="1"/>
    <col min="49" max="49" width="28.5703125" style="1" customWidth="1"/>
    <col min="50" max="50" width="14.28515625" style="1" customWidth="1"/>
    <col min="51" max="51" width="28.5703125" style="1" customWidth="1"/>
    <col min="52" max="52" width="14.28515625" style="1" customWidth="1"/>
    <col min="53" max="53" width="28.5703125" style="1" customWidth="1"/>
    <col min="54" max="54" width="14.28515625" style="1" customWidth="1"/>
    <col min="55" max="55" width="28.5703125" style="1" customWidth="1"/>
  </cols>
  <sheetData>
    <row r="1" spans="1:55" x14ac:dyDescent="0.25">
      <c r="A1" s="1" t="s">
        <v>0</v>
      </c>
      <c r="B1" s="7" t="s">
        <v>1</v>
      </c>
      <c r="C1" s="7" t="s">
        <v>2</v>
      </c>
      <c r="D1" s="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" t="s">
        <v>8</v>
      </c>
      <c r="J1" s="7" t="s">
        <v>9</v>
      </c>
      <c r="K1" s="7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1" t="s">
        <v>22</v>
      </c>
      <c r="X1" s="7" t="s">
        <v>23</v>
      </c>
      <c r="Y1" s="7" t="s">
        <v>24</v>
      </c>
      <c r="Z1" s="7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7" t="s">
        <v>37</v>
      </c>
      <c r="AM1" s="7" t="s">
        <v>38</v>
      </c>
      <c r="AN1" s="1" t="s">
        <v>39</v>
      </c>
      <c r="AO1" s="1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</row>
    <row r="2" spans="1:55" x14ac:dyDescent="0.25">
      <c r="A2" s="1">
        <v>10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61</v>
      </c>
      <c r="I2" s="2">
        <v>1807.01</v>
      </c>
      <c r="L2" s="3">
        <v>0</v>
      </c>
      <c r="M2" s="3">
        <v>6</v>
      </c>
      <c r="N2" s="3">
        <v>3.37</v>
      </c>
      <c r="O2" s="4">
        <v>0</v>
      </c>
      <c r="P2" s="4">
        <v>10842.06</v>
      </c>
      <c r="Q2" s="4">
        <v>6089.62</v>
      </c>
      <c r="S2" s="1" t="s">
        <v>62</v>
      </c>
      <c r="T2" s="1" t="s">
        <v>63</v>
      </c>
      <c r="W2" s="1" t="s">
        <v>57</v>
      </c>
      <c r="Z2" s="1" t="s">
        <v>64</v>
      </c>
      <c r="AA2" s="5">
        <v>0</v>
      </c>
      <c r="AB2" s="5">
        <v>0</v>
      </c>
      <c r="AD2" s="1" t="s">
        <v>64</v>
      </c>
      <c r="AE2" s="4">
        <v>10842.06</v>
      </c>
      <c r="AF2" s="4">
        <v>0</v>
      </c>
      <c r="AG2" s="2">
        <v>0</v>
      </c>
      <c r="AH2" s="3">
        <v>6</v>
      </c>
      <c r="AI2" s="3">
        <v>0</v>
      </c>
      <c r="AJ2" s="5">
        <v>0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BB2" s="1" t="s">
        <v>71</v>
      </c>
      <c r="BC2" s="1" t="s">
        <v>72</v>
      </c>
    </row>
    <row r="3" spans="1:55" x14ac:dyDescent="0.25">
      <c r="A3" s="1">
        <v>20</v>
      </c>
      <c r="B3" s="1" t="s">
        <v>55</v>
      </c>
      <c r="C3" s="1" t="s">
        <v>56</v>
      </c>
      <c r="D3" s="1" t="s">
        <v>57</v>
      </c>
      <c r="E3" s="1" t="s">
        <v>73</v>
      </c>
      <c r="F3" s="1" t="s">
        <v>74</v>
      </c>
      <c r="G3" s="1" t="s">
        <v>75</v>
      </c>
      <c r="I3" s="2">
        <v>39168.75</v>
      </c>
      <c r="L3" s="3">
        <v>0</v>
      </c>
      <c r="M3" s="3">
        <v>0</v>
      </c>
      <c r="N3" s="3">
        <v>0.23</v>
      </c>
      <c r="O3" s="4">
        <v>0</v>
      </c>
      <c r="P3" s="4">
        <v>0</v>
      </c>
      <c r="Q3" s="4">
        <v>9008.81</v>
      </c>
      <c r="S3" s="1" t="s">
        <v>62</v>
      </c>
      <c r="T3" s="1" t="s">
        <v>63</v>
      </c>
      <c r="W3" s="1" t="s">
        <v>57</v>
      </c>
      <c r="Z3" s="1" t="s">
        <v>64</v>
      </c>
      <c r="AA3" s="5">
        <v>0</v>
      </c>
      <c r="AB3" s="5">
        <v>0</v>
      </c>
      <c r="AD3" s="1" t="s">
        <v>64</v>
      </c>
      <c r="AE3" s="4">
        <v>0</v>
      </c>
      <c r="AF3" s="4">
        <v>0</v>
      </c>
      <c r="AG3" s="2">
        <v>0</v>
      </c>
      <c r="AH3" s="3">
        <v>0</v>
      </c>
      <c r="AI3" s="3">
        <v>0</v>
      </c>
      <c r="AJ3" s="5">
        <v>0</v>
      </c>
      <c r="AT3" s="1" t="s">
        <v>65</v>
      </c>
      <c r="AU3" s="1" t="s">
        <v>66</v>
      </c>
      <c r="AV3" s="1" t="s">
        <v>67</v>
      </c>
      <c r="AW3" s="1" t="s">
        <v>68</v>
      </c>
      <c r="AX3" s="1" t="s">
        <v>69</v>
      </c>
      <c r="AY3" s="1" t="s">
        <v>70</v>
      </c>
      <c r="BB3" s="1" t="s">
        <v>71</v>
      </c>
      <c r="BC3" s="1" t="s">
        <v>72</v>
      </c>
    </row>
    <row r="4" spans="1:55" x14ac:dyDescent="0.25">
      <c r="A4" s="1">
        <v>30</v>
      </c>
      <c r="B4" s="1" t="s">
        <v>55</v>
      </c>
      <c r="C4" s="1" t="s">
        <v>56</v>
      </c>
      <c r="D4" s="1" t="s">
        <v>57</v>
      </c>
      <c r="E4" s="1" t="s">
        <v>76</v>
      </c>
      <c r="F4" s="1" t="s">
        <v>77</v>
      </c>
      <c r="G4" s="1" t="s">
        <v>60</v>
      </c>
      <c r="H4" s="1" t="s">
        <v>61</v>
      </c>
      <c r="I4" s="2">
        <v>1425.87</v>
      </c>
      <c r="L4" s="3">
        <v>0</v>
      </c>
      <c r="M4" s="3">
        <v>10.8</v>
      </c>
      <c r="N4" s="3">
        <v>13.28</v>
      </c>
      <c r="O4" s="4">
        <v>0</v>
      </c>
      <c r="P4" s="4">
        <v>15399.4</v>
      </c>
      <c r="Q4" s="4">
        <v>18935.55</v>
      </c>
      <c r="S4" s="1" t="s">
        <v>62</v>
      </c>
      <c r="T4" s="1" t="s">
        <v>63</v>
      </c>
      <c r="W4" s="1" t="s">
        <v>57</v>
      </c>
      <c r="Z4" s="1" t="s">
        <v>64</v>
      </c>
      <c r="AA4" s="5">
        <v>0</v>
      </c>
      <c r="AB4" s="5">
        <v>0</v>
      </c>
      <c r="AD4" s="1" t="s">
        <v>64</v>
      </c>
      <c r="AE4" s="4">
        <v>15399.4</v>
      </c>
      <c r="AF4" s="4">
        <v>0</v>
      </c>
      <c r="AG4" s="2">
        <v>0</v>
      </c>
      <c r="AH4" s="3">
        <v>10.8</v>
      </c>
      <c r="AI4" s="3">
        <v>0</v>
      </c>
      <c r="AJ4" s="5">
        <v>0</v>
      </c>
      <c r="AT4" s="1" t="s">
        <v>65</v>
      </c>
      <c r="AU4" s="1" t="s">
        <v>66</v>
      </c>
      <c r="AV4" s="1" t="s">
        <v>67</v>
      </c>
      <c r="AW4" s="1" t="s">
        <v>68</v>
      </c>
      <c r="AX4" s="1" t="s">
        <v>69</v>
      </c>
      <c r="AY4" s="1" t="s">
        <v>70</v>
      </c>
      <c r="BB4" s="1" t="s">
        <v>71</v>
      </c>
      <c r="BC4" s="1" t="s">
        <v>72</v>
      </c>
    </row>
    <row r="5" spans="1:55" x14ac:dyDescent="0.25">
      <c r="A5" s="1">
        <v>40</v>
      </c>
      <c r="B5" s="1" t="s">
        <v>55</v>
      </c>
      <c r="C5" s="1" t="s">
        <v>56</v>
      </c>
      <c r="D5" s="1" t="s">
        <v>57</v>
      </c>
      <c r="E5" s="1" t="s">
        <v>78</v>
      </c>
      <c r="F5" s="1" t="s">
        <v>79</v>
      </c>
      <c r="G5" s="1" t="s">
        <v>60</v>
      </c>
      <c r="H5" s="1" t="s">
        <v>61</v>
      </c>
      <c r="I5" s="2">
        <v>2145.7800000000002</v>
      </c>
      <c r="L5" s="3">
        <v>0</v>
      </c>
      <c r="M5" s="3">
        <v>2.5</v>
      </c>
      <c r="N5" s="3">
        <v>1.56</v>
      </c>
      <c r="O5" s="4">
        <v>0</v>
      </c>
      <c r="P5" s="4">
        <v>5364.45</v>
      </c>
      <c r="Q5" s="4">
        <v>3347.42</v>
      </c>
      <c r="S5" s="1" t="s">
        <v>62</v>
      </c>
      <c r="T5" s="1" t="s">
        <v>63</v>
      </c>
      <c r="W5" s="1" t="s">
        <v>57</v>
      </c>
      <c r="Z5" s="1" t="s">
        <v>64</v>
      </c>
      <c r="AA5" s="5">
        <v>0</v>
      </c>
      <c r="AB5" s="5">
        <v>0</v>
      </c>
      <c r="AD5" s="1" t="s">
        <v>64</v>
      </c>
      <c r="AE5" s="4">
        <v>5364.45</v>
      </c>
      <c r="AF5" s="4">
        <v>0</v>
      </c>
      <c r="AG5" s="2">
        <v>0</v>
      </c>
      <c r="AH5" s="3">
        <v>2.5</v>
      </c>
      <c r="AI5" s="3">
        <v>0</v>
      </c>
      <c r="AJ5" s="5">
        <v>0</v>
      </c>
      <c r="AT5" s="1" t="s">
        <v>65</v>
      </c>
      <c r="AU5" s="1" t="s">
        <v>66</v>
      </c>
      <c r="AV5" s="1" t="s">
        <v>67</v>
      </c>
      <c r="AW5" s="1" t="s">
        <v>68</v>
      </c>
      <c r="AX5" s="1" t="s">
        <v>69</v>
      </c>
      <c r="AY5" s="1" t="s">
        <v>70</v>
      </c>
      <c r="BB5" s="1" t="s">
        <v>71</v>
      </c>
      <c r="BC5" s="1" t="s">
        <v>72</v>
      </c>
    </row>
    <row r="6" spans="1:55" x14ac:dyDescent="0.25">
      <c r="A6" s="1">
        <v>50</v>
      </c>
      <c r="B6" s="1" t="s">
        <v>55</v>
      </c>
      <c r="C6" s="1" t="s">
        <v>56</v>
      </c>
      <c r="D6" s="1" t="s">
        <v>57</v>
      </c>
      <c r="E6" s="1" t="s">
        <v>80</v>
      </c>
      <c r="F6" s="1" t="s">
        <v>81</v>
      </c>
      <c r="G6" s="1" t="s">
        <v>60</v>
      </c>
      <c r="H6" s="1" t="s">
        <v>61</v>
      </c>
      <c r="I6" s="2">
        <v>189.72</v>
      </c>
      <c r="L6" s="3">
        <v>0</v>
      </c>
      <c r="M6" s="3">
        <v>12.351000000000001</v>
      </c>
      <c r="N6" s="3">
        <v>14.53</v>
      </c>
      <c r="O6" s="4">
        <v>0</v>
      </c>
      <c r="P6" s="4">
        <v>2343.23</v>
      </c>
      <c r="Q6" s="4">
        <v>2756.63</v>
      </c>
      <c r="S6" s="1" t="s">
        <v>62</v>
      </c>
      <c r="T6" s="1" t="s">
        <v>63</v>
      </c>
      <c r="W6" s="1" t="s">
        <v>57</v>
      </c>
      <c r="Z6" s="1" t="s">
        <v>64</v>
      </c>
      <c r="AA6" s="5">
        <v>0</v>
      </c>
      <c r="AB6" s="5">
        <v>0</v>
      </c>
      <c r="AD6" s="1" t="s">
        <v>64</v>
      </c>
      <c r="AE6" s="4">
        <v>2343.23</v>
      </c>
      <c r="AF6" s="4">
        <v>0</v>
      </c>
      <c r="AG6" s="2">
        <v>0</v>
      </c>
      <c r="AH6" s="3">
        <v>12.351000000000001</v>
      </c>
      <c r="AI6" s="3">
        <v>0</v>
      </c>
      <c r="AJ6" s="5">
        <v>0</v>
      </c>
      <c r="AT6" s="1" t="s">
        <v>65</v>
      </c>
      <c r="AU6" s="1" t="s">
        <v>66</v>
      </c>
      <c r="AV6" s="1" t="s">
        <v>67</v>
      </c>
      <c r="AW6" s="1" t="s">
        <v>68</v>
      </c>
      <c r="AX6" s="1" t="s">
        <v>69</v>
      </c>
      <c r="AY6" s="1" t="s">
        <v>70</v>
      </c>
      <c r="BB6" s="1" t="s">
        <v>71</v>
      </c>
      <c r="BC6" s="1" t="s">
        <v>72</v>
      </c>
    </row>
    <row r="7" spans="1:55" x14ac:dyDescent="0.25">
      <c r="A7" s="1">
        <v>60</v>
      </c>
      <c r="B7" s="1" t="s">
        <v>55</v>
      </c>
      <c r="C7" s="1" t="s">
        <v>56</v>
      </c>
      <c r="D7" s="1" t="s">
        <v>57</v>
      </c>
      <c r="E7" s="1" t="s">
        <v>82</v>
      </c>
      <c r="F7" s="1" t="s">
        <v>83</v>
      </c>
      <c r="G7" s="1" t="s">
        <v>60</v>
      </c>
      <c r="H7" s="1" t="s">
        <v>61</v>
      </c>
      <c r="I7" s="2">
        <v>67.52</v>
      </c>
      <c r="L7" s="3">
        <v>0</v>
      </c>
      <c r="M7" s="3">
        <v>140</v>
      </c>
      <c r="N7" s="3">
        <v>177.27</v>
      </c>
      <c r="O7" s="4">
        <v>0</v>
      </c>
      <c r="P7" s="4">
        <v>9452.7999999999993</v>
      </c>
      <c r="Q7" s="4">
        <v>11969.27</v>
      </c>
      <c r="S7" s="1" t="s">
        <v>62</v>
      </c>
      <c r="T7" s="1" t="s">
        <v>63</v>
      </c>
      <c r="W7" s="1" t="s">
        <v>57</v>
      </c>
      <c r="Z7" s="1" t="s">
        <v>64</v>
      </c>
      <c r="AA7" s="5">
        <v>0</v>
      </c>
      <c r="AB7" s="5">
        <v>0</v>
      </c>
      <c r="AD7" s="1" t="s">
        <v>64</v>
      </c>
      <c r="AE7" s="4">
        <v>9452.7999999999993</v>
      </c>
      <c r="AF7" s="4">
        <v>0</v>
      </c>
      <c r="AG7" s="2">
        <v>0</v>
      </c>
      <c r="AH7" s="3">
        <v>140</v>
      </c>
      <c r="AI7" s="3">
        <v>0</v>
      </c>
      <c r="AJ7" s="5">
        <v>0</v>
      </c>
      <c r="AT7" s="1" t="s">
        <v>65</v>
      </c>
      <c r="AU7" s="1" t="s">
        <v>66</v>
      </c>
      <c r="AV7" s="1" t="s">
        <v>67</v>
      </c>
      <c r="AW7" s="1" t="s">
        <v>68</v>
      </c>
      <c r="AX7" s="1" t="s">
        <v>69</v>
      </c>
      <c r="AY7" s="1" t="s">
        <v>70</v>
      </c>
      <c r="BB7" s="1" t="s">
        <v>71</v>
      </c>
      <c r="BC7" s="1" t="s">
        <v>72</v>
      </c>
    </row>
    <row r="8" spans="1:55" x14ac:dyDescent="0.25">
      <c r="A8" s="1">
        <v>70</v>
      </c>
      <c r="B8" s="1" t="s">
        <v>55</v>
      </c>
      <c r="C8" s="1" t="s">
        <v>56</v>
      </c>
      <c r="D8" s="1" t="s">
        <v>57</v>
      </c>
      <c r="E8" s="1" t="s">
        <v>84</v>
      </c>
      <c r="F8" s="1" t="s">
        <v>85</v>
      </c>
      <c r="G8" s="1" t="s">
        <v>60</v>
      </c>
      <c r="H8" s="1" t="s">
        <v>61</v>
      </c>
      <c r="I8" s="2">
        <v>84.94</v>
      </c>
      <c r="L8" s="3">
        <v>0</v>
      </c>
      <c r="M8" s="3">
        <v>23.84</v>
      </c>
      <c r="N8" s="3">
        <v>25.09</v>
      </c>
      <c r="O8" s="4">
        <v>0</v>
      </c>
      <c r="P8" s="4">
        <v>2024.97</v>
      </c>
      <c r="Q8" s="4">
        <v>2131.14</v>
      </c>
      <c r="S8" s="1" t="s">
        <v>62</v>
      </c>
      <c r="T8" s="1" t="s">
        <v>63</v>
      </c>
      <c r="W8" s="1" t="s">
        <v>57</v>
      </c>
      <c r="Z8" s="1" t="s">
        <v>64</v>
      </c>
      <c r="AA8" s="5">
        <v>0</v>
      </c>
      <c r="AB8" s="5">
        <v>0</v>
      </c>
      <c r="AD8" s="1" t="s">
        <v>64</v>
      </c>
      <c r="AE8" s="4">
        <v>2024.97</v>
      </c>
      <c r="AF8" s="4">
        <v>0</v>
      </c>
      <c r="AG8" s="2">
        <v>0</v>
      </c>
      <c r="AH8" s="3">
        <v>23.84</v>
      </c>
      <c r="AI8" s="3">
        <v>0</v>
      </c>
      <c r="AJ8" s="5">
        <v>0</v>
      </c>
      <c r="AT8" s="1" t="s">
        <v>65</v>
      </c>
      <c r="AU8" s="1" t="s">
        <v>66</v>
      </c>
      <c r="AV8" s="1" t="s">
        <v>67</v>
      </c>
      <c r="AW8" s="1" t="s">
        <v>68</v>
      </c>
      <c r="AX8" s="1" t="s">
        <v>69</v>
      </c>
      <c r="AY8" s="1" t="s">
        <v>70</v>
      </c>
      <c r="BB8" s="1" t="s">
        <v>71</v>
      </c>
      <c r="BC8" s="1" t="s">
        <v>72</v>
      </c>
    </row>
    <row r="9" spans="1:55" x14ac:dyDescent="0.25">
      <c r="A9" s="1">
        <v>80</v>
      </c>
      <c r="B9" s="1" t="s">
        <v>55</v>
      </c>
      <c r="C9" s="1" t="s">
        <v>56</v>
      </c>
      <c r="D9" s="1" t="s">
        <v>57</v>
      </c>
      <c r="E9" s="1" t="s">
        <v>86</v>
      </c>
      <c r="F9" s="1" t="s">
        <v>87</v>
      </c>
      <c r="G9" s="1" t="s">
        <v>60</v>
      </c>
      <c r="H9" s="1" t="s">
        <v>61</v>
      </c>
      <c r="I9" s="2">
        <v>322.24</v>
      </c>
      <c r="L9" s="3">
        <v>0</v>
      </c>
      <c r="M9" s="3">
        <v>6</v>
      </c>
      <c r="N9" s="3">
        <v>6.61</v>
      </c>
      <c r="O9" s="4">
        <v>0</v>
      </c>
      <c r="P9" s="4">
        <v>1933.44</v>
      </c>
      <c r="Q9" s="4">
        <v>2130.0100000000002</v>
      </c>
      <c r="S9" s="1" t="s">
        <v>62</v>
      </c>
      <c r="T9" s="1" t="s">
        <v>63</v>
      </c>
      <c r="W9" s="1" t="s">
        <v>57</v>
      </c>
      <c r="Z9" s="1" t="s">
        <v>64</v>
      </c>
      <c r="AA9" s="5">
        <v>0</v>
      </c>
      <c r="AB9" s="5">
        <v>0</v>
      </c>
      <c r="AD9" s="1" t="s">
        <v>64</v>
      </c>
      <c r="AE9" s="4">
        <v>1933.44</v>
      </c>
      <c r="AF9" s="4">
        <v>0</v>
      </c>
      <c r="AG9" s="2">
        <v>0</v>
      </c>
      <c r="AH9" s="3">
        <v>6</v>
      </c>
      <c r="AI9" s="3">
        <v>0</v>
      </c>
      <c r="AJ9" s="5">
        <v>0</v>
      </c>
      <c r="AT9" s="1" t="s">
        <v>65</v>
      </c>
      <c r="AU9" s="1" t="s">
        <v>66</v>
      </c>
      <c r="AV9" s="1" t="s">
        <v>67</v>
      </c>
      <c r="AW9" s="1" t="s">
        <v>68</v>
      </c>
      <c r="AX9" s="1" t="s">
        <v>69</v>
      </c>
      <c r="AY9" s="1" t="s">
        <v>70</v>
      </c>
      <c r="BB9" s="1" t="s">
        <v>71</v>
      </c>
      <c r="BC9" s="1" t="s">
        <v>72</v>
      </c>
    </row>
    <row r="10" spans="1:55" x14ac:dyDescent="0.25">
      <c r="A10" s="1">
        <v>90</v>
      </c>
      <c r="B10" s="1" t="s">
        <v>55</v>
      </c>
      <c r="C10" s="1" t="s">
        <v>56</v>
      </c>
      <c r="D10" s="1" t="s">
        <v>57</v>
      </c>
      <c r="E10" s="1" t="s">
        <v>88</v>
      </c>
      <c r="F10" s="1" t="s">
        <v>89</v>
      </c>
      <c r="G10" s="1" t="s">
        <v>60</v>
      </c>
      <c r="H10" s="1" t="s">
        <v>61</v>
      </c>
      <c r="I10" s="2">
        <v>61.06</v>
      </c>
      <c r="L10" s="3">
        <v>0</v>
      </c>
      <c r="M10" s="3">
        <v>135</v>
      </c>
      <c r="N10" s="3">
        <v>81.67</v>
      </c>
      <c r="O10" s="4">
        <v>0</v>
      </c>
      <c r="P10" s="4">
        <v>8243.1</v>
      </c>
      <c r="Q10" s="4">
        <v>4986.7700000000004</v>
      </c>
      <c r="S10" s="1" t="s">
        <v>62</v>
      </c>
      <c r="T10" s="1" t="s">
        <v>63</v>
      </c>
      <c r="W10" s="1" t="s">
        <v>57</v>
      </c>
      <c r="Z10" s="1" t="s">
        <v>64</v>
      </c>
      <c r="AA10" s="5">
        <v>0</v>
      </c>
      <c r="AB10" s="5">
        <v>0</v>
      </c>
      <c r="AD10" s="1" t="s">
        <v>64</v>
      </c>
      <c r="AE10" s="4">
        <v>8243.1</v>
      </c>
      <c r="AF10" s="4">
        <v>0</v>
      </c>
      <c r="AG10" s="2">
        <v>0</v>
      </c>
      <c r="AH10" s="3">
        <v>135</v>
      </c>
      <c r="AI10" s="3">
        <v>0</v>
      </c>
      <c r="AJ10" s="5">
        <v>0</v>
      </c>
      <c r="AT10" s="1" t="s">
        <v>65</v>
      </c>
      <c r="AU10" s="1" t="s">
        <v>66</v>
      </c>
      <c r="AV10" s="1" t="s">
        <v>67</v>
      </c>
      <c r="AW10" s="1" t="s">
        <v>68</v>
      </c>
      <c r="AX10" s="1" t="s">
        <v>69</v>
      </c>
      <c r="AY10" s="1" t="s">
        <v>70</v>
      </c>
      <c r="BB10" s="1" t="s">
        <v>71</v>
      </c>
      <c r="BC10" s="1" t="s">
        <v>72</v>
      </c>
    </row>
    <row r="11" spans="1:55" x14ac:dyDescent="0.25">
      <c r="A11" s="1">
        <v>100</v>
      </c>
      <c r="B11" s="1" t="s">
        <v>55</v>
      </c>
      <c r="C11" s="1" t="s">
        <v>56</v>
      </c>
      <c r="D11" s="1" t="s">
        <v>57</v>
      </c>
      <c r="E11" s="1" t="s">
        <v>90</v>
      </c>
      <c r="F11" s="1" t="s">
        <v>91</v>
      </c>
      <c r="G11" s="1" t="s">
        <v>60</v>
      </c>
      <c r="H11" s="1" t="s">
        <v>61</v>
      </c>
      <c r="I11" s="2">
        <v>223.23</v>
      </c>
      <c r="L11" s="3">
        <v>0</v>
      </c>
      <c r="M11" s="3">
        <v>167</v>
      </c>
      <c r="N11" s="3">
        <v>118.65</v>
      </c>
      <c r="O11" s="4">
        <v>0</v>
      </c>
      <c r="P11" s="4">
        <v>37279.410000000003</v>
      </c>
      <c r="Q11" s="4">
        <v>26486.240000000002</v>
      </c>
      <c r="S11" s="1" t="s">
        <v>62</v>
      </c>
      <c r="T11" s="1" t="s">
        <v>63</v>
      </c>
      <c r="W11" s="1" t="s">
        <v>57</v>
      </c>
      <c r="Z11" s="1" t="s">
        <v>64</v>
      </c>
      <c r="AA11" s="5">
        <v>0</v>
      </c>
      <c r="AB11" s="5">
        <v>0</v>
      </c>
      <c r="AD11" s="1" t="s">
        <v>64</v>
      </c>
      <c r="AE11" s="4">
        <v>37279.410000000003</v>
      </c>
      <c r="AF11" s="4">
        <v>0</v>
      </c>
      <c r="AG11" s="2">
        <v>0</v>
      </c>
      <c r="AH11" s="3">
        <v>167</v>
      </c>
      <c r="AI11" s="3">
        <v>0</v>
      </c>
      <c r="AJ11" s="5">
        <v>0</v>
      </c>
      <c r="AT11" s="1" t="s">
        <v>65</v>
      </c>
      <c r="AU11" s="1" t="s">
        <v>66</v>
      </c>
      <c r="AV11" s="1" t="s">
        <v>67</v>
      </c>
      <c r="AW11" s="1" t="s">
        <v>68</v>
      </c>
      <c r="AX11" s="1" t="s">
        <v>69</v>
      </c>
      <c r="AY11" s="1" t="s">
        <v>70</v>
      </c>
      <c r="BB11" s="1" t="s">
        <v>71</v>
      </c>
      <c r="BC11" s="1" t="s">
        <v>72</v>
      </c>
    </row>
    <row r="12" spans="1:55" x14ac:dyDescent="0.25">
      <c r="A12" s="1">
        <v>110</v>
      </c>
      <c r="B12" s="1" t="s">
        <v>55</v>
      </c>
      <c r="C12" s="1" t="s">
        <v>56</v>
      </c>
      <c r="D12" s="1" t="s">
        <v>57</v>
      </c>
      <c r="E12" s="1" t="s">
        <v>92</v>
      </c>
      <c r="F12" s="1" t="s">
        <v>93</v>
      </c>
      <c r="G12" s="1" t="s">
        <v>60</v>
      </c>
      <c r="H12" s="1" t="s">
        <v>61</v>
      </c>
      <c r="I12" s="2">
        <v>216.19</v>
      </c>
      <c r="L12" s="3">
        <v>0</v>
      </c>
      <c r="M12" s="3">
        <v>163</v>
      </c>
      <c r="N12" s="3">
        <v>122.71</v>
      </c>
      <c r="O12" s="4">
        <v>0</v>
      </c>
      <c r="P12" s="4">
        <v>35238.97</v>
      </c>
      <c r="Q12" s="4">
        <v>26528.67</v>
      </c>
      <c r="S12" s="1" t="s">
        <v>62</v>
      </c>
      <c r="T12" s="1" t="s">
        <v>63</v>
      </c>
      <c r="W12" s="1" t="s">
        <v>57</v>
      </c>
      <c r="Z12" s="1" t="s">
        <v>64</v>
      </c>
      <c r="AA12" s="5">
        <v>0</v>
      </c>
      <c r="AB12" s="5">
        <v>0</v>
      </c>
      <c r="AD12" s="1" t="s">
        <v>64</v>
      </c>
      <c r="AE12" s="4">
        <v>35238.97</v>
      </c>
      <c r="AF12" s="4">
        <v>0</v>
      </c>
      <c r="AG12" s="2">
        <v>0</v>
      </c>
      <c r="AH12" s="3">
        <v>163</v>
      </c>
      <c r="AI12" s="3">
        <v>0</v>
      </c>
      <c r="AJ12" s="5">
        <v>0</v>
      </c>
      <c r="AT12" s="1" t="s">
        <v>65</v>
      </c>
      <c r="AU12" s="1" t="s">
        <v>66</v>
      </c>
      <c r="AV12" s="1" t="s">
        <v>67</v>
      </c>
      <c r="AW12" s="1" t="s">
        <v>68</v>
      </c>
      <c r="AX12" s="1" t="s">
        <v>69</v>
      </c>
      <c r="AY12" s="1" t="s">
        <v>70</v>
      </c>
      <c r="BB12" s="1" t="s">
        <v>71</v>
      </c>
      <c r="BC12" s="1" t="s">
        <v>72</v>
      </c>
    </row>
    <row r="13" spans="1:55" x14ac:dyDescent="0.25">
      <c r="A13" s="1">
        <v>120</v>
      </c>
      <c r="B13" s="1" t="s">
        <v>55</v>
      </c>
      <c r="C13" s="1" t="s">
        <v>56</v>
      </c>
      <c r="D13" s="1" t="s">
        <v>57</v>
      </c>
      <c r="E13" s="1" t="s">
        <v>94</v>
      </c>
      <c r="F13" s="1" t="s">
        <v>95</v>
      </c>
      <c r="G13" s="1" t="s">
        <v>96</v>
      </c>
      <c r="H13" s="1" t="s">
        <v>97</v>
      </c>
      <c r="I13" s="2">
        <v>130.78</v>
      </c>
      <c r="L13" s="3">
        <v>0</v>
      </c>
      <c r="M13" s="3">
        <v>20.72</v>
      </c>
      <c r="N13" s="3">
        <v>20.72</v>
      </c>
      <c r="O13" s="4">
        <v>0</v>
      </c>
      <c r="P13" s="4">
        <v>2709.76</v>
      </c>
      <c r="Q13" s="4">
        <v>2709.76</v>
      </c>
      <c r="S13" s="1" t="s">
        <v>62</v>
      </c>
      <c r="T13" s="1" t="s">
        <v>63</v>
      </c>
      <c r="W13" s="1" t="s">
        <v>57</v>
      </c>
      <c r="Z13" s="1" t="s">
        <v>64</v>
      </c>
      <c r="AA13" s="5">
        <v>0</v>
      </c>
      <c r="AB13" s="5">
        <v>0</v>
      </c>
      <c r="AD13" s="1" t="s">
        <v>64</v>
      </c>
      <c r="AE13" s="4">
        <v>2709.76</v>
      </c>
      <c r="AF13" s="4">
        <v>0</v>
      </c>
      <c r="AG13" s="2">
        <v>0</v>
      </c>
      <c r="AH13" s="3">
        <v>20.72</v>
      </c>
      <c r="AI13" s="3">
        <v>0</v>
      </c>
      <c r="AJ13" s="5">
        <v>0</v>
      </c>
      <c r="AT13" s="1" t="s">
        <v>65</v>
      </c>
      <c r="AU13" s="1" t="s">
        <v>66</v>
      </c>
      <c r="AV13" s="1" t="s">
        <v>67</v>
      </c>
      <c r="AW13" s="1" t="s">
        <v>68</v>
      </c>
      <c r="AX13" s="1" t="s">
        <v>69</v>
      </c>
      <c r="AY13" s="1" t="s">
        <v>70</v>
      </c>
      <c r="BB13" s="1" t="s">
        <v>71</v>
      </c>
      <c r="BC13" s="1" t="s">
        <v>72</v>
      </c>
    </row>
    <row r="14" spans="1:55" x14ac:dyDescent="0.25">
      <c r="A14" s="1">
        <v>130</v>
      </c>
      <c r="B14" s="1" t="s">
        <v>55</v>
      </c>
      <c r="C14" s="1" t="s">
        <v>56</v>
      </c>
      <c r="D14" s="1" t="s">
        <v>57</v>
      </c>
      <c r="E14" s="1" t="s">
        <v>94</v>
      </c>
      <c r="F14" s="1" t="s">
        <v>95</v>
      </c>
      <c r="G14" s="1" t="s">
        <v>96</v>
      </c>
      <c r="H14" s="1" t="s">
        <v>97</v>
      </c>
      <c r="I14" s="2">
        <v>628.98</v>
      </c>
      <c r="L14" s="3">
        <v>0</v>
      </c>
      <c r="M14" s="3">
        <v>20.72</v>
      </c>
      <c r="N14" s="3">
        <v>20.72</v>
      </c>
      <c r="O14" s="4">
        <v>0</v>
      </c>
      <c r="P14" s="4">
        <v>13032.47</v>
      </c>
      <c r="Q14" s="4">
        <v>13032.47</v>
      </c>
      <c r="S14" s="1" t="s">
        <v>62</v>
      </c>
      <c r="T14" s="1" t="s">
        <v>63</v>
      </c>
      <c r="W14" s="1" t="s">
        <v>57</v>
      </c>
      <c r="Z14" s="1" t="s">
        <v>64</v>
      </c>
      <c r="AA14" s="5">
        <v>0</v>
      </c>
      <c r="AB14" s="5">
        <v>0</v>
      </c>
      <c r="AD14" s="1" t="s">
        <v>64</v>
      </c>
      <c r="AE14" s="4">
        <v>13032.47</v>
      </c>
      <c r="AF14" s="4">
        <v>0</v>
      </c>
      <c r="AG14" s="2">
        <v>0</v>
      </c>
      <c r="AH14" s="3">
        <v>20.72</v>
      </c>
      <c r="AI14" s="3">
        <v>0</v>
      </c>
      <c r="AJ14" s="5">
        <v>0</v>
      </c>
      <c r="AT14" s="1" t="s">
        <v>65</v>
      </c>
      <c r="AU14" s="1" t="s">
        <v>66</v>
      </c>
      <c r="AV14" s="1" t="s">
        <v>67</v>
      </c>
      <c r="AW14" s="1" t="s">
        <v>68</v>
      </c>
      <c r="AX14" s="1" t="s">
        <v>69</v>
      </c>
      <c r="AY14" s="1" t="s">
        <v>70</v>
      </c>
      <c r="BB14" s="1" t="s">
        <v>71</v>
      </c>
      <c r="BC14" s="1" t="s">
        <v>72</v>
      </c>
    </row>
    <row r="15" spans="1:55" x14ac:dyDescent="0.25">
      <c r="A15" s="1">
        <v>140</v>
      </c>
      <c r="B15" s="1" t="s">
        <v>55</v>
      </c>
      <c r="C15" s="1" t="s">
        <v>56</v>
      </c>
      <c r="D15" s="1" t="s">
        <v>57</v>
      </c>
      <c r="E15" s="1" t="s">
        <v>98</v>
      </c>
      <c r="F15" s="1" t="s">
        <v>99</v>
      </c>
      <c r="G15" s="1" t="s">
        <v>100</v>
      </c>
      <c r="H15" s="1" t="s">
        <v>101</v>
      </c>
      <c r="I15" s="2">
        <v>88197.71</v>
      </c>
      <c r="L15" s="3">
        <v>0</v>
      </c>
      <c r="M15" s="3">
        <v>1.1200000000000001</v>
      </c>
      <c r="N15" s="3">
        <v>1.72</v>
      </c>
      <c r="O15" s="4">
        <v>0</v>
      </c>
      <c r="P15" s="4">
        <v>98781.440000000002</v>
      </c>
      <c r="Q15" s="4">
        <v>151700.06</v>
      </c>
      <c r="S15" s="1" t="s">
        <v>62</v>
      </c>
      <c r="T15" s="1" t="s">
        <v>63</v>
      </c>
      <c r="W15" s="1" t="s">
        <v>57</v>
      </c>
      <c r="Z15" s="1" t="s">
        <v>64</v>
      </c>
      <c r="AA15" s="5">
        <v>0</v>
      </c>
      <c r="AB15" s="5">
        <v>0</v>
      </c>
      <c r="AD15" s="1" t="s">
        <v>64</v>
      </c>
      <c r="AE15" s="4">
        <v>98781.440000000002</v>
      </c>
      <c r="AF15" s="4">
        <v>0</v>
      </c>
      <c r="AG15" s="2">
        <v>0</v>
      </c>
      <c r="AH15" s="3">
        <v>1.1200000000000001</v>
      </c>
      <c r="AI15" s="3">
        <v>0</v>
      </c>
      <c r="AJ15" s="5">
        <v>0</v>
      </c>
      <c r="AT15" s="1" t="s">
        <v>65</v>
      </c>
      <c r="AU15" s="1" t="s">
        <v>66</v>
      </c>
      <c r="AV15" s="1" t="s">
        <v>67</v>
      </c>
      <c r="AW15" s="1" t="s">
        <v>68</v>
      </c>
      <c r="AX15" s="1" t="s">
        <v>69</v>
      </c>
      <c r="AY15" s="1" t="s">
        <v>70</v>
      </c>
      <c r="BB15" s="1" t="s">
        <v>71</v>
      </c>
      <c r="BC15" s="1" t="s">
        <v>72</v>
      </c>
    </row>
    <row r="16" spans="1:55" x14ac:dyDescent="0.25">
      <c r="A16" s="1">
        <v>150</v>
      </c>
      <c r="B16" s="1" t="s">
        <v>55</v>
      </c>
      <c r="C16" s="1" t="s">
        <v>56</v>
      </c>
      <c r="D16" s="1" t="s">
        <v>57</v>
      </c>
      <c r="E16" s="1" t="s">
        <v>102</v>
      </c>
      <c r="F16" s="1" t="s">
        <v>103</v>
      </c>
      <c r="G16" s="1" t="s">
        <v>104</v>
      </c>
      <c r="H16" s="1" t="s">
        <v>105</v>
      </c>
      <c r="I16" s="2">
        <v>381.16</v>
      </c>
      <c r="L16" s="3">
        <v>0</v>
      </c>
      <c r="M16" s="3">
        <v>20.5</v>
      </c>
      <c r="N16" s="3">
        <v>22.96</v>
      </c>
      <c r="O16" s="4">
        <v>0</v>
      </c>
      <c r="P16" s="4">
        <v>7813.78</v>
      </c>
      <c r="Q16" s="4">
        <v>8751.43</v>
      </c>
      <c r="S16" s="1" t="s">
        <v>62</v>
      </c>
      <c r="T16" s="1" t="s">
        <v>63</v>
      </c>
      <c r="W16" s="1" t="s">
        <v>57</v>
      </c>
      <c r="Z16" s="1" t="s">
        <v>64</v>
      </c>
      <c r="AA16" s="5">
        <v>0</v>
      </c>
      <c r="AB16" s="5">
        <v>0</v>
      </c>
      <c r="AD16" s="1" t="s">
        <v>64</v>
      </c>
      <c r="AE16" s="4">
        <v>7813.78</v>
      </c>
      <c r="AF16" s="4">
        <v>0</v>
      </c>
      <c r="AG16" s="2">
        <v>0</v>
      </c>
      <c r="AH16" s="3">
        <v>20.5</v>
      </c>
      <c r="AI16" s="3">
        <v>0</v>
      </c>
      <c r="AJ16" s="5">
        <v>0</v>
      </c>
      <c r="AT16" s="1" t="s">
        <v>65</v>
      </c>
      <c r="AU16" s="1" t="s">
        <v>66</v>
      </c>
      <c r="AV16" s="1" t="s">
        <v>67</v>
      </c>
      <c r="AW16" s="1" t="s">
        <v>68</v>
      </c>
      <c r="AX16" s="1" t="s">
        <v>69</v>
      </c>
      <c r="AY16" s="1" t="s">
        <v>70</v>
      </c>
      <c r="BB16" s="1" t="s">
        <v>71</v>
      </c>
      <c r="BC16" s="1" t="s">
        <v>72</v>
      </c>
    </row>
    <row r="17" spans="1:55" x14ac:dyDescent="0.25">
      <c r="A17" s="1">
        <v>160</v>
      </c>
      <c r="B17" s="1" t="s">
        <v>55</v>
      </c>
      <c r="C17" s="1" t="s">
        <v>56</v>
      </c>
      <c r="D17" s="1" t="s">
        <v>57</v>
      </c>
      <c r="E17" s="1" t="s">
        <v>106</v>
      </c>
      <c r="F17" s="1" t="s">
        <v>107</v>
      </c>
      <c r="G17" s="1" t="s">
        <v>104</v>
      </c>
      <c r="H17" s="1" t="s">
        <v>105</v>
      </c>
      <c r="I17" s="2">
        <v>3133.5</v>
      </c>
      <c r="L17" s="3">
        <v>0</v>
      </c>
      <c r="M17" s="3">
        <v>8</v>
      </c>
      <c r="N17" s="3">
        <v>6.7</v>
      </c>
      <c r="O17" s="4">
        <v>0</v>
      </c>
      <c r="P17" s="4">
        <v>25068</v>
      </c>
      <c r="Q17" s="4">
        <v>20994.45</v>
      </c>
      <c r="S17" s="1" t="s">
        <v>62</v>
      </c>
      <c r="T17" s="1" t="s">
        <v>63</v>
      </c>
      <c r="W17" s="1" t="s">
        <v>57</v>
      </c>
      <c r="Z17" s="1" t="s">
        <v>64</v>
      </c>
      <c r="AA17" s="5">
        <v>0</v>
      </c>
      <c r="AB17" s="5">
        <v>0</v>
      </c>
      <c r="AD17" s="1" t="s">
        <v>64</v>
      </c>
      <c r="AE17" s="4">
        <v>25068</v>
      </c>
      <c r="AF17" s="4">
        <v>0</v>
      </c>
      <c r="AG17" s="2">
        <v>0</v>
      </c>
      <c r="AH17" s="3">
        <v>8</v>
      </c>
      <c r="AI17" s="3">
        <v>0</v>
      </c>
      <c r="AJ17" s="5">
        <v>0</v>
      </c>
      <c r="AT17" s="1" t="s">
        <v>65</v>
      </c>
      <c r="AU17" s="1" t="s">
        <v>66</v>
      </c>
      <c r="AV17" s="1" t="s">
        <v>67</v>
      </c>
      <c r="AW17" s="1" t="s">
        <v>68</v>
      </c>
      <c r="AX17" s="1" t="s">
        <v>69</v>
      </c>
      <c r="AY17" s="1" t="s">
        <v>70</v>
      </c>
      <c r="BB17" s="1" t="s">
        <v>71</v>
      </c>
      <c r="BC17" s="1" t="s">
        <v>72</v>
      </c>
    </row>
    <row r="18" spans="1:55" x14ac:dyDescent="0.25">
      <c r="A18" s="1">
        <v>170</v>
      </c>
      <c r="B18" s="1" t="s">
        <v>55</v>
      </c>
      <c r="C18" s="1" t="s">
        <v>56</v>
      </c>
      <c r="D18" s="1" t="s">
        <v>57</v>
      </c>
      <c r="E18" s="1" t="s">
        <v>108</v>
      </c>
      <c r="F18" s="1" t="s">
        <v>109</v>
      </c>
      <c r="G18" s="1" t="s">
        <v>110</v>
      </c>
      <c r="H18" s="1" t="s">
        <v>110</v>
      </c>
      <c r="I18" s="2">
        <v>80</v>
      </c>
      <c r="L18" s="3">
        <v>0</v>
      </c>
      <c r="M18" s="3">
        <v>216.72</v>
      </c>
      <c r="N18" s="3">
        <v>228.13</v>
      </c>
      <c r="O18" s="4">
        <v>0</v>
      </c>
      <c r="P18" s="4">
        <v>17337.599999999999</v>
      </c>
      <c r="Q18" s="4">
        <v>18250.400000000001</v>
      </c>
      <c r="S18" s="1" t="s">
        <v>62</v>
      </c>
      <c r="T18" s="1" t="s">
        <v>63</v>
      </c>
      <c r="W18" s="1" t="s">
        <v>57</v>
      </c>
      <c r="Z18" s="1" t="s">
        <v>64</v>
      </c>
      <c r="AA18" s="5">
        <v>0</v>
      </c>
      <c r="AB18" s="5">
        <v>0</v>
      </c>
      <c r="AD18" s="1" t="s">
        <v>64</v>
      </c>
      <c r="AE18" s="4">
        <v>17337.599999999999</v>
      </c>
      <c r="AF18" s="4">
        <v>0</v>
      </c>
      <c r="AG18" s="2">
        <v>0</v>
      </c>
      <c r="AH18" s="3">
        <v>216.72</v>
      </c>
      <c r="AI18" s="3">
        <v>0</v>
      </c>
      <c r="AJ18" s="5">
        <v>0</v>
      </c>
      <c r="AT18" s="1" t="s">
        <v>65</v>
      </c>
      <c r="AU18" s="1" t="s">
        <v>66</v>
      </c>
      <c r="AV18" s="1" t="s">
        <v>67</v>
      </c>
      <c r="AW18" s="1" t="s">
        <v>68</v>
      </c>
      <c r="AX18" s="1" t="s">
        <v>69</v>
      </c>
      <c r="AY18" s="1" t="s">
        <v>70</v>
      </c>
      <c r="BB18" s="1" t="s">
        <v>71</v>
      </c>
      <c r="BC18" s="1" t="s">
        <v>72</v>
      </c>
    </row>
    <row r="19" spans="1:55" x14ac:dyDescent="0.25">
      <c r="A19" s="1">
        <v>180</v>
      </c>
      <c r="B19" s="1" t="s">
        <v>55</v>
      </c>
      <c r="C19" s="1" t="s">
        <v>56</v>
      </c>
      <c r="D19" s="1" t="s">
        <v>57</v>
      </c>
      <c r="E19" s="1" t="s">
        <v>58</v>
      </c>
      <c r="F19" s="1" t="s">
        <v>59</v>
      </c>
      <c r="G19" s="1" t="s">
        <v>60</v>
      </c>
      <c r="H19" s="1" t="s">
        <v>61</v>
      </c>
      <c r="I19" s="2">
        <v>2069.9699999999998</v>
      </c>
      <c r="L19" s="3">
        <v>0</v>
      </c>
      <c r="M19" s="3">
        <v>6</v>
      </c>
      <c r="N19" s="3">
        <v>3.37</v>
      </c>
      <c r="O19" s="4">
        <v>0</v>
      </c>
      <c r="P19" s="4">
        <v>12419.82</v>
      </c>
      <c r="Q19" s="4">
        <v>6975.8</v>
      </c>
      <c r="S19" s="1" t="s">
        <v>111</v>
      </c>
      <c r="T19" s="1" t="s">
        <v>112</v>
      </c>
      <c r="W19" s="1" t="s">
        <v>57</v>
      </c>
      <c r="Z19" s="1" t="s">
        <v>64</v>
      </c>
      <c r="AA19" s="5">
        <v>0</v>
      </c>
      <c r="AB19" s="5">
        <v>0</v>
      </c>
      <c r="AD19" s="1" t="s">
        <v>64</v>
      </c>
      <c r="AE19" s="4">
        <v>12419.82</v>
      </c>
      <c r="AF19" s="4">
        <v>0</v>
      </c>
      <c r="AG19" s="2">
        <v>0</v>
      </c>
      <c r="AH19" s="3">
        <v>6</v>
      </c>
      <c r="AI19" s="3">
        <v>0</v>
      </c>
      <c r="AJ19" s="5">
        <v>0</v>
      </c>
      <c r="AT19" s="1" t="s">
        <v>65</v>
      </c>
      <c r="AU19" s="1" t="s">
        <v>66</v>
      </c>
      <c r="AV19" s="1" t="s">
        <v>67</v>
      </c>
      <c r="AW19" s="1" t="s">
        <v>68</v>
      </c>
      <c r="AX19" s="1" t="s">
        <v>113</v>
      </c>
      <c r="AY19" s="1" t="s">
        <v>114</v>
      </c>
      <c r="BB19" s="1" t="s">
        <v>71</v>
      </c>
      <c r="BC19" s="1" t="s">
        <v>72</v>
      </c>
    </row>
    <row r="20" spans="1:55" x14ac:dyDescent="0.25">
      <c r="A20" s="1">
        <v>190</v>
      </c>
      <c r="B20" s="1" t="s">
        <v>55</v>
      </c>
      <c r="C20" s="1" t="s">
        <v>56</v>
      </c>
      <c r="D20" s="1" t="s">
        <v>57</v>
      </c>
      <c r="E20" s="1" t="s">
        <v>73</v>
      </c>
      <c r="F20" s="1" t="s">
        <v>74</v>
      </c>
      <c r="G20" s="1" t="s">
        <v>75</v>
      </c>
      <c r="I20" s="2">
        <v>41604</v>
      </c>
      <c r="L20" s="3">
        <v>0</v>
      </c>
      <c r="M20" s="3">
        <v>0</v>
      </c>
      <c r="N20" s="3">
        <v>0.23</v>
      </c>
      <c r="O20" s="4">
        <v>0</v>
      </c>
      <c r="P20" s="4">
        <v>0</v>
      </c>
      <c r="Q20" s="4">
        <v>9568.92</v>
      </c>
      <c r="S20" s="1" t="s">
        <v>111</v>
      </c>
      <c r="T20" s="1" t="s">
        <v>112</v>
      </c>
      <c r="W20" s="1" t="s">
        <v>57</v>
      </c>
      <c r="Z20" s="1" t="s">
        <v>64</v>
      </c>
      <c r="AA20" s="5">
        <v>0</v>
      </c>
      <c r="AB20" s="5">
        <v>0</v>
      </c>
      <c r="AD20" s="1" t="s">
        <v>64</v>
      </c>
      <c r="AE20" s="4">
        <v>0</v>
      </c>
      <c r="AF20" s="4">
        <v>0</v>
      </c>
      <c r="AG20" s="2">
        <v>0</v>
      </c>
      <c r="AH20" s="3">
        <v>0</v>
      </c>
      <c r="AI20" s="3">
        <v>0</v>
      </c>
      <c r="AJ20" s="5">
        <v>0</v>
      </c>
      <c r="AT20" s="1" t="s">
        <v>65</v>
      </c>
      <c r="AU20" s="1" t="s">
        <v>66</v>
      </c>
      <c r="AV20" s="1" t="s">
        <v>67</v>
      </c>
      <c r="AW20" s="1" t="s">
        <v>68</v>
      </c>
      <c r="AX20" s="1" t="s">
        <v>113</v>
      </c>
      <c r="AY20" s="1" t="s">
        <v>114</v>
      </c>
      <c r="BB20" s="1" t="s">
        <v>71</v>
      </c>
      <c r="BC20" s="1" t="s">
        <v>72</v>
      </c>
    </row>
    <row r="21" spans="1:55" x14ac:dyDescent="0.25">
      <c r="A21" s="1">
        <v>200</v>
      </c>
      <c r="B21" s="1" t="s">
        <v>55</v>
      </c>
      <c r="C21" s="1" t="s">
        <v>56</v>
      </c>
      <c r="D21" s="1" t="s">
        <v>57</v>
      </c>
      <c r="E21" s="1" t="s">
        <v>76</v>
      </c>
      <c r="F21" s="1" t="s">
        <v>77</v>
      </c>
      <c r="G21" s="1" t="s">
        <v>60</v>
      </c>
      <c r="H21" s="1" t="s">
        <v>61</v>
      </c>
      <c r="I21" s="2">
        <v>1523.28</v>
      </c>
      <c r="L21" s="3">
        <v>0</v>
      </c>
      <c r="M21" s="3">
        <v>10.8</v>
      </c>
      <c r="N21" s="3">
        <v>13.28</v>
      </c>
      <c r="O21" s="4">
        <v>0</v>
      </c>
      <c r="P21" s="4">
        <v>16451.419999999998</v>
      </c>
      <c r="Q21" s="4">
        <v>20229.16</v>
      </c>
      <c r="S21" s="1" t="s">
        <v>111</v>
      </c>
      <c r="T21" s="1" t="s">
        <v>112</v>
      </c>
      <c r="W21" s="1" t="s">
        <v>57</v>
      </c>
      <c r="Z21" s="1" t="s">
        <v>64</v>
      </c>
      <c r="AA21" s="5">
        <v>0</v>
      </c>
      <c r="AB21" s="5">
        <v>0</v>
      </c>
      <c r="AD21" s="1" t="s">
        <v>64</v>
      </c>
      <c r="AE21" s="4">
        <v>16451.419999999998</v>
      </c>
      <c r="AF21" s="4">
        <v>0</v>
      </c>
      <c r="AG21" s="2">
        <v>0</v>
      </c>
      <c r="AH21" s="3">
        <v>10.8</v>
      </c>
      <c r="AI21" s="3">
        <v>0</v>
      </c>
      <c r="AJ21" s="5">
        <v>0</v>
      </c>
      <c r="AT21" s="1" t="s">
        <v>65</v>
      </c>
      <c r="AU21" s="1" t="s">
        <v>66</v>
      </c>
      <c r="AV21" s="1" t="s">
        <v>67</v>
      </c>
      <c r="AW21" s="1" t="s">
        <v>68</v>
      </c>
      <c r="AX21" s="1" t="s">
        <v>113</v>
      </c>
      <c r="AY21" s="1" t="s">
        <v>114</v>
      </c>
      <c r="BB21" s="1" t="s">
        <v>71</v>
      </c>
      <c r="BC21" s="1" t="s">
        <v>72</v>
      </c>
    </row>
    <row r="22" spans="1:55" x14ac:dyDescent="0.25">
      <c r="A22" s="1">
        <v>210</v>
      </c>
      <c r="B22" s="1" t="s">
        <v>55</v>
      </c>
      <c r="C22" s="1" t="s">
        <v>56</v>
      </c>
      <c r="D22" s="1" t="s">
        <v>57</v>
      </c>
      <c r="E22" s="1" t="s">
        <v>78</v>
      </c>
      <c r="F22" s="1" t="s">
        <v>79</v>
      </c>
      <c r="G22" s="1" t="s">
        <v>60</v>
      </c>
      <c r="H22" s="1" t="s">
        <v>61</v>
      </c>
      <c r="I22" s="2">
        <v>2085.7800000000002</v>
      </c>
      <c r="L22" s="3">
        <v>0</v>
      </c>
      <c r="M22" s="3">
        <v>2.5</v>
      </c>
      <c r="N22" s="3">
        <v>1.56</v>
      </c>
      <c r="O22" s="4">
        <v>0</v>
      </c>
      <c r="P22" s="4">
        <v>5214.45</v>
      </c>
      <c r="Q22" s="4">
        <v>3253.82</v>
      </c>
      <c r="S22" s="1" t="s">
        <v>111</v>
      </c>
      <c r="T22" s="1" t="s">
        <v>112</v>
      </c>
      <c r="W22" s="1" t="s">
        <v>57</v>
      </c>
      <c r="Z22" s="1" t="s">
        <v>64</v>
      </c>
      <c r="AA22" s="5">
        <v>0</v>
      </c>
      <c r="AB22" s="5">
        <v>0</v>
      </c>
      <c r="AD22" s="1" t="s">
        <v>64</v>
      </c>
      <c r="AE22" s="4">
        <v>5214.45</v>
      </c>
      <c r="AF22" s="4">
        <v>0</v>
      </c>
      <c r="AG22" s="2">
        <v>0</v>
      </c>
      <c r="AH22" s="3">
        <v>2.5</v>
      </c>
      <c r="AI22" s="3">
        <v>0</v>
      </c>
      <c r="AJ22" s="5">
        <v>0</v>
      </c>
      <c r="AT22" s="1" t="s">
        <v>65</v>
      </c>
      <c r="AU22" s="1" t="s">
        <v>66</v>
      </c>
      <c r="AV22" s="1" t="s">
        <v>67</v>
      </c>
      <c r="AW22" s="1" t="s">
        <v>68</v>
      </c>
      <c r="AX22" s="1" t="s">
        <v>113</v>
      </c>
      <c r="AY22" s="1" t="s">
        <v>114</v>
      </c>
      <c r="BB22" s="1" t="s">
        <v>71</v>
      </c>
      <c r="BC22" s="1" t="s">
        <v>72</v>
      </c>
    </row>
    <row r="23" spans="1:55" x14ac:dyDescent="0.25">
      <c r="A23" s="1">
        <v>220</v>
      </c>
      <c r="B23" s="1" t="s">
        <v>55</v>
      </c>
      <c r="C23" s="1" t="s">
        <v>56</v>
      </c>
      <c r="D23" s="1" t="s">
        <v>57</v>
      </c>
      <c r="E23" s="1" t="s">
        <v>80</v>
      </c>
      <c r="F23" s="1" t="s">
        <v>81</v>
      </c>
      <c r="G23" s="1" t="s">
        <v>60</v>
      </c>
      <c r="H23" s="1" t="s">
        <v>61</v>
      </c>
      <c r="I23" s="2">
        <v>189.72</v>
      </c>
      <c r="L23" s="3">
        <v>0</v>
      </c>
      <c r="M23" s="3">
        <v>12.351000000000001</v>
      </c>
      <c r="N23" s="3">
        <v>14.53</v>
      </c>
      <c r="O23" s="4">
        <v>0</v>
      </c>
      <c r="P23" s="4">
        <v>2343.23</v>
      </c>
      <c r="Q23" s="4">
        <v>2756.63</v>
      </c>
      <c r="S23" s="1" t="s">
        <v>111</v>
      </c>
      <c r="T23" s="1" t="s">
        <v>112</v>
      </c>
      <c r="W23" s="1" t="s">
        <v>57</v>
      </c>
      <c r="Z23" s="1" t="s">
        <v>64</v>
      </c>
      <c r="AA23" s="5">
        <v>0</v>
      </c>
      <c r="AB23" s="5">
        <v>0</v>
      </c>
      <c r="AD23" s="1" t="s">
        <v>64</v>
      </c>
      <c r="AE23" s="4">
        <v>2343.23</v>
      </c>
      <c r="AF23" s="4">
        <v>0</v>
      </c>
      <c r="AG23" s="2">
        <v>0</v>
      </c>
      <c r="AH23" s="3">
        <v>12.351000000000001</v>
      </c>
      <c r="AI23" s="3">
        <v>0</v>
      </c>
      <c r="AJ23" s="5">
        <v>0</v>
      </c>
      <c r="AT23" s="1" t="s">
        <v>65</v>
      </c>
      <c r="AU23" s="1" t="s">
        <v>66</v>
      </c>
      <c r="AV23" s="1" t="s">
        <v>67</v>
      </c>
      <c r="AW23" s="1" t="s">
        <v>68</v>
      </c>
      <c r="AX23" s="1" t="s">
        <v>113</v>
      </c>
      <c r="AY23" s="1" t="s">
        <v>114</v>
      </c>
      <c r="BB23" s="1" t="s">
        <v>71</v>
      </c>
      <c r="BC23" s="1" t="s">
        <v>72</v>
      </c>
    </row>
    <row r="24" spans="1:55" x14ac:dyDescent="0.25">
      <c r="A24" s="1">
        <v>230</v>
      </c>
      <c r="B24" s="1" t="s">
        <v>55</v>
      </c>
      <c r="C24" s="1" t="s">
        <v>56</v>
      </c>
      <c r="D24" s="1" t="s">
        <v>57</v>
      </c>
      <c r="E24" s="1" t="s">
        <v>82</v>
      </c>
      <c r="F24" s="1" t="s">
        <v>83</v>
      </c>
      <c r="G24" s="1" t="s">
        <v>60</v>
      </c>
      <c r="H24" s="1" t="s">
        <v>61</v>
      </c>
      <c r="I24" s="2">
        <v>67.52</v>
      </c>
      <c r="L24" s="3">
        <v>0</v>
      </c>
      <c r="M24" s="3">
        <v>140</v>
      </c>
      <c r="N24" s="3">
        <v>177.27</v>
      </c>
      <c r="O24" s="4">
        <v>0</v>
      </c>
      <c r="P24" s="4">
        <v>9452.7999999999993</v>
      </c>
      <c r="Q24" s="4">
        <v>11969.27</v>
      </c>
      <c r="S24" s="1" t="s">
        <v>111</v>
      </c>
      <c r="T24" s="1" t="s">
        <v>112</v>
      </c>
      <c r="W24" s="1" t="s">
        <v>57</v>
      </c>
      <c r="Z24" s="1" t="s">
        <v>64</v>
      </c>
      <c r="AA24" s="5">
        <v>0</v>
      </c>
      <c r="AB24" s="5">
        <v>0</v>
      </c>
      <c r="AD24" s="1" t="s">
        <v>64</v>
      </c>
      <c r="AE24" s="4">
        <v>9452.7999999999993</v>
      </c>
      <c r="AF24" s="4">
        <v>0</v>
      </c>
      <c r="AG24" s="2">
        <v>0</v>
      </c>
      <c r="AH24" s="3">
        <v>140</v>
      </c>
      <c r="AI24" s="3">
        <v>0</v>
      </c>
      <c r="AJ24" s="5">
        <v>0</v>
      </c>
      <c r="AT24" s="1" t="s">
        <v>65</v>
      </c>
      <c r="AU24" s="1" t="s">
        <v>66</v>
      </c>
      <c r="AV24" s="1" t="s">
        <v>67</v>
      </c>
      <c r="AW24" s="1" t="s">
        <v>68</v>
      </c>
      <c r="AX24" s="1" t="s">
        <v>113</v>
      </c>
      <c r="AY24" s="1" t="s">
        <v>114</v>
      </c>
      <c r="BB24" s="1" t="s">
        <v>71</v>
      </c>
      <c r="BC24" s="1" t="s">
        <v>72</v>
      </c>
    </row>
    <row r="25" spans="1:55" x14ac:dyDescent="0.25">
      <c r="A25" s="1">
        <v>240</v>
      </c>
      <c r="B25" s="1" t="s">
        <v>55</v>
      </c>
      <c r="C25" s="1" t="s">
        <v>56</v>
      </c>
      <c r="D25" s="1" t="s">
        <v>57</v>
      </c>
      <c r="E25" s="1" t="s">
        <v>84</v>
      </c>
      <c r="F25" s="1" t="s">
        <v>85</v>
      </c>
      <c r="G25" s="1" t="s">
        <v>60</v>
      </c>
      <c r="H25" s="1" t="s">
        <v>61</v>
      </c>
      <c r="I25" s="2">
        <v>84.94</v>
      </c>
      <c r="L25" s="3">
        <v>0</v>
      </c>
      <c r="M25" s="3">
        <v>23.84</v>
      </c>
      <c r="N25" s="3">
        <v>25.09</v>
      </c>
      <c r="O25" s="4">
        <v>0</v>
      </c>
      <c r="P25" s="4">
        <v>2024.97</v>
      </c>
      <c r="Q25" s="4">
        <v>2131.14</v>
      </c>
      <c r="S25" s="1" t="s">
        <v>111</v>
      </c>
      <c r="T25" s="1" t="s">
        <v>112</v>
      </c>
      <c r="W25" s="1" t="s">
        <v>57</v>
      </c>
      <c r="Z25" s="1" t="s">
        <v>64</v>
      </c>
      <c r="AA25" s="5">
        <v>0</v>
      </c>
      <c r="AB25" s="5">
        <v>0</v>
      </c>
      <c r="AD25" s="1" t="s">
        <v>64</v>
      </c>
      <c r="AE25" s="4">
        <v>2024.97</v>
      </c>
      <c r="AF25" s="4">
        <v>0</v>
      </c>
      <c r="AG25" s="2">
        <v>0</v>
      </c>
      <c r="AH25" s="3">
        <v>23.84</v>
      </c>
      <c r="AI25" s="3">
        <v>0</v>
      </c>
      <c r="AJ25" s="5">
        <v>0</v>
      </c>
      <c r="AT25" s="1" t="s">
        <v>65</v>
      </c>
      <c r="AU25" s="1" t="s">
        <v>66</v>
      </c>
      <c r="AV25" s="1" t="s">
        <v>67</v>
      </c>
      <c r="AW25" s="1" t="s">
        <v>68</v>
      </c>
      <c r="AX25" s="1" t="s">
        <v>113</v>
      </c>
      <c r="AY25" s="1" t="s">
        <v>114</v>
      </c>
      <c r="BB25" s="1" t="s">
        <v>71</v>
      </c>
      <c r="BC25" s="1" t="s">
        <v>72</v>
      </c>
    </row>
    <row r="26" spans="1:55" x14ac:dyDescent="0.25">
      <c r="A26" s="1">
        <v>250</v>
      </c>
      <c r="B26" s="1" t="s">
        <v>55</v>
      </c>
      <c r="C26" s="1" t="s">
        <v>56</v>
      </c>
      <c r="D26" s="1" t="s">
        <v>57</v>
      </c>
      <c r="E26" s="1" t="s">
        <v>86</v>
      </c>
      <c r="F26" s="1" t="s">
        <v>87</v>
      </c>
      <c r="G26" s="1" t="s">
        <v>60</v>
      </c>
      <c r="H26" s="1" t="s">
        <v>61</v>
      </c>
      <c r="I26" s="2">
        <v>322.24</v>
      </c>
      <c r="L26" s="3">
        <v>0</v>
      </c>
      <c r="M26" s="3">
        <v>6</v>
      </c>
      <c r="N26" s="3">
        <v>6.61</v>
      </c>
      <c r="O26" s="4">
        <v>0</v>
      </c>
      <c r="P26" s="4">
        <v>1933.44</v>
      </c>
      <c r="Q26" s="4">
        <v>2130.0100000000002</v>
      </c>
      <c r="S26" s="1" t="s">
        <v>111</v>
      </c>
      <c r="T26" s="1" t="s">
        <v>112</v>
      </c>
      <c r="W26" s="1" t="s">
        <v>57</v>
      </c>
      <c r="Z26" s="1" t="s">
        <v>64</v>
      </c>
      <c r="AA26" s="5">
        <v>0</v>
      </c>
      <c r="AB26" s="5">
        <v>0</v>
      </c>
      <c r="AD26" s="1" t="s">
        <v>64</v>
      </c>
      <c r="AE26" s="4">
        <v>1933.44</v>
      </c>
      <c r="AF26" s="4">
        <v>0</v>
      </c>
      <c r="AG26" s="2">
        <v>0</v>
      </c>
      <c r="AH26" s="3">
        <v>6</v>
      </c>
      <c r="AI26" s="3">
        <v>0</v>
      </c>
      <c r="AJ26" s="5">
        <v>0</v>
      </c>
      <c r="AT26" s="1" t="s">
        <v>65</v>
      </c>
      <c r="AU26" s="1" t="s">
        <v>66</v>
      </c>
      <c r="AV26" s="1" t="s">
        <v>67</v>
      </c>
      <c r="AW26" s="1" t="s">
        <v>68</v>
      </c>
      <c r="AX26" s="1" t="s">
        <v>113</v>
      </c>
      <c r="AY26" s="1" t="s">
        <v>114</v>
      </c>
      <c r="BB26" s="1" t="s">
        <v>71</v>
      </c>
      <c r="BC26" s="1" t="s">
        <v>72</v>
      </c>
    </row>
    <row r="27" spans="1:55" x14ac:dyDescent="0.25">
      <c r="A27" s="1">
        <v>260</v>
      </c>
      <c r="B27" s="1" t="s">
        <v>55</v>
      </c>
      <c r="C27" s="1" t="s">
        <v>56</v>
      </c>
      <c r="D27" s="1" t="s">
        <v>57</v>
      </c>
      <c r="E27" s="1" t="s">
        <v>88</v>
      </c>
      <c r="F27" s="1" t="s">
        <v>89</v>
      </c>
      <c r="G27" s="1" t="s">
        <v>60</v>
      </c>
      <c r="H27" s="1" t="s">
        <v>61</v>
      </c>
      <c r="I27" s="2">
        <v>61.06</v>
      </c>
      <c r="L27" s="3">
        <v>0</v>
      </c>
      <c r="M27" s="3">
        <v>135</v>
      </c>
      <c r="N27" s="3">
        <v>81.67</v>
      </c>
      <c r="O27" s="4">
        <v>0</v>
      </c>
      <c r="P27" s="4">
        <v>8243.1</v>
      </c>
      <c r="Q27" s="4">
        <v>4986.7700000000004</v>
      </c>
      <c r="S27" s="1" t="s">
        <v>111</v>
      </c>
      <c r="T27" s="1" t="s">
        <v>112</v>
      </c>
      <c r="W27" s="1" t="s">
        <v>57</v>
      </c>
      <c r="Z27" s="1" t="s">
        <v>64</v>
      </c>
      <c r="AA27" s="5">
        <v>0</v>
      </c>
      <c r="AB27" s="5">
        <v>0</v>
      </c>
      <c r="AD27" s="1" t="s">
        <v>64</v>
      </c>
      <c r="AE27" s="4">
        <v>8243.1</v>
      </c>
      <c r="AF27" s="4">
        <v>0</v>
      </c>
      <c r="AG27" s="2">
        <v>0</v>
      </c>
      <c r="AH27" s="3">
        <v>135</v>
      </c>
      <c r="AI27" s="3">
        <v>0</v>
      </c>
      <c r="AJ27" s="5">
        <v>0</v>
      </c>
      <c r="AT27" s="1" t="s">
        <v>65</v>
      </c>
      <c r="AU27" s="1" t="s">
        <v>66</v>
      </c>
      <c r="AV27" s="1" t="s">
        <v>67</v>
      </c>
      <c r="AW27" s="1" t="s">
        <v>68</v>
      </c>
      <c r="AX27" s="1" t="s">
        <v>113</v>
      </c>
      <c r="AY27" s="1" t="s">
        <v>114</v>
      </c>
      <c r="BB27" s="1" t="s">
        <v>71</v>
      </c>
      <c r="BC27" s="1" t="s">
        <v>72</v>
      </c>
    </row>
    <row r="28" spans="1:55" x14ac:dyDescent="0.25">
      <c r="A28" s="1">
        <v>270</v>
      </c>
      <c r="B28" s="1" t="s">
        <v>55</v>
      </c>
      <c r="C28" s="1" t="s">
        <v>56</v>
      </c>
      <c r="D28" s="1" t="s">
        <v>57</v>
      </c>
      <c r="E28" s="1" t="s">
        <v>90</v>
      </c>
      <c r="F28" s="1" t="s">
        <v>91</v>
      </c>
      <c r="G28" s="1" t="s">
        <v>60</v>
      </c>
      <c r="H28" s="1" t="s">
        <v>61</v>
      </c>
      <c r="I28" s="2">
        <v>223.23</v>
      </c>
      <c r="L28" s="3">
        <v>0</v>
      </c>
      <c r="M28" s="3">
        <v>167</v>
      </c>
      <c r="N28" s="3">
        <v>118.65</v>
      </c>
      <c r="O28" s="4">
        <v>0</v>
      </c>
      <c r="P28" s="4">
        <v>37279.410000000003</v>
      </c>
      <c r="Q28" s="4">
        <v>26486.240000000002</v>
      </c>
      <c r="S28" s="1" t="s">
        <v>111</v>
      </c>
      <c r="T28" s="1" t="s">
        <v>112</v>
      </c>
      <c r="W28" s="1" t="s">
        <v>57</v>
      </c>
      <c r="Z28" s="1" t="s">
        <v>64</v>
      </c>
      <c r="AA28" s="5">
        <v>0</v>
      </c>
      <c r="AB28" s="5">
        <v>0</v>
      </c>
      <c r="AD28" s="1" t="s">
        <v>64</v>
      </c>
      <c r="AE28" s="4">
        <v>37279.410000000003</v>
      </c>
      <c r="AF28" s="4">
        <v>0</v>
      </c>
      <c r="AG28" s="2">
        <v>0</v>
      </c>
      <c r="AH28" s="3">
        <v>167</v>
      </c>
      <c r="AI28" s="3">
        <v>0</v>
      </c>
      <c r="AJ28" s="5">
        <v>0</v>
      </c>
      <c r="AT28" s="1" t="s">
        <v>65</v>
      </c>
      <c r="AU28" s="1" t="s">
        <v>66</v>
      </c>
      <c r="AV28" s="1" t="s">
        <v>67</v>
      </c>
      <c r="AW28" s="1" t="s">
        <v>68</v>
      </c>
      <c r="AX28" s="1" t="s">
        <v>113</v>
      </c>
      <c r="AY28" s="1" t="s">
        <v>114</v>
      </c>
      <c r="BB28" s="1" t="s">
        <v>71</v>
      </c>
      <c r="BC28" s="1" t="s">
        <v>72</v>
      </c>
    </row>
    <row r="29" spans="1:55" x14ac:dyDescent="0.25">
      <c r="A29" s="1">
        <v>280</v>
      </c>
      <c r="B29" s="1" t="s">
        <v>55</v>
      </c>
      <c r="C29" s="1" t="s">
        <v>56</v>
      </c>
      <c r="D29" s="1" t="s">
        <v>57</v>
      </c>
      <c r="E29" s="1" t="s">
        <v>92</v>
      </c>
      <c r="F29" s="1" t="s">
        <v>93</v>
      </c>
      <c r="G29" s="1" t="s">
        <v>60</v>
      </c>
      <c r="H29" s="1" t="s">
        <v>61</v>
      </c>
      <c r="I29" s="2">
        <v>216.19</v>
      </c>
      <c r="L29" s="3">
        <v>0</v>
      </c>
      <c r="M29" s="3">
        <v>163</v>
      </c>
      <c r="N29" s="3">
        <v>122.71</v>
      </c>
      <c r="O29" s="4">
        <v>0</v>
      </c>
      <c r="P29" s="4">
        <v>35238.97</v>
      </c>
      <c r="Q29" s="4">
        <v>26528.67</v>
      </c>
      <c r="S29" s="1" t="s">
        <v>111</v>
      </c>
      <c r="T29" s="1" t="s">
        <v>112</v>
      </c>
      <c r="W29" s="1" t="s">
        <v>57</v>
      </c>
      <c r="Z29" s="1" t="s">
        <v>64</v>
      </c>
      <c r="AA29" s="5">
        <v>0</v>
      </c>
      <c r="AB29" s="5">
        <v>0</v>
      </c>
      <c r="AD29" s="1" t="s">
        <v>64</v>
      </c>
      <c r="AE29" s="4">
        <v>35238.97</v>
      </c>
      <c r="AF29" s="4">
        <v>0</v>
      </c>
      <c r="AG29" s="2">
        <v>0</v>
      </c>
      <c r="AH29" s="3">
        <v>163</v>
      </c>
      <c r="AI29" s="3">
        <v>0</v>
      </c>
      <c r="AJ29" s="5">
        <v>0</v>
      </c>
      <c r="AT29" s="1" t="s">
        <v>65</v>
      </c>
      <c r="AU29" s="1" t="s">
        <v>66</v>
      </c>
      <c r="AV29" s="1" t="s">
        <v>67</v>
      </c>
      <c r="AW29" s="1" t="s">
        <v>68</v>
      </c>
      <c r="AX29" s="1" t="s">
        <v>113</v>
      </c>
      <c r="AY29" s="1" t="s">
        <v>114</v>
      </c>
      <c r="BB29" s="1" t="s">
        <v>71</v>
      </c>
      <c r="BC29" s="1" t="s">
        <v>72</v>
      </c>
    </row>
    <row r="30" spans="1:55" x14ac:dyDescent="0.25">
      <c r="A30" s="1">
        <v>290</v>
      </c>
      <c r="B30" s="1" t="s">
        <v>55</v>
      </c>
      <c r="C30" s="1" t="s">
        <v>56</v>
      </c>
      <c r="D30" s="1" t="s">
        <v>57</v>
      </c>
      <c r="E30" s="1" t="s">
        <v>94</v>
      </c>
      <c r="F30" s="1" t="s">
        <v>95</v>
      </c>
      <c r="G30" s="1" t="s">
        <v>96</v>
      </c>
      <c r="H30" s="1" t="s">
        <v>97</v>
      </c>
      <c r="I30" s="2">
        <v>130.78</v>
      </c>
      <c r="L30" s="3">
        <v>0</v>
      </c>
      <c r="M30" s="3">
        <v>20.72</v>
      </c>
      <c r="N30" s="3">
        <v>20.72</v>
      </c>
      <c r="O30" s="4">
        <v>0</v>
      </c>
      <c r="P30" s="4">
        <v>2709.76</v>
      </c>
      <c r="Q30" s="4">
        <v>2709.76</v>
      </c>
      <c r="S30" s="1" t="s">
        <v>111</v>
      </c>
      <c r="T30" s="1" t="s">
        <v>112</v>
      </c>
      <c r="W30" s="1" t="s">
        <v>57</v>
      </c>
      <c r="Z30" s="1" t="s">
        <v>64</v>
      </c>
      <c r="AA30" s="5">
        <v>0</v>
      </c>
      <c r="AB30" s="5">
        <v>0</v>
      </c>
      <c r="AD30" s="1" t="s">
        <v>64</v>
      </c>
      <c r="AE30" s="4">
        <v>2709.76</v>
      </c>
      <c r="AF30" s="4">
        <v>0</v>
      </c>
      <c r="AG30" s="2">
        <v>0</v>
      </c>
      <c r="AH30" s="3">
        <v>20.72</v>
      </c>
      <c r="AI30" s="3">
        <v>0</v>
      </c>
      <c r="AJ30" s="5">
        <v>0</v>
      </c>
      <c r="AT30" s="1" t="s">
        <v>65</v>
      </c>
      <c r="AU30" s="1" t="s">
        <v>66</v>
      </c>
      <c r="AV30" s="1" t="s">
        <v>67</v>
      </c>
      <c r="AW30" s="1" t="s">
        <v>68</v>
      </c>
      <c r="AX30" s="1" t="s">
        <v>113</v>
      </c>
      <c r="AY30" s="1" t="s">
        <v>114</v>
      </c>
      <c r="BB30" s="1" t="s">
        <v>71</v>
      </c>
      <c r="BC30" s="1" t="s">
        <v>72</v>
      </c>
    </row>
    <row r="31" spans="1:55" x14ac:dyDescent="0.25">
      <c r="A31" s="1">
        <v>300</v>
      </c>
      <c r="B31" s="1" t="s">
        <v>55</v>
      </c>
      <c r="C31" s="1" t="s">
        <v>56</v>
      </c>
      <c r="D31" s="1" t="s">
        <v>57</v>
      </c>
      <c r="E31" s="1" t="s">
        <v>94</v>
      </c>
      <c r="F31" s="1" t="s">
        <v>95</v>
      </c>
      <c r="G31" s="1" t="s">
        <v>96</v>
      </c>
      <c r="H31" s="1" t="s">
        <v>97</v>
      </c>
      <c r="I31" s="2">
        <v>628.98</v>
      </c>
      <c r="L31" s="3">
        <v>0</v>
      </c>
      <c r="M31" s="3">
        <v>20.72</v>
      </c>
      <c r="N31" s="3">
        <v>20.72</v>
      </c>
      <c r="O31" s="4">
        <v>0</v>
      </c>
      <c r="P31" s="4">
        <v>13032.47</v>
      </c>
      <c r="Q31" s="4">
        <v>13032.47</v>
      </c>
      <c r="S31" s="1" t="s">
        <v>111</v>
      </c>
      <c r="T31" s="1" t="s">
        <v>112</v>
      </c>
      <c r="W31" s="1" t="s">
        <v>57</v>
      </c>
      <c r="Z31" s="1" t="s">
        <v>64</v>
      </c>
      <c r="AA31" s="5">
        <v>0</v>
      </c>
      <c r="AB31" s="5">
        <v>0</v>
      </c>
      <c r="AD31" s="1" t="s">
        <v>64</v>
      </c>
      <c r="AE31" s="4">
        <v>13032.47</v>
      </c>
      <c r="AF31" s="4">
        <v>0</v>
      </c>
      <c r="AG31" s="2">
        <v>0</v>
      </c>
      <c r="AH31" s="3">
        <v>20.72</v>
      </c>
      <c r="AI31" s="3">
        <v>0</v>
      </c>
      <c r="AJ31" s="5">
        <v>0</v>
      </c>
      <c r="AT31" s="1" t="s">
        <v>65</v>
      </c>
      <c r="AU31" s="1" t="s">
        <v>66</v>
      </c>
      <c r="AV31" s="1" t="s">
        <v>67</v>
      </c>
      <c r="AW31" s="1" t="s">
        <v>68</v>
      </c>
      <c r="AX31" s="1" t="s">
        <v>113</v>
      </c>
      <c r="AY31" s="1" t="s">
        <v>114</v>
      </c>
      <c r="BB31" s="1" t="s">
        <v>71</v>
      </c>
      <c r="BC31" s="1" t="s">
        <v>72</v>
      </c>
    </row>
    <row r="32" spans="1:55" x14ac:dyDescent="0.25">
      <c r="A32" s="1">
        <v>310</v>
      </c>
      <c r="B32" s="1" t="s">
        <v>55</v>
      </c>
      <c r="C32" s="1" t="s">
        <v>56</v>
      </c>
      <c r="D32" s="1" t="s">
        <v>57</v>
      </c>
      <c r="E32" s="1" t="s">
        <v>98</v>
      </c>
      <c r="F32" s="1" t="s">
        <v>99</v>
      </c>
      <c r="G32" s="1" t="s">
        <v>100</v>
      </c>
      <c r="H32" s="1" t="s">
        <v>101</v>
      </c>
      <c r="I32" s="2">
        <v>88197.71</v>
      </c>
      <c r="L32" s="3">
        <v>0</v>
      </c>
      <c r="M32" s="3">
        <v>1.1200000000000001</v>
      </c>
      <c r="N32" s="3">
        <v>1.72</v>
      </c>
      <c r="O32" s="4">
        <v>0</v>
      </c>
      <c r="P32" s="4">
        <v>98781.440000000002</v>
      </c>
      <c r="Q32" s="4">
        <v>151700.06</v>
      </c>
      <c r="S32" s="1" t="s">
        <v>111</v>
      </c>
      <c r="T32" s="1" t="s">
        <v>112</v>
      </c>
      <c r="W32" s="1" t="s">
        <v>57</v>
      </c>
      <c r="Z32" s="1" t="s">
        <v>64</v>
      </c>
      <c r="AA32" s="5">
        <v>0</v>
      </c>
      <c r="AB32" s="5">
        <v>0</v>
      </c>
      <c r="AD32" s="1" t="s">
        <v>64</v>
      </c>
      <c r="AE32" s="4">
        <v>98781.440000000002</v>
      </c>
      <c r="AF32" s="4">
        <v>0</v>
      </c>
      <c r="AG32" s="2">
        <v>0</v>
      </c>
      <c r="AH32" s="3">
        <v>1.1200000000000001</v>
      </c>
      <c r="AI32" s="3">
        <v>0</v>
      </c>
      <c r="AJ32" s="5">
        <v>0</v>
      </c>
      <c r="AT32" s="1" t="s">
        <v>65</v>
      </c>
      <c r="AU32" s="1" t="s">
        <v>66</v>
      </c>
      <c r="AV32" s="1" t="s">
        <v>67</v>
      </c>
      <c r="AW32" s="1" t="s">
        <v>68</v>
      </c>
      <c r="AX32" s="1" t="s">
        <v>113</v>
      </c>
      <c r="AY32" s="1" t="s">
        <v>114</v>
      </c>
      <c r="BB32" s="1" t="s">
        <v>71</v>
      </c>
      <c r="BC32" s="1" t="s">
        <v>72</v>
      </c>
    </row>
    <row r="33" spans="1:55" x14ac:dyDescent="0.25">
      <c r="A33" s="1">
        <v>320</v>
      </c>
      <c r="B33" s="1" t="s">
        <v>55</v>
      </c>
      <c r="C33" s="1" t="s">
        <v>56</v>
      </c>
      <c r="D33" s="1" t="s">
        <v>57</v>
      </c>
      <c r="E33" s="1" t="s">
        <v>106</v>
      </c>
      <c r="F33" s="1" t="s">
        <v>107</v>
      </c>
      <c r="G33" s="1" t="s">
        <v>104</v>
      </c>
      <c r="H33" s="1" t="s">
        <v>105</v>
      </c>
      <c r="I33" s="2">
        <v>3328.32</v>
      </c>
      <c r="L33" s="3">
        <v>0</v>
      </c>
      <c r="M33" s="3">
        <v>8</v>
      </c>
      <c r="N33" s="3">
        <v>6.7</v>
      </c>
      <c r="O33" s="4">
        <v>0</v>
      </c>
      <c r="P33" s="4">
        <v>26626.560000000001</v>
      </c>
      <c r="Q33" s="4">
        <v>22299.74</v>
      </c>
      <c r="S33" s="1" t="s">
        <v>111</v>
      </c>
      <c r="T33" s="1" t="s">
        <v>112</v>
      </c>
      <c r="W33" s="1" t="s">
        <v>57</v>
      </c>
      <c r="Z33" s="1" t="s">
        <v>64</v>
      </c>
      <c r="AA33" s="5">
        <v>0</v>
      </c>
      <c r="AB33" s="5">
        <v>0</v>
      </c>
      <c r="AD33" s="1" t="s">
        <v>64</v>
      </c>
      <c r="AE33" s="4">
        <v>26626.560000000001</v>
      </c>
      <c r="AF33" s="4">
        <v>0</v>
      </c>
      <c r="AG33" s="2">
        <v>0</v>
      </c>
      <c r="AH33" s="3">
        <v>8</v>
      </c>
      <c r="AI33" s="3">
        <v>0</v>
      </c>
      <c r="AJ33" s="5">
        <v>0</v>
      </c>
      <c r="AT33" s="1" t="s">
        <v>65</v>
      </c>
      <c r="AU33" s="1" t="s">
        <v>66</v>
      </c>
      <c r="AV33" s="1" t="s">
        <v>67</v>
      </c>
      <c r="AW33" s="1" t="s">
        <v>68</v>
      </c>
      <c r="AX33" s="1" t="s">
        <v>113</v>
      </c>
      <c r="AY33" s="1" t="s">
        <v>114</v>
      </c>
      <c r="BB33" s="1" t="s">
        <v>71</v>
      </c>
      <c r="BC33" s="1" t="s">
        <v>72</v>
      </c>
    </row>
    <row r="34" spans="1:55" x14ac:dyDescent="0.25">
      <c r="A34" s="1">
        <v>330</v>
      </c>
      <c r="B34" s="1" t="s">
        <v>55</v>
      </c>
      <c r="C34" s="1" t="s">
        <v>56</v>
      </c>
      <c r="D34" s="1" t="s">
        <v>57</v>
      </c>
      <c r="E34" s="1" t="s">
        <v>108</v>
      </c>
      <c r="F34" s="1" t="s">
        <v>109</v>
      </c>
      <c r="G34" s="1" t="s">
        <v>110</v>
      </c>
      <c r="H34" s="1" t="s">
        <v>110</v>
      </c>
      <c r="I34" s="2">
        <v>80</v>
      </c>
      <c r="L34" s="3">
        <v>0</v>
      </c>
      <c r="M34" s="3">
        <v>216.72</v>
      </c>
      <c r="N34" s="3">
        <v>228.13</v>
      </c>
      <c r="O34" s="4">
        <v>0</v>
      </c>
      <c r="P34" s="4">
        <v>17337.599999999999</v>
      </c>
      <c r="Q34" s="4">
        <v>18250.400000000001</v>
      </c>
      <c r="S34" s="1" t="s">
        <v>111</v>
      </c>
      <c r="T34" s="1" t="s">
        <v>112</v>
      </c>
      <c r="W34" s="1" t="s">
        <v>57</v>
      </c>
      <c r="Z34" s="1" t="s">
        <v>64</v>
      </c>
      <c r="AA34" s="5">
        <v>0</v>
      </c>
      <c r="AB34" s="5">
        <v>0</v>
      </c>
      <c r="AD34" s="1" t="s">
        <v>64</v>
      </c>
      <c r="AE34" s="4">
        <v>17337.599999999999</v>
      </c>
      <c r="AF34" s="4">
        <v>0</v>
      </c>
      <c r="AG34" s="2">
        <v>0</v>
      </c>
      <c r="AH34" s="3">
        <v>216.72</v>
      </c>
      <c r="AI34" s="3">
        <v>0</v>
      </c>
      <c r="AJ34" s="5">
        <v>0</v>
      </c>
      <c r="AT34" s="1" t="s">
        <v>65</v>
      </c>
      <c r="AU34" s="1" t="s">
        <v>66</v>
      </c>
      <c r="AV34" s="1" t="s">
        <v>67</v>
      </c>
      <c r="AW34" s="1" t="s">
        <v>68</v>
      </c>
      <c r="AX34" s="1" t="s">
        <v>113</v>
      </c>
      <c r="AY34" s="1" t="s">
        <v>114</v>
      </c>
      <c r="BB34" s="1" t="s">
        <v>71</v>
      </c>
      <c r="BC34" s="1" t="s">
        <v>72</v>
      </c>
    </row>
    <row r="35" spans="1:55" x14ac:dyDescent="0.25">
      <c r="A35" s="1">
        <v>340</v>
      </c>
      <c r="B35" s="1" t="s">
        <v>55</v>
      </c>
      <c r="C35" s="1" t="s">
        <v>56</v>
      </c>
      <c r="D35" s="1" t="s">
        <v>57</v>
      </c>
      <c r="E35" s="1" t="s">
        <v>58</v>
      </c>
      <c r="F35" s="1" t="s">
        <v>59</v>
      </c>
      <c r="G35" s="1" t="s">
        <v>60</v>
      </c>
      <c r="H35" s="1" t="s">
        <v>61</v>
      </c>
      <c r="I35" s="2">
        <v>340.87</v>
      </c>
      <c r="L35" s="3">
        <v>0</v>
      </c>
      <c r="M35" s="3">
        <v>6</v>
      </c>
      <c r="N35" s="3">
        <v>3.37</v>
      </c>
      <c r="O35" s="4">
        <v>0</v>
      </c>
      <c r="P35" s="4">
        <v>2045.22</v>
      </c>
      <c r="Q35" s="4">
        <v>1148.73</v>
      </c>
      <c r="S35" s="1" t="s">
        <v>115</v>
      </c>
      <c r="T35" s="1" t="s">
        <v>116</v>
      </c>
      <c r="W35" s="1" t="s">
        <v>57</v>
      </c>
      <c r="Z35" s="1" t="s">
        <v>64</v>
      </c>
      <c r="AA35" s="5">
        <v>0</v>
      </c>
      <c r="AB35" s="5">
        <v>0</v>
      </c>
      <c r="AD35" s="1" t="s">
        <v>64</v>
      </c>
      <c r="AE35" s="4">
        <v>2045.22</v>
      </c>
      <c r="AF35" s="4">
        <v>0</v>
      </c>
      <c r="AG35" s="2">
        <v>0</v>
      </c>
      <c r="AH35" s="3">
        <v>6</v>
      </c>
      <c r="AI35" s="3">
        <v>0</v>
      </c>
      <c r="AJ35" s="5">
        <v>0</v>
      </c>
      <c r="AT35" s="1" t="s">
        <v>65</v>
      </c>
      <c r="AU35" s="1" t="s">
        <v>66</v>
      </c>
      <c r="AV35" s="1" t="s">
        <v>67</v>
      </c>
      <c r="AW35" s="1" t="s">
        <v>68</v>
      </c>
      <c r="AX35" s="1" t="s">
        <v>117</v>
      </c>
      <c r="AY35" s="1" t="s">
        <v>118</v>
      </c>
      <c r="BB35" s="1" t="s">
        <v>71</v>
      </c>
      <c r="BC35" s="1" t="s">
        <v>72</v>
      </c>
    </row>
    <row r="36" spans="1:55" x14ac:dyDescent="0.25">
      <c r="A36" s="1">
        <v>350</v>
      </c>
      <c r="B36" s="1" t="s">
        <v>55</v>
      </c>
      <c r="C36" s="1" t="s">
        <v>56</v>
      </c>
      <c r="D36" s="1" t="s">
        <v>57</v>
      </c>
      <c r="E36" s="1" t="s">
        <v>73</v>
      </c>
      <c r="F36" s="1" t="s">
        <v>74</v>
      </c>
      <c r="G36" s="1" t="s">
        <v>75</v>
      </c>
      <c r="I36" s="2">
        <v>5376.75</v>
      </c>
      <c r="L36" s="3">
        <v>0</v>
      </c>
      <c r="M36" s="3">
        <v>0</v>
      </c>
      <c r="N36" s="3">
        <v>0.23</v>
      </c>
      <c r="O36" s="4">
        <v>0</v>
      </c>
      <c r="P36" s="4">
        <v>0</v>
      </c>
      <c r="Q36" s="4">
        <v>1236.6500000000001</v>
      </c>
      <c r="S36" s="1" t="s">
        <v>115</v>
      </c>
      <c r="T36" s="1" t="s">
        <v>116</v>
      </c>
      <c r="W36" s="1" t="s">
        <v>57</v>
      </c>
      <c r="Z36" s="1" t="s">
        <v>64</v>
      </c>
      <c r="AA36" s="5">
        <v>0</v>
      </c>
      <c r="AB36" s="5">
        <v>0</v>
      </c>
      <c r="AD36" s="1" t="s">
        <v>64</v>
      </c>
      <c r="AE36" s="4">
        <v>0</v>
      </c>
      <c r="AF36" s="4">
        <v>0</v>
      </c>
      <c r="AG36" s="2">
        <v>0</v>
      </c>
      <c r="AH36" s="3">
        <v>0</v>
      </c>
      <c r="AI36" s="3">
        <v>0</v>
      </c>
      <c r="AJ36" s="5">
        <v>0</v>
      </c>
      <c r="AT36" s="1" t="s">
        <v>65</v>
      </c>
      <c r="AU36" s="1" t="s">
        <v>66</v>
      </c>
      <c r="AV36" s="1" t="s">
        <v>67</v>
      </c>
      <c r="AW36" s="1" t="s">
        <v>68</v>
      </c>
      <c r="AX36" s="1" t="s">
        <v>117</v>
      </c>
      <c r="AY36" s="1" t="s">
        <v>118</v>
      </c>
      <c r="BB36" s="1" t="s">
        <v>71</v>
      </c>
      <c r="BC36" s="1" t="s">
        <v>72</v>
      </c>
    </row>
    <row r="37" spans="1:55" x14ac:dyDescent="0.25">
      <c r="A37" s="1">
        <v>360</v>
      </c>
      <c r="B37" s="1" t="s">
        <v>55</v>
      </c>
      <c r="C37" s="1" t="s">
        <v>56</v>
      </c>
      <c r="D37" s="1" t="s">
        <v>57</v>
      </c>
      <c r="E37" s="1" t="s">
        <v>76</v>
      </c>
      <c r="F37" s="1" t="s">
        <v>77</v>
      </c>
      <c r="G37" s="1" t="s">
        <v>60</v>
      </c>
      <c r="H37" s="1" t="s">
        <v>61</v>
      </c>
      <c r="I37" s="2">
        <v>135.97999999999999</v>
      </c>
      <c r="L37" s="3">
        <v>0</v>
      </c>
      <c r="M37" s="3">
        <v>10.8</v>
      </c>
      <c r="N37" s="3">
        <v>13.28</v>
      </c>
      <c r="O37" s="4">
        <v>0</v>
      </c>
      <c r="P37" s="4">
        <v>1468.58</v>
      </c>
      <c r="Q37" s="4">
        <v>1805.81</v>
      </c>
      <c r="S37" s="1" t="s">
        <v>115</v>
      </c>
      <c r="T37" s="1" t="s">
        <v>116</v>
      </c>
      <c r="W37" s="1" t="s">
        <v>57</v>
      </c>
      <c r="Z37" s="1" t="s">
        <v>64</v>
      </c>
      <c r="AA37" s="5">
        <v>0</v>
      </c>
      <c r="AB37" s="5">
        <v>0</v>
      </c>
      <c r="AD37" s="1" t="s">
        <v>64</v>
      </c>
      <c r="AE37" s="4">
        <v>1468.58</v>
      </c>
      <c r="AF37" s="4">
        <v>0</v>
      </c>
      <c r="AG37" s="2">
        <v>0</v>
      </c>
      <c r="AH37" s="3">
        <v>10.8</v>
      </c>
      <c r="AI37" s="3">
        <v>0</v>
      </c>
      <c r="AJ37" s="5">
        <v>0</v>
      </c>
      <c r="AT37" s="1" t="s">
        <v>65</v>
      </c>
      <c r="AU37" s="1" t="s">
        <v>66</v>
      </c>
      <c r="AV37" s="1" t="s">
        <v>67</v>
      </c>
      <c r="AW37" s="1" t="s">
        <v>68</v>
      </c>
      <c r="AX37" s="1" t="s">
        <v>117</v>
      </c>
      <c r="AY37" s="1" t="s">
        <v>118</v>
      </c>
      <c r="BB37" s="1" t="s">
        <v>71</v>
      </c>
      <c r="BC37" s="1" t="s">
        <v>72</v>
      </c>
    </row>
    <row r="38" spans="1:55" x14ac:dyDescent="0.25">
      <c r="A38" s="1">
        <v>370</v>
      </c>
      <c r="B38" s="1" t="s">
        <v>55</v>
      </c>
      <c r="C38" s="1" t="s">
        <v>56</v>
      </c>
      <c r="D38" s="1" t="s">
        <v>57</v>
      </c>
      <c r="E38" s="1" t="s">
        <v>78</v>
      </c>
      <c r="F38" s="1" t="s">
        <v>79</v>
      </c>
      <c r="G38" s="1" t="s">
        <v>60</v>
      </c>
      <c r="H38" s="1" t="s">
        <v>61</v>
      </c>
      <c r="I38" s="2">
        <v>135.97999999999999</v>
      </c>
      <c r="L38" s="3">
        <v>0</v>
      </c>
      <c r="M38" s="3">
        <v>2.5</v>
      </c>
      <c r="N38" s="3">
        <v>1.56</v>
      </c>
      <c r="O38" s="4">
        <v>0</v>
      </c>
      <c r="P38" s="4">
        <v>339.95</v>
      </c>
      <c r="Q38" s="4">
        <v>212.13</v>
      </c>
      <c r="S38" s="1" t="s">
        <v>115</v>
      </c>
      <c r="T38" s="1" t="s">
        <v>116</v>
      </c>
      <c r="W38" s="1" t="s">
        <v>57</v>
      </c>
      <c r="Z38" s="1" t="s">
        <v>64</v>
      </c>
      <c r="AA38" s="5">
        <v>0</v>
      </c>
      <c r="AB38" s="5">
        <v>0</v>
      </c>
      <c r="AD38" s="1" t="s">
        <v>64</v>
      </c>
      <c r="AE38" s="4">
        <v>339.95</v>
      </c>
      <c r="AF38" s="4">
        <v>0</v>
      </c>
      <c r="AG38" s="2">
        <v>0</v>
      </c>
      <c r="AH38" s="3">
        <v>2.5</v>
      </c>
      <c r="AI38" s="3">
        <v>0</v>
      </c>
      <c r="AJ38" s="5">
        <v>0</v>
      </c>
      <c r="AT38" s="1" t="s">
        <v>65</v>
      </c>
      <c r="AU38" s="1" t="s">
        <v>66</v>
      </c>
      <c r="AV38" s="1" t="s">
        <v>67</v>
      </c>
      <c r="AW38" s="1" t="s">
        <v>68</v>
      </c>
      <c r="AX38" s="1" t="s">
        <v>117</v>
      </c>
      <c r="AY38" s="1" t="s">
        <v>118</v>
      </c>
      <c r="BB38" s="1" t="s">
        <v>71</v>
      </c>
      <c r="BC38" s="1" t="s">
        <v>72</v>
      </c>
    </row>
    <row r="39" spans="1:55" x14ac:dyDescent="0.25">
      <c r="A39" s="1">
        <v>380</v>
      </c>
      <c r="B39" s="1" t="s">
        <v>55</v>
      </c>
      <c r="C39" s="1" t="s">
        <v>56</v>
      </c>
      <c r="D39" s="1" t="s">
        <v>57</v>
      </c>
      <c r="E39" s="1" t="s">
        <v>86</v>
      </c>
      <c r="F39" s="1" t="s">
        <v>87</v>
      </c>
      <c r="G39" s="1" t="s">
        <v>60</v>
      </c>
      <c r="H39" s="1" t="s">
        <v>61</v>
      </c>
      <c r="I39" s="2">
        <v>10.18</v>
      </c>
      <c r="L39" s="3">
        <v>0</v>
      </c>
      <c r="M39" s="3">
        <v>6</v>
      </c>
      <c r="N39" s="3">
        <v>6.61</v>
      </c>
      <c r="O39" s="4">
        <v>0</v>
      </c>
      <c r="P39" s="4">
        <v>61.08</v>
      </c>
      <c r="Q39" s="4">
        <v>67.290000000000006</v>
      </c>
      <c r="S39" s="1" t="s">
        <v>115</v>
      </c>
      <c r="T39" s="1" t="s">
        <v>116</v>
      </c>
      <c r="W39" s="1" t="s">
        <v>57</v>
      </c>
      <c r="Z39" s="1" t="s">
        <v>64</v>
      </c>
      <c r="AA39" s="5">
        <v>0</v>
      </c>
      <c r="AB39" s="5">
        <v>0</v>
      </c>
      <c r="AD39" s="1" t="s">
        <v>64</v>
      </c>
      <c r="AE39" s="4">
        <v>61.08</v>
      </c>
      <c r="AF39" s="4">
        <v>0</v>
      </c>
      <c r="AG39" s="2">
        <v>0</v>
      </c>
      <c r="AH39" s="3">
        <v>6</v>
      </c>
      <c r="AI39" s="3">
        <v>0</v>
      </c>
      <c r="AJ39" s="5">
        <v>0</v>
      </c>
      <c r="AT39" s="1" t="s">
        <v>65</v>
      </c>
      <c r="AU39" s="1" t="s">
        <v>66</v>
      </c>
      <c r="AV39" s="1" t="s">
        <v>67</v>
      </c>
      <c r="AW39" s="1" t="s">
        <v>68</v>
      </c>
      <c r="AX39" s="1" t="s">
        <v>117</v>
      </c>
      <c r="AY39" s="1" t="s">
        <v>118</v>
      </c>
      <c r="BB39" s="1" t="s">
        <v>71</v>
      </c>
      <c r="BC39" s="1" t="s">
        <v>72</v>
      </c>
    </row>
    <row r="40" spans="1:55" x14ac:dyDescent="0.25">
      <c r="A40" s="1">
        <v>390</v>
      </c>
      <c r="B40" s="1" t="s">
        <v>55</v>
      </c>
      <c r="C40" s="1" t="s">
        <v>56</v>
      </c>
      <c r="D40" s="1" t="s">
        <v>57</v>
      </c>
      <c r="E40" s="1" t="s">
        <v>119</v>
      </c>
      <c r="F40" s="1" t="s">
        <v>120</v>
      </c>
      <c r="G40" s="1" t="s">
        <v>60</v>
      </c>
      <c r="H40" s="1" t="s">
        <v>61</v>
      </c>
      <c r="I40" s="2">
        <v>48.5</v>
      </c>
      <c r="L40" s="3">
        <v>0</v>
      </c>
      <c r="M40" s="3">
        <v>150</v>
      </c>
      <c r="N40" s="3">
        <v>122.71</v>
      </c>
      <c r="O40" s="4">
        <v>0</v>
      </c>
      <c r="P40" s="4">
        <v>7275</v>
      </c>
      <c r="Q40" s="4">
        <v>5951.44</v>
      </c>
      <c r="S40" s="1" t="s">
        <v>115</v>
      </c>
      <c r="T40" s="1" t="s">
        <v>116</v>
      </c>
      <c r="W40" s="1" t="s">
        <v>57</v>
      </c>
      <c r="Z40" s="1" t="s">
        <v>64</v>
      </c>
      <c r="AA40" s="5">
        <v>0</v>
      </c>
      <c r="AB40" s="5">
        <v>0</v>
      </c>
      <c r="AD40" s="1" t="s">
        <v>64</v>
      </c>
      <c r="AE40" s="4">
        <v>7275</v>
      </c>
      <c r="AF40" s="4">
        <v>0</v>
      </c>
      <c r="AG40" s="2">
        <v>0</v>
      </c>
      <c r="AH40" s="3">
        <v>150</v>
      </c>
      <c r="AI40" s="3">
        <v>0</v>
      </c>
      <c r="AJ40" s="5">
        <v>0</v>
      </c>
      <c r="AT40" s="1" t="s">
        <v>65</v>
      </c>
      <c r="AU40" s="1" t="s">
        <v>66</v>
      </c>
      <c r="AV40" s="1" t="s">
        <v>67</v>
      </c>
      <c r="AW40" s="1" t="s">
        <v>68</v>
      </c>
      <c r="AX40" s="1" t="s">
        <v>117</v>
      </c>
      <c r="AY40" s="1" t="s">
        <v>118</v>
      </c>
      <c r="BB40" s="1" t="s">
        <v>71</v>
      </c>
      <c r="BC40" s="1" t="s">
        <v>72</v>
      </c>
    </row>
    <row r="41" spans="1:55" x14ac:dyDescent="0.25">
      <c r="A41" s="1">
        <v>400</v>
      </c>
      <c r="B41" s="1" t="s">
        <v>55</v>
      </c>
      <c r="C41" s="1" t="s">
        <v>56</v>
      </c>
      <c r="D41" s="1" t="s">
        <v>57</v>
      </c>
      <c r="E41" s="1" t="s">
        <v>94</v>
      </c>
      <c r="F41" s="1" t="s">
        <v>95</v>
      </c>
      <c r="G41" s="1" t="s">
        <v>96</v>
      </c>
      <c r="H41" s="1" t="s">
        <v>97</v>
      </c>
      <c r="I41" s="2">
        <v>47.57</v>
      </c>
      <c r="L41" s="3">
        <v>0</v>
      </c>
      <c r="M41" s="3">
        <v>20.72</v>
      </c>
      <c r="N41" s="3">
        <v>20.72</v>
      </c>
      <c r="O41" s="4">
        <v>0</v>
      </c>
      <c r="P41" s="4">
        <v>985.65</v>
      </c>
      <c r="Q41" s="4">
        <v>985.65</v>
      </c>
      <c r="S41" s="1" t="s">
        <v>115</v>
      </c>
      <c r="T41" s="1" t="s">
        <v>116</v>
      </c>
      <c r="W41" s="1" t="s">
        <v>57</v>
      </c>
      <c r="Z41" s="1" t="s">
        <v>64</v>
      </c>
      <c r="AA41" s="5">
        <v>0</v>
      </c>
      <c r="AB41" s="5">
        <v>0</v>
      </c>
      <c r="AD41" s="1" t="s">
        <v>64</v>
      </c>
      <c r="AE41" s="4">
        <v>985.65</v>
      </c>
      <c r="AF41" s="4">
        <v>0</v>
      </c>
      <c r="AG41" s="2">
        <v>0</v>
      </c>
      <c r="AH41" s="3">
        <v>20.72</v>
      </c>
      <c r="AI41" s="3">
        <v>0</v>
      </c>
      <c r="AJ41" s="5">
        <v>0</v>
      </c>
      <c r="AT41" s="1" t="s">
        <v>65</v>
      </c>
      <c r="AU41" s="1" t="s">
        <v>66</v>
      </c>
      <c r="AV41" s="1" t="s">
        <v>67</v>
      </c>
      <c r="AW41" s="1" t="s">
        <v>68</v>
      </c>
      <c r="AX41" s="1" t="s">
        <v>117</v>
      </c>
      <c r="AY41" s="1" t="s">
        <v>118</v>
      </c>
      <c r="BB41" s="1" t="s">
        <v>71</v>
      </c>
      <c r="BC41" s="1" t="s">
        <v>72</v>
      </c>
    </row>
    <row r="42" spans="1:55" x14ac:dyDescent="0.25">
      <c r="A42" s="1">
        <v>410</v>
      </c>
      <c r="B42" s="1" t="s">
        <v>55</v>
      </c>
      <c r="C42" s="1" t="s">
        <v>56</v>
      </c>
      <c r="D42" s="1" t="s">
        <v>57</v>
      </c>
      <c r="E42" s="1" t="s">
        <v>98</v>
      </c>
      <c r="F42" s="1" t="s">
        <v>99</v>
      </c>
      <c r="G42" s="1" t="s">
        <v>100</v>
      </c>
      <c r="H42" s="1" t="s">
        <v>101</v>
      </c>
      <c r="I42" s="2">
        <v>305.27999999999997</v>
      </c>
      <c r="L42" s="3">
        <v>0</v>
      </c>
      <c r="M42" s="3">
        <v>1.1200000000000001</v>
      </c>
      <c r="N42" s="3">
        <v>1.72</v>
      </c>
      <c r="O42" s="4">
        <v>0</v>
      </c>
      <c r="P42" s="4">
        <v>341.91</v>
      </c>
      <c r="Q42" s="4">
        <v>525.08000000000004</v>
      </c>
      <c r="S42" s="1" t="s">
        <v>115</v>
      </c>
      <c r="T42" s="1" t="s">
        <v>116</v>
      </c>
      <c r="W42" s="1" t="s">
        <v>57</v>
      </c>
      <c r="Z42" s="1" t="s">
        <v>64</v>
      </c>
      <c r="AA42" s="5">
        <v>0</v>
      </c>
      <c r="AB42" s="5">
        <v>0</v>
      </c>
      <c r="AD42" s="1" t="s">
        <v>64</v>
      </c>
      <c r="AE42" s="4">
        <v>341.91</v>
      </c>
      <c r="AF42" s="4">
        <v>0</v>
      </c>
      <c r="AG42" s="2">
        <v>0</v>
      </c>
      <c r="AH42" s="3">
        <v>1.1200000000000001</v>
      </c>
      <c r="AI42" s="3">
        <v>0</v>
      </c>
      <c r="AJ42" s="5">
        <v>0</v>
      </c>
      <c r="AT42" s="1" t="s">
        <v>65</v>
      </c>
      <c r="AU42" s="1" t="s">
        <v>66</v>
      </c>
      <c r="AV42" s="1" t="s">
        <v>67</v>
      </c>
      <c r="AW42" s="1" t="s">
        <v>68</v>
      </c>
      <c r="AX42" s="1" t="s">
        <v>117</v>
      </c>
      <c r="AY42" s="1" t="s">
        <v>118</v>
      </c>
      <c r="BB42" s="1" t="s">
        <v>71</v>
      </c>
      <c r="BC42" s="1" t="s">
        <v>72</v>
      </c>
    </row>
    <row r="43" spans="1:55" x14ac:dyDescent="0.25">
      <c r="A43" s="1">
        <v>420</v>
      </c>
      <c r="B43" s="1" t="s">
        <v>55</v>
      </c>
      <c r="C43" s="1" t="s">
        <v>56</v>
      </c>
      <c r="D43" s="1" t="s">
        <v>57</v>
      </c>
      <c r="E43" s="1" t="s">
        <v>121</v>
      </c>
      <c r="F43" s="1" t="s">
        <v>122</v>
      </c>
      <c r="G43" s="1" t="s">
        <v>100</v>
      </c>
      <c r="H43" s="1" t="s">
        <v>101</v>
      </c>
      <c r="I43" s="2">
        <v>2149.5</v>
      </c>
      <c r="L43" s="3">
        <v>0</v>
      </c>
      <c r="M43" s="3">
        <v>1.03</v>
      </c>
      <c r="N43" s="3">
        <v>2.19</v>
      </c>
      <c r="O43" s="4">
        <v>0</v>
      </c>
      <c r="P43" s="4">
        <v>2213.9899999999998</v>
      </c>
      <c r="Q43" s="4">
        <v>4707.41</v>
      </c>
      <c r="S43" s="1" t="s">
        <v>115</v>
      </c>
      <c r="T43" s="1" t="s">
        <v>116</v>
      </c>
      <c r="W43" s="1" t="s">
        <v>57</v>
      </c>
      <c r="Z43" s="1" t="s">
        <v>64</v>
      </c>
      <c r="AA43" s="5">
        <v>0</v>
      </c>
      <c r="AB43" s="5">
        <v>0</v>
      </c>
      <c r="AD43" s="1" t="s">
        <v>64</v>
      </c>
      <c r="AE43" s="4">
        <v>2213.9899999999998</v>
      </c>
      <c r="AF43" s="4">
        <v>0</v>
      </c>
      <c r="AG43" s="2">
        <v>0</v>
      </c>
      <c r="AH43" s="3">
        <v>1.03</v>
      </c>
      <c r="AI43" s="3">
        <v>0</v>
      </c>
      <c r="AJ43" s="5">
        <v>0</v>
      </c>
      <c r="AT43" s="1" t="s">
        <v>65</v>
      </c>
      <c r="AU43" s="1" t="s">
        <v>66</v>
      </c>
      <c r="AV43" s="1" t="s">
        <v>67</v>
      </c>
      <c r="AW43" s="1" t="s">
        <v>68</v>
      </c>
      <c r="AX43" s="1" t="s">
        <v>117</v>
      </c>
      <c r="AY43" s="1" t="s">
        <v>118</v>
      </c>
      <c r="BB43" s="1" t="s">
        <v>71</v>
      </c>
      <c r="BC43" s="1" t="s">
        <v>72</v>
      </c>
    </row>
    <row r="44" spans="1:55" x14ac:dyDescent="0.25">
      <c r="A44" s="1">
        <v>430</v>
      </c>
      <c r="B44" s="1" t="s">
        <v>55</v>
      </c>
      <c r="C44" s="1" t="s">
        <v>56</v>
      </c>
      <c r="D44" s="1" t="s">
        <v>57</v>
      </c>
      <c r="E44" s="1" t="s">
        <v>123</v>
      </c>
      <c r="F44" s="1" t="s">
        <v>124</v>
      </c>
      <c r="G44" s="1" t="s">
        <v>60</v>
      </c>
      <c r="H44" s="1" t="s">
        <v>61</v>
      </c>
      <c r="I44" s="2">
        <v>69.099999999999994</v>
      </c>
      <c r="L44" s="3">
        <v>0</v>
      </c>
      <c r="M44" s="3">
        <v>38.799999999999997</v>
      </c>
      <c r="N44" s="3">
        <v>28.18</v>
      </c>
      <c r="O44" s="4">
        <v>0</v>
      </c>
      <c r="P44" s="4">
        <v>2681.08</v>
      </c>
      <c r="Q44" s="4">
        <v>1947.24</v>
      </c>
      <c r="S44" s="1" t="s">
        <v>115</v>
      </c>
      <c r="T44" s="1" t="s">
        <v>116</v>
      </c>
      <c r="W44" s="1" t="s">
        <v>57</v>
      </c>
      <c r="Z44" s="1" t="s">
        <v>64</v>
      </c>
      <c r="AA44" s="5">
        <v>0</v>
      </c>
      <c r="AB44" s="5">
        <v>0</v>
      </c>
      <c r="AD44" s="1" t="s">
        <v>64</v>
      </c>
      <c r="AE44" s="4">
        <v>2681.08</v>
      </c>
      <c r="AF44" s="4">
        <v>0</v>
      </c>
      <c r="AG44" s="2">
        <v>0</v>
      </c>
      <c r="AH44" s="3">
        <v>38.799999999999997</v>
      </c>
      <c r="AI44" s="3">
        <v>0</v>
      </c>
      <c r="AJ44" s="5">
        <v>0</v>
      </c>
      <c r="AT44" s="1" t="s">
        <v>65</v>
      </c>
      <c r="AU44" s="1" t="s">
        <v>66</v>
      </c>
      <c r="AV44" s="1" t="s">
        <v>67</v>
      </c>
      <c r="AW44" s="1" t="s">
        <v>68</v>
      </c>
      <c r="AX44" s="1" t="s">
        <v>117</v>
      </c>
      <c r="AY44" s="1" t="s">
        <v>118</v>
      </c>
      <c r="BB44" s="1" t="s">
        <v>71</v>
      </c>
      <c r="BC44" s="1" t="s">
        <v>72</v>
      </c>
    </row>
    <row r="45" spans="1:55" x14ac:dyDescent="0.25">
      <c r="A45" s="1">
        <v>440</v>
      </c>
      <c r="B45" s="1" t="s">
        <v>55</v>
      </c>
      <c r="C45" s="1" t="s">
        <v>56</v>
      </c>
      <c r="D45" s="1" t="s">
        <v>57</v>
      </c>
      <c r="E45" s="1" t="s">
        <v>106</v>
      </c>
      <c r="F45" s="1" t="s">
        <v>107</v>
      </c>
      <c r="G45" s="1" t="s">
        <v>104</v>
      </c>
      <c r="H45" s="1" t="s">
        <v>105</v>
      </c>
      <c r="I45" s="2">
        <v>430.14</v>
      </c>
      <c r="L45" s="3">
        <v>0</v>
      </c>
      <c r="M45" s="3">
        <v>8</v>
      </c>
      <c r="N45" s="3">
        <v>6.7</v>
      </c>
      <c r="O45" s="4">
        <v>0</v>
      </c>
      <c r="P45" s="4">
        <v>3441.12</v>
      </c>
      <c r="Q45" s="4">
        <v>2881.94</v>
      </c>
      <c r="S45" s="1" t="s">
        <v>115</v>
      </c>
      <c r="T45" s="1" t="s">
        <v>116</v>
      </c>
      <c r="W45" s="1" t="s">
        <v>57</v>
      </c>
      <c r="Z45" s="1" t="s">
        <v>64</v>
      </c>
      <c r="AA45" s="5">
        <v>0</v>
      </c>
      <c r="AB45" s="5">
        <v>0</v>
      </c>
      <c r="AD45" s="1" t="s">
        <v>64</v>
      </c>
      <c r="AE45" s="4">
        <v>3441.12</v>
      </c>
      <c r="AF45" s="4">
        <v>0</v>
      </c>
      <c r="AG45" s="2">
        <v>0</v>
      </c>
      <c r="AH45" s="3">
        <v>8</v>
      </c>
      <c r="AI45" s="3">
        <v>0</v>
      </c>
      <c r="AJ45" s="5">
        <v>0</v>
      </c>
      <c r="AT45" s="1" t="s">
        <v>65</v>
      </c>
      <c r="AU45" s="1" t="s">
        <v>66</v>
      </c>
      <c r="AV45" s="1" t="s">
        <v>67</v>
      </c>
      <c r="AW45" s="1" t="s">
        <v>68</v>
      </c>
      <c r="AX45" s="1" t="s">
        <v>117</v>
      </c>
      <c r="AY45" s="1" t="s">
        <v>118</v>
      </c>
      <c r="BB45" s="1" t="s">
        <v>71</v>
      </c>
      <c r="BC45" s="1" t="s">
        <v>72</v>
      </c>
    </row>
    <row r="46" spans="1:55" x14ac:dyDescent="0.25">
      <c r="A46" s="1">
        <v>450</v>
      </c>
      <c r="B46" s="1" t="s">
        <v>55</v>
      </c>
      <c r="C46" s="1" t="s">
        <v>56</v>
      </c>
      <c r="D46" s="1" t="s">
        <v>57</v>
      </c>
      <c r="E46" s="1" t="s">
        <v>125</v>
      </c>
      <c r="F46" s="1" t="s">
        <v>126</v>
      </c>
      <c r="G46" s="1" t="s">
        <v>100</v>
      </c>
      <c r="H46" s="1" t="s">
        <v>101</v>
      </c>
      <c r="I46" s="2">
        <v>4558.8</v>
      </c>
      <c r="L46" s="3">
        <v>0</v>
      </c>
      <c r="M46" s="3">
        <v>3.09</v>
      </c>
      <c r="N46" s="3">
        <v>3.84</v>
      </c>
      <c r="O46" s="4">
        <v>0</v>
      </c>
      <c r="P46" s="4">
        <v>14086.69</v>
      </c>
      <c r="Q46" s="4">
        <v>17505.79</v>
      </c>
      <c r="S46" s="1" t="s">
        <v>115</v>
      </c>
      <c r="T46" s="1" t="s">
        <v>116</v>
      </c>
      <c r="W46" s="1" t="s">
        <v>57</v>
      </c>
      <c r="Z46" s="1" t="s">
        <v>64</v>
      </c>
      <c r="AA46" s="5">
        <v>0</v>
      </c>
      <c r="AB46" s="5">
        <v>0</v>
      </c>
      <c r="AD46" s="1" t="s">
        <v>64</v>
      </c>
      <c r="AE46" s="4">
        <v>14086.69</v>
      </c>
      <c r="AF46" s="4">
        <v>0</v>
      </c>
      <c r="AG46" s="2">
        <v>0</v>
      </c>
      <c r="AH46" s="3">
        <v>3.09</v>
      </c>
      <c r="AI46" s="3">
        <v>0</v>
      </c>
      <c r="AJ46" s="5">
        <v>0</v>
      </c>
      <c r="AT46" s="1" t="s">
        <v>65</v>
      </c>
      <c r="AU46" s="1" t="s">
        <v>66</v>
      </c>
      <c r="AV46" s="1" t="s">
        <v>67</v>
      </c>
      <c r="AW46" s="1" t="s">
        <v>68</v>
      </c>
      <c r="AX46" s="1" t="s">
        <v>117</v>
      </c>
      <c r="AY46" s="1" t="s">
        <v>118</v>
      </c>
      <c r="BB46" s="1" t="s">
        <v>71</v>
      </c>
      <c r="BC46" s="1" t="s">
        <v>72</v>
      </c>
    </row>
    <row r="47" spans="1:55" x14ac:dyDescent="0.25">
      <c r="A47" s="1">
        <v>460</v>
      </c>
      <c r="B47" s="1" t="s">
        <v>55</v>
      </c>
      <c r="C47" s="1" t="s">
        <v>56</v>
      </c>
      <c r="D47" s="1" t="s">
        <v>57</v>
      </c>
      <c r="E47" s="1" t="s">
        <v>58</v>
      </c>
      <c r="F47" s="1" t="s">
        <v>59</v>
      </c>
      <c r="G47" s="1" t="s">
        <v>60</v>
      </c>
      <c r="H47" s="1" t="s">
        <v>61</v>
      </c>
      <c r="I47" s="2">
        <v>8052.15</v>
      </c>
      <c r="L47" s="3">
        <v>0</v>
      </c>
      <c r="M47" s="3">
        <v>6</v>
      </c>
      <c r="N47" s="3">
        <v>3.37</v>
      </c>
      <c r="O47" s="4">
        <v>0</v>
      </c>
      <c r="P47" s="4">
        <v>48312.9</v>
      </c>
      <c r="Q47" s="4">
        <v>27135.75</v>
      </c>
      <c r="S47" s="1" t="s">
        <v>127</v>
      </c>
      <c r="T47" s="1" t="s">
        <v>128</v>
      </c>
      <c r="W47" s="1" t="s">
        <v>57</v>
      </c>
      <c r="Z47" s="1" t="s">
        <v>64</v>
      </c>
      <c r="AA47" s="5">
        <v>0</v>
      </c>
      <c r="AB47" s="5">
        <v>0</v>
      </c>
      <c r="AD47" s="1" t="s">
        <v>64</v>
      </c>
      <c r="AE47" s="4">
        <v>48312.9</v>
      </c>
      <c r="AF47" s="4">
        <v>0</v>
      </c>
      <c r="AG47" s="2">
        <v>0</v>
      </c>
      <c r="AH47" s="3">
        <v>6</v>
      </c>
      <c r="AI47" s="3">
        <v>0</v>
      </c>
      <c r="AJ47" s="5">
        <v>0</v>
      </c>
      <c r="AT47" s="1" t="s">
        <v>65</v>
      </c>
      <c r="AU47" s="1" t="s">
        <v>66</v>
      </c>
      <c r="AV47" s="1" t="s">
        <v>67</v>
      </c>
      <c r="AW47" s="1" t="s">
        <v>68</v>
      </c>
      <c r="AX47" s="1" t="s">
        <v>129</v>
      </c>
      <c r="AY47" s="1" t="s">
        <v>130</v>
      </c>
      <c r="BB47" s="1" t="s">
        <v>71</v>
      </c>
      <c r="BC47" s="1" t="s">
        <v>72</v>
      </c>
    </row>
    <row r="48" spans="1:55" x14ac:dyDescent="0.25">
      <c r="A48" s="1">
        <v>470</v>
      </c>
      <c r="B48" s="1" t="s">
        <v>55</v>
      </c>
      <c r="C48" s="1" t="s">
        <v>56</v>
      </c>
      <c r="D48" s="1" t="s">
        <v>57</v>
      </c>
      <c r="E48" s="1" t="s">
        <v>73</v>
      </c>
      <c r="F48" s="1" t="s">
        <v>74</v>
      </c>
      <c r="G48" s="1" t="s">
        <v>75</v>
      </c>
      <c r="I48" s="2">
        <v>145062.75</v>
      </c>
      <c r="L48" s="3">
        <v>0</v>
      </c>
      <c r="M48" s="3">
        <v>0</v>
      </c>
      <c r="N48" s="3">
        <v>0.23</v>
      </c>
      <c r="O48" s="4">
        <v>0</v>
      </c>
      <c r="P48" s="4">
        <v>0</v>
      </c>
      <c r="Q48" s="4">
        <v>33364.43</v>
      </c>
      <c r="S48" s="1" t="s">
        <v>127</v>
      </c>
      <c r="T48" s="1" t="s">
        <v>128</v>
      </c>
      <c r="W48" s="1" t="s">
        <v>57</v>
      </c>
      <c r="Z48" s="1" t="s">
        <v>64</v>
      </c>
      <c r="AA48" s="5">
        <v>0</v>
      </c>
      <c r="AB48" s="5">
        <v>0</v>
      </c>
      <c r="AD48" s="1" t="s">
        <v>64</v>
      </c>
      <c r="AE48" s="4">
        <v>0</v>
      </c>
      <c r="AF48" s="4">
        <v>0</v>
      </c>
      <c r="AG48" s="2">
        <v>0</v>
      </c>
      <c r="AH48" s="3">
        <v>0</v>
      </c>
      <c r="AI48" s="3">
        <v>0</v>
      </c>
      <c r="AJ48" s="5">
        <v>0</v>
      </c>
      <c r="AT48" s="1" t="s">
        <v>65</v>
      </c>
      <c r="AU48" s="1" t="s">
        <v>66</v>
      </c>
      <c r="AV48" s="1" t="s">
        <v>67</v>
      </c>
      <c r="AW48" s="1" t="s">
        <v>68</v>
      </c>
      <c r="AX48" s="1" t="s">
        <v>129</v>
      </c>
      <c r="AY48" s="1" t="s">
        <v>130</v>
      </c>
      <c r="BB48" s="1" t="s">
        <v>71</v>
      </c>
      <c r="BC48" s="1" t="s">
        <v>72</v>
      </c>
    </row>
    <row r="49" spans="1:55" x14ac:dyDescent="0.25">
      <c r="A49" s="1">
        <v>480</v>
      </c>
      <c r="B49" s="1" t="s">
        <v>55</v>
      </c>
      <c r="C49" s="1" t="s">
        <v>56</v>
      </c>
      <c r="D49" s="1" t="s">
        <v>57</v>
      </c>
      <c r="E49" s="1" t="s">
        <v>131</v>
      </c>
      <c r="F49" s="1" t="s">
        <v>77</v>
      </c>
      <c r="G49" s="1" t="s">
        <v>60</v>
      </c>
      <c r="H49" s="1" t="s">
        <v>61</v>
      </c>
      <c r="I49" s="2">
        <v>4304.33</v>
      </c>
      <c r="L49" s="3">
        <v>0</v>
      </c>
      <c r="M49" s="3">
        <v>22.5</v>
      </c>
      <c r="N49" s="3">
        <v>13.28</v>
      </c>
      <c r="O49" s="4">
        <v>0</v>
      </c>
      <c r="P49" s="4">
        <v>96847.43</v>
      </c>
      <c r="Q49" s="4">
        <v>57161.5</v>
      </c>
      <c r="S49" s="1" t="s">
        <v>127</v>
      </c>
      <c r="T49" s="1" t="s">
        <v>128</v>
      </c>
      <c r="W49" s="1" t="s">
        <v>57</v>
      </c>
      <c r="Z49" s="1" t="s">
        <v>64</v>
      </c>
      <c r="AA49" s="5">
        <v>0</v>
      </c>
      <c r="AB49" s="5">
        <v>0</v>
      </c>
      <c r="AD49" s="1" t="s">
        <v>64</v>
      </c>
      <c r="AE49" s="4">
        <v>96847.43</v>
      </c>
      <c r="AF49" s="4">
        <v>0</v>
      </c>
      <c r="AG49" s="2">
        <v>0</v>
      </c>
      <c r="AH49" s="3">
        <v>22.5</v>
      </c>
      <c r="AI49" s="3">
        <v>0</v>
      </c>
      <c r="AJ49" s="5">
        <v>0</v>
      </c>
      <c r="AT49" s="1" t="s">
        <v>65</v>
      </c>
      <c r="AU49" s="1" t="s">
        <v>66</v>
      </c>
      <c r="AV49" s="1" t="s">
        <v>67</v>
      </c>
      <c r="AW49" s="1" t="s">
        <v>68</v>
      </c>
      <c r="AX49" s="1" t="s">
        <v>129</v>
      </c>
      <c r="AY49" s="1" t="s">
        <v>130</v>
      </c>
      <c r="BB49" s="1" t="s">
        <v>71</v>
      </c>
      <c r="BC49" s="1" t="s">
        <v>72</v>
      </c>
    </row>
    <row r="50" spans="1:55" x14ac:dyDescent="0.25">
      <c r="A50" s="1">
        <v>490</v>
      </c>
      <c r="B50" s="1" t="s">
        <v>55</v>
      </c>
      <c r="C50" s="1" t="s">
        <v>56</v>
      </c>
      <c r="D50" s="1" t="s">
        <v>57</v>
      </c>
      <c r="E50" s="1" t="s">
        <v>78</v>
      </c>
      <c r="F50" s="1" t="s">
        <v>79</v>
      </c>
      <c r="G50" s="1" t="s">
        <v>60</v>
      </c>
      <c r="H50" s="1" t="s">
        <v>61</v>
      </c>
      <c r="I50" s="2">
        <v>6629.33</v>
      </c>
      <c r="L50" s="3">
        <v>0</v>
      </c>
      <c r="M50" s="3">
        <v>2.5</v>
      </c>
      <c r="N50" s="3">
        <v>1.56</v>
      </c>
      <c r="O50" s="4">
        <v>0</v>
      </c>
      <c r="P50" s="4">
        <v>16573.330000000002</v>
      </c>
      <c r="Q50" s="4">
        <v>10341.75</v>
      </c>
      <c r="S50" s="1" t="s">
        <v>127</v>
      </c>
      <c r="T50" s="1" t="s">
        <v>128</v>
      </c>
      <c r="W50" s="1" t="s">
        <v>57</v>
      </c>
      <c r="Z50" s="1" t="s">
        <v>64</v>
      </c>
      <c r="AA50" s="5">
        <v>0</v>
      </c>
      <c r="AB50" s="5">
        <v>0</v>
      </c>
      <c r="AD50" s="1" t="s">
        <v>64</v>
      </c>
      <c r="AE50" s="4">
        <v>16573.330000000002</v>
      </c>
      <c r="AF50" s="4">
        <v>0</v>
      </c>
      <c r="AG50" s="2">
        <v>0</v>
      </c>
      <c r="AH50" s="3">
        <v>2.5</v>
      </c>
      <c r="AI50" s="3">
        <v>0</v>
      </c>
      <c r="AJ50" s="5">
        <v>0</v>
      </c>
      <c r="AT50" s="1" t="s">
        <v>65</v>
      </c>
      <c r="AU50" s="1" t="s">
        <v>66</v>
      </c>
      <c r="AV50" s="1" t="s">
        <v>67</v>
      </c>
      <c r="AW50" s="1" t="s">
        <v>68</v>
      </c>
      <c r="AX50" s="1" t="s">
        <v>129</v>
      </c>
      <c r="AY50" s="1" t="s">
        <v>130</v>
      </c>
      <c r="BB50" s="1" t="s">
        <v>71</v>
      </c>
      <c r="BC50" s="1" t="s">
        <v>72</v>
      </c>
    </row>
    <row r="51" spans="1:55" x14ac:dyDescent="0.25">
      <c r="A51" s="1">
        <v>500</v>
      </c>
      <c r="B51" s="1" t="s">
        <v>55</v>
      </c>
      <c r="C51" s="1" t="s">
        <v>56</v>
      </c>
      <c r="D51" s="1" t="s">
        <v>57</v>
      </c>
      <c r="E51" s="1" t="s">
        <v>84</v>
      </c>
      <c r="F51" s="1" t="s">
        <v>85</v>
      </c>
      <c r="G51" s="1" t="s">
        <v>60</v>
      </c>
      <c r="H51" s="1" t="s">
        <v>61</v>
      </c>
      <c r="I51" s="2">
        <v>393.93</v>
      </c>
      <c r="L51" s="3">
        <v>0</v>
      </c>
      <c r="M51" s="3">
        <v>23.84</v>
      </c>
      <c r="N51" s="3">
        <v>25.09</v>
      </c>
      <c r="O51" s="4">
        <v>0</v>
      </c>
      <c r="P51" s="4">
        <v>9391.2900000000009</v>
      </c>
      <c r="Q51" s="4">
        <v>9883.7000000000007</v>
      </c>
      <c r="S51" s="1" t="s">
        <v>127</v>
      </c>
      <c r="T51" s="1" t="s">
        <v>128</v>
      </c>
      <c r="W51" s="1" t="s">
        <v>57</v>
      </c>
      <c r="Z51" s="1" t="s">
        <v>64</v>
      </c>
      <c r="AA51" s="5">
        <v>0</v>
      </c>
      <c r="AB51" s="5">
        <v>0</v>
      </c>
      <c r="AD51" s="1" t="s">
        <v>64</v>
      </c>
      <c r="AE51" s="4">
        <v>9391.2900000000009</v>
      </c>
      <c r="AF51" s="4">
        <v>0</v>
      </c>
      <c r="AG51" s="2">
        <v>0</v>
      </c>
      <c r="AH51" s="3">
        <v>23.84</v>
      </c>
      <c r="AI51" s="3">
        <v>0</v>
      </c>
      <c r="AJ51" s="5">
        <v>0</v>
      </c>
      <c r="AT51" s="1" t="s">
        <v>65</v>
      </c>
      <c r="AU51" s="1" t="s">
        <v>66</v>
      </c>
      <c r="AV51" s="1" t="s">
        <v>67</v>
      </c>
      <c r="AW51" s="1" t="s">
        <v>68</v>
      </c>
      <c r="AX51" s="1" t="s">
        <v>129</v>
      </c>
      <c r="AY51" s="1" t="s">
        <v>130</v>
      </c>
      <c r="BB51" s="1" t="s">
        <v>71</v>
      </c>
      <c r="BC51" s="1" t="s">
        <v>72</v>
      </c>
    </row>
    <row r="52" spans="1:55" x14ac:dyDescent="0.25">
      <c r="A52" s="1">
        <v>510</v>
      </c>
      <c r="B52" s="1" t="s">
        <v>55</v>
      </c>
      <c r="C52" s="1" t="s">
        <v>56</v>
      </c>
      <c r="D52" s="1" t="s">
        <v>57</v>
      </c>
      <c r="E52" s="1" t="s">
        <v>86</v>
      </c>
      <c r="F52" s="1" t="s">
        <v>87</v>
      </c>
      <c r="G52" s="1" t="s">
        <v>60</v>
      </c>
      <c r="H52" s="1" t="s">
        <v>61</v>
      </c>
      <c r="I52" s="2">
        <v>75.36</v>
      </c>
      <c r="L52" s="3">
        <v>0</v>
      </c>
      <c r="M52" s="3">
        <v>6</v>
      </c>
      <c r="N52" s="3">
        <v>6.61</v>
      </c>
      <c r="O52" s="4">
        <v>0</v>
      </c>
      <c r="P52" s="4">
        <v>452.16</v>
      </c>
      <c r="Q52" s="4">
        <v>498.13</v>
      </c>
      <c r="S52" s="1" t="s">
        <v>127</v>
      </c>
      <c r="T52" s="1" t="s">
        <v>128</v>
      </c>
      <c r="W52" s="1" t="s">
        <v>57</v>
      </c>
      <c r="Z52" s="1" t="s">
        <v>64</v>
      </c>
      <c r="AA52" s="5">
        <v>0</v>
      </c>
      <c r="AB52" s="5">
        <v>0</v>
      </c>
      <c r="AD52" s="1" t="s">
        <v>64</v>
      </c>
      <c r="AE52" s="4">
        <v>452.16</v>
      </c>
      <c r="AF52" s="4">
        <v>0</v>
      </c>
      <c r="AG52" s="2">
        <v>0</v>
      </c>
      <c r="AH52" s="3">
        <v>6</v>
      </c>
      <c r="AI52" s="3">
        <v>0</v>
      </c>
      <c r="AJ52" s="5">
        <v>0</v>
      </c>
      <c r="AT52" s="1" t="s">
        <v>65</v>
      </c>
      <c r="AU52" s="1" t="s">
        <v>66</v>
      </c>
      <c r="AV52" s="1" t="s">
        <v>67</v>
      </c>
      <c r="AW52" s="1" t="s">
        <v>68</v>
      </c>
      <c r="AX52" s="1" t="s">
        <v>129</v>
      </c>
      <c r="AY52" s="1" t="s">
        <v>130</v>
      </c>
      <c r="BB52" s="1" t="s">
        <v>71</v>
      </c>
      <c r="BC52" s="1" t="s">
        <v>72</v>
      </c>
    </row>
    <row r="53" spans="1:55" x14ac:dyDescent="0.25">
      <c r="A53" s="1">
        <v>520</v>
      </c>
      <c r="B53" s="1" t="s">
        <v>55</v>
      </c>
      <c r="C53" s="1" t="s">
        <v>56</v>
      </c>
      <c r="D53" s="1" t="s">
        <v>57</v>
      </c>
      <c r="E53" s="1" t="s">
        <v>119</v>
      </c>
      <c r="F53" s="1" t="s">
        <v>120</v>
      </c>
      <c r="G53" s="1" t="s">
        <v>60</v>
      </c>
      <c r="H53" s="1" t="s">
        <v>61</v>
      </c>
      <c r="I53" s="2">
        <v>393.93</v>
      </c>
      <c r="L53" s="3">
        <v>0</v>
      </c>
      <c r="M53" s="3">
        <v>150</v>
      </c>
      <c r="N53" s="3">
        <v>122.71</v>
      </c>
      <c r="O53" s="4">
        <v>0</v>
      </c>
      <c r="P53" s="4">
        <v>59089.5</v>
      </c>
      <c r="Q53" s="4">
        <v>48339.15</v>
      </c>
      <c r="S53" s="1" t="s">
        <v>127</v>
      </c>
      <c r="T53" s="1" t="s">
        <v>128</v>
      </c>
      <c r="W53" s="1" t="s">
        <v>57</v>
      </c>
      <c r="Z53" s="1" t="s">
        <v>64</v>
      </c>
      <c r="AA53" s="5">
        <v>0</v>
      </c>
      <c r="AB53" s="5">
        <v>0</v>
      </c>
      <c r="AD53" s="1" t="s">
        <v>64</v>
      </c>
      <c r="AE53" s="4">
        <v>59089.5</v>
      </c>
      <c r="AF53" s="4">
        <v>0</v>
      </c>
      <c r="AG53" s="2">
        <v>0</v>
      </c>
      <c r="AH53" s="3">
        <v>150</v>
      </c>
      <c r="AI53" s="3">
        <v>0</v>
      </c>
      <c r="AJ53" s="5">
        <v>0</v>
      </c>
      <c r="AT53" s="1" t="s">
        <v>65</v>
      </c>
      <c r="AU53" s="1" t="s">
        <v>66</v>
      </c>
      <c r="AV53" s="1" t="s">
        <v>67</v>
      </c>
      <c r="AW53" s="1" t="s">
        <v>68</v>
      </c>
      <c r="AX53" s="1" t="s">
        <v>129</v>
      </c>
      <c r="AY53" s="1" t="s">
        <v>130</v>
      </c>
      <c r="BB53" s="1" t="s">
        <v>71</v>
      </c>
      <c r="BC53" s="1" t="s">
        <v>72</v>
      </c>
    </row>
    <row r="54" spans="1:55" x14ac:dyDescent="0.25">
      <c r="A54" s="1">
        <v>530</v>
      </c>
      <c r="B54" s="1" t="s">
        <v>55</v>
      </c>
      <c r="C54" s="1" t="s">
        <v>56</v>
      </c>
      <c r="D54" s="1" t="s">
        <v>57</v>
      </c>
      <c r="E54" s="1" t="s">
        <v>94</v>
      </c>
      <c r="F54" s="1" t="s">
        <v>95</v>
      </c>
      <c r="G54" s="1" t="s">
        <v>96</v>
      </c>
      <c r="H54" s="1" t="s">
        <v>97</v>
      </c>
      <c r="I54" s="2">
        <v>290.58999999999997</v>
      </c>
      <c r="L54" s="3">
        <v>0</v>
      </c>
      <c r="M54" s="3">
        <v>20.72</v>
      </c>
      <c r="N54" s="3">
        <v>20.72</v>
      </c>
      <c r="O54" s="4">
        <v>0</v>
      </c>
      <c r="P54" s="4">
        <v>6021.02</v>
      </c>
      <c r="Q54" s="4">
        <v>6021.02</v>
      </c>
      <c r="S54" s="1" t="s">
        <v>127</v>
      </c>
      <c r="T54" s="1" t="s">
        <v>128</v>
      </c>
      <c r="W54" s="1" t="s">
        <v>57</v>
      </c>
      <c r="Z54" s="1" t="s">
        <v>64</v>
      </c>
      <c r="AA54" s="5">
        <v>0</v>
      </c>
      <c r="AB54" s="5">
        <v>0</v>
      </c>
      <c r="AD54" s="1" t="s">
        <v>64</v>
      </c>
      <c r="AE54" s="4">
        <v>6021.02</v>
      </c>
      <c r="AF54" s="4">
        <v>0</v>
      </c>
      <c r="AG54" s="2">
        <v>0</v>
      </c>
      <c r="AH54" s="3">
        <v>20.72</v>
      </c>
      <c r="AI54" s="3">
        <v>0</v>
      </c>
      <c r="AJ54" s="5">
        <v>0</v>
      </c>
      <c r="AT54" s="1" t="s">
        <v>65</v>
      </c>
      <c r="AU54" s="1" t="s">
        <v>66</v>
      </c>
      <c r="AV54" s="1" t="s">
        <v>67</v>
      </c>
      <c r="AW54" s="1" t="s">
        <v>68</v>
      </c>
      <c r="AX54" s="1" t="s">
        <v>129</v>
      </c>
      <c r="AY54" s="1" t="s">
        <v>130</v>
      </c>
      <c r="BB54" s="1" t="s">
        <v>71</v>
      </c>
      <c r="BC54" s="1" t="s">
        <v>72</v>
      </c>
    </row>
    <row r="55" spans="1:55" x14ac:dyDescent="0.25">
      <c r="A55" s="1">
        <v>540</v>
      </c>
      <c r="B55" s="1" t="s">
        <v>55</v>
      </c>
      <c r="C55" s="1" t="s">
        <v>56</v>
      </c>
      <c r="D55" s="1" t="s">
        <v>57</v>
      </c>
      <c r="E55" s="1" t="s">
        <v>98</v>
      </c>
      <c r="F55" s="1" t="s">
        <v>99</v>
      </c>
      <c r="G55" s="1" t="s">
        <v>100</v>
      </c>
      <c r="H55" s="1" t="s">
        <v>101</v>
      </c>
      <c r="I55" s="2">
        <v>2260.8000000000002</v>
      </c>
      <c r="L55" s="3">
        <v>0</v>
      </c>
      <c r="M55" s="3">
        <v>1.1200000000000001</v>
      </c>
      <c r="N55" s="3">
        <v>1.72</v>
      </c>
      <c r="O55" s="4">
        <v>0</v>
      </c>
      <c r="P55" s="4">
        <v>2532.1</v>
      </c>
      <c r="Q55" s="4">
        <v>3888.58</v>
      </c>
      <c r="S55" s="1" t="s">
        <v>127</v>
      </c>
      <c r="T55" s="1" t="s">
        <v>128</v>
      </c>
      <c r="W55" s="1" t="s">
        <v>57</v>
      </c>
      <c r="Z55" s="1" t="s">
        <v>64</v>
      </c>
      <c r="AA55" s="5">
        <v>0</v>
      </c>
      <c r="AB55" s="5">
        <v>0</v>
      </c>
      <c r="AD55" s="1" t="s">
        <v>64</v>
      </c>
      <c r="AE55" s="4">
        <v>2532.1</v>
      </c>
      <c r="AF55" s="4">
        <v>0</v>
      </c>
      <c r="AG55" s="2">
        <v>0</v>
      </c>
      <c r="AH55" s="3">
        <v>1.1200000000000001</v>
      </c>
      <c r="AI55" s="3">
        <v>0</v>
      </c>
      <c r="AJ55" s="5">
        <v>0</v>
      </c>
      <c r="AT55" s="1" t="s">
        <v>65</v>
      </c>
      <c r="AU55" s="1" t="s">
        <v>66</v>
      </c>
      <c r="AV55" s="1" t="s">
        <v>67</v>
      </c>
      <c r="AW55" s="1" t="s">
        <v>68</v>
      </c>
      <c r="AX55" s="1" t="s">
        <v>129</v>
      </c>
      <c r="AY55" s="1" t="s">
        <v>130</v>
      </c>
      <c r="BB55" s="1" t="s">
        <v>71</v>
      </c>
      <c r="BC55" s="1" t="s">
        <v>72</v>
      </c>
    </row>
    <row r="56" spans="1:55" x14ac:dyDescent="0.25">
      <c r="A56" s="1">
        <v>550</v>
      </c>
      <c r="B56" s="1" t="s">
        <v>55</v>
      </c>
      <c r="C56" s="1" t="s">
        <v>56</v>
      </c>
      <c r="D56" s="1" t="s">
        <v>57</v>
      </c>
      <c r="E56" s="1" t="s">
        <v>121</v>
      </c>
      <c r="F56" s="1" t="s">
        <v>122</v>
      </c>
      <c r="G56" s="1" t="s">
        <v>100</v>
      </c>
      <c r="H56" s="1" t="s">
        <v>101</v>
      </c>
      <c r="I56" s="2">
        <v>8771.11</v>
      </c>
      <c r="L56" s="3">
        <v>0</v>
      </c>
      <c r="M56" s="3">
        <v>1.03</v>
      </c>
      <c r="N56" s="3">
        <v>2.19</v>
      </c>
      <c r="O56" s="4">
        <v>0</v>
      </c>
      <c r="P56" s="4">
        <v>9034.24</v>
      </c>
      <c r="Q56" s="4">
        <v>19208.73</v>
      </c>
      <c r="S56" s="1" t="s">
        <v>127</v>
      </c>
      <c r="T56" s="1" t="s">
        <v>128</v>
      </c>
      <c r="W56" s="1" t="s">
        <v>57</v>
      </c>
      <c r="Z56" s="1" t="s">
        <v>64</v>
      </c>
      <c r="AA56" s="5">
        <v>0</v>
      </c>
      <c r="AB56" s="5">
        <v>0</v>
      </c>
      <c r="AD56" s="1" t="s">
        <v>64</v>
      </c>
      <c r="AE56" s="4">
        <v>9034.24</v>
      </c>
      <c r="AF56" s="4">
        <v>0</v>
      </c>
      <c r="AG56" s="2">
        <v>0</v>
      </c>
      <c r="AH56" s="3">
        <v>1.03</v>
      </c>
      <c r="AI56" s="3">
        <v>0</v>
      </c>
      <c r="AJ56" s="5">
        <v>0</v>
      </c>
      <c r="AT56" s="1" t="s">
        <v>65</v>
      </c>
      <c r="AU56" s="1" t="s">
        <v>66</v>
      </c>
      <c r="AV56" s="1" t="s">
        <v>67</v>
      </c>
      <c r="AW56" s="1" t="s">
        <v>68</v>
      </c>
      <c r="AX56" s="1" t="s">
        <v>129</v>
      </c>
      <c r="AY56" s="1" t="s">
        <v>130</v>
      </c>
      <c r="BB56" s="1" t="s">
        <v>71</v>
      </c>
      <c r="BC56" s="1" t="s">
        <v>72</v>
      </c>
    </row>
    <row r="57" spans="1:55" x14ac:dyDescent="0.25">
      <c r="A57" s="1">
        <v>560</v>
      </c>
      <c r="B57" s="1" t="s">
        <v>55</v>
      </c>
      <c r="C57" s="1" t="s">
        <v>56</v>
      </c>
      <c r="D57" s="1" t="s">
        <v>57</v>
      </c>
      <c r="E57" s="1" t="s">
        <v>132</v>
      </c>
      <c r="F57" s="1" t="s">
        <v>133</v>
      </c>
      <c r="G57" s="1" t="s">
        <v>100</v>
      </c>
      <c r="H57" s="1" t="s">
        <v>101</v>
      </c>
      <c r="I57" s="2">
        <v>93513.600000000006</v>
      </c>
      <c r="L57" s="3">
        <v>0</v>
      </c>
      <c r="M57" s="3">
        <v>0.97</v>
      </c>
      <c r="N57" s="3">
        <v>0.97</v>
      </c>
      <c r="O57" s="4">
        <v>0</v>
      </c>
      <c r="P57" s="4">
        <v>90708.19</v>
      </c>
      <c r="Q57" s="4">
        <v>90708.19</v>
      </c>
      <c r="S57" s="1" t="s">
        <v>127</v>
      </c>
      <c r="T57" s="1" t="s">
        <v>128</v>
      </c>
      <c r="W57" s="1" t="s">
        <v>57</v>
      </c>
      <c r="Z57" s="1" t="s">
        <v>64</v>
      </c>
      <c r="AA57" s="5">
        <v>0</v>
      </c>
      <c r="AB57" s="5">
        <v>0</v>
      </c>
      <c r="AD57" s="1" t="s">
        <v>64</v>
      </c>
      <c r="AE57" s="4">
        <v>90708.19</v>
      </c>
      <c r="AF57" s="4">
        <v>0</v>
      </c>
      <c r="AG57" s="2">
        <v>0</v>
      </c>
      <c r="AH57" s="3">
        <v>0.97</v>
      </c>
      <c r="AI57" s="3">
        <v>0</v>
      </c>
      <c r="AJ57" s="5">
        <v>0</v>
      </c>
      <c r="AT57" s="1" t="s">
        <v>65</v>
      </c>
      <c r="AU57" s="1" t="s">
        <v>66</v>
      </c>
      <c r="AV57" s="1" t="s">
        <v>67</v>
      </c>
      <c r="AW57" s="1" t="s">
        <v>68</v>
      </c>
      <c r="AX57" s="1" t="s">
        <v>129</v>
      </c>
      <c r="AY57" s="1" t="s">
        <v>130</v>
      </c>
      <c r="BB57" s="1" t="s">
        <v>71</v>
      </c>
      <c r="BC57" s="1" t="s">
        <v>72</v>
      </c>
    </row>
    <row r="58" spans="1:55" x14ac:dyDescent="0.25">
      <c r="A58" s="1">
        <v>570</v>
      </c>
      <c r="B58" s="1" t="s">
        <v>55</v>
      </c>
      <c r="C58" s="1" t="s">
        <v>56</v>
      </c>
      <c r="D58" s="1" t="s">
        <v>57</v>
      </c>
      <c r="E58" s="1" t="s">
        <v>123</v>
      </c>
      <c r="F58" s="1" t="s">
        <v>124</v>
      </c>
      <c r="G58" s="1" t="s">
        <v>60</v>
      </c>
      <c r="H58" s="1" t="s">
        <v>61</v>
      </c>
      <c r="I58" s="2">
        <v>874.8</v>
      </c>
      <c r="L58" s="3">
        <v>0</v>
      </c>
      <c r="M58" s="3">
        <v>38.799999999999997</v>
      </c>
      <c r="N58" s="3">
        <v>28.18</v>
      </c>
      <c r="O58" s="4">
        <v>0</v>
      </c>
      <c r="P58" s="4">
        <v>33942.239999999998</v>
      </c>
      <c r="Q58" s="4">
        <v>24651.86</v>
      </c>
      <c r="S58" s="1" t="s">
        <v>127</v>
      </c>
      <c r="T58" s="1" t="s">
        <v>128</v>
      </c>
      <c r="W58" s="1" t="s">
        <v>57</v>
      </c>
      <c r="Z58" s="1" t="s">
        <v>64</v>
      </c>
      <c r="AA58" s="5">
        <v>0</v>
      </c>
      <c r="AB58" s="5">
        <v>0</v>
      </c>
      <c r="AD58" s="1" t="s">
        <v>64</v>
      </c>
      <c r="AE58" s="4">
        <v>33942.239999999998</v>
      </c>
      <c r="AF58" s="4">
        <v>0</v>
      </c>
      <c r="AG58" s="2">
        <v>0</v>
      </c>
      <c r="AH58" s="3">
        <v>38.799999999999997</v>
      </c>
      <c r="AI58" s="3">
        <v>0</v>
      </c>
      <c r="AJ58" s="5">
        <v>0</v>
      </c>
      <c r="AT58" s="1" t="s">
        <v>65</v>
      </c>
      <c r="AU58" s="1" t="s">
        <v>66</v>
      </c>
      <c r="AV58" s="1" t="s">
        <v>67</v>
      </c>
      <c r="AW58" s="1" t="s">
        <v>68</v>
      </c>
      <c r="AX58" s="1" t="s">
        <v>129</v>
      </c>
      <c r="AY58" s="1" t="s">
        <v>130</v>
      </c>
      <c r="BB58" s="1" t="s">
        <v>71</v>
      </c>
      <c r="BC58" s="1" t="s">
        <v>72</v>
      </c>
    </row>
    <row r="59" spans="1:55" x14ac:dyDescent="0.25">
      <c r="A59" s="1">
        <v>580</v>
      </c>
      <c r="B59" s="1" t="s">
        <v>55</v>
      </c>
      <c r="C59" s="1" t="s">
        <v>56</v>
      </c>
      <c r="D59" s="1" t="s">
        <v>57</v>
      </c>
      <c r="E59" s="1" t="s">
        <v>102</v>
      </c>
      <c r="F59" s="1" t="s">
        <v>103</v>
      </c>
      <c r="G59" s="1" t="s">
        <v>104</v>
      </c>
      <c r="H59" s="1" t="s">
        <v>105</v>
      </c>
      <c r="I59" s="2">
        <v>984.83</v>
      </c>
      <c r="L59" s="3">
        <v>0</v>
      </c>
      <c r="M59" s="3">
        <v>20.5</v>
      </c>
      <c r="N59" s="3">
        <v>22.96</v>
      </c>
      <c r="O59" s="4">
        <v>0</v>
      </c>
      <c r="P59" s="4">
        <v>20189.02</v>
      </c>
      <c r="Q59" s="4">
        <v>22611.7</v>
      </c>
      <c r="S59" s="1" t="s">
        <v>127</v>
      </c>
      <c r="T59" s="1" t="s">
        <v>128</v>
      </c>
      <c r="W59" s="1" t="s">
        <v>57</v>
      </c>
      <c r="Z59" s="1" t="s">
        <v>64</v>
      </c>
      <c r="AA59" s="5">
        <v>0</v>
      </c>
      <c r="AB59" s="5">
        <v>0</v>
      </c>
      <c r="AD59" s="1" t="s">
        <v>64</v>
      </c>
      <c r="AE59" s="4">
        <v>20189.02</v>
      </c>
      <c r="AF59" s="4">
        <v>0</v>
      </c>
      <c r="AG59" s="2">
        <v>0</v>
      </c>
      <c r="AH59" s="3">
        <v>20.5</v>
      </c>
      <c r="AI59" s="3">
        <v>0</v>
      </c>
      <c r="AJ59" s="5">
        <v>0</v>
      </c>
      <c r="AT59" s="1" t="s">
        <v>65</v>
      </c>
      <c r="AU59" s="1" t="s">
        <v>66</v>
      </c>
      <c r="AV59" s="1" t="s">
        <v>67</v>
      </c>
      <c r="AW59" s="1" t="s">
        <v>68</v>
      </c>
      <c r="AX59" s="1" t="s">
        <v>129</v>
      </c>
      <c r="AY59" s="1" t="s">
        <v>130</v>
      </c>
      <c r="BB59" s="1" t="s">
        <v>71</v>
      </c>
      <c r="BC59" s="1" t="s">
        <v>72</v>
      </c>
    </row>
    <row r="60" spans="1:55" x14ac:dyDescent="0.25">
      <c r="A60" s="1">
        <v>590</v>
      </c>
      <c r="B60" s="1" t="s">
        <v>55</v>
      </c>
      <c r="C60" s="1" t="s">
        <v>56</v>
      </c>
      <c r="D60" s="1" t="s">
        <v>57</v>
      </c>
      <c r="E60" s="1" t="s">
        <v>134</v>
      </c>
      <c r="F60" s="1" t="s">
        <v>135</v>
      </c>
      <c r="G60" s="1" t="s">
        <v>104</v>
      </c>
      <c r="H60" s="1" t="s">
        <v>105</v>
      </c>
      <c r="I60" s="2">
        <v>93.51</v>
      </c>
      <c r="L60" s="3">
        <v>0</v>
      </c>
      <c r="M60" s="3">
        <v>10</v>
      </c>
      <c r="N60" s="3">
        <v>45.92</v>
      </c>
      <c r="O60" s="4">
        <v>0</v>
      </c>
      <c r="P60" s="4">
        <v>935.1</v>
      </c>
      <c r="Q60" s="4">
        <v>4293.9799999999996</v>
      </c>
      <c r="S60" s="1" t="s">
        <v>127</v>
      </c>
      <c r="T60" s="1" t="s">
        <v>128</v>
      </c>
      <c r="W60" s="1" t="s">
        <v>57</v>
      </c>
      <c r="Z60" s="1" t="s">
        <v>64</v>
      </c>
      <c r="AA60" s="5">
        <v>0</v>
      </c>
      <c r="AB60" s="5">
        <v>0</v>
      </c>
      <c r="AD60" s="1" t="s">
        <v>64</v>
      </c>
      <c r="AE60" s="4">
        <v>935.1</v>
      </c>
      <c r="AF60" s="4">
        <v>0</v>
      </c>
      <c r="AG60" s="2">
        <v>0</v>
      </c>
      <c r="AH60" s="3">
        <v>10</v>
      </c>
      <c r="AI60" s="3">
        <v>0</v>
      </c>
      <c r="AJ60" s="5">
        <v>0</v>
      </c>
      <c r="AT60" s="1" t="s">
        <v>65</v>
      </c>
      <c r="AU60" s="1" t="s">
        <v>66</v>
      </c>
      <c r="AV60" s="1" t="s">
        <v>67</v>
      </c>
      <c r="AW60" s="1" t="s">
        <v>68</v>
      </c>
      <c r="AX60" s="1" t="s">
        <v>129</v>
      </c>
      <c r="AY60" s="1" t="s">
        <v>130</v>
      </c>
      <c r="BB60" s="1" t="s">
        <v>71</v>
      </c>
      <c r="BC60" s="1" t="s">
        <v>72</v>
      </c>
    </row>
    <row r="61" spans="1:55" x14ac:dyDescent="0.25">
      <c r="A61" s="1">
        <v>600</v>
      </c>
      <c r="B61" s="1" t="s">
        <v>55</v>
      </c>
      <c r="C61" s="1" t="s">
        <v>56</v>
      </c>
      <c r="D61" s="1" t="s">
        <v>57</v>
      </c>
      <c r="E61" s="1" t="s">
        <v>106</v>
      </c>
      <c r="F61" s="1" t="s">
        <v>107</v>
      </c>
      <c r="G61" s="1" t="s">
        <v>104</v>
      </c>
      <c r="H61" s="1" t="s">
        <v>105</v>
      </c>
      <c r="I61" s="2">
        <v>11605.02</v>
      </c>
      <c r="L61" s="3">
        <v>0</v>
      </c>
      <c r="M61" s="3">
        <v>8</v>
      </c>
      <c r="N61" s="3">
        <v>6.7</v>
      </c>
      <c r="O61" s="4">
        <v>0</v>
      </c>
      <c r="P61" s="4">
        <v>92840.16</v>
      </c>
      <c r="Q61" s="4">
        <v>77753.63</v>
      </c>
      <c r="S61" s="1" t="s">
        <v>127</v>
      </c>
      <c r="T61" s="1" t="s">
        <v>128</v>
      </c>
      <c r="W61" s="1" t="s">
        <v>57</v>
      </c>
      <c r="Z61" s="1" t="s">
        <v>64</v>
      </c>
      <c r="AA61" s="5">
        <v>0</v>
      </c>
      <c r="AB61" s="5">
        <v>0</v>
      </c>
      <c r="AD61" s="1" t="s">
        <v>64</v>
      </c>
      <c r="AE61" s="4">
        <v>92840.16</v>
      </c>
      <c r="AF61" s="4">
        <v>0</v>
      </c>
      <c r="AG61" s="2">
        <v>0</v>
      </c>
      <c r="AH61" s="3">
        <v>8</v>
      </c>
      <c r="AI61" s="3">
        <v>0</v>
      </c>
      <c r="AJ61" s="5">
        <v>0</v>
      </c>
      <c r="AT61" s="1" t="s">
        <v>65</v>
      </c>
      <c r="AU61" s="1" t="s">
        <v>66</v>
      </c>
      <c r="AV61" s="1" t="s">
        <v>67</v>
      </c>
      <c r="AW61" s="1" t="s">
        <v>68</v>
      </c>
      <c r="AX61" s="1" t="s">
        <v>129</v>
      </c>
      <c r="AY61" s="1" t="s">
        <v>130</v>
      </c>
      <c r="BB61" s="1" t="s">
        <v>71</v>
      </c>
      <c r="BC61" s="1" t="s">
        <v>72</v>
      </c>
    </row>
    <row r="62" spans="1:55" x14ac:dyDescent="0.25">
      <c r="A62" s="1">
        <v>610</v>
      </c>
      <c r="B62" s="1" t="s">
        <v>55</v>
      </c>
      <c r="C62" s="1" t="s">
        <v>56</v>
      </c>
      <c r="D62" s="1" t="s">
        <v>57</v>
      </c>
      <c r="E62" s="1" t="s">
        <v>125</v>
      </c>
      <c r="F62" s="1" t="s">
        <v>126</v>
      </c>
      <c r="G62" s="1" t="s">
        <v>100</v>
      </c>
      <c r="H62" s="1" t="s">
        <v>101</v>
      </c>
      <c r="I62" s="2">
        <v>93513.600000000006</v>
      </c>
      <c r="L62" s="3">
        <v>0</v>
      </c>
      <c r="M62" s="3">
        <v>3.09</v>
      </c>
      <c r="N62" s="3">
        <v>3.84</v>
      </c>
      <c r="O62" s="4">
        <v>0</v>
      </c>
      <c r="P62" s="4">
        <v>288957.02</v>
      </c>
      <c r="Q62" s="4">
        <v>359092.22</v>
      </c>
      <c r="S62" s="1" t="s">
        <v>127</v>
      </c>
      <c r="T62" s="1" t="s">
        <v>128</v>
      </c>
      <c r="W62" s="1" t="s">
        <v>57</v>
      </c>
      <c r="Z62" s="1" t="s">
        <v>64</v>
      </c>
      <c r="AA62" s="5">
        <v>0</v>
      </c>
      <c r="AB62" s="5">
        <v>0</v>
      </c>
      <c r="AD62" s="1" t="s">
        <v>64</v>
      </c>
      <c r="AE62" s="4">
        <v>288957.02</v>
      </c>
      <c r="AF62" s="4">
        <v>0</v>
      </c>
      <c r="AG62" s="2">
        <v>0</v>
      </c>
      <c r="AH62" s="3">
        <v>3.09</v>
      </c>
      <c r="AI62" s="3">
        <v>0</v>
      </c>
      <c r="AJ62" s="5">
        <v>0</v>
      </c>
      <c r="AT62" s="1" t="s">
        <v>65</v>
      </c>
      <c r="AU62" s="1" t="s">
        <v>66</v>
      </c>
      <c r="AV62" s="1" t="s">
        <v>67</v>
      </c>
      <c r="AW62" s="1" t="s">
        <v>68</v>
      </c>
      <c r="AX62" s="1" t="s">
        <v>129</v>
      </c>
      <c r="AY62" s="1" t="s">
        <v>130</v>
      </c>
      <c r="BB62" s="1" t="s">
        <v>71</v>
      </c>
      <c r="BC62" s="1" t="s">
        <v>72</v>
      </c>
    </row>
    <row r="63" spans="1:55" x14ac:dyDescent="0.25">
      <c r="A63" s="1">
        <v>620</v>
      </c>
      <c r="B63" s="1" t="s">
        <v>55</v>
      </c>
      <c r="C63" s="1" t="s">
        <v>56</v>
      </c>
      <c r="D63" s="1" t="s">
        <v>57</v>
      </c>
      <c r="E63" s="1" t="s">
        <v>58</v>
      </c>
      <c r="F63" s="1" t="s">
        <v>59</v>
      </c>
      <c r="G63" s="1" t="s">
        <v>60</v>
      </c>
      <c r="H63" s="1" t="s">
        <v>61</v>
      </c>
      <c r="I63" s="2">
        <v>5280.66</v>
      </c>
      <c r="L63" s="3">
        <v>0</v>
      </c>
      <c r="M63" s="3">
        <v>6</v>
      </c>
      <c r="N63" s="3">
        <v>3.37</v>
      </c>
      <c r="O63" s="4">
        <v>0</v>
      </c>
      <c r="P63" s="4">
        <v>31683.96</v>
      </c>
      <c r="Q63" s="4">
        <v>17795.82</v>
      </c>
      <c r="S63" s="1" t="s">
        <v>136</v>
      </c>
      <c r="T63" s="1" t="s">
        <v>137</v>
      </c>
      <c r="W63" s="1" t="s">
        <v>57</v>
      </c>
      <c r="Z63" s="1" t="s">
        <v>64</v>
      </c>
      <c r="AA63" s="5">
        <v>0</v>
      </c>
      <c r="AB63" s="5">
        <v>0</v>
      </c>
      <c r="AD63" s="1" t="s">
        <v>64</v>
      </c>
      <c r="AE63" s="4">
        <v>31683.96</v>
      </c>
      <c r="AF63" s="4">
        <v>0</v>
      </c>
      <c r="AG63" s="2">
        <v>0</v>
      </c>
      <c r="AH63" s="3">
        <v>6</v>
      </c>
      <c r="AI63" s="3">
        <v>0</v>
      </c>
      <c r="AJ63" s="5">
        <v>0</v>
      </c>
      <c r="AT63" s="1" t="s">
        <v>65</v>
      </c>
      <c r="AU63" s="1" t="s">
        <v>66</v>
      </c>
      <c r="AV63" s="1" t="s">
        <v>67</v>
      </c>
      <c r="AW63" s="1" t="s">
        <v>68</v>
      </c>
      <c r="AX63" s="1" t="s">
        <v>138</v>
      </c>
      <c r="AY63" s="1" t="s">
        <v>139</v>
      </c>
      <c r="BB63" s="1" t="s">
        <v>71</v>
      </c>
      <c r="BC63" s="1" t="s">
        <v>72</v>
      </c>
    </row>
    <row r="64" spans="1:55" x14ac:dyDescent="0.25">
      <c r="A64" s="1">
        <v>630</v>
      </c>
      <c r="B64" s="1" t="s">
        <v>55</v>
      </c>
      <c r="C64" s="1" t="s">
        <v>56</v>
      </c>
      <c r="D64" s="1" t="s">
        <v>57</v>
      </c>
      <c r="E64" s="1" t="s">
        <v>73</v>
      </c>
      <c r="F64" s="1" t="s">
        <v>74</v>
      </c>
      <c r="G64" s="1" t="s">
        <v>75</v>
      </c>
      <c r="I64" s="2">
        <v>51016</v>
      </c>
      <c r="L64" s="3">
        <v>0</v>
      </c>
      <c r="M64" s="3">
        <v>0</v>
      </c>
      <c r="N64" s="3">
        <v>0.23</v>
      </c>
      <c r="O64" s="4">
        <v>0</v>
      </c>
      <c r="P64" s="4">
        <v>0</v>
      </c>
      <c r="Q64" s="4">
        <v>11733.68</v>
      </c>
      <c r="S64" s="1" t="s">
        <v>136</v>
      </c>
      <c r="T64" s="1" t="s">
        <v>137</v>
      </c>
      <c r="W64" s="1" t="s">
        <v>57</v>
      </c>
      <c r="Z64" s="1" t="s">
        <v>64</v>
      </c>
      <c r="AA64" s="5">
        <v>0</v>
      </c>
      <c r="AB64" s="5">
        <v>0</v>
      </c>
      <c r="AD64" s="1" t="s">
        <v>64</v>
      </c>
      <c r="AE64" s="4">
        <v>0</v>
      </c>
      <c r="AF64" s="4">
        <v>0</v>
      </c>
      <c r="AG64" s="2">
        <v>0</v>
      </c>
      <c r="AH64" s="3">
        <v>0</v>
      </c>
      <c r="AI64" s="3">
        <v>0</v>
      </c>
      <c r="AJ64" s="5">
        <v>0</v>
      </c>
      <c r="AT64" s="1" t="s">
        <v>65</v>
      </c>
      <c r="AU64" s="1" t="s">
        <v>66</v>
      </c>
      <c r="AV64" s="1" t="s">
        <v>67</v>
      </c>
      <c r="AW64" s="1" t="s">
        <v>68</v>
      </c>
      <c r="AX64" s="1" t="s">
        <v>138</v>
      </c>
      <c r="AY64" s="1" t="s">
        <v>139</v>
      </c>
      <c r="BB64" s="1" t="s">
        <v>71</v>
      </c>
      <c r="BC64" s="1" t="s">
        <v>72</v>
      </c>
    </row>
    <row r="65" spans="1:55" x14ac:dyDescent="0.25">
      <c r="A65" s="1">
        <v>640</v>
      </c>
      <c r="B65" s="1" t="s">
        <v>55</v>
      </c>
      <c r="C65" s="1" t="s">
        <v>56</v>
      </c>
      <c r="D65" s="1" t="s">
        <v>57</v>
      </c>
      <c r="E65" s="1" t="s">
        <v>131</v>
      </c>
      <c r="F65" s="1" t="s">
        <v>77</v>
      </c>
      <c r="G65" s="1" t="s">
        <v>60</v>
      </c>
      <c r="H65" s="1" t="s">
        <v>61</v>
      </c>
      <c r="I65" s="2">
        <v>2079.94</v>
      </c>
      <c r="L65" s="3">
        <v>0</v>
      </c>
      <c r="M65" s="3">
        <v>22.5</v>
      </c>
      <c r="N65" s="3">
        <v>13.28</v>
      </c>
      <c r="O65" s="4">
        <v>0</v>
      </c>
      <c r="P65" s="4">
        <v>46798.65</v>
      </c>
      <c r="Q65" s="4">
        <v>27621.599999999999</v>
      </c>
      <c r="S65" s="1" t="s">
        <v>136</v>
      </c>
      <c r="T65" s="1" t="s">
        <v>137</v>
      </c>
      <c r="W65" s="1" t="s">
        <v>57</v>
      </c>
      <c r="Z65" s="1" t="s">
        <v>64</v>
      </c>
      <c r="AA65" s="5">
        <v>0</v>
      </c>
      <c r="AB65" s="5">
        <v>0</v>
      </c>
      <c r="AD65" s="1" t="s">
        <v>64</v>
      </c>
      <c r="AE65" s="4">
        <v>46798.65</v>
      </c>
      <c r="AF65" s="4">
        <v>0</v>
      </c>
      <c r="AG65" s="2">
        <v>0</v>
      </c>
      <c r="AH65" s="3">
        <v>22.5</v>
      </c>
      <c r="AI65" s="3">
        <v>0</v>
      </c>
      <c r="AJ65" s="5">
        <v>0</v>
      </c>
      <c r="AT65" s="1" t="s">
        <v>65</v>
      </c>
      <c r="AU65" s="1" t="s">
        <v>66</v>
      </c>
      <c r="AV65" s="1" t="s">
        <v>67</v>
      </c>
      <c r="AW65" s="1" t="s">
        <v>68</v>
      </c>
      <c r="AX65" s="1" t="s">
        <v>138</v>
      </c>
      <c r="AY65" s="1" t="s">
        <v>139</v>
      </c>
      <c r="BB65" s="1" t="s">
        <v>71</v>
      </c>
      <c r="BC65" s="1" t="s">
        <v>72</v>
      </c>
    </row>
    <row r="66" spans="1:55" x14ac:dyDescent="0.25">
      <c r="A66" s="1">
        <v>650</v>
      </c>
      <c r="B66" s="1" t="s">
        <v>55</v>
      </c>
      <c r="C66" s="1" t="s">
        <v>56</v>
      </c>
      <c r="D66" s="1" t="s">
        <v>57</v>
      </c>
      <c r="E66" s="1" t="s">
        <v>78</v>
      </c>
      <c r="F66" s="1" t="s">
        <v>79</v>
      </c>
      <c r="G66" s="1" t="s">
        <v>60</v>
      </c>
      <c r="H66" s="1" t="s">
        <v>61</v>
      </c>
      <c r="I66" s="2">
        <v>3542.44</v>
      </c>
      <c r="L66" s="3">
        <v>0</v>
      </c>
      <c r="M66" s="3">
        <v>2.5</v>
      </c>
      <c r="N66" s="3">
        <v>1.56</v>
      </c>
      <c r="O66" s="4">
        <v>0</v>
      </c>
      <c r="P66" s="4">
        <v>8856.1</v>
      </c>
      <c r="Q66" s="4">
        <v>5526.21</v>
      </c>
      <c r="S66" s="1" t="s">
        <v>136</v>
      </c>
      <c r="T66" s="1" t="s">
        <v>137</v>
      </c>
      <c r="W66" s="1" t="s">
        <v>57</v>
      </c>
      <c r="Z66" s="1" t="s">
        <v>64</v>
      </c>
      <c r="AA66" s="5">
        <v>0</v>
      </c>
      <c r="AB66" s="5">
        <v>0</v>
      </c>
      <c r="AD66" s="1" t="s">
        <v>64</v>
      </c>
      <c r="AE66" s="4">
        <v>8856.1</v>
      </c>
      <c r="AF66" s="4">
        <v>0</v>
      </c>
      <c r="AG66" s="2">
        <v>0</v>
      </c>
      <c r="AH66" s="3">
        <v>2.5</v>
      </c>
      <c r="AI66" s="3">
        <v>0</v>
      </c>
      <c r="AJ66" s="5">
        <v>0</v>
      </c>
      <c r="AT66" s="1" t="s">
        <v>65</v>
      </c>
      <c r="AU66" s="1" t="s">
        <v>66</v>
      </c>
      <c r="AV66" s="1" t="s">
        <v>67</v>
      </c>
      <c r="AW66" s="1" t="s">
        <v>68</v>
      </c>
      <c r="AX66" s="1" t="s">
        <v>138</v>
      </c>
      <c r="AY66" s="1" t="s">
        <v>139</v>
      </c>
      <c r="BB66" s="1" t="s">
        <v>71</v>
      </c>
      <c r="BC66" s="1" t="s">
        <v>72</v>
      </c>
    </row>
    <row r="67" spans="1:55" x14ac:dyDescent="0.25">
      <c r="A67" s="1">
        <v>660</v>
      </c>
      <c r="B67" s="1" t="s">
        <v>55</v>
      </c>
      <c r="C67" s="1" t="s">
        <v>56</v>
      </c>
      <c r="D67" s="1" t="s">
        <v>57</v>
      </c>
      <c r="E67" s="1" t="s">
        <v>84</v>
      </c>
      <c r="F67" s="1" t="s">
        <v>85</v>
      </c>
      <c r="G67" s="1" t="s">
        <v>60</v>
      </c>
      <c r="H67" s="1" t="s">
        <v>61</v>
      </c>
      <c r="I67" s="2">
        <v>133.44</v>
      </c>
      <c r="L67" s="3">
        <v>0</v>
      </c>
      <c r="M67" s="3">
        <v>23.84</v>
      </c>
      <c r="N67" s="3">
        <v>25.09</v>
      </c>
      <c r="O67" s="4">
        <v>0</v>
      </c>
      <c r="P67" s="4">
        <v>3181.21</v>
      </c>
      <c r="Q67" s="4">
        <v>3348.01</v>
      </c>
      <c r="S67" s="1" t="s">
        <v>136</v>
      </c>
      <c r="T67" s="1" t="s">
        <v>137</v>
      </c>
      <c r="W67" s="1" t="s">
        <v>57</v>
      </c>
      <c r="Z67" s="1" t="s">
        <v>64</v>
      </c>
      <c r="AA67" s="5">
        <v>0</v>
      </c>
      <c r="AB67" s="5">
        <v>0</v>
      </c>
      <c r="AD67" s="1" t="s">
        <v>64</v>
      </c>
      <c r="AE67" s="4">
        <v>3181.21</v>
      </c>
      <c r="AF67" s="4">
        <v>0</v>
      </c>
      <c r="AG67" s="2">
        <v>0</v>
      </c>
      <c r="AH67" s="3">
        <v>23.84</v>
      </c>
      <c r="AI67" s="3">
        <v>0</v>
      </c>
      <c r="AJ67" s="5">
        <v>0</v>
      </c>
      <c r="AT67" s="1" t="s">
        <v>65</v>
      </c>
      <c r="AU67" s="1" t="s">
        <v>66</v>
      </c>
      <c r="AV67" s="1" t="s">
        <v>67</v>
      </c>
      <c r="AW67" s="1" t="s">
        <v>68</v>
      </c>
      <c r="AX67" s="1" t="s">
        <v>138</v>
      </c>
      <c r="AY67" s="1" t="s">
        <v>139</v>
      </c>
      <c r="BB67" s="1" t="s">
        <v>71</v>
      </c>
      <c r="BC67" s="1" t="s">
        <v>72</v>
      </c>
    </row>
    <row r="68" spans="1:55" x14ac:dyDescent="0.25">
      <c r="A68" s="1">
        <v>670</v>
      </c>
      <c r="B68" s="1" t="s">
        <v>55</v>
      </c>
      <c r="C68" s="1" t="s">
        <v>56</v>
      </c>
      <c r="D68" s="1" t="s">
        <v>57</v>
      </c>
      <c r="E68" s="1" t="s">
        <v>86</v>
      </c>
      <c r="F68" s="1" t="s">
        <v>87</v>
      </c>
      <c r="G68" s="1" t="s">
        <v>60</v>
      </c>
      <c r="H68" s="1" t="s">
        <v>61</v>
      </c>
      <c r="I68" s="2">
        <v>7.8</v>
      </c>
      <c r="L68" s="3">
        <v>0</v>
      </c>
      <c r="M68" s="3">
        <v>6</v>
      </c>
      <c r="N68" s="3">
        <v>6.61</v>
      </c>
      <c r="O68" s="4">
        <v>0</v>
      </c>
      <c r="P68" s="4">
        <v>46.8</v>
      </c>
      <c r="Q68" s="4">
        <v>51.56</v>
      </c>
      <c r="S68" s="1" t="s">
        <v>136</v>
      </c>
      <c r="T68" s="1" t="s">
        <v>137</v>
      </c>
      <c r="W68" s="1" t="s">
        <v>57</v>
      </c>
      <c r="Z68" s="1" t="s">
        <v>64</v>
      </c>
      <c r="AA68" s="5">
        <v>0</v>
      </c>
      <c r="AB68" s="5">
        <v>0</v>
      </c>
      <c r="AD68" s="1" t="s">
        <v>64</v>
      </c>
      <c r="AE68" s="4">
        <v>46.8</v>
      </c>
      <c r="AF68" s="4">
        <v>0</v>
      </c>
      <c r="AG68" s="2">
        <v>0</v>
      </c>
      <c r="AH68" s="3">
        <v>6</v>
      </c>
      <c r="AI68" s="3">
        <v>0</v>
      </c>
      <c r="AJ68" s="5">
        <v>0</v>
      </c>
      <c r="AT68" s="1" t="s">
        <v>65</v>
      </c>
      <c r="AU68" s="1" t="s">
        <v>66</v>
      </c>
      <c r="AV68" s="1" t="s">
        <v>67</v>
      </c>
      <c r="AW68" s="1" t="s">
        <v>68</v>
      </c>
      <c r="AX68" s="1" t="s">
        <v>138</v>
      </c>
      <c r="AY68" s="1" t="s">
        <v>139</v>
      </c>
      <c r="BB68" s="1" t="s">
        <v>71</v>
      </c>
      <c r="BC68" s="1" t="s">
        <v>72</v>
      </c>
    </row>
    <row r="69" spans="1:55" x14ac:dyDescent="0.25">
      <c r="A69" s="1">
        <v>680</v>
      </c>
      <c r="B69" s="1" t="s">
        <v>55</v>
      </c>
      <c r="C69" s="1" t="s">
        <v>56</v>
      </c>
      <c r="D69" s="1" t="s">
        <v>57</v>
      </c>
      <c r="E69" s="1" t="s">
        <v>119</v>
      </c>
      <c r="F69" s="1" t="s">
        <v>120</v>
      </c>
      <c r="G69" s="1" t="s">
        <v>60</v>
      </c>
      <c r="H69" s="1" t="s">
        <v>61</v>
      </c>
      <c r="I69" s="2">
        <v>133.44</v>
      </c>
      <c r="L69" s="3">
        <v>0</v>
      </c>
      <c r="M69" s="3">
        <v>150</v>
      </c>
      <c r="N69" s="3">
        <v>122.71</v>
      </c>
      <c r="O69" s="4">
        <v>0</v>
      </c>
      <c r="P69" s="4">
        <v>20016</v>
      </c>
      <c r="Q69" s="4">
        <v>16374.42</v>
      </c>
      <c r="S69" s="1" t="s">
        <v>136</v>
      </c>
      <c r="T69" s="1" t="s">
        <v>137</v>
      </c>
      <c r="W69" s="1" t="s">
        <v>57</v>
      </c>
      <c r="Z69" s="1" t="s">
        <v>64</v>
      </c>
      <c r="AA69" s="5">
        <v>0</v>
      </c>
      <c r="AB69" s="5">
        <v>0</v>
      </c>
      <c r="AD69" s="1" t="s">
        <v>64</v>
      </c>
      <c r="AE69" s="4">
        <v>20016</v>
      </c>
      <c r="AF69" s="4">
        <v>0</v>
      </c>
      <c r="AG69" s="2">
        <v>0</v>
      </c>
      <c r="AH69" s="3">
        <v>150</v>
      </c>
      <c r="AI69" s="3">
        <v>0</v>
      </c>
      <c r="AJ69" s="5">
        <v>0</v>
      </c>
      <c r="AT69" s="1" t="s">
        <v>65</v>
      </c>
      <c r="AU69" s="1" t="s">
        <v>66</v>
      </c>
      <c r="AV69" s="1" t="s">
        <v>67</v>
      </c>
      <c r="AW69" s="1" t="s">
        <v>68</v>
      </c>
      <c r="AX69" s="1" t="s">
        <v>138</v>
      </c>
      <c r="AY69" s="1" t="s">
        <v>139</v>
      </c>
      <c r="BB69" s="1" t="s">
        <v>71</v>
      </c>
      <c r="BC69" s="1" t="s">
        <v>72</v>
      </c>
    </row>
    <row r="70" spans="1:55" x14ac:dyDescent="0.25">
      <c r="A70" s="1">
        <v>690</v>
      </c>
      <c r="B70" s="1" t="s">
        <v>55</v>
      </c>
      <c r="C70" s="1" t="s">
        <v>56</v>
      </c>
      <c r="D70" s="1" t="s">
        <v>57</v>
      </c>
      <c r="E70" s="1" t="s">
        <v>94</v>
      </c>
      <c r="F70" s="1" t="s">
        <v>95</v>
      </c>
      <c r="G70" s="1" t="s">
        <v>96</v>
      </c>
      <c r="H70" s="1" t="s">
        <v>97</v>
      </c>
      <c r="I70" s="2">
        <v>55.38</v>
      </c>
      <c r="L70" s="3">
        <v>0</v>
      </c>
      <c r="M70" s="3">
        <v>20.72</v>
      </c>
      <c r="N70" s="3">
        <v>20.72</v>
      </c>
      <c r="O70" s="4">
        <v>0</v>
      </c>
      <c r="P70" s="4">
        <v>1147.47</v>
      </c>
      <c r="Q70" s="4">
        <v>1147.47</v>
      </c>
      <c r="S70" s="1" t="s">
        <v>136</v>
      </c>
      <c r="T70" s="1" t="s">
        <v>137</v>
      </c>
      <c r="W70" s="1" t="s">
        <v>57</v>
      </c>
      <c r="Z70" s="1" t="s">
        <v>64</v>
      </c>
      <c r="AA70" s="5">
        <v>0</v>
      </c>
      <c r="AB70" s="5">
        <v>0</v>
      </c>
      <c r="AD70" s="1" t="s">
        <v>64</v>
      </c>
      <c r="AE70" s="4">
        <v>1147.47</v>
      </c>
      <c r="AF70" s="4">
        <v>0</v>
      </c>
      <c r="AG70" s="2">
        <v>0</v>
      </c>
      <c r="AH70" s="3">
        <v>20.72</v>
      </c>
      <c r="AI70" s="3">
        <v>0</v>
      </c>
      <c r="AJ70" s="5">
        <v>0</v>
      </c>
      <c r="AT70" s="1" t="s">
        <v>65</v>
      </c>
      <c r="AU70" s="1" t="s">
        <v>66</v>
      </c>
      <c r="AV70" s="1" t="s">
        <v>67</v>
      </c>
      <c r="AW70" s="1" t="s">
        <v>68</v>
      </c>
      <c r="AX70" s="1" t="s">
        <v>138</v>
      </c>
      <c r="AY70" s="1" t="s">
        <v>139</v>
      </c>
      <c r="BB70" s="1" t="s">
        <v>71</v>
      </c>
      <c r="BC70" s="1" t="s">
        <v>72</v>
      </c>
    </row>
    <row r="71" spans="1:55" x14ac:dyDescent="0.25">
      <c r="A71" s="1">
        <v>700</v>
      </c>
      <c r="B71" s="1" t="s">
        <v>55</v>
      </c>
      <c r="C71" s="1" t="s">
        <v>56</v>
      </c>
      <c r="D71" s="1" t="s">
        <v>57</v>
      </c>
      <c r="E71" s="1" t="s">
        <v>98</v>
      </c>
      <c r="F71" s="1" t="s">
        <v>99</v>
      </c>
      <c r="G71" s="1" t="s">
        <v>100</v>
      </c>
      <c r="H71" s="1" t="s">
        <v>101</v>
      </c>
      <c r="I71" s="2">
        <v>234</v>
      </c>
      <c r="L71" s="3">
        <v>0</v>
      </c>
      <c r="M71" s="3">
        <v>1.1200000000000001</v>
      </c>
      <c r="N71" s="3">
        <v>1.72</v>
      </c>
      <c r="O71" s="4">
        <v>0</v>
      </c>
      <c r="P71" s="4">
        <v>262.08</v>
      </c>
      <c r="Q71" s="4">
        <v>402.48</v>
      </c>
      <c r="S71" s="1" t="s">
        <v>136</v>
      </c>
      <c r="T71" s="1" t="s">
        <v>137</v>
      </c>
      <c r="W71" s="1" t="s">
        <v>57</v>
      </c>
      <c r="Z71" s="1" t="s">
        <v>64</v>
      </c>
      <c r="AA71" s="5">
        <v>0</v>
      </c>
      <c r="AB71" s="5">
        <v>0</v>
      </c>
      <c r="AD71" s="1" t="s">
        <v>64</v>
      </c>
      <c r="AE71" s="4">
        <v>262.08</v>
      </c>
      <c r="AF71" s="4">
        <v>0</v>
      </c>
      <c r="AG71" s="2">
        <v>0</v>
      </c>
      <c r="AH71" s="3">
        <v>1.1200000000000001</v>
      </c>
      <c r="AI71" s="3">
        <v>0</v>
      </c>
      <c r="AJ71" s="5">
        <v>0</v>
      </c>
      <c r="AT71" s="1" t="s">
        <v>65</v>
      </c>
      <c r="AU71" s="1" t="s">
        <v>66</v>
      </c>
      <c r="AV71" s="1" t="s">
        <v>67</v>
      </c>
      <c r="AW71" s="1" t="s">
        <v>68</v>
      </c>
      <c r="AX71" s="1" t="s">
        <v>138</v>
      </c>
      <c r="AY71" s="1" t="s">
        <v>139</v>
      </c>
      <c r="BB71" s="1" t="s">
        <v>71</v>
      </c>
      <c r="BC71" s="1" t="s">
        <v>72</v>
      </c>
    </row>
    <row r="72" spans="1:55" x14ac:dyDescent="0.25">
      <c r="A72" s="1">
        <v>710</v>
      </c>
      <c r="B72" s="1" t="s">
        <v>55</v>
      </c>
      <c r="C72" s="1" t="s">
        <v>56</v>
      </c>
      <c r="D72" s="1" t="s">
        <v>57</v>
      </c>
      <c r="E72" s="1" t="s">
        <v>121</v>
      </c>
      <c r="F72" s="1" t="s">
        <v>122</v>
      </c>
      <c r="G72" s="1" t="s">
        <v>100</v>
      </c>
      <c r="H72" s="1" t="s">
        <v>101</v>
      </c>
      <c r="I72" s="2">
        <v>7433.18</v>
      </c>
      <c r="L72" s="3">
        <v>0</v>
      </c>
      <c r="M72" s="3">
        <v>1.03</v>
      </c>
      <c r="N72" s="3">
        <v>2.19</v>
      </c>
      <c r="O72" s="4">
        <v>0</v>
      </c>
      <c r="P72" s="4">
        <v>7656.18</v>
      </c>
      <c r="Q72" s="4">
        <v>16278.66</v>
      </c>
      <c r="S72" s="1" t="s">
        <v>136</v>
      </c>
      <c r="T72" s="1" t="s">
        <v>137</v>
      </c>
      <c r="W72" s="1" t="s">
        <v>57</v>
      </c>
      <c r="Z72" s="1" t="s">
        <v>64</v>
      </c>
      <c r="AA72" s="5">
        <v>0</v>
      </c>
      <c r="AB72" s="5">
        <v>0</v>
      </c>
      <c r="AD72" s="1" t="s">
        <v>64</v>
      </c>
      <c r="AE72" s="4">
        <v>7656.18</v>
      </c>
      <c r="AF72" s="4">
        <v>0</v>
      </c>
      <c r="AG72" s="2">
        <v>0</v>
      </c>
      <c r="AH72" s="3">
        <v>1.03</v>
      </c>
      <c r="AI72" s="3">
        <v>0</v>
      </c>
      <c r="AJ72" s="5">
        <v>0</v>
      </c>
      <c r="AT72" s="1" t="s">
        <v>65</v>
      </c>
      <c r="AU72" s="1" t="s">
        <v>66</v>
      </c>
      <c r="AV72" s="1" t="s">
        <v>67</v>
      </c>
      <c r="AW72" s="1" t="s">
        <v>68</v>
      </c>
      <c r="AX72" s="1" t="s">
        <v>138</v>
      </c>
      <c r="AY72" s="1" t="s">
        <v>139</v>
      </c>
      <c r="BB72" s="1" t="s">
        <v>71</v>
      </c>
      <c r="BC72" s="1" t="s">
        <v>72</v>
      </c>
    </row>
    <row r="73" spans="1:55" x14ac:dyDescent="0.25">
      <c r="A73" s="1">
        <v>720</v>
      </c>
      <c r="B73" s="1" t="s">
        <v>55</v>
      </c>
      <c r="C73" s="1" t="s">
        <v>56</v>
      </c>
      <c r="D73" s="1" t="s">
        <v>57</v>
      </c>
      <c r="E73" s="1" t="s">
        <v>132</v>
      </c>
      <c r="F73" s="1" t="s">
        <v>133</v>
      </c>
      <c r="G73" s="1" t="s">
        <v>100</v>
      </c>
      <c r="H73" s="1" t="s">
        <v>101</v>
      </c>
      <c r="I73" s="2">
        <v>16286</v>
      </c>
      <c r="L73" s="3">
        <v>0</v>
      </c>
      <c r="M73" s="3">
        <v>0.97</v>
      </c>
      <c r="N73" s="3">
        <v>0.97</v>
      </c>
      <c r="O73" s="4">
        <v>0</v>
      </c>
      <c r="P73" s="4">
        <v>15797.42</v>
      </c>
      <c r="Q73" s="4">
        <v>15797.42</v>
      </c>
      <c r="S73" s="1" t="s">
        <v>136</v>
      </c>
      <c r="T73" s="1" t="s">
        <v>137</v>
      </c>
      <c r="W73" s="1" t="s">
        <v>57</v>
      </c>
      <c r="Z73" s="1" t="s">
        <v>64</v>
      </c>
      <c r="AA73" s="5">
        <v>0</v>
      </c>
      <c r="AB73" s="5">
        <v>0</v>
      </c>
      <c r="AD73" s="1" t="s">
        <v>64</v>
      </c>
      <c r="AE73" s="4">
        <v>15797.42</v>
      </c>
      <c r="AF73" s="4">
        <v>0</v>
      </c>
      <c r="AG73" s="2">
        <v>0</v>
      </c>
      <c r="AH73" s="3">
        <v>0.97</v>
      </c>
      <c r="AI73" s="3">
        <v>0</v>
      </c>
      <c r="AJ73" s="5">
        <v>0</v>
      </c>
      <c r="AT73" s="1" t="s">
        <v>65</v>
      </c>
      <c r="AU73" s="1" t="s">
        <v>66</v>
      </c>
      <c r="AV73" s="1" t="s">
        <v>67</v>
      </c>
      <c r="AW73" s="1" t="s">
        <v>68</v>
      </c>
      <c r="AX73" s="1" t="s">
        <v>138</v>
      </c>
      <c r="AY73" s="1" t="s">
        <v>139</v>
      </c>
      <c r="BB73" s="1" t="s">
        <v>71</v>
      </c>
      <c r="BC73" s="1" t="s">
        <v>72</v>
      </c>
    </row>
    <row r="74" spans="1:55" x14ac:dyDescent="0.25">
      <c r="A74" s="1">
        <v>730</v>
      </c>
      <c r="B74" s="1" t="s">
        <v>55</v>
      </c>
      <c r="C74" s="1" t="s">
        <v>56</v>
      </c>
      <c r="D74" s="1" t="s">
        <v>57</v>
      </c>
      <c r="E74" s="1" t="s">
        <v>123</v>
      </c>
      <c r="F74" s="1" t="s">
        <v>124</v>
      </c>
      <c r="G74" s="1" t="s">
        <v>60</v>
      </c>
      <c r="H74" s="1" t="s">
        <v>61</v>
      </c>
      <c r="I74" s="2">
        <v>514.07000000000005</v>
      </c>
      <c r="L74" s="3">
        <v>0</v>
      </c>
      <c r="M74" s="3">
        <v>38.799999999999997</v>
      </c>
      <c r="N74" s="3">
        <v>28.18</v>
      </c>
      <c r="O74" s="4">
        <v>0</v>
      </c>
      <c r="P74" s="4">
        <v>19945.919999999998</v>
      </c>
      <c r="Q74" s="4">
        <v>14486.49</v>
      </c>
      <c r="S74" s="1" t="s">
        <v>136</v>
      </c>
      <c r="T74" s="1" t="s">
        <v>137</v>
      </c>
      <c r="W74" s="1" t="s">
        <v>57</v>
      </c>
      <c r="Z74" s="1" t="s">
        <v>64</v>
      </c>
      <c r="AA74" s="5">
        <v>0</v>
      </c>
      <c r="AB74" s="5">
        <v>0</v>
      </c>
      <c r="AD74" s="1" t="s">
        <v>64</v>
      </c>
      <c r="AE74" s="4">
        <v>19945.919999999998</v>
      </c>
      <c r="AF74" s="4">
        <v>0</v>
      </c>
      <c r="AG74" s="2">
        <v>0</v>
      </c>
      <c r="AH74" s="3">
        <v>38.799999999999997</v>
      </c>
      <c r="AI74" s="3">
        <v>0</v>
      </c>
      <c r="AJ74" s="5">
        <v>0</v>
      </c>
      <c r="AT74" s="1" t="s">
        <v>65</v>
      </c>
      <c r="AU74" s="1" t="s">
        <v>66</v>
      </c>
      <c r="AV74" s="1" t="s">
        <v>67</v>
      </c>
      <c r="AW74" s="1" t="s">
        <v>68</v>
      </c>
      <c r="AX74" s="1" t="s">
        <v>138</v>
      </c>
      <c r="AY74" s="1" t="s">
        <v>139</v>
      </c>
      <c r="BB74" s="1" t="s">
        <v>71</v>
      </c>
      <c r="BC74" s="1" t="s">
        <v>72</v>
      </c>
    </row>
    <row r="75" spans="1:55" x14ac:dyDescent="0.25">
      <c r="A75" s="1">
        <v>740</v>
      </c>
      <c r="B75" s="1" t="s">
        <v>55</v>
      </c>
      <c r="C75" s="1" t="s">
        <v>56</v>
      </c>
      <c r="D75" s="1" t="s">
        <v>57</v>
      </c>
      <c r="E75" s="1" t="s">
        <v>102</v>
      </c>
      <c r="F75" s="1" t="s">
        <v>103</v>
      </c>
      <c r="G75" s="1" t="s">
        <v>104</v>
      </c>
      <c r="H75" s="1" t="s">
        <v>105</v>
      </c>
      <c r="I75" s="2">
        <v>333.6</v>
      </c>
      <c r="L75" s="3">
        <v>0</v>
      </c>
      <c r="M75" s="3">
        <v>20.5</v>
      </c>
      <c r="N75" s="3">
        <v>22.96</v>
      </c>
      <c r="O75" s="4">
        <v>0</v>
      </c>
      <c r="P75" s="4">
        <v>6838.8</v>
      </c>
      <c r="Q75" s="4">
        <v>7659.46</v>
      </c>
      <c r="S75" s="1" t="s">
        <v>136</v>
      </c>
      <c r="T75" s="1" t="s">
        <v>137</v>
      </c>
      <c r="W75" s="1" t="s">
        <v>57</v>
      </c>
      <c r="Z75" s="1" t="s">
        <v>64</v>
      </c>
      <c r="AA75" s="5">
        <v>0</v>
      </c>
      <c r="AB75" s="5">
        <v>0</v>
      </c>
      <c r="AD75" s="1" t="s">
        <v>64</v>
      </c>
      <c r="AE75" s="4">
        <v>6838.8</v>
      </c>
      <c r="AF75" s="4">
        <v>0</v>
      </c>
      <c r="AG75" s="2">
        <v>0</v>
      </c>
      <c r="AH75" s="3">
        <v>20.5</v>
      </c>
      <c r="AI75" s="3">
        <v>0</v>
      </c>
      <c r="AJ75" s="5">
        <v>0</v>
      </c>
      <c r="AT75" s="1" t="s">
        <v>65</v>
      </c>
      <c r="AU75" s="1" t="s">
        <v>66</v>
      </c>
      <c r="AV75" s="1" t="s">
        <v>67</v>
      </c>
      <c r="AW75" s="1" t="s">
        <v>68</v>
      </c>
      <c r="AX75" s="1" t="s">
        <v>138</v>
      </c>
      <c r="AY75" s="1" t="s">
        <v>139</v>
      </c>
      <c r="BB75" s="1" t="s">
        <v>71</v>
      </c>
      <c r="BC75" s="1" t="s">
        <v>72</v>
      </c>
    </row>
    <row r="76" spans="1:55" x14ac:dyDescent="0.25">
      <c r="A76" s="1">
        <v>750</v>
      </c>
      <c r="B76" s="1" t="s">
        <v>55</v>
      </c>
      <c r="C76" s="1" t="s">
        <v>56</v>
      </c>
      <c r="D76" s="1" t="s">
        <v>57</v>
      </c>
      <c r="E76" s="1" t="s">
        <v>134</v>
      </c>
      <c r="F76" s="1" t="s">
        <v>135</v>
      </c>
      <c r="G76" s="1" t="s">
        <v>104</v>
      </c>
      <c r="H76" s="1" t="s">
        <v>105</v>
      </c>
      <c r="I76" s="2">
        <v>16.29</v>
      </c>
      <c r="L76" s="3">
        <v>0</v>
      </c>
      <c r="M76" s="3">
        <v>10</v>
      </c>
      <c r="N76" s="3">
        <v>45.92</v>
      </c>
      <c r="O76" s="4">
        <v>0</v>
      </c>
      <c r="P76" s="4">
        <v>162.9</v>
      </c>
      <c r="Q76" s="4">
        <v>748.04</v>
      </c>
      <c r="S76" s="1" t="s">
        <v>136</v>
      </c>
      <c r="T76" s="1" t="s">
        <v>137</v>
      </c>
      <c r="W76" s="1" t="s">
        <v>57</v>
      </c>
      <c r="Z76" s="1" t="s">
        <v>64</v>
      </c>
      <c r="AA76" s="5">
        <v>0</v>
      </c>
      <c r="AB76" s="5">
        <v>0</v>
      </c>
      <c r="AD76" s="1" t="s">
        <v>64</v>
      </c>
      <c r="AE76" s="4">
        <v>162.9</v>
      </c>
      <c r="AF76" s="4">
        <v>0</v>
      </c>
      <c r="AG76" s="2">
        <v>0</v>
      </c>
      <c r="AH76" s="3">
        <v>10</v>
      </c>
      <c r="AI76" s="3">
        <v>0</v>
      </c>
      <c r="AJ76" s="5">
        <v>0</v>
      </c>
      <c r="AT76" s="1" t="s">
        <v>65</v>
      </c>
      <c r="AU76" s="1" t="s">
        <v>66</v>
      </c>
      <c r="AV76" s="1" t="s">
        <v>67</v>
      </c>
      <c r="AW76" s="1" t="s">
        <v>68</v>
      </c>
      <c r="AX76" s="1" t="s">
        <v>138</v>
      </c>
      <c r="AY76" s="1" t="s">
        <v>139</v>
      </c>
      <c r="BB76" s="1" t="s">
        <v>71</v>
      </c>
      <c r="BC76" s="1" t="s">
        <v>72</v>
      </c>
    </row>
    <row r="77" spans="1:55" x14ac:dyDescent="0.25">
      <c r="A77" s="1">
        <v>760</v>
      </c>
      <c r="B77" s="1" t="s">
        <v>55</v>
      </c>
      <c r="C77" s="1" t="s">
        <v>56</v>
      </c>
      <c r="D77" s="1" t="s">
        <v>57</v>
      </c>
      <c r="E77" s="1" t="s">
        <v>106</v>
      </c>
      <c r="F77" s="1" t="s">
        <v>107</v>
      </c>
      <c r="G77" s="1" t="s">
        <v>104</v>
      </c>
      <c r="H77" s="1" t="s">
        <v>105</v>
      </c>
      <c r="I77" s="2">
        <v>4081.28</v>
      </c>
      <c r="L77" s="3">
        <v>0</v>
      </c>
      <c r="M77" s="3">
        <v>8</v>
      </c>
      <c r="N77" s="3">
        <v>6.7</v>
      </c>
      <c r="O77" s="4">
        <v>0</v>
      </c>
      <c r="P77" s="4">
        <v>32650.240000000002</v>
      </c>
      <c r="Q77" s="4">
        <v>27344.58</v>
      </c>
      <c r="S77" s="1" t="s">
        <v>136</v>
      </c>
      <c r="T77" s="1" t="s">
        <v>137</v>
      </c>
      <c r="W77" s="1" t="s">
        <v>57</v>
      </c>
      <c r="Z77" s="1" t="s">
        <v>64</v>
      </c>
      <c r="AA77" s="5">
        <v>0</v>
      </c>
      <c r="AB77" s="5">
        <v>0</v>
      </c>
      <c r="AD77" s="1" t="s">
        <v>64</v>
      </c>
      <c r="AE77" s="4">
        <v>32650.240000000002</v>
      </c>
      <c r="AF77" s="4">
        <v>0</v>
      </c>
      <c r="AG77" s="2">
        <v>0</v>
      </c>
      <c r="AH77" s="3">
        <v>8</v>
      </c>
      <c r="AI77" s="3">
        <v>0</v>
      </c>
      <c r="AJ77" s="5">
        <v>0</v>
      </c>
      <c r="AT77" s="1" t="s">
        <v>65</v>
      </c>
      <c r="AU77" s="1" t="s">
        <v>66</v>
      </c>
      <c r="AV77" s="1" t="s">
        <v>67</v>
      </c>
      <c r="AW77" s="1" t="s">
        <v>68</v>
      </c>
      <c r="AX77" s="1" t="s">
        <v>138</v>
      </c>
      <c r="AY77" s="1" t="s">
        <v>139</v>
      </c>
      <c r="BB77" s="1" t="s">
        <v>71</v>
      </c>
      <c r="BC77" s="1" t="s">
        <v>72</v>
      </c>
    </row>
    <row r="78" spans="1:55" x14ac:dyDescent="0.25">
      <c r="A78" s="1">
        <v>770</v>
      </c>
      <c r="B78" s="1" t="s">
        <v>55</v>
      </c>
      <c r="C78" s="1" t="s">
        <v>56</v>
      </c>
      <c r="D78" s="1" t="s">
        <v>57</v>
      </c>
      <c r="E78" s="1" t="s">
        <v>125</v>
      </c>
      <c r="F78" s="1" t="s">
        <v>126</v>
      </c>
      <c r="G78" s="1" t="s">
        <v>100</v>
      </c>
      <c r="H78" s="1" t="s">
        <v>101</v>
      </c>
      <c r="I78" s="2">
        <v>16286</v>
      </c>
      <c r="L78" s="3">
        <v>0</v>
      </c>
      <c r="M78" s="3">
        <v>3.09</v>
      </c>
      <c r="N78" s="3">
        <v>3.84</v>
      </c>
      <c r="O78" s="4">
        <v>0</v>
      </c>
      <c r="P78" s="4">
        <v>50323.74</v>
      </c>
      <c r="Q78" s="4">
        <v>62538.239999999998</v>
      </c>
      <c r="S78" s="1" t="s">
        <v>136</v>
      </c>
      <c r="T78" s="1" t="s">
        <v>137</v>
      </c>
      <c r="W78" s="1" t="s">
        <v>57</v>
      </c>
      <c r="Z78" s="1" t="s">
        <v>64</v>
      </c>
      <c r="AA78" s="5">
        <v>0</v>
      </c>
      <c r="AB78" s="5">
        <v>0</v>
      </c>
      <c r="AD78" s="1" t="s">
        <v>64</v>
      </c>
      <c r="AE78" s="4">
        <v>50323.74</v>
      </c>
      <c r="AF78" s="4">
        <v>0</v>
      </c>
      <c r="AG78" s="2">
        <v>0</v>
      </c>
      <c r="AH78" s="3">
        <v>3.09</v>
      </c>
      <c r="AI78" s="3">
        <v>0</v>
      </c>
      <c r="AJ78" s="5">
        <v>0</v>
      </c>
      <c r="AT78" s="1" t="s">
        <v>65</v>
      </c>
      <c r="AU78" s="1" t="s">
        <v>66</v>
      </c>
      <c r="AV78" s="1" t="s">
        <v>67</v>
      </c>
      <c r="AW78" s="1" t="s">
        <v>68</v>
      </c>
      <c r="AX78" s="1" t="s">
        <v>138</v>
      </c>
      <c r="AY78" s="1" t="s">
        <v>139</v>
      </c>
      <c r="BB78" s="1" t="s">
        <v>71</v>
      </c>
      <c r="BC78" s="1" t="s">
        <v>72</v>
      </c>
    </row>
    <row r="79" spans="1:55" x14ac:dyDescent="0.25">
      <c r="A79" s="1">
        <v>780</v>
      </c>
      <c r="B79" s="1" t="s">
        <v>55</v>
      </c>
      <c r="C79" s="1" t="s">
        <v>56</v>
      </c>
      <c r="D79" s="1" t="s">
        <v>57</v>
      </c>
      <c r="E79" s="1" t="s">
        <v>58</v>
      </c>
      <c r="F79" s="1" t="s">
        <v>59</v>
      </c>
      <c r="G79" s="1" t="s">
        <v>60</v>
      </c>
      <c r="H79" s="1" t="s">
        <v>61</v>
      </c>
      <c r="I79" s="2">
        <v>1111.53</v>
      </c>
      <c r="L79" s="3">
        <v>0</v>
      </c>
      <c r="M79" s="3">
        <v>6</v>
      </c>
      <c r="N79" s="3">
        <v>3.37</v>
      </c>
      <c r="O79" s="4">
        <v>0</v>
      </c>
      <c r="P79" s="4">
        <v>6669.18</v>
      </c>
      <c r="Q79" s="4">
        <v>3745.86</v>
      </c>
      <c r="S79" s="1" t="s">
        <v>140</v>
      </c>
      <c r="T79" s="1" t="s">
        <v>141</v>
      </c>
      <c r="W79" s="1" t="s">
        <v>57</v>
      </c>
      <c r="Z79" s="1" t="s">
        <v>64</v>
      </c>
      <c r="AA79" s="5">
        <v>0</v>
      </c>
      <c r="AB79" s="5">
        <v>0</v>
      </c>
      <c r="AD79" s="1" t="s">
        <v>64</v>
      </c>
      <c r="AE79" s="4">
        <v>6669.18</v>
      </c>
      <c r="AF79" s="4">
        <v>0</v>
      </c>
      <c r="AG79" s="2">
        <v>0</v>
      </c>
      <c r="AH79" s="3">
        <v>6</v>
      </c>
      <c r="AI79" s="3">
        <v>0</v>
      </c>
      <c r="AJ79" s="5">
        <v>0</v>
      </c>
      <c r="AT79" s="1" t="s">
        <v>65</v>
      </c>
      <c r="AU79" s="1" t="s">
        <v>66</v>
      </c>
      <c r="AV79" s="1" t="s">
        <v>142</v>
      </c>
      <c r="AW79" s="1" t="s">
        <v>143</v>
      </c>
      <c r="AX79" s="1" t="s">
        <v>144</v>
      </c>
      <c r="AY79" s="1" t="s">
        <v>145</v>
      </c>
      <c r="BB79" s="1" t="s">
        <v>71</v>
      </c>
      <c r="BC79" s="1" t="s">
        <v>72</v>
      </c>
    </row>
    <row r="80" spans="1:55" x14ac:dyDescent="0.25">
      <c r="A80" s="1">
        <v>790</v>
      </c>
      <c r="B80" s="1" t="s">
        <v>55</v>
      </c>
      <c r="C80" s="1" t="s">
        <v>56</v>
      </c>
      <c r="D80" s="1" t="s">
        <v>57</v>
      </c>
      <c r="E80" s="1" t="s">
        <v>73</v>
      </c>
      <c r="F80" s="1" t="s">
        <v>74</v>
      </c>
      <c r="G80" s="1" t="s">
        <v>75</v>
      </c>
      <c r="I80" s="2">
        <v>27788.25</v>
      </c>
      <c r="L80" s="3">
        <v>0</v>
      </c>
      <c r="M80" s="3">
        <v>0</v>
      </c>
      <c r="N80" s="3">
        <v>0.23</v>
      </c>
      <c r="O80" s="4">
        <v>0</v>
      </c>
      <c r="P80" s="4">
        <v>0</v>
      </c>
      <c r="Q80" s="4">
        <v>6391.3</v>
      </c>
      <c r="S80" s="1" t="s">
        <v>140</v>
      </c>
      <c r="T80" s="1" t="s">
        <v>141</v>
      </c>
      <c r="W80" s="1" t="s">
        <v>57</v>
      </c>
      <c r="Z80" s="1" t="s">
        <v>64</v>
      </c>
      <c r="AA80" s="5">
        <v>0</v>
      </c>
      <c r="AB80" s="5">
        <v>0</v>
      </c>
      <c r="AD80" s="1" t="s">
        <v>64</v>
      </c>
      <c r="AE80" s="4">
        <v>0</v>
      </c>
      <c r="AF80" s="4">
        <v>0</v>
      </c>
      <c r="AG80" s="2">
        <v>0</v>
      </c>
      <c r="AH80" s="3">
        <v>0</v>
      </c>
      <c r="AI80" s="3">
        <v>0</v>
      </c>
      <c r="AJ80" s="5">
        <v>0</v>
      </c>
      <c r="AT80" s="1" t="s">
        <v>65</v>
      </c>
      <c r="AU80" s="1" t="s">
        <v>66</v>
      </c>
      <c r="AV80" s="1" t="s">
        <v>142</v>
      </c>
      <c r="AW80" s="1" t="s">
        <v>143</v>
      </c>
      <c r="AX80" s="1" t="s">
        <v>144</v>
      </c>
      <c r="AY80" s="1" t="s">
        <v>145</v>
      </c>
      <c r="BB80" s="1" t="s">
        <v>71</v>
      </c>
      <c r="BC80" s="1" t="s">
        <v>72</v>
      </c>
    </row>
    <row r="81" spans="1:55" x14ac:dyDescent="0.25">
      <c r="A81" s="1">
        <v>800</v>
      </c>
      <c r="B81" s="1" t="s">
        <v>55</v>
      </c>
      <c r="C81" s="1" t="s">
        <v>56</v>
      </c>
      <c r="D81" s="1" t="s">
        <v>57</v>
      </c>
      <c r="E81" s="1" t="s">
        <v>146</v>
      </c>
      <c r="F81" s="1" t="s">
        <v>147</v>
      </c>
      <c r="G81" s="1" t="s">
        <v>96</v>
      </c>
      <c r="H81" s="1" t="s">
        <v>97</v>
      </c>
      <c r="I81" s="2">
        <v>5073.04</v>
      </c>
      <c r="L81" s="3">
        <v>0</v>
      </c>
      <c r="M81" s="3">
        <v>2.5</v>
      </c>
      <c r="N81" s="3">
        <v>3.52</v>
      </c>
      <c r="O81" s="4">
        <v>0</v>
      </c>
      <c r="P81" s="4">
        <v>12682.6</v>
      </c>
      <c r="Q81" s="4">
        <v>17857.099999999999</v>
      </c>
      <c r="S81" s="1" t="s">
        <v>140</v>
      </c>
      <c r="T81" s="1" t="s">
        <v>141</v>
      </c>
      <c r="W81" s="1" t="s">
        <v>57</v>
      </c>
      <c r="Z81" s="1" t="s">
        <v>64</v>
      </c>
      <c r="AA81" s="5">
        <v>0</v>
      </c>
      <c r="AB81" s="5">
        <v>0</v>
      </c>
      <c r="AD81" s="1" t="s">
        <v>64</v>
      </c>
      <c r="AE81" s="4">
        <v>12682.6</v>
      </c>
      <c r="AF81" s="4">
        <v>0</v>
      </c>
      <c r="AG81" s="2">
        <v>0</v>
      </c>
      <c r="AH81" s="3">
        <v>2.5</v>
      </c>
      <c r="AI81" s="3">
        <v>0</v>
      </c>
      <c r="AJ81" s="5">
        <v>0</v>
      </c>
      <c r="AT81" s="1" t="s">
        <v>65</v>
      </c>
      <c r="AU81" s="1" t="s">
        <v>66</v>
      </c>
      <c r="AV81" s="1" t="s">
        <v>142</v>
      </c>
      <c r="AW81" s="1" t="s">
        <v>143</v>
      </c>
      <c r="AX81" s="1" t="s">
        <v>144</v>
      </c>
      <c r="AY81" s="1" t="s">
        <v>145</v>
      </c>
      <c r="BB81" s="1" t="s">
        <v>71</v>
      </c>
      <c r="BC81" s="1" t="s">
        <v>72</v>
      </c>
    </row>
    <row r="82" spans="1:55" x14ac:dyDescent="0.25">
      <c r="A82" s="1">
        <v>810</v>
      </c>
      <c r="B82" s="1" t="s">
        <v>55</v>
      </c>
      <c r="C82" s="1" t="s">
        <v>56</v>
      </c>
      <c r="D82" s="1" t="s">
        <v>57</v>
      </c>
      <c r="E82" s="1" t="s">
        <v>131</v>
      </c>
      <c r="F82" s="1" t="s">
        <v>77</v>
      </c>
      <c r="G82" s="1" t="s">
        <v>60</v>
      </c>
      <c r="H82" s="1" t="s">
        <v>61</v>
      </c>
      <c r="I82" s="2">
        <v>5774.13</v>
      </c>
      <c r="L82" s="3">
        <v>0</v>
      </c>
      <c r="M82" s="3">
        <v>22.5</v>
      </c>
      <c r="N82" s="3">
        <v>13.28</v>
      </c>
      <c r="O82" s="4">
        <v>0</v>
      </c>
      <c r="P82" s="4">
        <v>129917.93</v>
      </c>
      <c r="Q82" s="4">
        <v>76680.45</v>
      </c>
      <c r="S82" s="1" t="s">
        <v>140</v>
      </c>
      <c r="T82" s="1" t="s">
        <v>141</v>
      </c>
      <c r="W82" s="1" t="s">
        <v>57</v>
      </c>
      <c r="Z82" s="1" t="s">
        <v>64</v>
      </c>
      <c r="AA82" s="5">
        <v>0</v>
      </c>
      <c r="AB82" s="5">
        <v>0</v>
      </c>
      <c r="AD82" s="1" t="s">
        <v>64</v>
      </c>
      <c r="AE82" s="4">
        <v>129917.93</v>
      </c>
      <c r="AF82" s="4">
        <v>0</v>
      </c>
      <c r="AG82" s="2">
        <v>0</v>
      </c>
      <c r="AH82" s="3">
        <v>22.5</v>
      </c>
      <c r="AI82" s="3">
        <v>0</v>
      </c>
      <c r="AJ82" s="5">
        <v>0</v>
      </c>
      <c r="AT82" s="1" t="s">
        <v>65</v>
      </c>
      <c r="AU82" s="1" t="s">
        <v>66</v>
      </c>
      <c r="AV82" s="1" t="s">
        <v>142</v>
      </c>
      <c r="AW82" s="1" t="s">
        <v>143</v>
      </c>
      <c r="AX82" s="1" t="s">
        <v>144</v>
      </c>
      <c r="AY82" s="1" t="s">
        <v>145</v>
      </c>
      <c r="BB82" s="1" t="s">
        <v>71</v>
      </c>
      <c r="BC82" s="1" t="s">
        <v>72</v>
      </c>
    </row>
    <row r="83" spans="1:55" x14ac:dyDescent="0.25">
      <c r="A83" s="1">
        <v>820</v>
      </c>
      <c r="B83" s="1" t="s">
        <v>55</v>
      </c>
      <c r="C83" s="1" t="s">
        <v>56</v>
      </c>
      <c r="D83" s="1" t="s">
        <v>57</v>
      </c>
      <c r="E83" s="1" t="s">
        <v>148</v>
      </c>
      <c r="F83" s="1" t="s">
        <v>149</v>
      </c>
      <c r="G83" s="1" t="s">
        <v>60</v>
      </c>
      <c r="H83" s="1" t="s">
        <v>61</v>
      </c>
      <c r="I83" s="2">
        <v>379.05</v>
      </c>
      <c r="L83" s="3">
        <v>0</v>
      </c>
      <c r="M83" s="3">
        <v>22</v>
      </c>
      <c r="N83" s="3">
        <v>20.34</v>
      </c>
      <c r="O83" s="4">
        <v>0</v>
      </c>
      <c r="P83" s="4">
        <v>8339.1</v>
      </c>
      <c r="Q83" s="4">
        <v>7709.88</v>
      </c>
      <c r="S83" s="1" t="s">
        <v>140</v>
      </c>
      <c r="T83" s="1" t="s">
        <v>141</v>
      </c>
      <c r="W83" s="1" t="s">
        <v>57</v>
      </c>
      <c r="Z83" s="1" t="s">
        <v>64</v>
      </c>
      <c r="AA83" s="5">
        <v>0</v>
      </c>
      <c r="AB83" s="5">
        <v>0</v>
      </c>
      <c r="AD83" s="1" t="s">
        <v>64</v>
      </c>
      <c r="AE83" s="4">
        <v>8339.1</v>
      </c>
      <c r="AF83" s="4">
        <v>0</v>
      </c>
      <c r="AG83" s="2">
        <v>0</v>
      </c>
      <c r="AH83" s="3">
        <v>22</v>
      </c>
      <c r="AI83" s="3">
        <v>0</v>
      </c>
      <c r="AJ83" s="5">
        <v>0</v>
      </c>
      <c r="AT83" s="1" t="s">
        <v>65</v>
      </c>
      <c r="AU83" s="1" t="s">
        <v>66</v>
      </c>
      <c r="AV83" s="1" t="s">
        <v>142</v>
      </c>
      <c r="AW83" s="1" t="s">
        <v>143</v>
      </c>
      <c r="AX83" s="1" t="s">
        <v>144</v>
      </c>
      <c r="AY83" s="1" t="s">
        <v>145</v>
      </c>
      <c r="BB83" s="1" t="s">
        <v>71</v>
      </c>
      <c r="BC83" s="1" t="s">
        <v>72</v>
      </c>
    </row>
    <row r="84" spans="1:55" x14ac:dyDescent="0.25">
      <c r="A84" s="1">
        <v>830</v>
      </c>
      <c r="B84" s="1" t="s">
        <v>55</v>
      </c>
      <c r="C84" s="1" t="s">
        <v>56</v>
      </c>
      <c r="D84" s="1" t="s">
        <v>57</v>
      </c>
      <c r="E84" s="1" t="s">
        <v>78</v>
      </c>
      <c r="F84" s="1" t="s">
        <v>79</v>
      </c>
      <c r="G84" s="1" t="s">
        <v>60</v>
      </c>
      <c r="H84" s="1" t="s">
        <v>61</v>
      </c>
      <c r="I84" s="2">
        <v>5774.13</v>
      </c>
      <c r="L84" s="3">
        <v>0</v>
      </c>
      <c r="M84" s="3">
        <v>2.5</v>
      </c>
      <c r="N84" s="3">
        <v>1.56</v>
      </c>
      <c r="O84" s="4">
        <v>0</v>
      </c>
      <c r="P84" s="4">
        <v>14435.33</v>
      </c>
      <c r="Q84" s="4">
        <v>9007.64</v>
      </c>
      <c r="S84" s="1" t="s">
        <v>140</v>
      </c>
      <c r="T84" s="1" t="s">
        <v>141</v>
      </c>
      <c r="W84" s="1" t="s">
        <v>57</v>
      </c>
      <c r="Z84" s="1" t="s">
        <v>64</v>
      </c>
      <c r="AA84" s="5">
        <v>0</v>
      </c>
      <c r="AB84" s="5">
        <v>0</v>
      </c>
      <c r="AD84" s="1" t="s">
        <v>64</v>
      </c>
      <c r="AE84" s="4">
        <v>14435.33</v>
      </c>
      <c r="AF84" s="4">
        <v>0</v>
      </c>
      <c r="AG84" s="2">
        <v>0</v>
      </c>
      <c r="AH84" s="3">
        <v>2.5</v>
      </c>
      <c r="AI84" s="3">
        <v>0</v>
      </c>
      <c r="AJ84" s="5">
        <v>0</v>
      </c>
      <c r="AT84" s="1" t="s">
        <v>65</v>
      </c>
      <c r="AU84" s="1" t="s">
        <v>66</v>
      </c>
      <c r="AV84" s="1" t="s">
        <v>142</v>
      </c>
      <c r="AW84" s="1" t="s">
        <v>143</v>
      </c>
      <c r="AX84" s="1" t="s">
        <v>144</v>
      </c>
      <c r="AY84" s="1" t="s">
        <v>145</v>
      </c>
      <c r="BB84" s="1" t="s">
        <v>71</v>
      </c>
      <c r="BC84" s="1" t="s">
        <v>72</v>
      </c>
    </row>
    <row r="85" spans="1:55" x14ac:dyDescent="0.25">
      <c r="A85" s="1">
        <v>840</v>
      </c>
      <c r="B85" s="1" t="s">
        <v>55</v>
      </c>
      <c r="C85" s="1" t="s">
        <v>56</v>
      </c>
      <c r="D85" s="1" t="s">
        <v>57</v>
      </c>
      <c r="E85" s="1" t="s">
        <v>150</v>
      </c>
      <c r="F85" s="1" t="s">
        <v>151</v>
      </c>
      <c r="G85" s="1" t="s">
        <v>60</v>
      </c>
      <c r="H85" s="1" t="s">
        <v>61</v>
      </c>
      <c r="I85" s="2">
        <v>379.05</v>
      </c>
      <c r="L85" s="3">
        <v>0</v>
      </c>
      <c r="M85" s="3">
        <v>0.83</v>
      </c>
      <c r="N85" s="3">
        <v>0.53</v>
      </c>
      <c r="O85" s="4">
        <v>0</v>
      </c>
      <c r="P85" s="4">
        <v>314.61</v>
      </c>
      <c r="Q85" s="4">
        <v>200.9</v>
      </c>
      <c r="S85" s="1" t="s">
        <v>140</v>
      </c>
      <c r="T85" s="1" t="s">
        <v>141</v>
      </c>
      <c r="W85" s="1" t="s">
        <v>57</v>
      </c>
      <c r="Z85" s="1" t="s">
        <v>64</v>
      </c>
      <c r="AA85" s="5">
        <v>0</v>
      </c>
      <c r="AB85" s="5">
        <v>0</v>
      </c>
      <c r="AD85" s="1" t="s">
        <v>64</v>
      </c>
      <c r="AE85" s="4">
        <v>314.61</v>
      </c>
      <c r="AF85" s="4">
        <v>0</v>
      </c>
      <c r="AG85" s="2">
        <v>0</v>
      </c>
      <c r="AH85" s="3">
        <v>0.83</v>
      </c>
      <c r="AI85" s="3">
        <v>0</v>
      </c>
      <c r="AJ85" s="5">
        <v>0</v>
      </c>
      <c r="AT85" s="1" t="s">
        <v>65</v>
      </c>
      <c r="AU85" s="1" t="s">
        <v>66</v>
      </c>
      <c r="AV85" s="1" t="s">
        <v>142</v>
      </c>
      <c r="AW85" s="1" t="s">
        <v>143</v>
      </c>
      <c r="AX85" s="1" t="s">
        <v>144</v>
      </c>
      <c r="AY85" s="1" t="s">
        <v>145</v>
      </c>
      <c r="BB85" s="1" t="s">
        <v>71</v>
      </c>
      <c r="BC85" s="1" t="s">
        <v>72</v>
      </c>
    </row>
    <row r="86" spans="1:55" x14ac:dyDescent="0.25">
      <c r="A86" s="1">
        <v>850</v>
      </c>
      <c r="B86" s="1" t="s">
        <v>55</v>
      </c>
      <c r="C86" s="1" t="s">
        <v>56</v>
      </c>
      <c r="D86" s="1" t="s">
        <v>57</v>
      </c>
      <c r="E86" s="1" t="s">
        <v>152</v>
      </c>
      <c r="F86" s="1" t="s">
        <v>153</v>
      </c>
      <c r="G86" s="1" t="s">
        <v>60</v>
      </c>
      <c r="H86" s="1" t="s">
        <v>61</v>
      </c>
      <c r="I86" s="2">
        <v>2215.9899999999998</v>
      </c>
      <c r="L86" s="3">
        <v>0</v>
      </c>
      <c r="M86" s="3">
        <v>27.5</v>
      </c>
      <c r="N86" s="3">
        <v>29.16</v>
      </c>
      <c r="O86" s="4">
        <v>0</v>
      </c>
      <c r="P86" s="4">
        <v>60939.73</v>
      </c>
      <c r="Q86" s="4">
        <v>64618.27</v>
      </c>
      <c r="S86" s="1" t="s">
        <v>140</v>
      </c>
      <c r="T86" s="1" t="s">
        <v>141</v>
      </c>
      <c r="W86" s="1" t="s">
        <v>57</v>
      </c>
      <c r="Z86" s="1" t="s">
        <v>64</v>
      </c>
      <c r="AA86" s="5">
        <v>0</v>
      </c>
      <c r="AB86" s="5">
        <v>0</v>
      </c>
      <c r="AD86" s="1" t="s">
        <v>64</v>
      </c>
      <c r="AE86" s="4">
        <v>60939.73</v>
      </c>
      <c r="AF86" s="4">
        <v>0</v>
      </c>
      <c r="AG86" s="2">
        <v>0</v>
      </c>
      <c r="AH86" s="3">
        <v>27.5</v>
      </c>
      <c r="AI86" s="3">
        <v>0</v>
      </c>
      <c r="AJ86" s="5">
        <v>0</v>
      </c>
      <c r="AT86" s="1" t="s">
        <v>65</v>
      </c>
      <c r="AU86" s="1" t="s">
        <v>66</v>
      </c>
      <c r="AV86" s="1" t="s">
        <v>142</v>
      </c>
      <c r="AW86" s="1" t="s">
        <v>143</v>
      </c>
      <c r="AX86" s="1" t="s">
        <v>144</v>
      </c>
      <c r="AY86" s="1" t="s">
        <v>145</v>
      </c>
      <c r="BB86" s="1" t="s">
        <v>71</v>
      </c>
      <c r="BC86" s="1" t="s">
        <v>72</v>
      </c>
    </row>
    <row r="87" spans="1:55" x14ac:dyDescent="0.25">
      <c r="A87" s="1">
        <v>860</v>
      </c>
      <c r="B87" s="1" t="s">
        <v>55</v>
      </c>
      <c r="C87" s="1" t="s">
        <v>56</v>
      </c>
      <c r="D87" s="1" t="s">
        <v>57</v>
      </c>
      <c r="E87" s="1" t="s">
        <v>106</v>
      </c>
      <c r="F87" s="1" t="s">
        <v>107</v>
      </c>
      <c r="G87" s="1" t="s">
        <v>104</v>
      </c>
      <c r="H87" s="1" t="s">
        <v>105</v>
      </c>
      <c r="I87" s="2">
        <v>2223.06</v>
      </c>
      <c r="L87" s="3">
        <v>0</v>
      </c>
      <c r="M87" s="3">
        <v>8</v>
      </c>
      <c r="N87" s="3">
        <v>6.7</v>
      </c>
      <c r="O87" s="4">
        <v>0</v>
      </c>
      <c r="P87" s="4">
        <v>17784.48</v>
      </c>
      <c r="Q87" s="4">
        <v>14894.5</v>
      </c>
      <c r="S87" s="1" t="s">
        <v>140</v>
      </c>
      <c r="T87" s="1" t="s">
        <v>141</v>
      </c>
      <c r="W87" s="1" t="s">
        <v>57</v>
      </c>
      <c r="Z87" s="1" t="s">
        <v>64</v>
      </c>
      <c r="AA87" s="5">
        <v>0</v>
      </c>
      <c r="AB87" s="5">
        <v>0</v>
      </c>
      <c r="AD87" s="1" t="s">
        <v>64</v>
      </c>
      <c r="AE87" s="4">
        <v>17784.48</v>
      </c>
      <c r="AF87" s="4">
        <v>0</v>
      </c>
      <c r="AG87" s="2">
        <v>0</v>
      </c>
      <c r="AH87" s="3">
        <v>8</v>
      </c>
      <c r="AI87" s="3">
        <v>0</v>
      </c>
      <c r="AJ87" s="5">
        <v>0</v>
      </c>
      <c r="AT87" s="1" t="s">
        <v>65</v>
      </c>
      <c r="AU87" s="1" t="s">
        <v>66</v>
      </c>
      <c r="AV87" s="1" t="s">
        <v>142</v>
      </c>
      <c r="AW87" s="1" t="s">
        <v>143</v>
      </c>
      <c r="AX87" s="1" t="s">
        <v>144</v>
      </c>
      <c r="AY87" s="1" t="s">
        <v>145</v>
      </c>
      <c r="BB87" s="1" t="s">
        <v>71</v>
      </c>
      <c r="BC87" s="1" t="s">
        <v>72</v>
      </c>
    </row>
    <row r="88" spans="1:55" x14ac:dyDescent="0.25">
      <c r="A88" s="1">
        <v>870</v>
      </c>
      <c r="B88" s="1" t="s">
        <v>55</v>
      </c>
      <c r="C88" s="1" t="s">
        <v>56</v>
      </c>
      <c r="D88" s="1" t="s">
        <v>57</v>
      </c>
      <c r="E88" s="1" t="s">
        <v>58</v>
      </c>
      <c r="F88" s="1" t="s">
        <v>59</v>
      </c>
      <c r="G88" s="1" t="s">
        <v>60</v>
      </c>
      <c r="H88" s="1" t="s">
        <v>61</v>
      </c>
      <c r="I88" s="2">
        <v>12662</v>
      </c>
      <c r="L88" s="3">
        <v>0</v>
      </c>
      <c r="M88" s="3">
        <v>6</v>
      </c>
      <c r="N88" s="3">
        <v>3.37</v>
      </c>
      <c r="O88" s="4">
        <v>0</v>
      </c>
      <c r="P88" s="4">
        <v>75972</v>
      </c>
      <c r="Q88" s="4">
        <v>42670.94</v>
      </c>
      <c r="S88" s="1" t="s">
        <v>154</v>
      </c>
      <c r="T88" s="1" t="s">
        <v>155</v>
      </c>
      <c r="W88" s="1" t="s">
        <v>57</v>
      </c>
      <c r="Z88" s="1" t="s">
        <v>64</v>
      </c>
      <c r="AA88" s="5">
        <v>0</v>
      </c>
      <c r="AB88" s="5">
        <v>0</v>
      </c>
      <c r="AD88" s="1" t="s">
        <v>64</v>
      </c>
      <c r="AE88" s="4">
        <v>75972</v>
      </c>
      <c r="AF88" s="4">
        <v>0</v>
      </c>
      <c r="AG88" s="2">
        <v>0</v>
      </c>
      <c r="AH88" s="3">
        <v>6</v>
      </c>
      <c r="AI88" s="3">
        <v>0</v>
      </c>
      <c r="AJ88" s="5">
        <v>0</v>
      </c>
      <c r="AT88" s="1" t="s">
        <v>65</v>
      </c>
      <c r="AU88" s="1" t="s">
        <v>66</v>
      </c>
      <c r="AV88" s="1" t="s">
        <v>142</v>
      </c>
      <c r="AW88" s="1" t="s">
        <v>143</v>
      </c>
      <c r="AX88" s="1" t="s">
        <v>156</v>
      </c>
      <c r="AY88" s="1" t="s">
        <v>157</v>
      </c>
      <c r="BB88" s="1" t="s">
        <v>71</v>
      </c>
      <c r="BC88" s="1" t="s">
        <v>72</v>
      </c>
    </row>
    <row r="89" spans="1:55" x14ac:dyDescent="0.25">
      <c r="A89" s="1">
        <v>880</v>
      </c>
      <c r="B89" s="1" t="s">
        <v>55</v>
      </c>
      <c r="C89" s="1" t="s">
        <v>56</v>
      </c>
      <c r="D89" s="1" t="s">
        <v>57</v>
      </c>
      <c r="E89" s="1" t="s">
        <v>158</v>
      </c>
      <c r="F89" s="1" t="s">
        <v>159</v>
      </c>
      <c r="G89" s="1" t="s">
        <v>60</v>
      </c>
      <c r="H89" s="1" t="s">
        <v>61</v>
      </c>
      <c r="I89" s="2">
        <v>12662</v>
      </c>
      <c r="L89" s="3">
        <v>0</v>
      </c>
      <c r="M89" s="3">
        <v>8.3699999999999992</v>
      </c>
      <c r="N89" s="3">
        <v>4.38</v>
      </c>
      <c r="O89" s="4">
        <v>0</v>
      </c>
      <c r="P89" s="4">
        <v>105980.94</v>
      </c>
      <c r="Q89" s="4">
        <v>55459.56</v>
      </c>
      <c r="S89" s="1" t="s">
        <v>154</v>
      </c>
      <c r="T89" s="1" t="s">
        <v>155</v>
      </c>
      <c r="W89" s="1" t="s">
        <v>57</v>
      </c>
      <c r="Z89" s="1" t="s">
        <v>64</v>
      </c>
      <c r="AA89" s="5">
        <v>0</v>
      </c>
      <c r="AB89" s="5">
        <v>0</v>
      </c>
      <c r="AD89" s="1" t="s">
        <v>64</v>
      </c>
      <c r="AE89" s="4">
        <v>105980.94</v>
      </c>
      <c r="AF89" s="4">
        <v>0</v>
      </c>
      <c r="AG89" s="2">
        <v>0</v>
      </c>
      <c r="AH89" s="3">
        <v>8.3699999999999992</v>
      </c>
      <c r="AI89" s="3">
        <v>0</v>
      </c>
      <c r="AJ89" s="5">
        <v>0</v>
      </c>
      <c r="AT89" s="1" t="s">
        <v>65</v>
      </c>
      <c r="AU89" s="1" t="s">
        <v>66</v>
      </c>
      <c r="AV89" s="1" t="s">
        <v>142</v>
      </c>
      <c r="AW89" s="1" t="s">
        <v>143</v>
      </c>
      <c r="AX89" s="1" t="s">
        <v>156</v>
      </c>
      <c r="AY89" s="1" t="s">
        <v>157</v>
      </c>
      <c r="BB89" s="1" t="s">
        <v>71</v>
      </c>
      <c r="BC89" s="1" t="s">
        <v>72</v>
      </c>
    </row>
    <row r="90" spans="1:55" x14ac:dyDescent="0.25">
      <c r="A90" s="1">
        <v>890</v>
      </c>
      <c r="B90" s="1" t="s">
        <v>55</v>
      </c>
      <c r="C90" s="1" t="s">
        <v>56</v>
      </c>
      <c r="D90" s="1" t="s">
        <v>57</v>
      </c>
      <c r="E90" s="1" t="s">
        <v>152</v>
      </c>
      <c r="F90" s="1" t="s">
        <v>153</v>
      </c>
      <c r="G90" s="1" t="s">
        <v>60</v>
      </c>
      <c r="H90" s="1" t="s">
        <v>61</v>
      </c>
      <c r="I90" s="2">
        <v>12662</v>
      </c>
      <c r="L90" s="3">
        <v>0</v>
      </c>
      <c r="M90" s="3">
        <v>27.5</v>
      </c>
      <c r="N90" s="3">
        <v>29.16</v>
      </c>
      <c r="O90" s="4">
        <v>0</v>
      </c>
      <c r="P90" s="4">
        <v>348205</v>
      </c>
      <c r="Q90" s="4">
        <v>369223.92</v>
      </c>
      <c r="S90" s="1" t="s">
        <v>154</v>
      </c>
      <c r="T90" s="1" t="s">
        <v>155</v>
      </c>
      <c r="W90" s="1" t="s">
        <v>57</v>
      </c>
      <c r="Z90" s="1" t="s">
        <v>64</v>
      </c>
      <c r="AA90" s="5">
        <v>0</v>
      </c>
      <c r="AB90" s="5">
        <v>0</v>
      </c>
      <c r="AD90" s="1" t="s">
        <v>64</v>
      </c>
      <c r="AE90" s="4">
        <v>348205</v>
      </c>
      <c r="AF90" s="4">
        <v>0</v>
      </c>
      <c r="AG90" s="2">
        <v>0</v>
      </c>
      <c r="AH90" s="3">
        <v>27.5</v>
      </c>
      <c r="AI90" s="3">
        <v>0</v>
      </c>
      <c r="AJ90" s="5">
        <v>0</v>
      </c>
      <c r="AT90" s="1" t="s">
        <v>65</v>
      </c>
      <c r="AU90" s="1" t="s">
        <v>66</v>
      </c>
      <c r="AV90" s="1" t="s">
        <v>142</v>
      </c>
      <c r="AW90" s="1" t="s">
        <v>143</v>
      </c>
      <c r="AX90" s="1" t="s">
        <v>156</v>
      </c>
      <c r="AY90" s="1" t="s">
        <v>157</v>
      </c>
      <c r="BB90" s="1" t="s">
        <v>71</v>
      </c>
      <c r="BC90" s="1" t="s">
        <v>72</v>
      </c>
    </row>
    <row r="91" spans="1:55" x14ac:dyDescent="0.25">
      <c r="A91" s="1">
        <v>900</v>
      </c>
      <c r="B91" s="1" t="s">
        <v>55</v>
      </c>
      <c r="C91" s="1" t="s">
        <v>56</v>
      </c>
      <c r="D91" s="1" t="s">
        <v>57</v>
      </c>
      <c r="E91" s="1" t="s">
        <v>160</v>
      </c>
      <c r="F91" s="1" t="s">
        <v>161</v>
      </c>
      <c r="G91" s="1" t="s">
        <v>96</v>
      </c>
      <c r="H91" s="1" t="s">
        <v>97</v>
      </c>
      <c r="I91" s="2">
        <v>31655</v>
      </c>
      <c r="L91" s="3">
        <v>0</v>
      </c>
      <c r="M91" s="3">
        <v>2.76</v>
      </c>
      <c r="N91" s="3">
        <v>2.9</v>
      </c>
      <c r="O91" s="4">
        <v>0</v>
      </c>
      <c r="P91" s="4">
        <v>87367.8</v>
      </c>
      <c r="Q91" s="4">
        <v>91799.5</v>
      </c>
      <c r="S91" s="1" t="s">
        <v>154</v>
      </c>
      <c r="T91" s="1" t="s">
        <v>155</v>
      </c>
      <c r="W91" s="1" t="s">
        <v>57</v>
      </c>
      <c r="Z91" s="1" t="s">
        <v>64</v>
      </c>
      <c r="AA91" s="5">
        <v>0</v>
      </c>
      <c r="AB91" s="5">
        <v>0</v>
      </c>
      <c r="AD91" s="1" t="s">
        <v>64</v>
      </c>
      <c r="AE91" s="4">
        <v>87367.8</v>
      </c>
      <c r="AF91" s="4">
        <v>0</v>
      </c>
      <c r="AG91" s="2">
        <v>0</v>
      </c>
      <c r="AH91" s="3">
        <v>2.76</v>
      </c>
      <c r="AI91" s="3">
        <v>0</v>
      </c>
      <c r="AJ91" s="5">
        <v>0</v>
      </c>
      <c r="AT91" s="1" t="s">
        <v>65</v>
      </c>
      <c r="AU91" s="1" t="s">
        <v>66</v>
      </c>
      <c r="AV91" s="1" t="s">
        <v>142</v>
      </c>
      <c r="AW91" s="1" t="s">
        <v>143</v>
      </c>
      <c r="AX91" s="1" t="s">
        <v>156</v>
      </c>
      <c r="AY91" s="1" t="s">
        <v>157</v>
      </c>
      <c r="BB91" s="1" t="s">
        <v>71</v>
      </c>
      <c r="BC91" s="1" t="s">
        <v>72</v>
      </c>
    </row>
    <row r="92" spans="1:55" x14ac:dyDescent="0.25">
      <c r="A92" s="1">
        <v>910</v>
      </c>
      <c r="B92" s="1" t="s">
        <v>55</v>
      </c>
      <c r="C92" s="1" t="s">
        <v>56</v>
      </c>
      <c r="D92" s="1" t="s">
        <v>57</v>
      </c>
      <c r="E92" s="1" t="s">
        <v>162</v>
      </c>
      <c r="F92" s="1" t="s">
        <v>163</v>
      </c>
      <c r="G92" s="1" t="s">
        <v>104</v>
      </c>
      <c r="H92" s="1" t="s">
        <v>105</v>
      </c>
      <c r="I92" s="2">
        <v>16460.599999999999</v>
      </c>
      <c r="L92" s="3">
        <v>0</v>
      </c>
      <c r="M92" s="3">
        <v>10</v>
      </c>
      <c r="N92" s="3">
        <v>11.48</v>
      </c>
      <c r="O92" s="4">
        <v>0</v>
      </c>
      <c r="P92" s="4">
        <v>164606</v>
      </c>
      <c r="Q92" s="4">
        <v>188967.69</v>
      </c>
      <c r="S92" s="1" t="s">
        <v>154</v>
      </c>
      <c r="T92" s="1" t="s">
        <v>155</v>
      </c>
      <c r="W92" s="1" t="s">
        <v>57</v>
      </c>
      <c r="Z92" s="1" t="s">
        <v>64</v>
      </c>
      <c r="AA92" s="5">
        <v>0</v>
      </c>
      <c r="AB92" s="5">
        <v>0</v>
      </c>
      <c r="AD92" s="1" t="s">
        <v>64</v>
      </c>
      <c r="AE92" s="4">
        <v>164606</v>
      </c>
      <c r="AF92" s="4">
        <v>0</v>
      </c>
      <c r="AG92" s="2">
        <v>0</v>
      </c>
      <c r="AH92" s="3">
        <v>10</v>
      </c>
      <c r="AI92" s="3">
        <v>0</v>
      </c>
      <c r="AJ92" s="5">
        <v>0</v>
      </c>
      <c r="AT92" s="1" t="s">
        <v>65</v>
      </c>
      <c r="AU92" s="1" t="s">
        <v>66</v>
      </c>
      <c r="AV92" s="1" t="s">
        <v>142</v>
      </c>
      <c r="AW92" s="1" t="s">
        <v>143</v>
      </c>
      <c r="AX92" s="1" t="s">
        <v>164</v>
      </c>
      <c r="AY92" s="1" t="s">
        <v>165</v>
      </c>
      <c r="BB92" s="1" t="s">
        <v>71</v>
      </c>
      <c r="BC92" s="1" t="s">
        <v>72</v>
      </c>
    </row>
    <row r="93" spans="1:55" x14ac:dyDescent="0.25">
      <c r="A93" s="1">
        <v>920</v>
      </c>
      <c r="B93" s="1" t="s">
        <v>55</v>
      </c>
      <c r="C93" s="1" t="s">
        <v>56</v>
      </c>
      <c r="D93" s="1" t="s">
        <v>57</v>
      </c>
      <c r="E93" s="1" t="s">
        <v>106</v>
      </c>
      <c r="F93" s="1" t="s">
        <v>107</v>
      </c>
      <c r="G93" s="1" t="s">
        <v>104</v>
      </c>
      <c r="H93" s="1" t="s">
        <v>105</v>
      </c>
      <c r="I93" s="2">
        <v>25324</v>
      </c>
      <c r="L93" s="3">
        <v>0</v>
      </c>
      <c r="M93" s="3">
        <v>8</v>
      </c>
      <c r="N93" s="3">
        <v>6.7</v>
      </c>
      <c r="O93" s="4">
        <v>0</v>
      </c>
      <c r="P93" s="4">
        <v>202592</v>
      </c>
      <c r="Q93" s="4">
        <v>169670.8</v>
      </c>
      <c r="S93" s="1" t="s">
        <v>154</v>
      </c>
      <c r="T93" s="1" t="s">
        <v>155</v>
      </c>
      <c r="W93" s="1" t="s">
        <v>57</v>
      </c>
      <c r="Z93" s="1" t="s">
        <v>64</v>
      </c>
      <c r="AA93" s="5">
        <v>0</v>
      </c>
      <c r="AB93" s="5">
        <v>0</v>
      </c>
      <c r="AD93" s="1" t="s">
        <v>64</v>
      </c>
      <c r="AE93" s="4">
        <v>202592</v>
      </c>
      <c r="AF93" s="4">
        <v>0</v>
      </c>
      <c r="AG93" s="2">
        <v>0</v>
      </c>
      <c r="AH93" s="3">
        <v>8</v>
      </c>
      <c r="AI93" s="3">
        <v>0</v>
      </c>
      <c r="AJ93" s="5">
        <v>0</v>
      </c>
      <c r="AT93" s="1" t="s">
        <v>65</v>
      </c>
      <c r="AU93" s="1" t="s">
        <v>66</v>
      </c>
      <c r="AV93" s="1" t="s">
        <v>142</v>
      </c>
      <c r="AW93" s="1" t="s">
        <v>143</v>
      </c>
      <c r="AX93" s="1" t="s">
        <v>156</v>
      </c>
      <c r="AY93" s="1" t="s">
        <v>157</v>
      </c>
      <c r="BB93" s="1" t="s">
        <v>71</v>
      </c>
      <c r="BC93" s="1" t="s">
        <v>72</v>
      </c>
    </row>
    <row r="94" spans="1:55" x14ac:dyDescent="0.25">
      <c r="A94" s="1">
        <v>930</v>
      </c>
      <c r="B94" s="1" t="s">
        <v>55</v>
      </c>
      <c r="C94" s="1" t="s">
        <v>56</v>
      </c>
      <c r="D94" s="1" t="s">
        <v>57</v>
      </c>
      <c r="E94" s="1" t="s">
        <v>158</v>
      </c>
      <c r="F94" s="1" t="s">
        <v>159</v>
      </c>
      <c r="G94" s="1" t="s">
        <v>60</v>
      </c>
      <c r="H94" s="1" t="s">
        <v>61</v>
      </c>
      <c r="I94" s="2">
        <v>2466.96</v>
      </c>
      <c r="L94" s="3">
        <v>0</v>
      </c>
      <c r="M94" s="3">
        <v>8.3699999999999992</v>
      </c>
      <c r="N94" s="3">
        <v>4.38</v>
      </c>
      <c r="O94" s="4">
        <v>0</v>
      </c>
      <c r="P94" s="4">
        <v>20648.46</v>
      </c>
      <c r="Q94" s="4">
        <v>10805.28</v>
      </c>
      <c r="S94" s="1" t="s">
        <v>166</v>
      </c>
      <c r="T94" s="1" t="s">
        <v>167</v>
      </c>
      <c r="W94" s="1" t="s">
        <v>57</v>
      </c>
      <c r="Z94" s="1" t="s">
        <v>64</v>
      </c>
      <c r="AA94" s="5">
        <v>0</v>
      </c>
      <c r="AB94" s="5">
        <v>0</v>
      </c>
      <c r="AD94" s="1" t="s">
        <v>64</v>
      </c>
      <c r="AE94" s="4">
        <v>20648.46</v>
      </c>
      <c r="AF94" s="4">
        <v>0</v>
      </c>
      <c r="AG94" s="2">
        <v>0</v>
      </c>
      <c r="AH94" s="3">
        <v>8.3699999999999992</v>
      </c>
      <c r="AI94" s="3">
        <v>0</v>
      </c>
      <c r="AJ94" s="5">
        <v>0</v>
      </c>
      <c r="AT94" s="1" t="s">
        <v>65</v>
      </c>
      <c r="AU94" s="1" t="s">
        <v>66</v>
      </c>
      <c r="AV94" s="1" t="s">
        <v>168</v>
      </c>
      <c r="AW94" s="1" t="s">
        <v>169</v>
      </c>
      <c r="AX94" s="1" t="s">
        <v>164</v>
      </c>
      <c r="AY94" s="1" t="s">
        <v>165</v>
      </c>
      <c r="BB94" s="1" t="s">
        <v>71</v>
      </c>
      <c r="BC94" s="1" t="s">
        <v>72</v>
      </c>
    </row>
    <row r="95" spans="1:55" x14ac:dyDescent="0.25">
      <c r="A95" s="1">
        <v>940</v>
      </c>
      <c r="B95" s="1" t="s">
        <v>55</v>
      </c>
      <c r="C95" s="1" t="s">
        <v>56</v>
      </c>
      <c r="D95" s="1" t="s">
        <v>57</v>
      </c>
      <c r="E95" s="1" t="s">
        <v>82</v>
      </c>
      <c r="F95" s="1" t="s">
        <v>83</v>
      </c>
      <c r="G95" s="1" t="s">
        <v>60</v>
      </c>
      <c r="H95" s="1" t="s">
        <v>61</v>
      </c>
      <c r="I95" s="2">
        <v>5.4</v>
      </c>
      <c r="L95" s="3">
        <v>0</v>
      </c>
      <c r="M95" s="3">
        <v>140</v>
      </c>
      <c r="N95" s="3">
        <v>177.27</v>
      </c>
      <c r="O95" s="4">
        <v>0</v>
      </c>
      <c r="P95" s="4">
        <v>756</v>
      </c>
      <c r="Q95" s="4">
        <v>957.26</v>
      </c>
      <c r="S95" s="1" t="s">
        <v>166</v>
      </c>
      <c r="T95" s="1" t="s">
        <v>167</v>
      </c>
      <c r="W95" s="1" t="s">
        <v>57</v>
      </c>
      <c r="Z95" s="1" t="s">
        <v>64</v>
      </c>
      <c r="AA95" s="5">
        <v>0</v>
      </c>
      <c r="AB95" s="5">
        <v>0</v>
      </c>
      <c r="AD95" s="1" t="s">
        <v>64</v>
      </c>
      <c r="AE95" s="4">
        <v>756</v>
      </c>
      <c r="AF95" s="4">
        <v>0</v>
      </c>
      <c r="AG95" s="2">
        <v>0</v>
      </c>
      <c r="AH95" s="3">
        <v>140</v>
      </c>
      <c r="AI95" s="3">
        <v>0</v>
      </c>
      <c r="AJ95" s="5">
        <v>0</v>
      </c>
      <c r="AT95" s="1" t="s">
        <v>65</v>
      </c>
      <c r="AU95" s="1" t="s">
        <v>66</v>
      </c>
      <c r="AV95" s="1" t="s">
        <v>168</v>
      </c>
      <c r="AW95" s="1" t="s">
        <v>169</v>
      </c>
      <c r="AX95" s="1" t="s">
        <v>170</v>
      </c>
      <c r="AY95" s="1" t="s">
        <v>171</v>
      </c>
      <c r="BB95" s="1" t="s">
        <v>71</v>
      </c>
      <c r="BC95" s="1" t="s">
        <v>72</v>
      </c>
    </row>
    <row r="96" spans="1:55" x14ac:dyDescent="0.25">
      <c r="A96" s="1">
        <v>950</v>
      </c>
      <c r="B96" s="1" t="s">
        <v>55</v>
      </c>
      <c r="C96" s="1" t="s">
        <v>56</v>
      </c>
      <c r="D96" s="1" t="s">
        <v>57</v>
      </c>
      <c r="E96" s="1" t="s">
        <v>172</v>
      </c>
      <c r="F96" s="1" t="s">
        <v>173</v>
      </c>
      <c r="G96" s="1" t="s">
        <v>60</v>
      </c>
      <c r="H96" s="1" t="s">
        <v>61</v>
      </c>
      <c r="I96" s="2">
        <v>12210.58</v>
      </c>
      <c r="L96" s="3">
        <v>0</v>
      </c>
      <c r="M96" s="3">
        <v>141.45500000000001</v>
      </c>
      <c r="N96" s="3">
        <v>99.22</v>
      </c>
      <c r="O96" s="4">
        <v>0</v>
      </c>
      <c r="P96" s="4">
        <v>1727247.59</v>
      </c>
      <c r="Q96" s="4">
        <v>1211533.75</v>
      </c>
      <c r="S96" s="1" t="s">
        <v>166</v>
      </c>
      <c r="T96" s="1" t="s">
        <v>167</v>
      </c>
      <c r="W96" s="1" t="s">
        <v>57</v>
      </c>
      <c r="Z96" s="1" t="s">
        <v>64</v>
      </c>
      <c r="AA96" s="5">
        <v>0</v>
      </c>
      <c r="AB96" s="5">
        <v>0</v>
      </c>
      <c r="AD96" s="1" t="s">
        <v>64</v>
      </c>
      <c r="AE96" s="4">
        <v>1727247.59</v>
      </c>
      <c r="AF96" s="4">
        <v>0</v>
      </c>
      <c r="AG96" s="2">
        <v>0</v>
      </c>
      <c r="AH96" s="3">
        <v>141.45500000000001</v>
      </c>
      <c r="AI96" s="3">
        <v>0</v>
      </c>
      <c r="AJ96" s="5">
        <v>0</v>
      </c>
      <c r="AT96" s="1" t="s">
        <v>65</v>
      </c>
      <c r="AU96" s="1" t="s">
        <v>66</v>
      </c>
      <c r="AV96" s="1" t="s">
        <v>168</v>
      </c>
      <c r="AW96" s="1" t="s">
        <v>169</v>
      </c>
      <c r="AX96" s="1" t="s">
        <v>170</v>
      </c>
      <c r="AY96" s="1" t="s">
        <v>171</v>
      </c>
      <c r="BB96" s="1" t="s">
        <v>71</v>
      </c>
      <c r="BC96" s="1" t="s">
        <v>72</v>
      </c>
    </row>
    <row r="97" spans="1:55" x14ac:dyDescent="0.25">
      <c r="A97" s="1">
        <v>960</v>
      </c>
      <c r="B97" s="1" t="s">
        <v>55</v>
      </c>
      <c r="C97" s="1" t="s">
        <v>56</v>
      </c>
      <c r="D97" s="1" t="s">
        <v>57</v>
      </c>
      <c r="E97" s="1" t="s">
        <v>174</v>
      </c>
      <c r="F97" s="1" t="s">
        <v>175</v>
      </c>
      <c r="G97" s="1" t="s">
        <v>110</v>
      </c>
      <c r="H97" s="1" t="s">
        <v>110</v>
      </c>
      <c r="I97" s="2">
        <v>479.4</v>
      </c>
      <c r="L97" s="3">
        <v>0</v>
      </c>
      <c r="M97" s="3">
        <v>25</v>
      </c>
      <c r="N97" s="3">
        <v>17.989999999999998</v>
      </c>
      <c r="O97" s="4">
        <v>0</v>
      </c>
      <c r="P97" s="4">
        <v>11985</v>
      </c>
      <c r="Q97" s="4">
        <v>8624.41</v>
      </c>
      <c r="S97" s="1" t="s">
        <v>166</v>
      </c>
      <c r="T97" s="1" t="s">
        <v>167</v>
      </c>
      <c r="W97" s="1" t="s">
        <v>57</v>
      </c>
      <c r="Z97" s="1" t="s">
        <v>64</v>
      </c>
      <c r="AA97" s="5">
        <v>0</v>
      </c>
      <c r="AB97" s="5">
        <v>0</v>
      </c>
      <c r="AD97" s="1" t="s">
        <v>64</v>
      </c>
      <c r="AE97" s="4">
        <v>11985</v>
      </c>
      <c r="AF97" s="4">
        <v>0</v>
      </c>
      <c r="AG97" s="2">
        <v>0</v>
      </c>
      <c r="AH97" s="3">
        <v>25</v>
      </c>
      <c r="AI97" s="3">
        <v>0</v>
      </c>
      <c r="AJ97" s="5">
        <v>0</v>
      </c>
      <c r="AT97" s="1" t="s">
        <v>65</v>
      </c>
      <c r="AU97" s="1" t="s">
        <v>66</v>
      </c>
      <c r="AV97" s="1" t="s">
        <v>168</v>
      </c>
      <c r="AW97" s="1" t="s">
        <v>169</v>
      </c>
      <c r="AX97" s="1" t="s">
        <v>176</v>
      </c>
      <c r="AY97" s="1" t="s">
        <v>177</v>
      </c>
      <c r="BB97" s="1" t="s">
        <v>71</v>
      </c>
      <c r="BC97" s="1" t="s">
        <v>72</v>
      </c>
    </row>
    <row r="98" spans="1:55" x14ac:dyDescent="0.25">
      <c r="A98" s="1">
        <v>970</v>
      </c>
      <c r="B98" s="1" t="s">
        <v>55</v>
      </c>
      <c r="C98" s="1" t="s">
        <v>56</v>
      </c>
      <c r="D98" s="1" t="s">
        <v>57</v>
      </c>
      <c r="E98" s="1" t="s">
        <v>178</v>
      </c>
      <c r="F98" s="1" t="s">
        <v>179</v>
      </c>
      <c r="G98" s="1" t="s">
        <v>110</v>
      </c>
      <c r="H98" s="1" t="s">
        <v>110</v>
      </c>
      <c r="I98" s="2">
        <v>479.4</v>
      </c>
      <c r="L98" s="3">
        <v>0</v>
      </c>
      <c r="M98" s="3">
        <v>71.459999999999994</v>
      </c>
      <c r="N98" s="3">
        <v>71.47</v>
      </c>
      <c r="O98" s="4">
        <v>0</v>
      </c>
      <c r="P98" s="4">
        <v>34257.919999999998</v>
      </c>
      <c r="Q98" s="4">
        <v>34262.720000000001</v>
      </c>
      <c r="S98" s="1" t="s">
        <v>166</v>
      </c>
      <c r="T98" s="1" t="s">
        <v>167</v>
      </c>
      <c r="W98" s="1" t="s">
        <v>57</v>
      </c>
      <c r="Z98" s="1" t="s">
        <v>64</v>
      </c>
      <c r="AA98" s="5">
        <v>0</v>
      </c>
      <c r="AB98" s="5">
        <v>0</v>
      </c>
      <c r="AD98" s="1" t="s">
        <v>64</v>
      </c>
      <c r="AE98" s="4">
        <v>34257.919999999998</v>
      </c>
      <c r="AF98" s="4">
        <v>0</v>
      </c>
      <c r="AG98" s="2">
        <v>0</v>
      </c>
      <c r="AH98" s="3">
        <v>71.459999999999994</v>
      </c>
      <c r="AI98" s="3">
        <v>0</v>
      </c>
      <c r="AJ98" s="5">
        <v>0</v>
      </c>
      <c r="AT98" s="1" t="s">
        <v>65</v>
      </c>
      <c r="AU98" s="1" t="s">
        <v>66</v>
      </c>
      <c r="AV98" s="1" t="s">
        <v>168</v>
      </c>
      <c r="AW98" s="1" t="s">
        <v>169</v>
      </c>
      <c r="AX98" s="1" t="s">
        <v>176</v>
      </c>
      <c r="AY98" s="1" t="s">
        <v>177</v>
      </c>
      <c r="BB98" s="1" t="s">
        <v>71</v>
      </c>
      <c r="BC98" s="1" t="s">
        <v>72</v>
      </c>
    </row>
    <row r="99" spans="1:55" x14ac:dyDescent="0.25">
      <c r="A99" s="1">
        <v>980</v>
      </c>
      <c r="B99" s="1" t="s">
        <v>55</v>
      </c>
      <c r="C99" s="1" t="s">
        <v>56</v>
      </c>
      <c r="D99" s="1" t="s">
        <v>57</v>
      </c>
      <c r="E99" s="1" t="s">
        <v>180</v>
      </c>
      <c r="F99" s="1" t="s">
        <v>181</v>
      </c>
      <c r="G99" s="1" t="s">
        <v>182</v>
      </c>
      <c r="H99" s="1" t="s">
        <v>183</v>
      </c>
      <c r="I99" s="2">
        <v>282</v>
      </c>
      <c r="L99" s="3">
        <v>0</v>
      </c>
      <c r="M99" s="3">
        <v>72.905000000000001</v>
      </c>
      <c r="N99" s="3">
        <v>85.77</v>
      </c>
      <c r="O99" s="4">
        <v>0</v>
      </c>
      <c r="P99" s="4">
        <v>20559.21</v>
      </c>
      <c r="Q99" s="4">
        <v>24187.14</v>
      </c>
      <c r="S99" s="1" t="s">
        <v>166</v>
      </c>
      <c r="T99" s="1" t="s">
        <v>167</v>
      </c>
      <c r="W99" s="1" t="s">
        <v>57</v>
      </c>
      <c r="Z99" s="1" t="s">
        <v>64</v>
      </c>
      <c r="AA99" s="5">
        <v>0</v>
      </c>
      <c r="AB99" s="5">
        <v>0</v>
      </c>
      <c r="AD99" s="1" t="s">
        <v>64</v>
      </c>
      <c r="AE99" s="4">
        <v>20559.21</v>
      </c>
      <c r="AF99" s="4">
        <v>0</v>
      </c>
      <c r="AG99" s="2">
        <v>0</v>
      </c>
      <c r="AH99" s="3">
        <v>72.905000000000001</v>
      </c>
      <c r="AI99" s="3">
        <v>0</v>
      </c>
      <c r="AJ99" s="5">
        <v>0</v>
      </c>
      <c r="AT99" s="1" t="s">
        <v>65</v>
      </c>
      <c r="AU99" s="1" t="s">
        <v>66</v>
      </c>
      <c r="AV99" s="1" t="s">
        <v>168</v>
      </c>
      <c r="AW99" s="1" t="s">
        <v>169</v>
      </c>
      <c r="AX99" s="1" t="s">
        <v>170</v>
      </c>
      <c r="AY99" s="1" t="s">
        <v>171</v>
      </c>
      <c r="BB99" s="1" t="s">
        <v>71</v>
      </c>
      <c r="BC99" s="1" t="s">
        <v>72</v>
      </c>
    </row>
    <row r="100" spans="1:55" x14ac:dyDescent="0.25">
      <c r="A100" s="1">
        <v>990</v>
      </c>
      <c r="B100" s="1" t="s">
        <v>55</v>
      </c>
      <c r="C100" s="1" t="s">
        <v>56</v>
      </c>
      <c r="D100" s="1" t="s">
        <v>57</v>
      </c>
      <c r="E100" s="1" t="s">
        <v>102</v>
      </c>
      <c r="F100" s="1" t="s">
        <v>103</v>
      </c>
      <c r="G100" s="1" t="s">
        <v>104</v>
      </c>
      <c r="H100" s="1" t="s">
        <v>105</v>
      </c>
      <c r="I100" s="2">
        <v>29318.35</v>
      </c>
      <c r="L100" s="3">
        <v>0</v>
      </c>
      <c r="M100" s="3">
        <v>20.5</v>
      </c>
      <c r="N100" s="3">
        <v>22.96</v>
      </c>
      <c r="O100" s="4">
        <v>0</v>
      </c>
      <c r="P100" s="4">
        <v>601026.18000000005</v>
      </c>
      <c r="Q100" s="4">
        <v>673149.32</v>
      </c>
      <c r="S100" s="1" t="s">
        <v>166</v>
      </c>
      <c r="T100" s="1" t="s">
        <v>167</v>
      </c>
      <c r="W100" s="1" t="s">
        <v>57</v>
      </c>
      <c r="Z100" s="1" t="s">
        <v>64</v>
      </c>
      <c r="AA100" s="5">
        <v>0</v>
      </c>
      <c r="AB100" s="5">
        <v>0</v>
      </c>
      <c r="AD100" s="1" t="s">
        <v>64</v>
      </c>
      <c r="AE100" s="4">
        <v>601026.18000000005</v>
      </c>
      <c r="AF100" s="4">
        <v>0</v>
      </c>
      <c r="AG100" s="2">
        <v>0</v>
      </c>
      <c r="AH100" s="3">
        <v>20.5</v>
      </c>
      <c r="AI100" s="3">
        <v>0</v>
      </c>
      <c r="AJ100" s="5">
        <v>0</v>
      </c>
      <c r="AT100" s="1" t="s">
        <v>65</v>
      </c>
      <c r="AU100" s="1" t="s">
        <v>66</v>
      </c>
      <c r="AV100" s="1" t="s">
        <v>168</v>
      </c>
      <c r="AW100" s="1" t="s">
        <v>169</v>
      </c>
      <c r="AX100" s="1" t="s">
        <v>170</v>
      </c>
      <c r="AY100" s="1" t="s">
        <v>171</v>
      </c>
      <c r="BB100" s="1" t="s">
        <v>71</v>
      </c>
      <c r="BC100" s="1" t="s">
        <v>72</v>
      </c>
    </row>
    <row r="101" spans="1:55" x14ac:dyDescent="0.25">
      <c r="A101" s="1">
        <v>1000</v>
      </c>
      <c r="B101" s="1" t="s">
        <v>55</v>
      </c>
      <c r="C101" s="1" t="s">
        <v>56</v>
      </c>
      <c r="D101" s="1" t="s">
        <v>57</v>
      </c>
      <c r="E101" s="1" t="s">
        <v>184</v>
      </c>
      <c r="F101" s="1" t="s">
        <v>185</v>
      </c>
      <c r="G101" s="1" t="s">
        <v>104</v>
      </c>
      <c r="H101" s="1" t="s">
        <v>105</v>
      </c>
      <c r="I101" s="2">
        <v>71.17</v>
      </c>
      <c r="L101" s="3">
        <v>0</v>
      </c>
      <c r="M101" s="3">
        <v>350</v>
      </c>
      <c r="N101" s="3">
        <v>68.88</v>
      </c>
      <c r="O101" s="4">
        <v>0</v>
      </c>
      <c r="P101" s="4">
        <v>24909.5</v>
      </c>
      <c r="Q101" s="4">
        <v>4902.1899999999996</v>
      </c>
      <c r="S101" s="1" t="s">
        <v>166</v>
      </c>
      <c r="T101" s="1" t="s">
        <v>167</v>
      </c>
      <c r="W101" s="1" t="s">
        <v>57</v>
      </c>
      <c r="Z101" s="1" t="s">
        <v>64</v>
      </c>
      <c r="AA101" s="5">
        <v>0</v>
      </c>
      <c r="AB101" s="5">
        <v>0</v>
      </c>
      <c r="AD101" s="1" t="s">
        <v>64</v>
      </c>
      <c r="AE101" s="4">
        <v>24909.5</v>
      </c>
      <c r="AF101" s="4">
        <v>0</v>
      </c>
      <c r="AG101" s="2">
        <v>0</v>
      </c>
      <c r="AH101" s="3">
        <v>350</v>
      </c>
      <c r="AI101" s="3">
        <v>0</v>
      </c>
      <c r="AJ101" s="5">
        <v>0</v>
      </c>
      <c r="AT101" s="1" t="s">
        <v>65</v>
      </c>
      <c r="AU101" s="1" t="s">
        <v>66</v>
      </c>
      <c r="AV101" s="1" t="s">
        <v>168</v>
      </c>
      <c r="AW101" s="1" t="s">
        <v>169</v>
      </c>
      <c r="AX101" s="1" t="s">
        <v>170</v>
      </c>
      <c r="AY101" s="1" t="s">
        <v>171</v>
      </c>
      <c r="BB101" s="1" t="s">
        <v>71</v>
      </c>
      <c r="BC101" s="1" t="s">
        <v>72</v>
      </c>
    </row>
    <row r="102" spans="1:55" x14ac:dyDescent="0.25">
      <c r="A102" s="1">
        <v>1010</v>
      </c>
      <c r="B102" s="1" t="s">
        <v>55</v>
      </c>
      <c r="C102" s="1" t="s">
        <v>56</v>
      </c>
      <c r="D102" s="1" t="s">
        <v>57</v>
      </c>
      <c r="E102" s="1" t="s">
        <v>186</v>
      </c>
      <c r="F102" s="1" t="s">
        <v>187</v>
      </c>
      <c r="G102" s="1" t="s">
        <v>104</v>
      </c>
      <c r="H102" s="1" t="s">
        <v>105</v>
      </c>
      <c r="I102" s="2">
        <v>5427.32</v>
      </c>
      <c r="L102" s="3">
        <v>0</v>
      </c>
      <c r="M102" s="3">
        <v>32.72</v>
      </c>
      <c r="N102" s="3">
        <v>34.44</v>
      </c>
      <c r="O102" s="4">
        <v>0</v>
      </c>
      <c r="P102" s="4">
        <v>177581.91</v>
      </c>
      <c r="Q102" s="4">
        <v>186916.9</v>
      </c>
      <c r="S102" s="1" t="s">
        <v>166</v>
      </c>
      <c r="T102" s="1" t="s">
        <v>167</v>
      </c>
      <c r="W102" s="1" t="s">
        <v>57</v>
      </c>
      <c r="Z102" s="1" t="s">
        <v>64</v>
      </c>
      <c r="AA102" s="5">
        <v>0</v>
      </c>
      <c r="AB102" s="5">
        <v>0</v>
      </c>
      <c r="AD102" s="1" t="s">
        <v>64</v>
      </c>
      <c r="AE102" s="4">
        <v>177581.91</v>
      </c>
      <c r="AF102" s="4">
        <v>0</v>
      </c>
      <c r="AG102" s="2">
        <v>0</v>
      </c>
      <c r="AH102" s="3">
        <v>32.72</v>
      </c>
      <c r="AI102" s="3">
        <v>0</v>
      </c>
      <c r="AJ102" s="5">
        <v>0</v>
      </c>
      <c r="AT102" s="1" t="s">
        <v>65</v>
      </c>
      <c r="AU102" s="1" t="s">
        <v>66</v>
      </c>
      <c r="AV102" s="1" t="s">
        <v>168</v>
      </c>
      <c r="AW102" s="1" t="s">
        <v>169</v>
      </c>
      <c r="AX102" s="1" t="s">
        <v>164</v>
      </c>
      <c r="AY102" s="1" t="s">
        <v>165</v>
      </c>
      <c r="BB102" s="1" t="s">
        <v>71</v>
      </c>
      <c r="BC102" s="1" t="s">
        <v>72</v>
      </c>
    </row>
    <row r="103" spans="1:55" x14ac:dyDescent="0.25">
      <c r="A103" s="1">
        <v>1020</v>
      </c>
      <c r="B103" s="1" t="s">
        <v>55</v>
      </c>
      <c r="C103" s="1" t="s">
        <v>56</v>
      </c>
      <c r="D103" s="1" t="s">
        <v>57</v>
      </c>
      <c r="E103" s="1" t="s">
        <v>134</v>
      </c>
      <c r="F103" s="1" t="s">
        <v>135</v>
      </c>
      <c r="G103" s="1" t="s">
        <v>104</v>
      </c>
      <c r="H103" s="1" t="s">
        <v>105</v>
      </c>
      <c r="I103" s="2">
        <v>2264.39</v>
      </c>
      <c r="L103" s="3">
        <v>0</v>
      </c>
      <c r="M103" s="3">
        <v>10</v>
      </c>
      <c r="N103" s="3">
        <v>45.92</v>
      </c>
      <c r="O103" s="4">
        <v>0</v>
      </c>
      <c r="P103" s="4">
        <v>22643.9</v>
      </c>
      <c r="Q103" s="4">
        <v>103980.79</v>
      </c>
      <c r="S103" s="1" t="s">
        <v>166</v>
      </c>
      <c r="T103" s="1" t="s">
        <v>167</v>
      </c>
      <c r="W103" s="1" t="s">
        <v>57</v>
      </c>
      <c r="Z103" s="1" t="s">
        <v>64</v>
      </c>
      <c r="AA103" s="5">
        <v>0</v>
      </c>
      <c r="AB103" s="5">
        <v>0</v>
      </c>
      <c r="AD103" s="1" t="s">
        <v>64</v>
      </c>
      <c r="AE103" s="4">
        <v>22643.9</v>
      </c>
      <c r="AF103" s="4">
        <v>0</v>
      </c>
      <c r="AG103" s="2">
        <v>0</v>
      </c>
      <c r="AH103" s="3">
        <v>10</v>
      </c>
      <c r="AI103" s="3">
        <v>0</v>
      </c>
      <c r="AJ103" s="5">
        <v>0</v>
      </c>
      <c r="AT103" s="1" t="s">
        <v>65</v>
      </c>
      <c r="AU103" s="1" t="s">
        <v>66</v>
      </c>
      <c r="AV103" s="1" t="s">
        <v>168</v>
      </c>
      <c r="AW103" s="1" t="s">
        <v>169</v>
      </c>
      <c r="AX103" s="1" t="s">
        <v>170</v>
      </c>
      <c r="AY103" s="1" t="s">
        <v>171</v>
      </c>
      <c r="BB103" s="1" t="s">
        <v>71</v>
      </c>
      <c r="BC103" s="1" t="s">
        <v>72</v>
      </c>
    </row>
    <row r="104" spans="1:55" x14ac:dyDescent="0.25">
      <c r="A104" s="1">
        <v>1030</v>
      </c>
      <c r="B104" s="1" t="s">
        <v>55</v>
      </c>
      <c r="C104" s="1" t="s">
        <v>56</v>
      </c>
      <c r="D104" s="1" t="s">
        <v>57</v>
      </c>
      <c r="E104" s="1" t="s">
        <v>188</v>
      </c>
      <c r="F104" s="1" t="s">
        <v>189</v>
      </c>
      <c r="G104" s="1" t="s">
        <v>104</v>
      </c>
      <c r="H104" s="1" t="s">
        <v>105</v>
      </c>
      <c r="I104" s="2">
        <v>388.77</v>
      </c>
      <c r="L104" s="3">
        <v>0</v>
      </c>
      <c r="M104" s="3">
        <v>10</v>
      </c>
      <c r="N104" s="3">
        <v>68.88</v>
      </c>
      <c r="O104" s="4">
        <v>0</v>
      </c>
      <c r="P104" s="4">
        <v>3887.7</v>
      </c>
      <c r="Q104" s="4">
        <v>26778.48</v>
      </c>
      <c r="S104" s="1" t="s">
        <v>166</v>
      </c>
      <c r="T104" s="1" t="s">
        <v>167</v>
      </c>
      <c r="W104" s="1" t="s">
        <v>57</v>
      </c>
      <c r="Z104" s="1" t="s">
        <v>64</v>
      </c>
      <c r="AA104" s="5">
        <v>0</v>
      </c>
      <c r="AB104" s="5">
        <v>0</v>
      </c>
      <c r="AD104" s="1" t="s">
        <v>64</v>
      </c>
      <c r="AE104" s="4">
        <v>3887.7</v>
      </c>
      <c r="AF104" s="4">
        <v>0</v>
      </c>
      <c r="AG104" s="2">
        <v>0</v>
      </c>
      <c r="AH104" s="3">
        <v>10</v>
      </c>
      <c r="AI104" s="3">
        <v>0</v>
      </c>
      <c r="AJ104" s="5">
        <v>0</v>
      </c>
      <c r="AT104" s="1" t="s">
        <v>65</v>
      </c>
      <c r="AU104" s="1" t="s">
        <v>66</v>
      </c>
      <c r="AV104" s="1" t="s">
        <v>168</v>
      </c>
      <c r="AW104" s="1" t="s">
        <v>169</v>
      </c>
      <c r="AX104" s="1" t="s">
        <v>170</v>
      </c>
      <c r="AY104" s="1" t="s">
        <v>171</v>
      </c>
      <c r="BB104" s="1" t="s">
        <v>71</v>
      </c>
      <c r="BC104" s="1" t="s">
        <v>72</v>
      </c>
    </row>
    <row r="105" spans="1:55" x14ac:dyDescent="0.25">
      <c r="A105" s="1">
        <v>1040</v>
      </c>
      <c r="B105" s="1" t="s">
        <v>55</v>
      </c>
      <c r="C105" s="1" t="s">
        <v>56</v>
      </c>
      <c r="D105" s="1" t="s">
        <v>57</v>
      </c>
      <c r="E105" s="1" t="s">
        <v>190</v>
      </c>
      <c r="F105" s="1" t="s">
        <v>191</v>
      </c>
      <c r="G105" s="1" t="s">
        <v>110</v>
      </c>
      <c r="H105" s="1" t="s">
        <v>110</v>
      </c>
      <c r="I105" s="2">
        <v>4449</v>
      </c>
      <c r="L105" s="3">
        <v>0</v>
      </c>
      <c r="M105" s="3">
        <v>5.93</v>
      </c>
      <c r="N105" s="3">
        <v>6.24</v>
      </c>
      <c r="O105" s="4">
        <v>0</v>
      </c>
      <c r="P105" s="4">
        <v>26382.57</v>
      </c>
      <c r="Q105" s="4">
        <v>27761.759999999998</v>
      </c>
      <c r="S105" s="1" t="s">
        <v>166</v>
      </c>
      <c r="T105" s="1" t="s">
        <v>167</v>
      </c>
      <c r="W105" s="1" t="s">
        <v>57</v>
      </c>
      <c r="Z105" s="1" t="s">
        <v>64</v>
      </c>
      <c r="AA105" s="5">
        <v>0</v>
      </c>
      <c r="AB105" s="5">
        <v>0</v>
      </c>
      <c r="AD105" s="1" t="s">
        <v>64</v>
      </c>
      <c r="AE105" s="4">
        <v>26382.57</v>
      </c>
      <c r="AF105" s="4">
        <v>0</v>
      </c>
      <c r="AG105" s="2">
        <v>0</v>
      </c>
      <c r="AH105" s="3">
        <v>5.93</v>
      </c>
      <c r="AI105" s="3">
        <v>0</v>
      </c>
      <c r="AJ105" s="5">
        <v>0</v>
      </c>
      <c r="AT105" s="1" t="s">
        <v>65</v>
      </c>
      <c r="AU105" s="1" t="s">
        <v>66</v>
      </c>
      <c r="AV105" s="1" t="s">
        <v>168</v>
      </c>
      <c r="AW105" s="1" t="s">
        <v>169</v>
      </c>
      <c r="AX105" s="1" t="s">
        <v>67</v>
      </c>
      <c r="AY105" s="1" t="s">
        <v>192</v>
      </c>
      <c r="BB105" s="1" t="s">
        <v>71</v>
      </c>
      <c r="BC105" s="1" t="s">
        <v>72</v>
      </c>
    </row>
    <row r="106" spans="1:55" x14ac:dyDescent="0.25">
      <c r="A106" s="1">
        <v>1050</v>
      </c>
      <c r="B106" s="1" t="s">
        <v>55</v>
      </c>
      <c r="C106" s="1" t="s">
        <v>56</v>
      </c>
      <c r="D106" s="1" t="s">
        <v>57</v>
      </c>
      <c r="E106" s="1" t="s">
        <v>193</v>
      </c>
      <c r="F106" s="1" t="s">
        <v>194</v>
      </c>
      <c r="G106" s="1" t="s">
        <v>60</v>
      </c>
      <c r="H106" s="1" t="s">
        <v>61</v>
      </c>
      <c r="I106" s="2">
        <v>128.02000000000001</v>
      </c>
      <c r="L106" s="3">
        <v>0</v>
      </c>
      <c r="M106" s="3">
        <v>220</v>
      </c>
      <c r="N106" s="3">
        <v>154.07</v>
      </c>
      <c r="O106" s="4">
        <v>0</v>
      </c>
      <c r="P106" s="4">
        <v>28164.400000000001</v>
      </c>
      <c r="Q106" s="4">
        <v>19724.04</v>
      </c>
      <c r="S106" s="1" t="s">
        <v>195</v>
      </c>
      <c r="T106" s="1" t="s">
        <v>196</v>
      </c>
      <c r="W106" s="1" t="s">
        <v>57</v>
      </c>
      <c r="Z106" s="1" t="s">
        <v>64</v>
      </c>
      <c r="AA106" s="5">
        <v>0</v>
      </c>
      <c r="AB106" s="5">
        <v>0</v>
      </c>
      <c r="AD106" s="1" t="s">
        <v>64</v>
      </c>
      <c r="AE106" s="4">
        <v>28164.400000000001</v>
      </c>
      <c r="AF106" s="4">
        <v>0</v>
      </c>
      <c r="AG106" s="2">
        <v>0</v>
      </c>
      <c r="AH106" s="3">
        <v>220</v>
      </c>
      <c r="AI106" s="3">
        <v>0</v>
      </c>
      <c r="AJ106" s="5">
        <v>0</v>
      </c>
      <c r="AT106" s="1" t="s">
        <v>65</v>
      </c>
      <c r="AU106" s="1" t="s">
        <v>66</v>
      </c>
      <c r="AV106" s="1" t="s">
        <v>197</v>
      </c>
      <c r="AW106" s="1" t="s">
        <v>198</v>
      </c>
      <c r="AX106" s="1" t="s">
        <v>199</v>
      </c>
      <c r="AY106" s="1" t="s">
        <v>200</v>
      </c>
      <c r="BB106" s="1" t="s">
        <v>71</v>
      </c>
      <c r="BC106" s="1" t="s">
        <v>72</v>
      </c>
    </row>
    <row r="107" spans="1:55" x14ac:dyDescent="0.25">
      <c r="A107" s="1">
        <v>1060</v>
      </c>
      <c r="B107" s="1" t="s">
        <v>55</v>
      </c>
      <c r="C107" s="1" t="s">
        <v>56</v>
      </c>
      <c r="D107" s="1" t="s">
        <v>57</v>
      </c>
      <c r="E107" s="1" t="s">
        <v>201</v>
      </c>
      <c r="F107" s="1" t="s">
        <v>202</v>
      </c>
      <c r="G107" s="1" t="s">
        <v>203</v>
      </c>
      <c r="I107" s="2">
        <v>21355.02</v>
      </c>
      <c r="L107" s="3">
        <v>0</v>
      </c>
      <c r="M107" s="3">
        <v>0</v>
      </c>
      <c r="N107" s="3">
        <v>9.1999999999999998E-2</v>
      </c>
      <c r="O107" s="4">
        <v>0</v>
      </c>
      <c r="P107" s="4">
        <v>0</v>
      </c>
      <c r="Q107" s="4">
        <v>1964.66</v>
      </c>
      <c r="S107" s="1" t="s">
        <v>195</v>
      </c>
      <c r="T107" s="1" t="s">
        <v>196</v>
      </c>
      <c r="W107" s="1" t="s">
        <v>57</v>
      </c>
      <c r="Z107" s="1" t="s">
        <v>64</v>
      </c>
      <c r="AA107" s="5">
        <v>0</v>
      </c>
      <c r="AB107" s="5">
        <v>0</v>
      </c>
      <c r="AD107" s="1" t="s">
        <v>64</v>
      </c>
      <c r="AE107" s="4">
        <v>0</v>
      </c>
      <c r="AF107" s="4">
        <v>0</v>
      </c>
      <c r="AG107" s="2">
        <v>0</v>
      </c>
      <c r="AH107" s="3">
        <v>0</v>
      </c>
      <c r="AI107" s="3">
        <v>0</v>
      </c>
      <c r="AJ107" s="5">
        <v>0</v>
      </c>
      <c r="AT107" s="1" t="s">
        <v>65</v>
      </c>
      <c r="AU107" s="1" t="s">
        <v>66</v>
      </c>
      <c r="AV107" s="1" t="s">
        <v>197</v>
      </c>
      <c r="AW107" s="1" t="s">
        <v>198</v>
      </c>
      <c r="AX107" s="1" t="s">
        <v>199</v>
      </c>
      <c r="AY107" s="1" t="s">
        <v>200</v>
      </c>
      <c r="BB107" s="1" t="s">
        <v>71</v>
      </c>
      <c r="BC107" s="1" t="s">
        <v>72</v>
      </c>
    </row>
    <row r="108" spans="1:55" x14ac:dyDescent="0.25">
      <c r="A108" s="1">
        <v>1070</v>
      </c>
      <c r="B108" s="1" t="s">
        <v>55</v>
      </c>
      <c r="C108" s="1" t="s">
        <v>56</v>
      </c>
      <c r="D108" s="1" t="s">
        <v>57</v>
      </c>
      <c r="E108" s="1" t="s">
        <v>204</v>
      </c>
      <c r="F108" s="1" t="s">
        <v>205</v>
      </c>
      <c r="G108" s="1" t="s">
        <v>203</v>
      </c>
      <c r="I108" s="2">
        <v>21355.02</v>
      </c>
      <c r="L108" s="3">
        <v>0</v>
      </c>
      <c r="M108" s="3">
        <v>0</v>
      </c>
      <c r="N108" s="3">
        <v>9.1999999999999998E-2</v>
      </c>
      <c r="O108" s="4">
        <v>0</v>
      </c>
      <c r="P108" s="4">
        <v>0</v>
      </c>
      <c r="Q108" s="4">
        <v>1964.66</v>
      </c>
      <c r="S108" s="1" t="s">
        <v>195</v>
      </c>
      <c r="T108" s="1" t="s">
        <v>196</v>
      </c>
      <c r="W108" s="1" t="s">
        <v>57</v>
      </c>
      <c r="Z108" s="1" t="s">
        <v>64</v>
      </c>
      <c r="AA108" s="5">
        <v>0</v>
      </c>
      <c r="AB108" s="5">
        <v>0</v>
      </c>
      <c r="AD108" s="1" t="s">
        <v>64</v>
      </c>
      <c r="AE108" s="4">
        <v>0</v>
      </c>
      <c r="AF108" s="4">
        <v>0</v>
      </c>
      <c r="AG108" s="2">
        <v>0</v>
      </c>
      <c r="AH108" s="3">
        <v>0</v>
      </c>
      <c r="AI108" s="3">
        <v>0</v>
      </c>
      <c r="AJ108" s="5">
        <v>0</v>
      </c>
      <c r="AT108" s="1" t="s">
        <v>65</v>
      </c>
      <c r="AU108" s="1" t="s">
        <v>66</v>
      </c>
      <c r="AV108" s="1" t="s">
        <v>197</v>
      </c>
      <c r="AW108" s="1" t="s">
        <v>198</v>
      </c>
      <c r="AX108" s="1" t="s">
        <v>199</v>
      </c>
      <c r="AY108" s="1" t="s">
        <v>200</v>
      </c>
      <c r="BB108" s="1" t="s">
        <v>71</v>
      </c>
      <c r="BC108" s="1" t="s">
        <v>72</v>
      </c>
    </row>
    <row r="109" spans="1:55" x14ac:dyDescent="0.25">
      <c r="A109" s="1">
        <v>1080</v>
      </c>
      <c r="B109" s="1" t="s">
        <v>55</v>
      </c>
      <c r="C109" s="1" t="s">
        <v>56</v>
      </c>
      <c r="D109" s="1" t="s">
        <v>57</v>
      </c>
      <c r="E109" s="1" t="s">
        <v>94</v>
      </c>
      <c r="F109" s="1" t="s">
        <v>95</v>
      </c>
      <c r="G109" s="1" t="s">
        <v>96</v>
      </c>
      <c r="H109" s="1" t="s">
        <v>97</v>
      </c>
      <c r="I109" s="2">
        <v>637.67999999999995</v>
      </c>
      <c r="L109" s="3">
        <v>0</v>
      </c>
      <c r="M109" s="3">
        <v>20.72</v>
      </c>
      <c r="N109" s="3">
        <v>20.72</v>
      </c>
      <c r="O109" s="4">
        <v>0</v>
      </c>
      <c r="P109" s="4">
        <v>13212.73</v>
      </c>
      <c r="Q109" s="4">
        <v>13212.73</v>
      </c>
      <c r="S109" s="1" t="s">
        <v>195</v>
      </c>
      <c r="T109" s="1" t="s">
        <v>196</v>
      </c>
      <c r="W109" s="1" t="s">
        <v>57</v>
      </c>
      <c r="Z109" s="1" t="s">
        <v>64</v>
      </c>
      <c r="AA109" s="5">
        <v>0</v>
      </c>
      <c r="AB109" s="5">
        <v>0</v>
      </c>
      <c r="AD109" s="1" t="s">
        <v>64</v>
      </c>
      <c r="AE109" s="4">
        <v>13212.73</v>
      </c>
      <c r="AF109" s="4">
        <v>0</v>
      </c>
      <c r="AG109" s="2">
        <v>0</v>
      </c>
      <c r="AH109" s="3">
        <v>20.72</v>
      </c>
      <c r="AI109" s="3">
        <v>0</v>
      </c>
      <c r="AJ109" s="5">
        <v>0</v>
      </c>
      <c r="AT109" s="1" t="s">
        <v>65</v>
      </c>
      <c r="AU109" s="1" t="s">
        <v>66</v>
      </c>
      <c r="AV109" s="1" t="s">
        <v>197</v>
      </c>
      <c r="AW109" s="1" t="s">
        <v>198</v>
      </c>
      <c r="AX109" s="1" t="s">
        <v>199</v>
      </c>
      <c r="AY109" s="1" t="s">
        <v>200</v>
      </c>
      <c r="BB109" s="1" t="s">
        <v>71</v>
      </c>
      <c r="BC109" s="1" t="s">
        <v>72</v>
      </c>
    </row>
    <row r="110" spans="1:55" x14ac:dyDescent="0.25">
      <c r="A110" s="1">
        <v>1090</v>
      </c>
      <c r="B110" s="1" t="s">
        <v>55</v>
      </c>
      <c r="C110" s="1" t="s">
        <v>56</v>
      </c>
      <c r="D110" s="1" t="s">
        <v>57</v>
      </c>
      <c r="E110" s="1" t="s">
        <v>98</v>
      </c>
      <c r="F110" s="1" t="s">
        <v>99</v>
      </c>
      <c r="G110" s="1" t="s">
        <v>100</v>
      </c>
      <c r="H110" s="1" t="s">
        <v>101</v>
      </c>
      <c r="I110" s="2">
        <v>38406</v>
      </c>
      <c r="L110" s="3">
        <v>0</v>
      </c>
      <c r="M110" s="3">
        <v>1.1200000000000001</v>
      </c>
      <c r="N110" s="3">
        <v>1.72</v>
      </c>
      <c r="O110" s="4">
        <v>0</v>
      </c>
      <c r="P110" s="4">
        <v>43014.720000000001</v>
      </c>
      <c r="Q110" s="4">
        <v>66058.320000000007</v>
      </c>
      <c r="S110" s="1" t="s">
        <v>195</v>
      </c>
      <c r="T110" s="1" t="s">
        <v>196</v>
      </c>
      <c r="W110" s="1" t="s">
        <v>57</v>
      </c>
      <c r="Z110" s="1" t="s">
        <v>64</v>
      </c>
      <c r="AA110" s="5">
        <v>0</v>
      </c>
      <c r="AB110" s="5">
        <v>0</v>
      </c>
      <c r="AD110" s="1" t="s">
        <v>64</v>
      </c>
      <c r="AE110" s="4">
        <v>43014.720000000001</v>
      </c>
      <c r="AF110" s="4">
        <v>0</v>
      </c>
      <c r="AG110" s="2">
        <v>0</v>
      </c>
      <c r="AH110" s="3">
        <v>1.1200000000000001</v>
      </c>
      <c r="AI110" s="3">
        <v>0</v>
      </c>
      <c r="AJ110" s="5">
        <v>0</v>
      </c>
      <c r="AT110" s="1" t="s">
        <v>65</v>
      </c>
      <c r="AU110" s="1" t="s">
        <v>66</v>
      </c>
      <c r="AV110" s="1" t="s">
        <v>197</v>
      </c>
      <c r="AW110" s="1" t="s">
        <v>198</v>
      </c>
      <c r="AX110" s="1" t="s">
        <v>199</v>
      </c>
      <c r="AY110" s="1" t="s">
        <v>200</v>
      </c>
      <c r="BB110" s="1" t="s">
        <v>71</v>
      </c>
      <c r="BC110" s="1" t="s">
        <v>72</v>
      </c>
    </row>
    <row r="111" spans="1:55" x14ac:dyDescent="0.25">
      <c r="A111" s="1">
        <v>1100</v>
      </c>
      <c r="B111" s="1" t="s">
        <v>55</v>
      </c>
      <c r="C111" s="1" t="s">
        <v>56</v>
      </c>
      <c r="D111" s="1" t="s">
        <v>57</v>
      </c>
      <c r="E111" s="1" t="s">
        <v>206</v>
      </c>
      <c r="F111" s="1" t="s">
        <v>207</v>
      </c>
      <c r="G111" s="1" t="s">
        <v>208</v>
      </c>
      <c r="I111" s="2">
        <v>185280</v>
      </c>
      <c r="L111" s="3">
        <v>0</v>
      </c>
      <c r="M111" s="3">
        <v>0.19600000000000001</v>
      </c>
      <c r="N111" s="3">
        <v>0.23</v>
      </c>
      <c r="O111" s="4">
        <v>0</v>
      </c>
      <c r="P111" s="4">
        <v>36314.879999999997</v>
      </c>
      <c r="Q111" s="4">
        <v>42614.400000000001</v>
      </c>
      <c r="S111" s="1" t="s">
        <v>195</v>
      </c>
      <c r="T111" s="1" t="s">
        <v>196</v>
      </c>
      <c r="W111" s="1" t="s">
        <v>57</v>
      </c>
      <c r="Z111" s="1" t="s">
        <v>64</v>
      </c>
      <c r="AA111" s="5">
        <v>0</v>
      </c>
      <c r="AB111" s="5">
        <v>0</v>
      </c>
      <c r="AD111" s="1" t="s">
        <v>64</v>
      </c>
      <c r="AE111" s="4">
        <v>36314.879999999997</v>
      </c>
      <c r="AF111" s="4">
        <v>0</v>
      </c>
      <c r="AG111" s="2">
        <v>0</v>
      </c>
      <c r="AH111" s="3">
        <v>0.19600000000000001</v>
      </c>
      <c r="AI111" s="3">
        <v>0</v>
      </c>
      <c r="AJ111" s="5">
        <v>0</v>
      </c>
      <c r="AT111" s="1" t="s">
        <v>65</v>
      </c>
      <c r="AU111" s="1" t="s">
        <v>66</v>
      </c>
      <c r="AV111" s="1" t="s">
        <v>197</v>
      </c>
      <c r="AW111" s="1" t="s">
        <v>198</v>
      </c>
      <c r="AX111" s="1" t="s">
        <v>199</v>
      </c>
      <c r="AY111" s="1" t="s">
        <v>200</v>
      </c>
      <c r="BB111" s="1" t="s">
        <v>71</v>
      </c>
      <c r="BC111" s="1" t="s">
        <v>72</v>
      </c>
    </row>
    <row r="112" spans="1:55" x14ac:dyDescent="0.25">
      <c r="A112" s="1">
        <v>1110</v>
      </c>
      <c r="B112" s="1" t="s">
        <v>55</v>
      </c>
      <c r="C112" s="1" t="s">
        <v>56</v>
      </c>
      <c r="D112" s="1" t="s">
        <v>57</v>
      </c>
      <c r="E112" s="1" t="s">
        <v>193</v>
      </c>
      <c r="F112" s="1" t="s">
        <v>194</v>
      </c>
      <c r="G112" s="1" t="s">
        <v>60</v>
      </c>
      <c r="H112" s="1" t="s">
        <v>61</v>
      </c>
      <c r="I112" s="2">
        <v>5386.32</v>
      </c>
      <c r="L112" s="3">
        <v>0</v>
      </c>
      <c r="M112" s="3">
        <v>220</v>
      </c>
      <c r="N112" s="3">
        <v>154.07</v>
      </c>
      <c r="O112" s="4">
        <v>0</v>
      </c>
      <c r="P112" s="4">
        <v>1184990.3999999999</v>
      </c>
      <c r="Q112" s="4">
        <v>829870.32</v>
      </c>
      <c r="S112" s="1" t="s">
        <v>209</v>
      </c>
      <c r="T112" s="1" t="s">
        <v>210</v>
      </c>
      <c r="W112" s="1" t="s">
        <v>57</v>
      </c>
      <c r="Z112" s="1" t="s">
        <v>64</v>
      </c>
      <c r="AA112" s="5">
        <v>0</v>
      </c>
      <c r="AB112" s="5">
        <v>0</v>
      </c>
      <c r="AD112" s="1" t="s">
        <v>64</v>
      </c>
      <c r="AE112" s="4">
        <v>1184990.3999999999</v>
      </c>
      <c r="AF112" s="4">
        <v>0</v>
      </c>
      <c r="AG112" s="2">
        <v>0</v>
      </c>
      <c r="AH112" s="3">
        <v>220</v>
      </c>
      <c r="AI112" s="3">
        <v>0</v>
      </c>
      <c r="AJ112" s="5">
        <v>0</v>
      </c>
      <c r="AT112" s="1" t="s">
        <v>65</v>
      </c>
      <c r="AU112" s="1" t="s">
        <v>66</v>
      </c>
      <c r="AV112" s="1" t="s">
        <v>197</v>
      </c>
      <c r="AW112" s="1" t="s">
        <v>198</v>
      </c>
      <c r="AX112" s="1" t="s">
        <v>211</v>
      </c>
      <c r="AY112" s="1" t="s">
        <v>212</v>
      </c>
      <c r="BB112" s="1" t="s">
        <v>71</v>
      </c>
      <c r="BC112" s="1" t="s">
        <v>72</v>
      </c>
    </row>
    <row r="113" spans="1:55" x14ac:dyDescent="0.25">
      <c r="A113" s="1">
        <v>1120</v>
      </c>
      <c r="B113" s="1" t="s">
        <v>55</v>
      </c>
      <c r="C113" s="1" t="s">
        <v>56</v>
      </c>
      <c r="D113" s="1" t="s">
        <v>57</v>
      </c>
      <c r="E113" s="1" t="s">
        <v>94</v>
      </c>
      <c r="F113" s="1" t="s">
        <v>95</v>
      </c>
      <c r="G113" s="1" t="s">
        <v>96</v>
      </c>
      <c r="H113" s="1" t="s">
        <v>97</v>
      </c>
      <c r="I113" s="2">
        <v>854.43</v>
      </c>
      <c r="L113" s="3">
        <v>0</v>
      </c>
      <c r="M113" s="3">
        <v>20.72</v>
      </c>
      <c r="N113" s="3">
        <v>20.72</v>
      </c>
      <c r="O113" s="4">
        <v>0</v>
      </c>
      <c r="P113" s="4">
        <v>17703.79</v>
      </c>
      <c r="Q113" s="4">
        <v>17703.79</v>
      </c>
      <c r="S113" s="1" t="s">
        <v>209</v>
      </c>
      <c r="T113" s="1" t="s">
        <v>210</v>
      </c>
      <c r="W113" s="1" t="s">
        <v>57</v>
      </c>
      <c r="Z113" s="1" t="s">
        <v>64</v>
      </c>
      <c r="AA113" s="5">
        <v>0</v>
      </c>
      <c r="AB113" s="5">
        <v>0</v>
      </c>
      <c r="AD113" s="1" t="s">
        <v>64</v>
      </c>
      <c r="AE113" s="4">
        <v>17703.79</v>
      </c>
      <c r="AF113" s="4">
        <v>0</v>
      </c>
      <c r="AG113" s="2">
        <v>0</v>
      </c>
      <c r="AH113" s="3">
        <v>20.72</v>
      </c>
      <c r="AI113" s="3">
        <v>0</v>
      </c>
      <c r="AJ113" s="5">
        <v>0</v>
      </c>
      <c r="AT113" s="1" t="s">
        <v>65</v>
      </c>
      <c r="AU113" s="1" t="s">
        <v>66</v>
      </c>
      <c r="AV113" s="1" t="s">
        <v>197</v>
      </c>
      <c r="AW113" s="1" t="s">
        <v>198</v>
      </c>
      <c r="AX113" s="1" t="s">
        <v>211</v>
      </c>
      <c r="AY113" s="1" t="s">
        <v>212</v>
      </c>
      <c r="BB113" s="1" t="s">
        <v>71</v>
      </c>
      <c r="BC113" s="1" t="s">
        <v>72</v>
      </c>
    </row>
    <row r="114" spans="1:55" x14ac:dyDescent="0.25">
      <c r="A114" s="1">
        <v>1130</v>
      </c>
      <c r="B114" s="1" t="s">
        <v>55</v>
      </c>
      <c r="C114" s="1" t="s">
        <v>56</v>
      </c>
      <c r="D114" s="1" t="s">
        <v>57</v>
      </c>
      <c r="E114" s="1" t="s">
        <v>213</v>
      </c>
      <c r="F114" s="1" t="s">
        <v>214</v>
      </c>
      <c r="G114" s="1" t="s">
        <v>96</v>
      </c>
      <c r="H114" s="1" t="s">
        <v>97</v>
      </c>
      <c r="I114" s="2">
        <v>1001.6</v>
      </c>
      <c r="L114" s="3">
        <v>0</v>
      </c>
      <c r="M114" s="3">
        <v>13.523999999999999</v>
      </c>
      <c r="N114" s="3">
        <v>15.91</v>
      </c>
      <c r="O114" s="4">
        <v>0</v>
      </c>
      <c r="P114" s="4">
        <v>13545.64</v>
      </c>
      <c r="Q114" s="4">
        <v>15935.46</v>
      </c>
      <c r="S114" s="1" t="s">
        <v>209</v>
      </c>
      <c r="T114" s="1" t="s">
        <v>210</v>
      </c>
      <c r="W114" s="1" t="s">
        <v>57</v>
      </c>
      <c r="Z114" s="1" t="s">
        <v>64</v>
      </c>
      <c r="AA114" s="5">
        <v>0</v>
      </c>
      <c r="AB114" s="5">
        <v>0</v>
      </c>
      <c r="AD114" s="1" t="s">
        <v>64</v>
      </c>
      <c r="AE114" s="4">
        <v>13545.64</v>
      </c>
      <c r="AF114" s="4">
        <v>0</v>
      </c>
      <c r="AG114" s="2">
        <v>0</v>
      </c>
      <c r="AH114" s="3">
        <v>13.523999999999999</v>
      </c>
      <c r="AI114" s="3">
        <v>0</v>
      </c>
      <c r="AJ114" s="5">
        <v>0</v>
      </c>
      <c r="AT114" s="1" t="s">
        <v>65</v>
      </c>
      <c r="AU114" s="1" t="s">
        <v>66</v>
      </c>
      <c r="AV114" s="1" t="s">
        <v>197</v>
      </c>
      <c r="AW114" s="1" t="s">
        <v>198</v>
      </c>
      <c r="AX114" s="1" t="s">
        <v>211</v>
      </c>
      <c r="AY114" s="1" t="s">
        <v>212</v>
      </c>
      <c r="BB114" s="1" t="s">
        <v>71</v>
      </c>
      <c r="BC114" s="1" t="s">
        <v>72</v>
      </c>
    </row>
    <row r="115" spans="1:55" x14ac:dyDescent="0.25">
      <c r="A115" s="1">
        <v>1140</v>
      </c>
      <c r="B115" s="1" t="s">
        <v>55</v>
      </c>
      <c r="C115" s="1" t="s">
        <v>56</v>
      </c>
      <c r="D115" s="1" t="s">
        <v>57</v>
      </c>
      <c r="E115" s="1" t="s">
        <v>215</v>
      </c>
      <c r="F115" s="1" t="s">
        <v>216</v>
      </c>
      <c r="G115" s="1" t="s">
        <v>96</v>
      </c>
      <c r="H115" s="1" t="s">
        <v>97</v>
      </c>
      <c r="I115" s="2">
        <v>22608</v>
      </c>
      <c r="L115" s="3">
        <v>0</v>
      </c>
      <c r="M115" s="3">
        <v>62.15</v>
      </c>
      <c r="N115" s="3">
        <v>49.61</v>
      </c>
      <c r="O115" s="4">
        <v>0</v>
      </c>
      <c r="P115" s="4">
        <v>1405087.2</v>
      </c>
      <c r="Q115" s="4">
        <v>1121582.8799999999</v>
      </c>
      <c r="S115" s="1" t="s">
        <v>209</v>
      </c>
      <c r="T115" s="1" t="s">
        <v>210</v>
      </c>
      <c r="W115" s="1" t="s">
        <v>57</v>
      </c>
      <c r="Z115" s="1" t="s">
        <v>64</v>
      </c>
      <c r="AA115" s="5">
        <v>0</v>
      </c>
      <c r="AB115" s="5">
        <v>0</v>
      </c>
      <c r="AD115" s="1" t="s">
        <v>64</v>
      </c>
      <c r="AE115" s="4">
        <v>1405087.2</v>
      </c>
      <c r="AF115" s="4">
        <v>0</v>
      </c>
      <c r="AG115" s="2">
        <v>0</v>
      </c>
      <c r="AH115" s="3">
        <v>62.15</v>
      </c>
      <c r="AI115" s="3">
        <v>0</v>
      </c>
      <c r="AJ115" s="5">
        <v>0</v>
      </c>
      <c r="AT115" s="1" t="s">
        <v>65</v>
      </c>
      <c r="AU115" s="1" t="s">
        <v>66</v>
      </c>
      <c r="AV115" s="1" t="s">
        <v>197</v>
      </c>
      <c r="AW115" s="1" t="s">
        <v>198</v>
      </c>
      <c r="AX115" s="1" t="s">
        <v>211</v>
      </c>
      <c r="AY115" s="1" t="s">
        <v>212</v>
      </c>
      <c r="BB115" s="1" t="s">
        <v>71</v>
      </c>
      <c r="BC115" s="1" t="s">
        <v>72</v>
      </c>
    </row>
    <row r="116" spans="1:55" x14ac:dyDescent="0.25">
      <c r="A116" s="1">
        <v>1150</v>
      </c>
      <c r="B116" s="1" t="s">
        <v>55</v>
      </c>
      <c r="C116" s="1" t="s">
        <v>56</v>
      </c>
      <c r="D116" s="1" t="s">
        <v>57</v>
      </c>
      <c r="E116" s="1" t="s">
        <v>217</v>
      </c>
      <c r="F116" s="1" t="s">
        <v>218</v>
      </c>
      <c r="G116" s="1" t="s">
        <v>100</v>
      </c>
      <c r="H116" s="1" t="s">
        <v>101</v>
      </c>
      <c r="I116" s="2">
        <v>5425920</v>
      </c>
      <c r="L116" s="3">
        <v>0</v>
      </c>
      <c r="M116" s="3">
        <v>2.77</v>
      </c>
      <c r="N116" s="3">
        <v>4.1500000000000004</v>
      </c>
      <c r="O116" s="4">
        <v>0</v>
      </c>
      <c r="P116" s="4">
        <v>15029798.4</v>
      </c>
      <c r="Q116" s="4">
        <v>22517568</v>
      </c>
      <c r="S116" s="1" t="s">
        <v>209</v>
      </c>
      <c r="T116" s="1" t="s">
        <v>210</v>
      </c>
      <c r="W116" s="1" t="s">
        <v>57</v>
      </c>
      <c r="Z116" s="1" t="s">
        <v>64</v>
      </c>
      <c r="AA116" s="5">
        <v>0</v>
      </c>
      <c r="AB116" s="5">
        <v>0</v>
      </c>
      <c r="AD116" s="1" t="s">
        <v>64</v>
      </c>
      <c r="AE116" s="4">
        <v>15029798.4</v>
      </c>
      <c r="AF116" s="4">
        <v>0</v>
      </c>
      <c r="AG116" s="2">
        <v>0</v>
      </c>
      <c r="AH116" s="3">
        <v>2.77</v>
      </c>
      <c r="AI116" s="3">
        <v>0</v>
      </c>
      <c r="AJ116" s="5">
        <v>0</v>
      </c>
      <c r="AT116" s="1" t="s">
        <v>65</v>
      </c>
      <c r="AU116" s="1" t="s">
        <v>66</v>
      </c>
      <c r="AV116" s="1" t="s">
        <v>197</v>
      </c>
      <c r="AW116" s="1" t="s">
        <v>198</v>
      </c>
      <c r="AX116" s="1" t="s">
        <v>219</v>
      </c>
      <c r="AY116" s="1" t="s">
        <v>220</v>
      </c>
      <c r="BB116" s="1" t="s">
        <v>71</v>
      </c>
      <c r="BC116" s="1" t="s">
        <v>72</v>
      </c>
    </row>
    <row r="117" spans="1:55" x14ac:dyDescent="0.25">
      <c r="A117" s="1">
        <v>1160</v>
      </c>
      <c r="B117" s="1" t="s">
        <v>55</v>
      </c>
      <c r="C117" s="1" t="s">
        <v>56</v>
      </c>
      <c r="D117" s="1" t="s">
        <v>57</v>
      </c>
      <c r="E117" s="1" t="s">
        <v>98</v>
      </c>
      <c r="F117" s="1" t="s">
        <v>99</v>
      </c>
      <c r="G117" s="1" t="s">
        <v>100</v>
      </c>
      <c r="H117" s="1" t="s">
        <v>101</v>
      </c>
      <c r="I117" s="2">
        <v>1808640</v>
      </c>
      <c r="L117" s="3">
        <v>0</v>
      </c>
      <c r="M117" s="3">
        <v>1.1200000000000001</v>
      </c>
      <c r="N117" s="3">
        <v>1.72</v>
      </c>
      <c r="O117" s="4">
        <v>0</v>
      </c>
      <c r="P117" s="4">
        <v>2025676.8</v>
      </c>
      <c r="Q117" s="4">
        <v>3110860.7999999998</v>
      </c>
      <c r="S117" s="1" t="s">
        <v>209</v>
      </c>
      <c r="T117" s="1" t="s">
        <v>210</v>
      </c>
      <c r="W117" s="1" t="s">
        <v>57</v>
      </c>
      <c r="Z117" s="1" t="s">
        <v>64</v>
      </c>
      <c r="AA117" s="5">
        <v>0</v>
      </c>
      <c r="AB117" s="5">
        <v>0</v>
      </c>
      <c r="AD117" s="1" t="s">
        <v>64</v>
      </c>
      <c r="AE117" s="4">
        <v>2025676.8</v>
      </c>
      <c r="AF117" s="4">
        <v>0</v>
      </c>
      <c r="AG117" s="2">
        <v>0</v>
      </c>
      <c r="AH117" s="3">
        <v>1.1200000000000001</v>
      </c>
      <c r="AI117" s="3">
        <v>0</v>
      </c>
      <c r="AJ117" s="5">
        <v>0</v>
      </c>
      <c r="AT117" s="1" t="s">
        <v>65</v>
      </c>
      <c r="AU117" s="1" t="s">
        <v>66</v>
      </c>
      <c r="AV117" s="1" t="s">
        <v>197</v>
      </c>
      <c r="AW117" s="1" t="s">
        <v>198</v>
      </c>
      <c r="AX117" s="1" t="s">
        <v>211</v>
      </c>
      <c r="AY117" s="1" t="s">
        <v>212</v>
      </c>
      <c r="BB117" s="1" t="s">
        <v>71</v>
      </c>
      <c r="BC117" s="1" t="s">
        <v>72</v>
      </c>
    </row>
    <row r="118" spans="1:55" x14ac:dyDescent="0.25">
      <c r="A118" s="1">
        <v>1170</v>
      </c>
      <c r="B118" s="1" t="s">
        <v>55</v>
      </c>
      <c r="C118" s="1" t="s">
        <v>56</v>
      </c>
      <c r="D118" s="1" t="s">
        <v>57</v>
      </c>
      <c r="E118" s="1" t="s">
        <v>221</v>
      </c>
      <c r="F118" s="1" t="s">
        <v>222</v>
      </c>
      <c r="G118" s="1" t="s">
        <v>96</v>
      </c>
      <c r="H118" s="1" t="s">
        <v>97</v>
      </c>
      <c r="I118" s="2">
        <v>2498.4</v>
      </c>
      <c r="L118" s="3">
        <v>0</v>
      </c>
      <c r="M118" s="3">
        <v>48.5</v>
      </c>
      <c r="N118" s="3">
        <v>104.83</v>
      </c>
      <c r="O118" s="4">
        <v>0</v>
      </c>
      <c r="P118" s="4">
        <v>121172.4</v>
      </c>
      <c r="Q118" s="4">
        <v>261907.27</v>
      </c>
      <c r="S118" s="1" t="s">
        <v>209</v>
      </c>
      <c r="T118" s="1" t="s">
        <v>210</v>
      </c>
      <c r="W118" s="1" t="s">
        <v>57</v>
      </c>
      <c r="Z118" s="1" t="s">
        <v>64</v>
      </c>
      <c r="AA118" s="5">
        <v>0</v>
      </c>
      <c r="AB118" s="5">
        <v>0</v>
      </c>
      <c r="AD118" s="1" t="s">
        <v>64</v>
      </c>
      <c r="AE118" s="4">
        <v>121172.4</v>
      </c>
      <c r="AF118" s="4">
        <v>0</v>
      </c>
      <c r="AG118" s="2">
        <v>0</v>
      </c>
      <c r="AH118" s="3">
        <v>48.5</v>
      </c>
      <c r="AI118" s="3">
        <v>0</v>
      </c>
      <c r="AJ118" s="5">
        <v>0</v>
      </c>
      <c r="AT118" s="1" t="s">
        <v>65</v>
      </c>
      <c r="AU118" s="1" t="s">
        <v>66</v>
      </c>
      <c r="AV118" s="1" t="s">
        <v>197</v>
      </c>
      <c r="AW118" s="1" t="s">
        <v>198</v>
      </c>
      <c r="AX118" s="1" t="s">
        <v>211</v>
      </c>
      <c r="AY118" s="1" t="s">
        <v>212</v>
      </c>
      <c r="BB118" s="1" t="s">
        <v>71</v>
      </c>
      <c r="BC118" s="1" t="s">
        <v>72</v>
      </c>
    </row>
    <row r="119" spans="1:55" x14ac:dyDescent="0.25">
      <c r="A119" s="1">
        <v>1180</v>
      </c>
      <c r="B119" s="1" t="s">
        <v>55</v>
      </c>
      <c r="C119" s="1" t="s">
        <v>56</v>
      </c>
      <c r="D119" s="1" t="s">
        <v>57</v>
      </c>
      <c r="E119" s="1" t="s">
        <v>223</v>
      </c>
      <c r="F119" s="1" t="s">
        <v>224</v>
      </c>
      <c r="G119" s="1" t="s">
        <v>225</v>
      </c>
      <c r="I119" s="2">
        <v>5973.12</v>
      </c>
      <c r="L119" s="3">
        <v>0</v>
      </c>
      <c r="M119" s="3">
        <v>3.6379999999999999</v>
      </c>
      <c r="N119" s="3">
        <v>4.28</v>
      </c>
      <c r="O119" s="4">
        <v>0</v>
      </c>
      <c r="P119" s="4">
        <v>21730.21</v>
      </c>
      <c r="Q119" s="4">
        <v>25564.95</v>
      </c>
      <c r="S119" s="1" t="s">
        <v>226</v>
      </c>
      <c r="T119" s="1" t="s">
        <v>227</v>
      </c>
      <c r="W119" s="1" t="s">
        <v>57</v>
      </c>
      <c r="Z119" s="1" t="s">
        <v>64</v>
      </c>
      <c r="AA119" s="5">
        <v>0</v>
      </c>
      <c r="AB119" s="5">
        <v>0</v>
      </c>
      <c r="AD119" s="1" t="s">
        <v>64</v>
      </c>
      <c r="AE119" s="4">
        <v>21730.21</v>
      </c>
      <c r="AF119" s="4">
        <v>0</v>
      </c>
      <c r="AG119" s="2">
        <v>0</v>
      </c>
      <c r="AH119" s="3">
        <v>3.6379999999999999</v>
      </c>
      <c r="AI119" s="3">
        <v>0</v>
      </c>
      <c r="AJ119" s="5">
        <v>0</v>
      </c>
      <c r="AT119" s="1" t="s">
        <v>65</v>
      </c>
      <c r="AU119" s="1" t="s">
        <v>66</v>
      </c>
      <c r="AV119" s="1" t="s">
        <v>197</v>
      </c>
      <c r="AW119" s="1" t="s">
        <v>198</v>
      </c>
      <c r="AX119" s="1" t="s">
        <v>228</v>
      </c>
      <c r="AY119" s="1" t="s">
        <v>229</v>
      </c>
      <c r="BB119" s="1" t="s">
        <v>71</v>
      </c>
      <c r="BC119" s="1" t="s">
        <v>72</v>
      </c>
    </row>
    <row r="120" spans="1:55" x14ac:dyDescent="0.25">
      <c r="A120" s="1">
        <v>1190</v>
      </c>
      <c r="B120" s="1" t="s">
        <v>55</v>
      </c>
      <c r="C120" s="1" t="s">
        <v>56</v>
      </c>
      <c r="D120" s="1" t="s">
        <v>57</v>
      </c>
      <c r="E120" s="1" t="s">
        <v>230</v>
      </c>
      <c r="F120" s="1" t="s">
        <v>231</v>
      </c>
      <c r="G120" s="1" t="s">
        <v>182</v>
      </c>
      <c r="H120" s="1" t="s">
        <v>183</v>
      </c>
      <c r="I120" s="2">
        <v>288</v>
      </c>
      <c r="L120" s="3">
        <v>0</v>
      </c>
      <c r="M120" s="3">
        <v>348.577</v>
      </c>
      <c r="N120" s="3">
        <v>410.09</v>
      </c>
      <c r="O120" s="4">
        <v>0</v>
      </c>
      <c r="P120" s="4">
        <v>100390.18</v>
      </c>
      <c r="Q120" s="4">
        <v>118105.92</v>
      </c>
      <c r="S120" s="1" t="s">
        <v>226</v>
      </c>
      <c r="T120" s="1" t="s">
        <v>227</v>
      </c>
      <c r="W120" s="1" t="s">
        <v>57</v>
      </c>
      <c r="Z120" s="1" t="s">
        <v>64</v>
      </c>
      <c r="AA120" s="5">
        <v>0</v>
      </c>
      <c r="AB120" s="5">
        <v>0</v>
      </c>
      <c r="AD120" s="1" t="s">
        <v>64</v>
      </c>
      <c r="AE120" s="4">
        <v>100390.18</v>
      </c>
      <c r="AF120" s="4">
        <v>0</v>
      </c>
      <c r="AG120" s="2">
        <v>0</v>
      </c>
      <c r="AH120" s="3">
        <v>348.577</v>
      </c>
      <c r="AI120" s="3">
        <v>0</v>
      </c>
      <c r="AJ120" s="5">
        <v>0</v>
      </c>
      <c r="AT120" s="1" t="s">
        <v>65</v>
      </c>
      <c r="AU120" s="1" t="s">
        <v>66</v>
      </c>
      <c r="AV120" s="1" t="s">
        <v>197</v>
      </c>
      <c r="AW120" s="1" t="s">
        <v>198</v>
      </c>
      <c r="AX120" s="1" t="s">
        <v>228</v>
      </c>
      <c r="AY120" s="1" t="s">
        <v>229</v>
      </c>
      <c r="BB120" s="1" t="s">
        <v>71</v>
      </c>
      <c r="BC120" s="1" t="s">
        <v>72</v>
      </c>
    </row>
    <row r="121" spans="1:55" x14ac:dyDescent="0.25">
      <c r="A121" s="1">
        <v>1200</v>
      </c>
      <c r="B121" s="1" t="s">
        <v>55</v>
      </c>
      <c r="C121" s="1" t="s">
        <v>56</v>
      </c>
      <c r="D121" s="1" t="s">
        <v>57</v>
      </c>
      <c r="E121" s="1" t="s">
        <v>232</v>
      </c>
      <c r="F121" s="1" t="s">
        <v>233</v>
      </c>
      <c r="G121" s="1" t="s">
        <v>225</v>
      </c>
      <c r="I121" s="2">
        <v>11520</v>
      </c>
      <c r="L121" s="3">
        <v>0</v>
      </c>
      <c r="M121" s="3">
        <v>69.41</v>
      </c>
      <c r="N121" s="3">
        <v>113.11</v>
      </c>
      <c r="O121" s="4">
        <v>0</v>
      </c>
      <c r="P121" s="4">
        <v>799603.19999999995</v>
      </c>
      <c r="Q121" s="4">
        <v>1303027.2</v>
      </c>
      <c r="S121" s="1" t="s">
        <v>226</v>
      </c>
      <c r="T121" s="1" t="s">
        <v>227</v>
      </c>
      <c r="W121" s="1" t="s">
        <v>57</v>
      </c>
      <c r="Z121" s="1" t="s">
        <v>64</v>
      </c>
      <c r="AA121" s="5">
        <v>0</v>
      </c>
      <c r="AB121" s="5">
        <v>0</v>
      </c>
      <c r="AD121" s="1" t="s">
        <v>64</v>
      </c>
      <c r="AE121" s="4">
        <v>799603.19999999995</v>
      </c>
      <c r="AF121" s="4">
        <v>0</v>
      </c>
      <c r="AG121" s="2">
        <v>0</v>
      </c>
      <c r="AH121" s="3">
        <v>69.41</v>
      </c>
      <c r="AI121" s="3">
        <v>0</v>
      </c>
      <c r="AJ121" s="5">
        <v>0</v>
      </c>
      <c r="AT121" s="1" t="s">
        <v>65</v>
      </c>
      <c r="AU121" s="1" t="s">
        <v>66</v>
      </c>
      <c r="AV121" s="1" t="s">
        <v>197</v>
      </c>
      <c r="AW121" s="1" t="s">
        <v>198</v>
      </c>
      <c r="AX121" s="1" t="s">
        <v>228</v>
      </c>
      <c r="AY121" s="1" t="s">
        <v>229</v>
      </c>
      <c r="BB121" s="1" t="s">
        <v>71</v>
      </c>
      <c r="BC121" s="1" t="s">
        <v>72</v>
      </c>
    </row>
    <row r="122" spans="1:55" x14ac:dyDescent="0.25">
      <c r="A122" s="1">
        <v>1210</v>
      </c>
      <c r="B122" s="1" t="s">
        <v>55</v>
      </c>
      <c r="C122" s="1" t="s">
        <v>56</v>
      </c>
      <c r="D122" s="1" t="s">
        <v>57</v>
      </c>
      <c r="E122" s="1" t="s">
        <v>234</v>
      </c>
      <c r="F122" s="1" t="s">
        <v>235</v>
      </c>
      <c r="G122" s="1" t="s">
        <v>110</v>
      </c>
      <c r="H122" s="1" t="s">
        <v>110</v>
      </c>
      <c r="I122" s="2">
        <v>180</v>
      </c>
      <c r="L122" s="3">
        <v>0</v>
      </c>
      <c r="M122" s="3">
        <v>1109.3499999999999</v>
      </c>
      <c r="N122" s="3">
        <v>1167.74</v>
      </c>
      <c r="O122" s="4">
        <v>0</v>
      </c>
      <c r="P122" s="4">
        <v>199683</v>
      </c>
      <c r="Q122" s="4">
        <v>210193.2</v>
      </c>
      <c r="S122" s="1" t="s">
        <v>226</v>
      </c>
      <c r="T122" s="1" t="s">
        <v>227</v>
      </c>
      <c r="W122" s="1" t="s">
        <v>57</v>
      </c>
      <c r="Z122" s="1" t="s">
        <v>64</v>
      </c>
      <c r="AA122" s="5">
        <v>0</v>
      </c>
      <c r="AB122" s="5">
        <v>0</v>
      </c>
      <c r="AD122" s="1" t="s">
        <v>64</v>
      </c>
      <c r="AE122" s="4">
        <v>199683</v>
      </c>
      <c r="AF122" s="4">
        <v>0</v>
      </c>
      <c r="AG122" s="2">
        <v>0</v>
      </c>
      <c r="AH122" s="3">
        <v>1109.3499999999999</v>
      </c>
      <c r="AI122" s="3">
        <v>0</v>
      </c>
      <c r="AJ122" s="5">
        <v>0</v>
      </c>
      <c r="AT122" s="1" t="s">
        <v>65</v>
      </c>
      <c r="AU122" s="1" t="s">
        <v>66</v>
      </c>
      <c r="AV122" s="1" t="s">
        <v>197</v>
      </c>
      <c r="AW122" s="1" t="s">
        <v>198</v>
      </c>
      <c r="AX122" s="1" t="s">
        <v>236</v>
      </c>
      <c r="AY122" s="1" t="s">
        <v>237</v>
      </c>
      <c r="BB122" s="1" t="s">
        <v>71</v>
      </c>
      <c r="BC122" s="1" t="s">
        <v>72</v>
      </c>
    </row>
    <row r="123" spans="1:55" x14ac:dyDescent="0.25">
      <c r="A123" s="1">
        <v>1220</v>
      </c>
      <c r="B123" s="1" t="s">
        <v>55</v>
      </c>
      <c r="C123" s="1" t="s">
        <v>56</v>
      </c>
      <c r="D123" s="1" t="s">
        <v>57</v>
      </c>
      <c r="E123" s="1" t="s">
        <v>238</v>
      </c>
      <c r="F123" s="1" t="s">
        <v>239</v>
      </c>
      <c r="G123" s="1" t="s">
        <v>110</v>
      </c>
      <c r="H123" s="1" t="s">
        <v>110</v>
      </c>
      <c r="I123" s="2">
        <v>27.6</v>
      </c>
      <c r="L123" s="3">
        <v>0</v>
      </c>
      <c r="M123" s="3">
        <v>1784.57</v>
      </c>
      <c r="N123" s="3">
        <v>3927.13</v>
      </c>
      <c r="O123" s="4">
        <v>0</v>
      </c>
      <c r="P123" s="4">
        <v>49254.13</v>
      </c>
      <c r="Q123" s="4">
        <v>108388.79</v>
      </c>
      <c r="S123" s="1" t="s">
        <v>226</v>
      </c>
      <c r="T123" s="1" t="s">
        <v>227</v>
      </c>
      <c r="W123" s="1" t="s">
        <v>57</v>
      </c>
      <c r="Z123" s="1" t="s">
        <v>64</v>
      </c>
      <c r="AA123" s="5">
        <v>0</v>
      </c>
      <c r="AB123" s="5">
        <v>0</v>
      </c>
      <c r="AD123" s="1" t="s">
        <v>64</v>
      </c>
      <c r="AE123" s="4">
        <v>49254.13</v>
      </c>
      <c r="AF123" s="4">
        <v>0</v>
      </c>
      <c r="AG123" s="2">
        <v>0</v>
      </c>
      <c r="AH123" s="3">
        <v>1784.57</v>
      </c>
      <c r="AI123" s="3">
        <v>0</v>
      </c>
      <c r="AJ123" s="5">
        <v>0</v>
      </c>
      <c r="AT123" s="1" t="s">
        <v>65</v>
      </c>
      <c r="AU123" s="1" t="s">
        <v>66</v>
      </c>
      <c r="AV123" s="1" t="s">
        <v>197</v>
      </c>
      <c r="AW123" s="1" t="s">
        <v>198</v>
      </c>
      <c r="AX123" s="1" t="s">
        <v>240</v>
      </c>
      <c r="AY123" s="1" t="s">
        <v>241</v>
      </c>
      <c r="BB123" s="1" t="s">
        <v>71</v>
      </c>
      <c r="BC123" s="1" t="s">
        <v>72</v>
      </c>
    </row>
    <row r="124" spans="1:55" x14ac:dyDescent="0.25">
      <c r="A124" s="1">
        <v>1230</v>
      </c>
      <c r="B124" s="1" t="s">
        <v>55</v>
      </c>
      <c r="C124" s="1" t="s">
        <v>56</v>
      </c>
      <c r="D124" s="1" t="s">
        <v>57</v>
      </c>
      <c r="E124" s="1" t="s">
        <v>242</v>
      </c>
      <c r="F124" s="1" t="s">
        <v>243</v>
      </c>
      <c r="G124" s="1" t="s">
        <v>203</v>
      </c>
      <c r="I124" s="2">
        <v>117353.54</v>
      </c>
      <c r="L124" s="3">
        <v>0</v>
      </c>
      <c r="M124" s="3">
        <v>0</v>
      </c>
      <c r="N124" s="3">
        <v>0.185</v>
      </c>
      <c r="O124" s="4">
        <v>0</v>
      </c>
      <c r="P124" s="4">
        <v>0</v>
      </c>
      <c r="Q124" s="4">
        <v>21710.400000000001</v>
      </c>
      <c r="S124" s="1" t="s">
        <v>226</v>
      </c>
      <c r="T124" s="1" t="s">
        <v>227</v>
      </c>
      <c r="W124" s="1" t="s">
        <v>57</v>
      </c>
      <c r="Z124" s="1" t="s">
        <v>64</v>
      </c>
      <c r="AA124" s="5">
        <v>0</v>
      </c>
      <c r="AB124" s="5">
        <v>0</v>
      </c>
      <c r="AD124" s="1" t="s">
        <v>64</v>
      </c>
      <c r="AE124" s="4">
        <v>0</v>
      </c>
      <c r="AF124" s="4">
        <v>0</v>
      </c>
      <c r="AG124" s="2">
        <v>0</v>
      </c>
      <c r="AH124" s="3">
        <v>0</v>
      </c>
      <c r="AI124" s="3">
        <v>0</v>
      </c>
      <c r="AJ124" s="5">
        <v>0</v>
      </c>
      <c r="AT124" s="1" t="s">
        <v>65</v>
      </c>
      <c r="AU124" s="1" t="s">
        <v>66</v>
      </c>
      <c r="AV124" s="1" t="s">
        <v>197</v>
      </c>
      <c r="AW124" s="1" t="s">
        <v>198</v>
      </c>
      <c r="AX124" s="1" t="s">
        <v>240</v>
      </c>
      <c r="AY124" s="1" t="s">
        <v>241</v>
      </c>
      <c r="BB124" s="1" t="s">
        <v>71</v>
      </c>
      <c r="BC124" s="1" t="s">
        <v>72</v>
      </c>
    </row>
    <row r="125" spans="1:55" x14ac:dyDescent="0.25">
      <c r="A125" s="1">
        <v>1240</v>
      </c>
      <c r="B125" s="1" t="s">
        <v>55</v>
      </c>
      <c r="C125" s="1" t="s">
        <v>56</v>
      </c>
      <c r="D125" s="1" t="s">
        <v>57</v>
      </c>
      <c r="E125" s="1" t="s">
        <v>244</v>
      </c>
      <c r="F125" s="1" t="s">
        <v>245</v>
      </c>
      <c r="G125" s="1" t="s">
        <v>110</v>
      </c>
      <c r="H125" s="1" t="s">
        <v>110</v>
      </c>
      <c r="I125" s="2">
        <v>3.6</v>
      </c>
      <c r="L125" s="3">
        <v>0</v>
      </c>
      <c r="M125" s="3">
        <v>592.84</v>
      </c>
      <c r="N125" s="3">
        <v>624.04</v>
      </c>
      <c r="O125" s="4">
        <v>0</v>
      </c>
      <c r="P125" s="4">
        <v>2134.2199999999998</v>
      </c>
      <c r="Q125" s="4">
        <v>2246.54</v>
      </c>
      <c r="S125" s="1" t="s">
        <v>226</v>
      </c>
      <c r="T125" s="1" t="s">
        <v>227</v>
      </c>
      <c r="W125" s="1" t="s">
        <v>57</v>
      </c>
      <c r="Z125" s="1" t="s">
        <v>64</v>
      </c>
      <c r="AA125" s="5">
        <v>0</v>
      </c>
      <c r="AB125" s="5">
        <v>0</v>
      </c>
      <c r="AD125" s="1" t="s">
        <v>64</v>
      </c>
      <c r="AE125" s="4">
        <v>2134.2199999999998</v>
      </c>
      <c r="AF125" s="4">
        <v>0</v>
      </c>
      <c r="AG125" s="2">
        <v>0</v>
      </c>
      <c r="AH125" s="3">
        <v>592.84</v>
      </c>
      <c r="AI125" s="3">
        <v>0</v>
      </c>
      <c r="AJ125" s="5">
        <v>0</v>
      </c>
      <c r="AT125" s="1" t="s">
        <v>65</v>
      </c>
      <c r="AU125" s="1" t="s">
        <v>66</v>
      </c>
      <c r="AV125" s="1" t="s">
        <v>197</v>
      </c>
      <c r="AW125" s="1" t="s">
        <v>198</v>
      </c>
      <c r="AX125" s="1" t="s">
        <v>240</v>
      </c>
      <c r="AY125" s="1" t="s">
        <v>241</v>
      </c>
      <c r="BB125" s="1" t="s">
        <v>71</v>
      </c>
      <c r="BC125" s="1" t="s">
        <v>72</v>
      </c>
    </row>
    <row r="126" spans="1:55" x14ac:dyDescent="0.25">
      <c r="A126" s="1">
        <v>1250</v>
      </c>
      <c r="B126" s="1" t="s">
        <v>55</v>
      </c>
      <c r="C126" s="1" t="s">
        <v>56</v>
      </c>
      <c r="D126" s="1" t="s">
        <v>57</v>
      </c>
      <c r="E126" s="1" t="s">
        <v>246</v>
      </c>
      <c r="F126" s="1" t="s">
        <v>247</v>
      </c>
      <c r="G126" s="1" t="s">
        <v>96</v>
      </c>
      <c r="H126" s="1" t="s">
        <v>97</v>
      </c>
      <c r="I126" s="2">
        <v>20952</v>
      </c>
      <c r="L126" s="3">
        <v>0</v>
      </c>
      <c r="M126" s="3">
        <v>24.47</v>
      </c>
      <c r="N126" s="3">
        <v>24.87</v>
      </c>
      <c r="O126" s="4">
        <v>0</v>
      </c>
      <c r="P126" s="4">
        <v>512695.44</v>
      </c>
      <c r="Q126" s="4">
        <v>521076.24</v>
      </c>
      <c r="S126" s="1" t="s">
        <v>248</v>
      </c>
      <c r="T126" s="1" t="s">
        <v>249</v>
      </c>
      <c r="W126" s="1" t="s">
        <v>57</v>
      </c>
      <c r="Z126" s="1" t="s">
        <v>64</v>
      </c>
      <c r="AA126" s="5">
        <v>0</v>
      </c>
      <c r="AB126" s="5">
        <v>0</v>
      </c>
      <c r="AD126" s="1" t="s">
        <v>64</v>
      </c>
      <c r="AE126" s="4">
        <v>512695.44</v>
      </c>
      <c r="AF126" s="4">
        <v>0</v>
      </c>
      <c r="AG126" s="2">
        <v>0</v>
      </c>
      <c r="AH126" s="3">
        <v>24.47</v>
      </c>
      <c r="AI126" s="3">
        <v>0</v>
      </c>
      <c r="AJ126" s="5">
        <v>0</v>
      </c>
      <c r="AT126" s="1" t="s">
        <v>65</v>
      </c>
      <c r="AU126" s="1" t="s">
        <v>66</v>
      </c>
      <c r="AV126" s="1" t="s">
        <v>197</v>
      </c>
      <c r="AW126" s="1" t="s">
        <v>198</v>
      </c>
      <c r="AX126" s="1" t="s">
        <v>250</v>
      </c>
      <c r="AY126" s="1" t="s">
        <v>251</v>
      </c>
      <c r="BB126" s="1" t="s">
        <v>71</v>
      </c>
      <c r="BC126" s="1" t="s">
        <v>72</v>
      </c>
    </row>
    <row r="127" spans="1:55" x14ac:dyDescent="0.25">
      <c r="A127" s="1">
        <v>1260</v>
      </c>
      <c r="B127" s="1" t="s">
        <v>55</v>
      </c>
      <c r="C127" s="1" t="s">
        <v>56</v>
      </c>
      <c r="D127" s="1" t="s">
        <v>57</v>
      </c>
      <c r="E127" s="1" t="s">
        <v>252</v>
      </c>
      <c r="F127" s="1" t="s">
        <v>253</v>
      </c>
      <c r="G127" s="1" t="s">
        <v>60</v>
      </c>
      <c r="H127" s="1" t="s">
        <v>61</v>
      </c>
      <c r="I127" s="2">
        <v>1207.44</v>
      </c>
      <c r="L127" s="3">
        <v>0</v>
      </c>
      <c r="M127" s="3">
        <v>216.255</v>
      </c>
      <c r="N127" s="3">
        <v>194.21</v>
      </c>
      <c r="O127" s="4">
        <v>0</v>
      </c>
      <c r="P127" s="4">
        <v>261114.94</v>
      </c>
      <c r="Q127" s="4">
        <v>234496.92</v>
      </c>
      <c r="S127" s="1" t="s">
        <v>254</v>
      </c>
      <c r="T127" s="1" t="s">
        <v>255</v>
      </c>
      <c r="W127" s="1" t="s">
        <v>57</v>
      </c>
      <c r="Z127" s="1" t="s">
        <v>64</v>
      </c>
      <c r="AA127" s="5">
        <v>0</v>
      </c>
      <c r="AB127" s="5">
        <v>0</v>
      </c>
      <c r="AD127" s="1" t="s">
        <v>64</v>
      </c>
      <c r="AE127" s="4">
        <v>261114.94</v>
      </c>
      <c r="AF127" s="4">
        <v>0</v>
      </c>
      <c r="AG127" s="2">
        <v>0</v>
      </c>
      <c r="AH127" s="3">
        <v>216.255</v>
      </c>
      <c r="AI127" s="3">
        <v>0</v>
      </c>
      <c r="AJ127" s="5">
        <v>0</v>
      </c>
      <c r="AT127" s="1" t="s">
        <v>65</v>
      </c>
      <c r="AU127" s="1" t="s">
        <v>66</v>
      </c>
      <c r="AV127" s="1" t="s">
        <v>197</v>
      </c>
      <c r="AW127" s="1" t="s">
        <v>198</v>
      </c>
      <c r="AX127" s="1" t="s">
        <v>256</v>
      </c>
      <c r="AY127" s="1" t="s">
        <v>257</v>
      </c>
      <c r="BB127" s="1" t="s">
        <v>71</v>
      </c>
      <c r="BC127" s="1" t="s">
        <v>72</v>
      </c>
    </row>
    <row r="128" spans="1:55" x14ac:dyDescent="0.25">
      <c r="A128" s="1">
        <v>1270</v>
      </c>
      <c r="B128" s="1" t="s">
        <v>55</v>
      </c>
      <c r="C128" s="1" t="s">
        <v>56</v>
      </c>
      <c r="D128" s="1" t="s">
        <v>57</v>
      </c>
      <c r="E128" s="1" t="s">
        <v>258</v>
      </c>
      <c r="F128" s="1" t="s">
        <v>253</v>
      </c>
      <c r="G128" s="1" t="s">
        <v>60</v>
      </c>
      <c r="H128" s="1" t="s">
        <v>61</v>
      </c>
      <c r="I128" s="2">
        <v>804.96</v>
      </c>
      <c r="L128" s="3">
        <v>0</v>
      </c>
      <c r="M128" s="3">
        <v>228.47499999999999</v>
      </c>
      <c r="N128" s="3">
        <v>213.46</v>
      </c>
      <c r="O128" s="4">
        <v>0</v>
      </c>
      <c r="P128" s="4">
        <v>183913.24</v>
      </c>
      <c r="Q128" s="4">
        <v>171826.76</v>
      </c>
      <c r="S128" s="1" t="s">
        <v>254</v>
      </c>
      <c r="T128" s="1" t="s">
        <v>255</v>
      </c>
      <c r="W128" s="1" t="s">
        <v>57</v>
      </c>
      <c r="Z128" s="1" t="s">
        <v>64</v>
      </c>
      <c r="AA128" s="5">
        <v>0</v>
      </c>
      <c r="AB128" s="5">
        <v>0</v>
      </c>
      <c r="AD128" s="1" t="s">
        <v>64</v>
      </c>
      <c r="AE128" s="4">
        <v>183913.24</v>
      </c>
      <c r="AF128" s="4">
        <v>0</v>
      </c>
      <c r="AG128" s="2">
        <v>0</v>
      </c>
      <c r="AH128" s="3">
        <v>228.47499999999999</v>
      </c>
      <c r="AI128" s="3">
        <v>0</v>
      </c>
      <c r="AJ128" s="5">
        <v>0</v>
      </c>
      <c r="AT128" s="1" t="s">
        <v>65</v>
      </c>
      <c r="AU128" s="1" t="s">
        <v>66</v>
      </c>
      <c r="AV128" s="1" t="s">
        <v>197</v>
      </c>
      <c r="AW128" s="1" t="s">
        <v>198</v>
      </c>
      <c r="AX128" s="1" t="s">
        <v>256</v>
      </c>
      <c r="AY128" s="1" t="s">
        <v>257</v>
      </c>
      <c r="BB128" s="1" t="s">
        <v>71</v>
      </c>
      <c r="BC128" s="1" t="s">
        <v>72</v>
      </c>
    </row>
    <row r="129" spans="1:55" x14ac:dyDescent="0.25">
      <c r="A129" s="1">
        <v>1280</v>
      </c>
      <c r="B129" s="1" t="s">
        <v>55</v>
      </c>
      <c r="C129" s="1" t="s">
        <v>56</v>
      </c>
      <c r="D129" s="1" t="s">
        <v>57</v>
      </c>
      <c r="E129" s="1" t="s">
        <v>259</v>
      </c>
      <c r="F129" s="1" t="s">
        <v>260</v>
      </c>
      <c r="G129" s="1" t="s">
        <v>96</v>
      </c>
      <c r="H129" s="1" t="s">
        <v>97</v>
      </c>
      <c r="I129" s="2">
        <v>20124</v>
      </c>
      <c r="L129" s="3">
        <v>0</v>
      </c>
      <c r="M129" s="3">
        <v>1.1399999999999999</v>
      </c>
      <c r="N129" s="3">
        <v>1.59</v>
      </c>
      <c r="O129" s="4">
        <v>0</v>
      </c>
      <c r="P129" s="4">
        <v>22941.360000000001</v>
      </c>
      <c r="Q129" s="4">
        <v>31997.16</v>
      </c>
      <c r="S129" s="1" t="s">
        <v>254</v>
      </c>
      <c r="T129" s="1" t="s">
        <v>255</v>
      </c>
      <c r="W129" s="1" t="s">
        <v>57</v>
      </c>
      <c r="Z129" s="1" t="s">
        <v>64</v>
      </c>
      <c r="AA129" s="5">
        <v>0</v>
      </c>
      <c r="AB129" s="5">
        <v>0</v>
      </c>
      <c r="AD129" s="1" t="s">
        <v>64</v>
      </c>
      <c r="AE129" s="4">
        <v>22941.360000000001</v>
      </c>
      <c r="AF129" s="4">
        <v>0</v>
      </c>
      <c r="AG129" s="2">
        <v>0</v>
      </c>
      <c r="AH129" s="3">
        <v>1.1399999999999999</v>
      </c>
      <c r="AI129" s="3">
        <v>0</v>
      </c>
      <c r="AJ129" s="5">
        <v>0</v>
      </c>
      <c r="AT129" s="1" t="s">
        <v>65</v>
      </c>
      <c r="AU129" s="1" t="s">
        <v>66</v>
      </c>
      <c r="AV129" s="1" t="s">
        <v>197</v>
      </c>
      <c r="AW129" s="1" t="s">
        <v>198</v>
      </c>
      <c r="AX129" s="1" t="s">
        <v>256</v>
      </c>
      <c r="AY129" s="1" t="s">
        <v>257</v>
      </c>
      <c r="BB129" s="1" t="s">
        <v>71</v>
      </c>
      <c r="BC129" s="1" t="s">
        <v>72</v>
      </c>
    </row>
    <row r="130" spans="1:55" x14ac:dyDescent="0.25">
      <c r="A130" s="1">
        <v>1290</v>
      </c>
      <c r="B130" s="1" t="s">
        <v>55</v>
      </c>
      <c r="C130" s="1" t="s">
        <v>56</v>
      </c>
      <c r="D130" s="1" t="s">
        <v>57</v>
      </c>
      <c r="E130" s="1" t="s">
        <v>261</v>
      </c>
      <c r="F130" s="1" t="s">
        <v>109</v>
      </c>
      <c r="G130" s="1" t="s">
        <v>110</v>
      </c>
      <c r="H130" s="1" t="s">
        <v>110</v>
      </c>
      <c r="I130" s="2">
        <v>4164</v>
      </c>
      <c r="L130" s="3">
        <v>0</v>
      </c>
      <c r="M130" s="3">
        <v>165</v>
      </c>
      <c r="N130" s="3">
        <v>376.73</v>
      </c>
      <c r="O130" s="4">
        <v>0</v>
      </c>
      <c r="P130" s="4">
        <v>687060</v>
      </c>
      <c r="Q130" s="4">
        <v>1568703.72</v>
      </c>
      <c r="S130" s="1" t="s">
        <v>262</v>
      </c>
      <c r="T130" s="1" t="s">
        <v>263</v>
      </c>
      <c r="W130" s="1" t="s">
        <v>57</v>
      </c>
      <c r="Z130" s="1" t="s">
        <v>64</v>
      </c>
      <c r="AA130" s="5">
        <v>0</v>
      </c>
      <c r="AB130" s="5">
        <v>0</v>
      </c>
      <c r="AD130" s="1" t="s">
        <v>64</v>
      </c>
      <c r="AE130" s="4">
        <v>687060</v>
      </c>
      <c r="AF130" s="4">
        <v>0</v>
      </c>
      <c r="AG130" s="2">
        <v>0</v>
      </c>
      <c r="AH130" s="3">
        <v>165</v>
      </c>
      <c r="AI130" s="3">
        <v>0</v>
      </c>
      <c r="AJ130" s="5">
        <v>0</v>
      </c>
      <c r="AT130" s="1" t="s">
        <v>65</v>
      </c>
      <c r="AU130" s="1" t="s">
        <v>66</v>
      </c>
      <c r="AV130" s="1" t="s">
        <v>197</v>
      </c>
      <c r="AW130" s="1" t="s">
        <v>198</v>
      </c>
      <c r="AX130" s="1" t="s">
        <v>264</v>
      </c>
      <c r="AY130" s="1" t="s">
        <v>265</v>
      </c>
      <c r="BB130" s="1" t="s">
        <v>71</v>
      </c>
      <c r="BC130" s="1" t="s">
        <v>72</v>
      </c>
    </row>
    <row r="131" spans="1:55" x14ac:dyDescent="0.25">
      <c r="A131" s="1">
        <v>1300</v>
      </c>
      <c r="B131" s="1" t="s">
        <v>55</v>
      </c>
      <c r="C131" s="1" t="s">
        <v>56</v>
      </c>
      <c r="D131" s="1" t="s">
        <v>57</v>
      </c>
      <c r="E131" s="1" t="s">
        <v>266</v>
      </c>
      <c r="F131" s="1" t="s">
        <v>267</v>
      </c>
      <c r="G131" s="1" t="s">
        <v>110</v>
      </c>
      <c r="H131" s="1" t="s">
        <v>110</v>
      </c>
      <c r="I131" s="2">
        <v>123</v>
      </c>
      <c r="L131" s="3">
        <v>0</v>
      </c>
      <c r="M131" s="3">
        <v>1200.33</v>
      </c>
      <c r="N131" s="3">
        <v>1263.51</v>
      </c>
      <c r="O131" s="4">
        <v>0</v>
      </c>
      <c r="P131" s="4">
        <v>147640.59</v>
      </c>
      <c r="Q131" s="4">
        <v>155411.73000000001</v>
      </c>
      <c r="S131" s="1" t="s">
        <v>262</v>
      </c>
      <c r="T131" s="1" t="s">
        <v>263</v>
      </c>
      <c r="W131" s="1" t="s">
        <v>57</v>
      </c>
      <c r="Z131" s="1" t="s">
        <v>64</v>
      </c>
      <c r="AA131" s="5">
        <v>0</v>
      </c>
      <c r="AB131" s="5">
        <v>0</v>
      </c>
      <c r="AD131" s="1" t="s">
        <v>64</v>
      </c>
      <c r="AE131" s="4">
        <v>147640.59</v>
      </c>
      <c r="AF131" s="4">
        <v>0</v>
      </c>
      <c r="AG131" s="2">
        <v>0</v>
      </c>
      <c r="AH131" s="3">
        <v>1200.33</v>
      </c>
      <c r="AI131" s="3">
        <v>0</v>
      </c>
      <c r="AJ131" s="5">
        <v>0</v>
      </c>
      <c r="AT131" s="1" t="s">
        <v>65</v>
      </c>
      <c r="AU131" s="1" t="s">
        <v>66</v>
      </c>
      <c r="AV131" s="1" t="s">
        <v>197</v>
      </c>
      <c r="AW131" s="1" t="s">
        <v>198</v>
      </c>
      <c r="AX131" s="1" t="s">
        <v>264</v>
      </c>
      <c r="AY131" s="1" t="s">
        <v>265</v>
      </c>
      <c r="BB131" s="1" t="s">
        <v>71</v>
      </c>
      <c r="BC131" s="1" t="s">
        <v>72</v>
      </c>
    </row>
    <row r="132" spans="1:55" x14ac:dyDescent="0.25">
      <c r="A132" s="1">
        <v>1310</v>
      </c>
      <c r="B132" s="1" t="s">
        <v>55</v>
      </c>
      <c r="C132" s="1" t="s">
        <v>56</v>
      </c>
      <c r="D132" s="1" t="s">
        <v>57</v>
      </c>
      <c r="E132" s="1" t="s">
        <v>268</v>
      </c>
      <c r="F132" s="1" t="s">
        <v>269</v>
      </c>
      <c r="G132" s="1" t="s">
        <v>110</v>
      </c>
      <c r="H132" s="1" t="s">
        <v>110</v>
      </c>
      <c r="I132" s="2">
        <v>6480</v>
      </c>
      <c r="L132" s="3">
        <v>0</v>
      </c>
      <c r="M132" s="3">
        <v>0.45</v>
      </c>
      <c r="N132" s="3">
        <v>0.49</v>
      </c>
      <c r="O132" s="4">
        <v>0</v>
      </c>
      <c r="P132" s="4">
        <v>2916</v>
      </c>
      <c r="Q132" s="4">
        <v>3175.2</v>
      </c>
      <c r="S132" s="1" t="s">
        <v>270</v>
      </c>
      <c r="T132" s="1" t="s">
        <v>271</v>
      </c>
      <c r="W132" s="1" t="s">
        <v>57</v>
      </c>
      <c r="Z132" s="1" t="s">
        <v>64</v>
      </c>
      <c r="AA132" s="5">
        <v>0</v>
      </c>
      <c r="AB132" s="5">
        <v>0</v>
      </c>
      <c r="AD132" s="1" t="s">
        <v>64</v>
      </c>
      <c r="AE132" s="4">
        <v>2916</v>
      </c>
      <c r="AF132" s="4">
        <v>0</v>
      </c>
      <c r="AG132" s="2">
        <v>0</v>
      </c>
      <c r="AH132" s="3">
        <v>0.45</v>
      </c>
      <c r="AI132" s="3">
        <v>0</v>
      </c>
      <c r="AJ132" s="5">
        <v>0</v>
      </c>
      <c r="AT132" s="1" t="s">
        <v>65</v>
      </c>
      <c r="AU132" s="1" t="s">
        <v>66</v>
      </c>
      <c r="AV132" s="1" t="s">
        <v>197</v>
      </c>
      <c r="AW132" s="1" t="s">
        <v>198</v>
      </c>
      <c r="AX132" s="1" t="s">
        <v>272</v>
      </c>
      <c r="AY132" s="1" t="s">
        <v>273</v>
      </c>
      <c r="BB132" s="1" t="s">
        <v>71</v>
      </c>
      <c r="BC132" s="1" t="s">
        <v>72</v>
      </c>
    </row>
    <row r="133" spans="1:55" x14ac:dyDescent="0.25">
      <c r="A133" s="1">
        <v>1320</v>
      </c>
      <c r="B133" s="1" t="s">
        <v>55</v>
      </c>
      <c r="C133" s="1" t="s">
        <v>56</v>
      </c>
      <c r="D133" s="1" t="s">
        <v>57</v>
      </c>
      <c r="E133" s="1" t="s">
        <v>274</v>
      </c>
      <c r="F133" s="1" t="s">
        <v>275</v>
      </c>
      <c r="G133" s="1" t="s">
        <v>182</v>
      </c>
      <c r="H133" s="1" t="s">
        <v>183</v>
      </c>
      <c r="I133" s="2">
        <v>10</v>
      </c>
      <c r="L133" s="3">
        <v>0</v>
      </c>
      <c r="M133" s="3">
        <v>64.599999999999994</v>
      </c>
      <c r="N133" s="3">
        <v>74.3</v>
      </c>
      <c r="O133" s="4">
        <v>0</v>
      </c>
      <c r="P133" s="4">
        <v>646</v>
      </c>
      <c r="Q133" s="4">
        <v>743</v>
      </c>
      <c r="S133" s="1" t="s">
        <v>270</v>
      </c>
      <c r="T133" s="1" t="s">
        <v>271</v>
      </c>
      <c r="W133" s="1" t="s">
        <v>57</v>
      </c>
      <c r="Z133" s="1" t="s">
        <v>64</v>
      </c>
      <c r="AA133" s="5">
        <v>0</v>
      </c>
      <c r="AB133" s="5">
        <v>0</v>
      </c>
      <c r="AD133" s="1" t="s">
        <v>64</v>
      </c>
      <c r="AE133" s="4">
        <v>646</v>
      </c>
      <c r="AF133" s="4">
        <v>0</v>
      </c>
      <c r="AG133" s="2">
        <v>0</v>
      </c>
      <c r="AH133" s="3">
        <v>64.599999999999994</v>
      </c>
      <c r="AI133" s="3">
        <v>0</v>
      </c>
      <c r="AJ133" s="5">
        <v>0</v>
      </c>
      <c r="AT133" s="1" t="s">
        <v>65</v>
      </c>
      <c r="AU133" s="1" t="s">
        <v>66</v>
      </c>
      <c r="AV133" s="1" t="s">
        <v>197</v>
      </c>
      <c r="AW133" s="1" t="s">
        <v>198</v>
      </c>
      <c r="AX133" s="1" t="s">
        <v>276</v>
      </c>
      <c r="AY133" s="1" t="s">
        <v>277</v>
      </c>
      <c r="BB133" s="1" t="s">
        <v>71</v>
      </c>
      <c r="BC133" s="1" t="s">
        <v>72</v>
      </c>
    </row>
    <row r="134" spans="1:55" x14ac:dyDescent="0.25">
      <c r="A134" s="1">
        <v>1330</v>
      </c>
      <c r="B134" s="1" t="s">
        <v>55</v>
      </c>
      <c r="C134" s="1" t="s">
        <v>56</v>
      </c>
      <c r="D134" s="1" t="s">
        <v>57</v>
      </c>
      <c r="E134" s="1" t="s">
        <v>278</v>
      </c>
      <c r="F134" s="1" t="s">
        <v>279</v>
      </c>
      <c r="G134" s="1" t="s">
        <v>182</v>
      </c>
      <c r="H134" s="1" t="s">
        <v>183</v>
      </c>
      <c r="I134" s="2">
        <v>30</v>
      </c>
      <c r="L134" s="3">
        <v>0</v>
      </c>
      <c r="M134" s="3">
        <v>43.2</v>
      </c>
      <c r="N134" s="3">
        <v>71.569999999999993</v>
      </c>
      <c r="O134" s="4">
        <v>0</v>
      </c>
      <c r="P134" s="4">
        <v>1296</v>
      </c>
      <c r="Q134" s="4">
        <v>2147.1</v>
      </c>
      <c r="S134" s="1" t="s">
        <v>270</v>
      </c>
      <c r="T134" s="1" t="s">
        <v>271</v>
      </c>
      <c r="W134" s="1" t="s">
        <v>57</v>
      </c>
      <c r="Z134" s="1" t="s">
        <v>64</v>
      </c>
      <c r="AA134" s="5">
        <v>0</v>
      </c>
      <c r="AB134" s="5">
        <v>0</v>
      </c>
      <c r="AD134" s="1" t="s">
        <v>64</v>
      </c>
      <c r="AE134" s="4">
        <v>1296</v>
      </c>
      <c r="AF134" s="4">
        <v>0</v>
      </c>
      <c r="AG134" s="2">
        <v>0</v>
      </c>
      <c r="AH134" s="3">
        <v>43.2</v>
      </c>
      <c r="AI134" s="3">
        <v>0</v>
      </c>
      <c r="AJ134" s="5">
        <v>0</v>
      </c>
      <c r="AT134" s="1" t="s">
        <v>65</v>
      </c>
      <c r="AU134" s="1" t="s">
        <v>66</v>
      </c>
      <c r="AV134" s="1" t="s">
        <v>197</v>
      </c>
      <c r="AW134" s="1" t="s">
        <v>198</v>
      </c>
      <c r="AX134" s="1" t="s">
        <v>276</v>
      </c>
      <c r="AY134" s="1" t="s">
        <v>277</v>
      </c>
      <c r="BB134" s="1" t="s">
        <v>71</v>
      </c>
      <c r="BC134" s="1" t="s">
        <v>72</v>
      </c>
    </row>
    <row r="135" spans="1:55" x14ac:dyDescent="0.25">
      <c r="A135" s="1">
        <v>1340</v>
      </c>
      <c r="B135" s="1" t="s">
        <v>55</v>
      </c>
      <c r="C135" s="1" t="s">
        <v>56</v>
      </c>
      <c r="D135" s="1" t="s">
        <v>57</v>
      </c>
      <c r="E135" s="1" t="s">
        <v>280</v>
      </c>
      <c r="F135" s="1" t="s">
        <v>281</v>
      </c>
      <c r="G135" s="1" t="s">
        <v>182</v>
      </c>
      <c r="H135" s="1" t="s">
        <v>183</v>
      </c>
      <c r="I135" s="2">
        <v>30</v>
      </c>
      <c r="L135" s="3">
        <v>0</v>
      </c>
      <c r="M135" s="3">
        <v>43.2</v>
      </c>
      <c r="N135" s="3">
        <v>57.62</v>
      </c>
      <c r="O135" s="4">
        <v>0</v>
      </c>
      <c r="P135" s="4">
        <v>1296</v>
      </c>
      <c r="Q135" s="4">
        <v>1728.6</v>
      </c>
      <c r="S135" s="1" t="s">
        <v>270</v>
      </c>
      <c r="T135" s="1" t="s">
        <v>271</v>
      </c>
      <c r="W135" s="1" t="s">
        <v>57</v>
      </c>
      <c r="Z135" s="1" t="s">
        <v>64</v>
      </c>
      <c r="AA135" s="5">
        <v>0</v>
      </c>
      <c r="AB135" s="5">
        <v>0</v>
      </c>
      <c r="AD135" s="1" t="s">
        <v>64</v>
      </c>
      <c r="AE135" s="4">
        <v>1296</v>
      </c>
      <c r="AF135" s="4">
        <v>0</v>
      </c>
      <c r="AG135" s="2">
        <v>0</v>
      </c>
      <c r="AH135" s="3">
        <v>43.2</v>
      </c>
      <c r="AI135" s="3">
        <v>0</v>
      </c>
      <c r="AJ135" s="5">
        <v>0</v>
      </c>
      <c r="AT135" s="1" t="s">
        <v>65</v>
      </c>
      <c r="AU135" s="1" t="s">
        <v>66</v>
      </c>
      <c r="AV135" s="1" t="s">
        <v>197</v>
      </c>
      <c r="AW135" s="1" t="s">
        <v>198</v>
      </c>
      <c r="AX135" s="1" t="s">
        <v>276</v>
      </c>
      <c r="AY135" s="1" t="s">
        <v>277</v>
      </c>
      <c r="BB135" s="1" t="s">
        <v>71</v>
      </c>
      <c r="BC135" s="1" t="s">
        <v>72</v>
      </c>
    </row>
    <row r="136" spans="1:55" x14ac:dyDescent="0.25">
      <c r="A136" s="1">
        <v>1350</v>
      </c>
      <c r="B136" s="1" t="s">
        <v>55</v>
      </c>
      <c r="C136" s="1" t="s">
        <v>56</v>
      </c>
      <c r="D136" s="1" t="s">
        <v>57</v>
      </c>
      <c r="E136" s="1" t="s">
        <v>282</v>
      </c>
      <c r="F136" s="1" t="s">
        <v>283</v>
      </c>
      <c r="G136" s="1" t="s">
        <v>96</v>
      </c>
      <c r="H136" s="1" t="s">
        <v>97</v>
      </c>
      <c r="I136" s="2">
        <v>5</v>
      </c>
      <c r="L136" s="3">
        <v>0</v>
      </c>
      <c r="M136" s="3">
        <v>212</v>
      </c>
      <c r="N136" s="3">
        <v>267.72000000000003</v>
      </c>
      <c r="O136" s="4">
        <v>0</v>
      </c>
      <c r="P136" s="4">
        <v>1060</v>
      </c>
      <c r="Q136" s="4">
        <v>1338.6</v>
      </c>
      <c r="S136" s="1" t="s">
        <v>270</v>
      </c>
      <c r="T136" s="1" t="s">
        <v>271</v>
      </c>
      <c r="W136" s="1" t="s">
        <v>57</v>
      </c>
      <c r="Z136" s="1" t="s">
        <v>64</v>
      </c>
      <c r="AA136" s="5">
        <v>0</v>
      </c>
      <c r="AB136" s="5">
        <v>0</v>
      </c>
      <c r="AD136" s="1" t="s">
        <v>64</v>
      </c>
      <c r="AE136" s="4">
        <v>1060</v>
      </c>
      <c r="AF136" s="4">
        <v>0</v>
      </c>
      <c r="AG136" s="2">
        <v>0</v>
      </c>
      <c r="AH136" s="3">
        <v>212</v>
      </c>
      <c r="AI136" s="3">
        <v>0</v>
      </c>
      <c r="AJ136" s="5">
        <v>0</v>
      </c>
      <c r="AT136" s="1" t="s">
        <v>65</v>
      </c>
      <c r="AU136" s="1" t="s">
        <v>66</v>
      </c>
      <c r="AV136" s="1" t="s">
        <v>197</v>
      </c>
      <c r="AW136" s="1" t="s">
        <v>198</v>
      </c>
      <c r="AX136" s="1" t="s">
        <v>276</v>
      </c>
      <c r="AY136" s="1" t="s">
        <v>277</v>
      </c>
      <c r="BB136" s="1" t="s">
        <v>71</v>
      </c>
      <c r="BC136" s="1" t="s">
        <v>72</v>
      </c>
    </row>
    <row r="137" spans="1:55" x14ac:dyDescent="0.25">
      <c r="A137" s="1">
        <v>1360</v>
      </c>
      <c r="B137" s="1" t="s">
        <v>55</v>
      </c>
      <c r="C137" s="1" t="s">
        <v>56</v>
      </c>
      <c r="D137" s="1" t="s">
        <v>57</v>
      </c>
      <c r="E137" s="1" t="s">
        <v>284</v>
      </c>
      <c r="F137" s="1" t="s">
        <v>285</v>
      </c>
      <c r="G137" s="1" t="s">
        <v>182</v>
      </c>
      <c r="H137" s="1" t="s">
        <v>183</v>
      </c>
      <c r="I137" s="2">
        <v>70</v>
      </c>
      <c r="L137" s="3">
        <v>0</v>
      </c>
      <c r="M137" s="3">
        <v>6.49</v>
      </c>
      <c r="N137" s="3">
        <v>8.51</v>
      </c>
      <c r="O137" s="4">
        <v>0</v>
      </c>
      <c r="P137" s="4">
        <v>454.3</v>
      </c>
      <c r="Q137" s="4">
        <v>595.70000000000005</v>
      </c>
      <c r="S137" s="1" t="s">
        <v>270</v>
      </c>
      <c r="T137" s="1" t="s">
        <v>271</v>
      </c>
      <c r="W137" s="1" t="s">
        <v>57</v>
      </c>
      <c r="Z137" s="1" t="s">
        <v>64</v>
      </c>
      <c r="AA137" s="5">
        <v>0</v>
      </c>
      <c r="AB137" s="5">
        <v>0</v>
      </c>
      <c r="AD137" s="1" t="s">
        <v>64</v>
      </c>
      <c r="AE137" s="4">
        <v>454.3</v>
      </c>
      <c r="AF137" s="4">
        <v>0</v>
      </c>
      <c r="AG137" s="2">
        <v>0</v>
      </c>
      <c r="AH137" s="3">
        <v>6.49</v>
      </c>
      <c r="AI137" s="3">
        <v>0</v>
      </c>
      <c r="AJ137" s="5">
        <v>0</v>
      </c>
      <c r="AT137" s="1" t="s">
        <v>65</v>
      </c>
      <c r="AU137" s="1" t="s">
        <v>66</v>
      </c>
      <c r="AV137" s="1" t="s">
        <v>197</v>
      </c>
      <c r="AW137" s="1" t="s">
        <v>198</v>
      </c>
      <c r="AX137" s="1" t="s">
        <v>276</v>
      </c>
      <c r="AY137" s="1" t="s">
        <v>277</v>
      </c>
      <c r="BB137" s="1" t="s">
        <v>71</v>
      </c>
      <c r="BC137" s="1" t="s">
        <v>72</v>
      </c>
    </row>
    <row r="138" spans="1:55" x14ac:dyDescent="0.25">
      <c r="A138" s="1">
        <v>1370</v>
      </c>
      <c r="B138" s="1" t="s">
        <v>55</v>
      </c>
      <c r="C138" s="1" t="s">
        <v>56</v>
      </c>
      <c r="D138" s="1" t="s">
        <v>57</v>
      </c>
      <c r="E138" s="1" t="s">
        <v>286</v>
      </c>
      <c r="F138" s="1" t="s">
        <v>285</v>
      </c>
      <c r="G138" s="1" t="s">
        <v>182</v>
      </c>
      <c r="H138" s="1" t="s">
        <v>183</v>
      </c>
      <c r="I138" s="2">
        <v>15</v>
      </c>
      <c r="L138" s="3">
        <v>0</v>
      </c>
      <c r="M138" s="3">
        <v>10.81</v>
      </c>
      <c r="N138" s="3">
        <v>14.17</v>
      </c>
      <c r="O138" s="4">
        <v>0</v>
      </c>
      <c r="P138" s="4">
        <v>162.15</v>
      </c>
      <c r="Q138" s="4">
        <v>212.55</v>
      </c>
      <c r="S138" s="1" t="s">
        <v>270</v>
      </c>
      <c r="T138" s="1" t="s">
        <v>271</v>
      </c>
      <c r="W138" s="1" t="s">
        <v>57</v>
      </c>
      <c r="Z138" s="1" t="s">
        <v>64</v>
      </c>
      <c r="AA138" s="5">
        <v>0</v>
      </c>
      <c r="AB138" s="5">
        <v>0</v>
      </c>
      <c r="AD138" s="1" t="s">
        <v>64</v>
      </c>
      <c r="AE138" s="4">
        <v>162.15</v>
      </c>
      <c r="AF138" s="4">
        <v>0</v>
      </c>
      <c r="AG138" s="2">
        <v>0</v>
      </c>
      <c r="AH138" s="3">
        <v>10.81</v>
      </c>
      <c r="AI138" s="3">
        <v>0</v>
      </c>
      <c r="AJ138" s="5">
        <v>0</v>
      </c>
      <c r="AT138" s="1" t="s">
        <v>65</v>
      </c>
      <c r="AU138" s="1" t="s">
        <v>66</v>
      </c>
      <c r="AV138" s="1" t="s">
        <v>197</v>
      </c>
      <c r="AW138" s="1" t="s">
        <v>198</v>
      </c>
      <c r="AX138" s="1" t="s">
        <v>276</v>
      </c>
      <c r="AY138" s="1" t="s">
        <v>277</v>
      </c>
      <c r="BB138" s="1" t="s">
        <v>71</v>
      </c>
      <c r="BC138" s="1" t="s">
        <v>72</v>
      </c>
    </row>
    <row r="139" spans="1:55" x14ac:dyDescent="0.25">
      <c r="A139" s="1">
        <v>1380</v>
      </c>
      <c r="B139" s="1" t="s">
        <v>55</v>
      </c>
      <c r="C139" s="1" t="s">
        <v>56</v>
      </c>
      <c r="D139" s="1" t="s">
        <v>57</v>
      </c>
      <c r="E139" s="1" t="s">
        <v>287</v>
      </c>
      <c r="F139" s="1" t="s">
        <v>288</v>
      </c>
      <c r="G139" s="1" t="s">
        <v>96</v>
      </c>
      <c r="H139" s="1" t="s">
        <v>97</v>
      </c>
      <c r="I139" s="2">
        <v>926.9</v>
      </c>
      <c r="L139" s="3">
        <v>0</v>
      </c>
      <c r="M139" s="3">
        <v>34.5</v>
      </c>
      <c r="N139" s="3">
        <v>32.71</v>
      </c>
      <c r="O139" s="4">
        <v>0</v>
      </c>
      <c r="P139" s="4">
        <v>31978.05</v>
      </c>
      <c r="Q139" s="4">
        <v>30318.9</v>
      </c>
      <c r="S139" s="1" t="s">
        <v>289</v>
      </c>
      <c r="T139" s="1" t="s">
        <v>290</v>
      </c>
      <c r="W139" s="1" t="s">
        <v>57</v>
      </c>
      <c r="Z139" s="1" t="s">
        <v>64</v>
      </c>
      <c r="AA139" s="5">
        <v>0</v>
      </c>
      <c r="AB139" s="5">
        <v>0</v>
      </c>
      <c r="AD139" s="1" t="s">
        <v>64</v>
      </c>
      <c r="AE139" s="4">
        <v>31978.05</v>
      </c>
      <c r="AF139" s="4">
        <v>0</v>
      </c>
      <c r="AG139" s="2">
        <v>0</v>
      </c>
      <c r="AH139" s="3">
        <v>34.5</v>
      </c>
      <c r="AI139" s="3">
        <v>0</v>
      </c>
      <c r="AJ139" s="5">
        <v>0</v>
      </c>
      <c r="AT139" s="1" t="s">
        <v>65</v>
      </c>
      <c r="AU139" s="1" t="s">
        <v>66</v>
      </c>
      <c r="AV139" s="1" t="s">
        <v>197</v>
      </c>
      <c r="AW139" s="1" t="s">
        <v>198</v>
      </c>
      <c r="AX139" s="1" t="s">
        <v>291</v>
      </c>
      <c r="AY139" s="1" t="s">
        <v>292</v>
      </c>
      <c r="BB139" s="1" t="s">
        <v>71</v>
      </c>
      <c r="BC139" s="1" t="s">
        <v>72</v>
      </c>
    </row>
    <row r="140" spans="1:55" x14ac:dyDescent="0.25">
      <c r="A140" s="1">
        <v>1390</v>
      </c>
      <c r="B140" s="1" t="s">
        <v>55</v>
      </c>
      <c r="C140" s="1" t="s">
        <v>56</v>
      </c>
      <c r="D140" s="1" t="s">
        <v>57</v>
      </c>
      <c r="E140" s="1" t="s">
        <v>98</v>
      </c>
      <c r="F140" s="1" t="s">
        <v>99</v>
      </c>
      <c r="G140" s="1" t="s">
        <v>100</v>
      </c>
      <c r="H140" s="1" t="s">
        <v>101</v>
      </c>
      <c r="I140" s="2">
        <v>9269</v>
      </c>
      <c r="L140" s="3">
        <v>0</v>
      </c>
      <c r="M140" s="3">
        <v>1.1200000000000001</v>
      </c>
      <c r="N140" s="3">
        <v>1.72</v>
      </c>
      <c r="O140" s="4">
        <v>0</v>
      </c>
      <c r="P140" s="4">
        <v>10381.280000000001</v>
      </c>
      <c r="Q140" s="4">
        <v>15942.68</v>
      </c>
      <c r="S140" s="1" t="s">
        <v>289</v>
      </c>
      <c r="T140" s="1" t="s">
        <v>290</v>
      </c>
      <c r="W140" s="1" t="s">
        <v>57</v>
      </c>
      <c r="Z140" s="1" t="s">
        <v>64</v>
      </c>
      <c r="AA140" s="5">
        <v>0</v>
      </c>
      <c r="AB140" s="5">
        <v>0</v>
      </c>
      <c r="AD140" s="1" t="s">
        <v>64</v>
      </c>
      <c r="AE140" s="4">
        <v>10381.280000000001</v>
      </c>
      <c r="AF140" s="4">
        <v>0</v>
      </c>
      <c r="AG140" s="2">
        <v>0</v>
      </c>
      <c r="AH140" s="3">
        <v>1.1200000000000001</v>
      </c>
      <c r="AI140" s="3">
        <v>0</v>
      </c>
      <c r="AJ140" s="5">
        <v>0</v>
      </c>
      <c r="AT140" s="1" t="s">
        <v>65</v>
      </c>
      <c r="AU140" s="1" t="s">
        <v>66</v>
      </c>
      <c r="AV140" s="1" t="s">
        <v>197</v>
      </c>
      <c r="AW140" s="1" t="s">
        <v>198</v>
      </c>
      <c r="AX140" s="1" t="s">
        <v>291</v>
      </c>
      <c r="AY140" s="1" t="s">
        <v>292</v>
      </c>
      <c r="BB140" s="1" t="s">
        <v>71</v>
      </c>
      <c r="BC140" s="1" t="s">
        <v>72</v>
      </c>
    </row>
    <row r="141" spans="1:55" x14ac:dyDescent="0.25">
      <c r="A141" s="1">
        <v>1400</v>
      </c>
      <c r="B141" s="1" t="s">
        <v>55</v>
      </c>
      <c r="C141" s="1" t="s">
        <v>56</v>
      </c>
      <c r="D141" s="1" t="s">
        <v>57</v>
      </c>
      <c r="E141" s="1" t="s">
        <v>293</v>
      </c>
      <c r="F141" s="1" t="s">
        <v>122</v>
      </c>
      <c r="G141" s="1" t="s">
        <v>100</v>
      </c>
      <c r="H141" s="1" t="s">
        <v>101</v>
      </c>
      <c r="I141" s="2">
        <v>2085.5300000000002</v>
      </c>
      <c r="L141" s="3">
        <v>0</v>
      </c>
      <c r="M141" s="3">
        <v>1.03</v>
      </c>
      <c r="N141" s="3">
        <v>8.99</v>
      </c>
      <c r="O141" s="4">
        <v>0</v>
      </c>
      <c r="P141" s="4">
        <v>2148.1</v>
      </c>
      <c r="Q141" s="4">
        <v>18748.91</v>
      </c>
      <c r="S141" s="1" t="s">
        <v>289</v>
      </c>
      <c r="T141" s="1" t="s">
        <v>290</v>
      </c>
      <c r="W141" s="1" t="s">
        <v>57</v>
      </c>
      <c r="Z141" s="1" t="s">
        <v>64</v>
      </c>
      <c r="AA141" s="5">
        <v>0</v>
      </c>
      <c r="AB141" s="5">
        <v>0</v>
      </c>
      <c r="AD141" s="1" t="s">
        <v>64</v>
      </c>
      <c r="AE141" s="4">
        <v>2148.1</v>
      </c>
      <c r="AF141" s="4">
        <v>0</v>
      </c>
      <c r="AG141" s="2">
        <v>0</v>
      </c>
      <c r="AH141" s="3">
        <v>1.03</v>
      </c>
      <c r="AI141" s="3">
        <v>0</v>
      </c>
      <c r="AJ141" s="5">
        <v>0</v>
      </c>
      <c r="AT141" s="1" t="s">
        <v>65</v>
      </c>
      <c r="AU141" s="1" t="s">
        <v>66</v>
      </c>
      <c r="AV141" s="1" t="s">
        <v>197</v>
      </c>
      <c r="AW141" s="1" t="s">
        <v>198</v>
      </c>
      <c r="AX141" s="1" t="s">
        <v>291</v>
      </c>
      <c r="AY141" s="1" t="s">
        <v>292</v>
      </c>
      <c r="BB141" s="1" t="s">
        <v>71</v>
      </c>
      <c r="BC141" s="1" t="s">
        <v>72</v>
      </c>
    </row>
    <row r="142" spans="1:55" x14ac:dyDescent="0.25">
      <c r="A142" s="1">
        <v>1410</v>
      </c>
      <c r="B142" s="1" t="s">
        <v>55</v>
      </c>
      <c r="C142" s="1" t="s">
        <v>56</v>
      </c>
      <c r="D142" s="1" t="s">
        <v>57</v>
      </c>
      <c r="E142" s="1" t="s">
        <v>294</v>
      </c>
      <c r="F142" s="1" t="s">
        <v>295</v>
      </c>
      <c r="G142" s="1" t="s">
        <v>96</v>
      </c>
      <c r="H142" s="1" t="s">
        <v>97</v>
      </c>
      <c r="I142" s="2">
        <v>926.9</v>
      </c>
      <c r="L142" s="3">
        <v>0</v>
      </c>
      <c r="M142" s="3">
        <v>2.16</v>
      </c>
      <c r="N142" s="3">
        <v>5.87</v>
      </c>
      <c r="O142" s="4">
        <v>0</v>
      </c>
      <c r="P142" s="4">
        <v>2002.1</v>
      </c>
      <c r="Q142" s="4">
        <v>5440.9</v>
      </c>
      <c r="S142" s="1" t="s">
        <v>289</v>
      </c>
      <c r="T142" s="1" t="s">
        <v>290</v>
      </c>
      <c r="W142" s="1" t="s">
        <v>57</v>
      </c>
      <c r="Z142" s="1" t="s">
        <v>64</v>
      </c>
      <c r="AA142" s="5">
        <v>0</v>
      </c>
      <c r="AB142" s="5">
        <v>0</v>
      </c>
      <c r="AD142" s="1" t="s">
        <v>64</v>
      </c>
      <c r="AE142" s="4">
        <v>2002.1</v>
      </c>
      <c r="AF142" s="4">
        <v>0</v>
      </c>
      <c r="AG142" s="2">
        <v>0</v>
      </c>
      <c r="AH142" s="3">
        <v>2.16</v>
      </c>
      <c r="AI142" s="3">
        <v>0</v>
      </c>
      <c r="AJ142" s="5">
        <v>0</v>
      </c>
      <c r="AT142" s="1" t="s">
        <v>65</v>
      </c>
      <c r="AU142" s="1" t="s">
        <v>66</v>
      </c>
      <c r="AV142" s="1" t="s">
        <v>197</v>
      </c>
      <c r="AW142" s="1" t="s">
        <v>198</v>
      </c>
      <c r="AX142" s="1" t="s">
        <v>291</v>
      </c>
      <c r="AY142" s="1" t="s">
        <v>292</v>
      </c>
      <c r="BB142" s="1" t="s">
        <v>71</v>
      </c>
      <c r="BC142" s="1" t="s">
        <v>72</v>
      </c>
    </row>
    <row r="143" spans="1:55" x14ac:dyDescent="0.25">
      <c r="A143" s="1">
        <v>1420</v>
      </c>
      <c r="B143" s="1" t="s">
        <v>55</v>
      </c>
      <c r="C143" s="1" t="s">
        <v>56</v>
      </c>
      <c r="D143" s="1" t="s">
        <v>57</v>
      </c>
      <c r="E143" s="1" t="s">
        <v>296</v>
      </c>
      <c r="F143" s="1" t="s">
        <v>297</v>
      </c>
      <c r="G143" s="1" t="s">
        <v>96</v>
      </c>
      <c r="H143" s="1" t="s">
        <v>97</v>
      </c>
      <c r="I143" s="2">
        <v>926.9</v>
      </c>
      <c r="L143" s="3">
        <v>0</v>
      </c>
      <c r="M143" s="3">
        <v>2.16</v>
      </c>
      <c r="N143" s="3">
        <v>3.19</v>
      </c>
      <c r="O143" s="4">
        <v>0</v>
      </c>
      <c r="P143" s="4">
        <v>2002.1</v>
      </c>
      <c r="Q143" s="4">
        <v>2956.81</v>
      </c>
      <c r="S143" s="1" t="s">
        <v>289</v>
      </c>
      <c r="T143" s="1" t="s">
        <v>290</v>
      </c>
      <c r="W143" s="1" t="s">
        <v>57</v>
      </c>
      <c r="Z143" s="1" t="s">
        <v>64</v>
      </c>
      <c r="AA143" s="5">
        <v>0</v>
      </c>
      <c r="AB143" s="5">
        <v>0</v>
      </c>
      <c r="AD143" s="1" t="s">
        <v>64</v>
      </c>
      <c r="AE143" s="4">
        <v>2002.1</v>
      </c>
      <c r="AF143" s="4">
        <v>0</v>
      </c>
      <c r="AG143" s="2">
        <v>0</v>
      </c>
      <c r="AH143" s="3">
        <v>2.16</v>
      </c>
      <c r="AI143" s="3">
        <v>0</v>
      </c>
      <c r="AJ143" s="5">
        <v>0</v>
      </c>
      <c r="AT143" s="1" t="s">
        <v>65</v>
      </c>
      <c r="AU143" s="1" t="s">
        <v>66</v>
      </c>
      <c r="AV143" s="1" t="s">
        <v>197</v>
      </c>
      <c r="AW143" s="1" t="s">
        <v>198</v>
      </c>
      <c r="AX143" s="1" t="s">
        <v>291</v>
      </c>
      <c r="AY143" s="1" t="s">
        <v>292</v>
      </c>
      <c r="BB143" s="1" t="s">
        <v>71</v>
      </c>
      <c r="BC143" s="1" t="s">
        <v>72</v>
      </c>
    </row>
    <row r="144" spans="1:55" x14ac:dyDescent="0.25">
      <c r="A144" s="1">
        <v>1430</v>
      </c>
      <c r="B144" s="1" t="s">
        <v>55</v>
      </c>
      <c r="C144" s="1" t="s">
        <v>56</v>
      </c>
      <c r="D144" s="1" t="s">
        <v>57</v>
      </c>
      <c r="E144" s="1" t="s">
        <v>298</v>
      </c>
      <c r="F144" s="1" t="s">
        <v>299</v>
      </c>
      <c r="G144" s="1" t="s">
        <v>182</v>
      </c>
      <c r="H144" s="1" t="s">
        <v>183</v>
      </c>
      <c r="I144" s="2">
        <v>1853.8</v>
      </c>
      <c r="L144" s="3">
        <v>0</v>
      </c>
      <c r="M144" s="3">
        <v>6.5</v>
      </c>
      <c r="N144" s="3">
        <v>10.7</v>
      </c>
      <c r="O144" s="4">
        <v>0</v>
      </c>
      <c r="P144" s="4">
        <v>12049.7</v>
      </c>
      <c r="Q144" s="4">
        <v>19835.66</v>
      </c>
      <c r="S144" s="1" t="s">
        <v>289</v>
      </c>
      <c r="T144" s="1" t="s">
        <v>290</v>
      </c>
      <c r="W144" s="1" t="s">
        <v>57</v>
      </c>
      <c r="Z144" s="1" t="s">
        <v>64</v>
      </c>
      <c r="AA144" s="5">
        <v>0</v>
      </c>
      <c r="AB144" s="5">
        <v>0</v>
      </c>
      <c r="AD144" s="1" t="s">
        <v>64</v>
      </c>
      <c r="AE144" s="4">
        <v>12049.7</v>
      </c>
      <c r="AF144" s="4">
        <v>0</v>
      </c>
      <c r="AG144" s="2">
        <v>0</v>
      </c>
      <c r="AH144" s="3">
        <v>6.5</v>
      </c>
      <c r="AI144" s="3">
        <v>0</v>
      </c>
      <c r="AJ144" s="5">
        <v>0</v>
      </c>
      <c r="AT144" s="1" t="s">
        <v>65</v>
      </c>
      <c r="AU144" s="1" t="s">
        <v>66</v>
      </c>
      <c r="AV144" s="1" t="s">
        <v>197</v>
      </c>
      <c r="AW144" s="1" t="s">
        <v>198</v>
      </c>
      <c r="AX144" s="1" t="s">
        <v>291</v>
      </c>
      <c r="AY144" s="1" t="s">
        <v>292</v>
      </c>
      <c r="BB144" s="1" t="s">
        <v>71</v>
      </c>
      <c r="BC144" s="1" t="s">
        <v>72</v>
      </c>
    </row>
    <row r="145" spans="1:55" x14ac:dyDescent="0.25">
      <c r="A145" s="1">
        <v>1440</v>
      </c>
      <c r="B145" s="1" t="s">
        <v>55</v>
      </c>
      <c r="C145" s="1" t="s">
        <v>56</v>
      </c>
      <c r="D145" s="1" t="s">
        <v>57</v>
      </c>
      <c r="E145" s="1" t="s">
        <v>300</v>
      </c>
      <c r="F145" s="1" t="s">
        <v>301</v>
      </c>
      <c r="G145" s="1" t="s">
        <v>96</v>
      </c>
      <c r="H145" s="1" t="s">
        <v>97</v>
      </c>
      <c r="I145" s="2">
        <v>926.9</v>
      </c>
      <c r="L145" s="3">
        <v>0</v>
      </c>
      <c r="M145" s="3">
        <v>3.5</v>
      </c>
      <c r="N145" s="3">
        <v>26.45</v>
      </c>
      <c r="O145" s="4">
        <v>0</v>
      </c>
      <c r="P145" s="4">
        <v>3244.15</v>
      </c>
      <c r="Q145" s="4">
        <v>24516.51</v>
      </c>
      <c r="S145" s="1" t="s">
        <v>289</v>
      </c>
      <c r="T145" s="1" t="s">
        <v>290</v>
      </c>
      <c r="W145" s="1" t="s">
        <v>57</v>
      </c>
      <c r="Z145" s="1" t="s">
        <v>64</v>
      </c>
      <c r="AA145" s="5">
        <v>0</v>
      </c>
      <c r="AB145" s="5">
        <v>0</v>
      </c>
      <c r="AD145" s="1" t="s">
        <v>64</v>
      </c>
      <c r="AE145" s="4">
        <v>3244.15</v>
      </c>
      <c r="AF145" s="4">
        <v>0</v>
      </c>
      <c r="AG145" s="2">
        <v>0</v>
      </c>
      <c r="AH145" s="3">
        <v>3.5</v>
      </c>
      <c r="AI145" s="3">
        <v>0</v>
      </c>
      <c r="AJ145" s="5">
        <v>0</v>
      </c>
      <c r="AT145" s="1" t="s">
        <v>65</v>
      </c>
      <c r="AU145" s="1" t="s">
        <v>66</v>
      </c>
      <c r="AV145" s="1" t="s">
        <v>197</v>
      </c>
      <c r="AW145" s="1" t="s">
        <v>198</v>
      </c>
      <c r="AX145" s="1" t="s">
        <v>291</v>
      </c>
      <c r="AY145" s="1" t="s">
        <v>292</v>
      </c>
      <c r="BB145" s="1" t="s">
        <v>71</v>
      </c>
      <c r="BC145" s="1" t="s">
        <v>72</v>
      </c>
    </row>
    <row r="146" spans="1:55" x14ac:dyDescent="0.25">
      <c r="A146" s="1">
        <v>1450</v>
      </c>
      <c r="B146" s="1" t="s">
        <v>55</v>
      </c>
      <c r="C146" s="1" t="s">
        <v>56</v>
      </c>
      <c r="D146" s="1" t="s">
        <v>57</v>
      </c>
      <c r="E146" s="1" t="s">
        <v>302</v>
      </c>
      <c r="F146" s="1" t="s">
        <v>303</v>
      </c>
      <c r="G146" s="1" t="s">
        <v>96</v>
      </c>
      <c r="H146" s="1" t="s">
        <v>97</v>
      </c>
      <c r="I146" s="2">
        <v>926.9</v>
      </c>
      <c r="L146" s="3">
        <v>0</v>
      </c>
      <c r="M146" s="3">
        <v>27.85</v>
      </c>
      <c r="N146" s="3">
        <v>29.32</v>
      </c>
      <c r="O146" s="4">
        <v>0</v>
      </c>
      <c r="P146" s="4">
        <v>25814.17</v>
      </c>
      <c r="Q146" s="4">
        <v>27176.71</v>
      </c>
      <c r="S146" s="1" t="s">
        <v>289</v>
      </c>
      <c r="T146" s="1" t="s">
        <v>290</v>
      </c>
      <c r="W146" s="1" t="s">
        <v>57</v>
      </c>
      <c r="Z146" s="1" t="s">
        <v>64</v>
      </c>
      <c r="AA146" s="5">
        <v>0</v>
      </c>
      <c r="AB146" s="5">
        <v>0</v>
      </c>
      <c r="AD146" s="1" t="s">
        <v>64</v>
      </c>
      <c r="AE146" s="4">
        <v>25814.17</v>
      </c>
      <c r="AF146" s="4">
        <v>0</v>
      </c>
      <c r="AG146" s="2">
        <v>0</v>
      </c>
      <c r="AH146" s="3">
        <v>27.85</v>
      </c>
      <c r="AI146" s="3">
        <v>0</v>
      </c>
      <c r="AJ146" s="5">
        <v>0</v>
      </c>
      <c r="AT146" s="1" t="s">
        <v>65</v>
      </c>
      <c r="AU146" s="1" t="s">
        <v>66</v>
      </c>
      <c r="AV146" s="1" t="s">
        <v>197</v>
      </c>
      <c r="AW146" s="1" t="s">
        <v>198</v>
      </c>
      <c r="AX146" s="1" t="s">
        <v>291</v>
      </c>
      <c r="AY146" s="1" t="s">
        <v>292</v>
      </c>
      <c r="BB146" s="1" t="s">
        <v>71</v>
      </c>
      <c r="BC146" s="1" t="s">
        <v>72</v>
      </c>
    </row>
    <row r="147" spans="1:55" x14ac:dyDescent="0.25">
      <c r="A147" s="1">
        <v>1460</v>
      </c>
      <c r="B147" s="1" t="s">
        <v>55</v>
      </c>
      <c r="C147" s="1" t="s">
        <v>56</v>
      </c>
      <c r="D147" s="1" t="s">
        <v>57</v>
      </c>
      <c r="E147" s="1" t="s">
        <v>304</v>
      </c>
      <c r="F147" s="1" t="s">
        <v>305</v>
      </c>
      <c r="G147" s="1" t="s">
        <v>96</v>
      </c>
      <c r="H147" s="1" t="s">
        <v>97</v>
      </c>
      <c r="I147" s="2">
        <v>1019.59</v>
      </c>
      <c r="L147" s="3">
        <v>0</v>
      </c>
      <c r="M147" s="3">
        <v>50.5</v>
      </c>
      <c r="N147" s="3">
        <v>66.19</v>
      </c>
      <c r="O147" s="4">
        <v>0</v>
      </c>
      <c r="P147" s="4">
        <v>51489.3</v>
      </c>
      <c r="Q147" s="4">
        <v>67486.66</v>
      </c>
      <c r="S147" s="1" t="s">
        <v>289</v>
      </c>
      <c r="T147" s="1" t="s">
        <v>290</v>
      </c>
      <c r="W147" s="1" t="s">
        <v>57</v>
      </c>
      <c r="Z147" s="1" t="s">
        <v>64</v>
      </c>
      <c r="AA147" s="5">
        <v>0</v>
      </c>
      <c r="AB147" s="5">
        <v>0</v>
      </c>
      <c r="AD147" s="1" t="s">
        <v>64</v>
      </c>
      <c r="AE147" s="4">
        <v>51489.3</v>
      </c>
      <c r="AF147" s="4">
        <v>0</v>
      </c>
      <c r="AG147" s="2">
        <v>0</v>
      </c>
      <c r="AH147" s="3">
        <v>50.5</v>
      </c>
      <c r="AI147" s="3">
        <v>0</v>
      </c>
      <c r="AJ147" s="5">
        <v>0</v>
      </c>
      <c r="AT147" s="1" t="s">
        <v>65</v>
      </c>
      <c r="AU147" s="1" t="s">
        <v>66</v>
      </c>
      <c r="AV147" s="1" t="s">
        <v>197</v>
      </c>
      <c r="AW147" s="1" t="s">
        <v>198</v>
      </c>
      <c r="AX147" s="1" t="s">
        <v>291</v>
      </c>
      <c r="AY147" s="1" t="s">
        <v>292</v>
      </c>
      <c r="BB147" s="1" t="s">
        <v>71</v>
      </c>
      <c r="BC147" s="1" t="s">
        <v>72</v>
      </c>
    </row>
    <row r="148" spans="1:55" x14ac:dyDescent="0.25">
      <c r="A148" s="1">
        <v>1470</v>
      </c>
      <c r="B148" s="1" t="s">
        <v>55</v>
      </c>
      <c r="C148" s="1" t="s">
        <v>56</v>
      </c>
      <c r="D148" s="1" t="s">
        <v>57</v>
      </c>
      <c r="E148" s="1" t="s">
        <v>306</v>
      </c>
      <c r="F148" s="1" t="s">
        <v>305</v>
      </c>
      <c r="G148" s="1" t="s">
        <v>307</v>
      </c>
      <c r="I148" s="2">
        <v>2039.18</v>
      </c>
      <c r="L148" s="3">
        <v>0</v>
      </c>
      <c r="M148" s="3">
        <v>23</v>
      </c>
      <c r="N148" s="3">
        <v>29.29</v>
      </c>
      <c r="O148" s="4">
        <v>0</v>
      </c>
      <c r="P148" s="4">
        <v>46901.14</v>
      </c>
      <c r="Q148" s="4">
        <v>59727.58</v>
      </c>
      <c r="S148" s="1" t="s">
        <v>289</v>
      </c>
      <c r="T148" s="1" t="s">
        <v>290</v>
      </c>
      <c r="W148" s="1" t="s">
        <v>57</v>
      </c>
      <c r="Z148" s="1" t="s">
        <v>64</v>
      </c>
      <c r="AA148" s="5">
        <v>0</v>
      </c>
      <c r="AB148" s="5">
        <v>0</v>
      </c>
      <c r="AD148" s="1" t="s">
        <v>64</v>
      </c>
      <c r="AE148" s="4">
        <v>46901.14</v>
      </c>
      <c r="AF148" s="4">
        <v>0</v>
      </c>
      <c r="AG148" s="2">
        <v>0</v>
      </c>
      <c r="AH148" s="3">
        <v>23</v>
      </c>
      <c r="AI148" s="3">
        <v>0</v>
      </c>
      <c r="AJ148" s="5">
        <v>0</v>
      </c>
      <c r="AT148" s="1" t="s">
        <v>65</v>
      </c>
      <c r="AU148" s="1" t="s">
        <v>66</v>
      </c>
      <c r="AV148" s="1" t="s">
        <v>197</v>
      </c>
      <c r="AW148" s="1" t="s">
        <v>198</v>
      </c>
      <c r="AX148" s="1" t="s">
        <v>291</v>
      </c>
      <c r="AY148" s="1" t="s">
        <v>292</v>
      </c>
      <c r="BB148" s="1" t="s">
        <v>71</v>
      </c>
      <c r="BC148" s="1" t="s">
        <v>72</v>
      </c>
    </row>
    <row r="149" spans="1:55" x14ac:dyDescent="0.25">
      <c r="A149" s="1">
        <v>1480</v>
      </c>
      <c r="B149" s="1" t="s">
        <v>55</v>
      </c>
      <c r="C149" s="1" t="s">
        <v>56</v>
      </c>
      <c r="D149" s="1" t="s">
        <v>57</v>
      </c>
      <c r="E149" s="1" t="s">
        <v>102</v>
      </c>
      <c r="F149" s="1" t="s">
        <v>103</v>
      </c>
      <c r="G149" s="1" t="s">
        <v>104</v>
      </c>
      <c r="H149" s="1" t="s">
        <v>105</v>
      </c>
      <c r="I149" s="2">
        <v>66.739999999999995</v>
      </c>
      <c r="L149" s="3">
        <v>0</v>
      </c>
      <c r="M149" s="3">
        <v>20.5</v>
      </c>
      <c r="N149" s="3">
        <v>22.96</v>
      </c>
      <c r="O149" s="4">
        <v>0</v>
      </c>
      <c r="P149" s="4">
        <v>1368.17</v>
      </c>
      <c r="Q149" s="4">
        <v>1532.35</v>
      </c>
      <c r="S149" s="1" t="s">
        <v>289</v>
      </c>
      <c r="T149" s="1" t="s">
        <v>290</v>
      </c>
      <c r="W149" s="1" t="s">
        <v>57</v>
      </c>
      <c r="Z149" s="1" t="s">
        <v>64</v>
      </c>
      <c r="AA149" s="5">
        <v>0</v>
      </c>
      <c r="AB149" s="5">
        <v>0</v>
      </c>
      <c r="AD149" s="1" t="s">
        <v>64</v>
      </c>
      <c r="AE149" s="4">
        <v>1368.17</v>
      </c>
      <c r="AF149" s="4">
        <v>0</v>
      </c>
      <c r="AG149" s="2">
        <v>0</v>
      </c>
      <c r="AH149" s="3">
        <v>20.5</v>
      </c>
      <c r="AI149" s="3">
        <v>0</v>
      </c>
      <c r="AJ149" s="5">
        <v>0</v>
      </c>
      <c r="AT149" s="1" t="s">
        <v>65</v>
      </c>
      <c r="AU149" s="1" t="s">
        <v>66</v>
      </c>
      <c r="AV149" s="1" t="s">
        <v>197</v>
      </c>
      <c r="AW149" s="1" t="s">
        <v>198</v>
      </c>
      <c r="AX149" s="1" t="s">
        <v>291</v>
      </c>
      <c r="AY149" s="1" t="s">
        <v>292</v>
      </c>
      <c r="BB149" s="1" t="s">
        <v>71</v>
      </c>
      <c r="BC149" s="1" t="s">
        <v>72</v>
      </c>
    </row>
    <row r="150" spans="1:55" x14ac:dyDescent="0.25">
      <c r="A150" s="1">
        <v>1490</v>
      </c>
      <c r="B150" s="1" t="s">
        <v>55</v>
      </c>
      <c r="C150" s="1" t="s">
        <v>56</v>
      </c>
      <c r="D150" s="1" t="s">
        <v>57</v>
      </c>
      <c r="E150" s="1" t="s">
        <v>308</v>
      </c>
      <c r="F150" s="1" t="s">
        <v>309</v>
      </c>
      <c r="G150" s="1" t="s">
        <v>96</v>
      </c>
      <c r="H150" s="1" t="s">
        <v>97</v>
      </c>
      <c r="I150" s="2">
        <v>20237.7</v>
      </c>
      <c r="L150" s="3">
        <v>0</v>
      </c>
      <c r="M150" s="3">
        <v>9</v>
      </c>
      <c r="N150" s="3">
        <v>13.95</v>
      </c>
      <c r="O150" s="4">
        <v>0</v>
      </c>
      <c r="P150" s="4">
        <v>182139.3</v>
      </c>
      <c r="Q150" s="4">
        <v>282315.92</v>
      </c>
      <c r="S150" s="1" t="s">
        <v>310</v>
      </c>
      <c r="T150" s="1" t="s">
        <v>311</v>
      </c>
      <c r="W150" s="1" t="s">
        <v>57</v>
      </c>
      <c r="Z150" s="1" t="s">
        <v>64</v>
      </c>
      <c r="AA150" s="5">
        <v>0</v>
      </c>
      <c r="AB150" s="5">
        <v>0</v>
      </c>
      <c r="AD150" s="1" t="s">
        <v>64</v>
      </c>
      <c r="AE150" s="4">
        <v>182139.3</v>
      </c>
      <c r="AF150" s="4">
        <v>0</v>
      </c>
      <c r="AG150" s="2">
        <v>0</v>
      </c>
      <c r="AH150" s="3">
        <v>9</v>
      </c>
      <c r="AI150" s="3">
        <v>0</v>
      </c>
      <c r="AJ150" s="5">
        <v>0</v>
      </c>
      <c r="AT150" s="1" t="s">
        <v>65</v>
      </c>
      <c r="AU150" s="1" t="s">
        <v>66</v>
      </c>
      <c r="AV150" s="1" t="s">
        <v>197</v>
      </c>
      <c r="AW150" s="1" t="s">
        <v>198</v>
      </c>
      <c r="AX150" s="1" t="s">
        <v>312</v>
      </c>
      <c r="AY150" s="1" t="s">
        <v>313</v>
      </c>
      <c r="BB150" s="1" t="s">
        <v>71</v>
      </c>
      <c r="BC150" s="1" t="s">
        <v>72</v>
      </c>
    </row>
    <row r="151" spans="1:55" x14ac:dyDescent="0.25">
      <c r="A151" s="1">
        <v>1500</v>
      </c>
      <c r="B151" s="1" t="s">
        <v>55</v>
      </c>
      <c r="C151" s="1" t="s">
        <v>56</v>
      </c>
      <c r="D151" s="1" t="s">
        <v>57</v>
      </c>
      <c r="E151" s="1" t="s">
        <v>314</v>
      </c>
      <c r="F151" s="1" t="s">
        <v>315</v>
      </c>
      <c r="G151" s="1" t="s">
        <v>96</v>
      </c>
      <c r="H151" s="1" t="s">
        <v>97</v>
      </c>
      <c r="I151" s="2">
        <v>21210.6</v>
      </c>
      <c r="L151" s="3">
        <v>0</v>
      </c>
      <c r="M151" s="3">
        <v>1.84</v>
      </c>
      <c r="N151" s="3">
        <v>1.94</v>
      </c>
      <c r="O151" s="4">
        <v>0</v>
      </c>
      <c r="P151" s="4">
        <v>39027.5</v>
      </c>
      <c r="Q151" s="4">
        <v>41148.559999999998</v>
      </c>
      <c r="S151" s="1" t="s">
        <v>289</v>
      </c>
      <c r="T151" s="1" t="s">
        <v>290</v>
      </c>
      <c r="W151" s="1" t="s">
        <v>57</v>
      </c>
      <c r="Z151" s="1" t="s">
        <v>64</v>
      </c>
      <c r="AA151" s="5">
        <v>0</v>
      </c>
      <c r="AB151" s="5">
        <v>0</v>
      </c>
      <c r="AD151" s="1" t="s">
        <v>64</v>
      </c>
      <c r="AE151" s="4">
        <v>39027.5</v>
      </c>
      <c r="AF151" s="4">
        <v>0</v>
      </c>
      <c r="AG151" s="2">
        <v>0</v>
      </c>
      <c r="AH151" s="3">
        <v>1.84</v>
      </c>
      <c r="AI151" s="3">
        <v>0</v>
      </c>
      <c r="AJ151" s="5">
        <v>0</v>
      </c>
      <c r="AT151" s="1" t="s">
        <v>65</v>
      </c>
      <c r="AU151" s="1" t="s">
        <v>66</v>
      </c>
      <c r="AV151" s="1" t="s">
        <v>197</v>
      </c>
      <c r="AW151" s="1" t="s">
        <v>198</v>
      </c>
      <c r="AX151" s="1" t="s">
        <v>291</v>
      </c>
      <c r="AY151" s="1" t="s">
        <v>292</v>
      </c>
      <c r="BB151" s="1" t="s">
        <v>71</v>
      </c>
      <c r="BC151" s="1" t="s">
        <v>72</v>
      </c>
    </row>
    <row r="152" spans="1:55" x14ac:dyDescent="0.25">
      <c r="A152" s="1">
        <v>1510</v>
      </c>
      <c r="B152" s="1" t="s">
        <v>55</v>
      </c>
      <c r="C152" s="1" t="s">
        <v>56</v>
      </c>
      <c r="D152" s="1" t="s">
        <v>57</v>
      </c>
      <c r="E152" s="1" t="s">
        <v>316</v>
      </c>
      <c r="F152" s="1" t="s">
        <v>317</v>
      </c>
      <c r="G152" s="1" t="s">
        <v>96</v>
      </c>
      <c r="H152" s="1" t="s">
        <v>97</v>
      </c>
      <c r="I152" s="2">
        <v>21210.6</v>
      </c>
      <c r="L152" s="3">
        <v>0</v>
      </c>
      <c r="M152" s="3">
        <v>0.22</v>
      </c>
      <c r="N152" s="3">
        <v>0.23</v>
      </c>
      <c r="O152" s="4">
        <v>0</v>
      </c>
      <c r="P152" s="4">
        <v>4666.33</v>
      </c>
      <c r="Q152" s="4">
        <v>4878.4399999999996</v>
      </c>
      <c r="S152" s="1" t="s">
        <v>289</v>
      </c>
      <c r="T152" s="1" t="s">
        <v>290</v>
      </c>
      <c r="W152" s="1" t="s">
        <v>57</v>
      </c>
      <c r="Z152" s="1" t="s">
        <v>64</v>
      </c>
      <c r="AA152" s="5">
        <v>0</v>
      </c>
      <c r="AB152" s="5">
        <v>0</v>
      </c>
      <c r="AD152" s="1" t="s">
        <v>64</v>
      </c>
      <c r="AE152" s="4">
        <v>4666.33</v>
      </c>
      <c r="AF152" s="4">
        <v>0</v>
      </c>
      <c r="AG152" s="2">
        <v>0</v>
      </c>
      <c r="AH152" s="3">
        <v>0.22</v>
      </c>
      <c r="AI152" s="3">
        <v>0</v>
      </c>
      <c r="AJ152" s="5">
        <v>0</v>
      </c>
      <c r="AT152" s="1" t="s">
        <v>65</v>
      </c>
      <c r="AU152" s="1" t="s">
        <v>66</v>
      </c>
      <c r="AV152" s="1" t="s">
        <v>197</v>
      </c>
      <c r="AW152" s="1" t="s">
        <v>198</v>
      </c>
      <c r="AX152" s="1" t="s">
        <v>291</v>
      </c>
      <c r="AY152" s="1" t="s">
        <v>292</v>
      </c>
      <c r="BB152" s="1" t="s">
        <v>71</v>
      </c>
      <c r="BC152" s="1" t="s">
        <v>72</v>
      </c>
    </row>
    <row r="153" spans="1:55" x14ac:dyDescent="0.25">
      <c r="A153" s="1">
        <v>1520</v>
      </c>
      <c r="B153" s="1" t="s">
        <v>55</v>
      </c>
      <c r="C153" s="1" t="s">
        <v>56</v>
      </c>
      <c r="D153" s="1" t="s">
        <v>57</v>
      </c>
      <c r="E153" s="1" t="s">
        <v>318</v>
      </c>
      <c r="F153" s="1" t="s">
        <v>319</v>
      </c>
      <c r="G153" s="1" t="s">
        <v>182</v>
      </c>
      <c r="H153" s="1" t="s">
        <v>183</v>
      </c>
      <c r="I153" s="2">
        <v>138</v>
      </c>
      <c r="L153" s="3">
        <v>0</v>
      </c>
      <c r="M153" s="3">
        <v>39.286999999999999</v>
      </c>
      <c r="N153" s="3">
        <v>46.22</v>
      </c>
      <c r="O153" s="4">
        <v>0</v>
      </c>
      <c r="P153" s="4">
        <v>5421.61</v>
      </c>
      <c r="Q153" s="4">
        <v>6378.36</v>
      </c>
      <c r="S153" s="1" t="s">
        <v>320</v>
      </c>
      <c r="T153" s="1" t="s">
        <v>321</v>
      </c>
      <c r="W153" s="1" t="s">
        <v>57</v>
      </c>
      <c r="Z153" s="1" t="s">
        <v>64</v>
      </c>
      <c r="AA153" s="5">
        <v>0</v>
      </c>
      <c r="AB153" s="5">
        <v>0</v>
      </c>
      <c r="AD153" s="1" t="s">
        <v>64</v>
      </c>
      <c r="AE153" s="4">
        <v>5421.61</v>
      </c>
      <c r="AF153" s="4">
        <v>0</v>
      </c>
      <c r="AG153" s="2">
        <v>0</v>
      </c>
      <c r="AH153" s="3">
        <v>39.286999999999999</v>
      </c>
      <c r="AI153" s="3">
        <v>0</v>
      </c>
      <c r="AJ153" s="5">
        <v>0</v>
      </c>
      <c r="AT153" s="1" t="s">
        <v>65</v>
      </c>
      <c r="AU153" s="1" t="s">
        <v>66</v>
      </c>
      <c r="AV153" s="1" t="s">
        <v>197</v>
      </c>
      <c r="AW153" s="1" t="s">
        <v>198</v>
      </c>
      <c r="AX153" s="1" t="s">
        <v>322</v>
      </c>
      <c r="AY153" s="1" t="s">
        <v>323</v>
      </c>
      <c r="BB153" s="1" t="s">
        <v>71</v>
      </c>
      <c r="BC153" s="1" t="s">
        <v>72</v>
      </c>
    </row>
    <row r="154" spans="1:55" x14ac:dyDescent="0.25">
      <c r="A154" s="1">
        <v>1530</v>
      </c>
      <c r="B154" s="1" t="s">
        <v>55</v>
      </c>
      <c r="C154" s="1" t="s">
        <v>56</v>
      </c>
      <c r="D154" s="1" t="s">
        <v>57</v>
      </c>
      <c r="E154" s="1" t="s">
        <v>324</v>
      </c>
      <c r="F154" s="1" t="s">
        <v>325</v>
      </c>
      <c r="G154" s="1" t="s">
        <v>182</v>
      </c>
      <c r="H154" s="1" t="s">
        <v>183</v>
      </c>
      <c r="I154" s="2">
        <v>138</v>
      </c>
      <c r="L154" s="3">
        <v>0</v>
      </c>
      <c r="M154" s="3">
        <v>97.766999999999996</v>
      </c>
      <c r="N154" s="3">
        <v>115.02</v>
      </c>
      <c r="O154" s="4">
        <v>0</v>
      </c>
      <c r="P154" s="4">
        <v>13491.85</v>
      </c>
      <c r="Q154" s="4">
        <v>15872.76</v>
      </c>
      <c r="S154" s="1" t="s">
        <v>320</v>
      </c>
      <c r="T154" s="1" t="s">
        <v>321</v>
      </c>
      <c r="W154" s="1" t="s">
        <v>57</v>
      </c>
      <c r="Z154" s="1" t="s">
        <v>64</v>
      </c>
      <c r="AA154" s="5">
        <v>0</v>
      </c>
      <c r="AB154" s="5">
        <v>0</v>
      </c>
      <c r="AD154" s="1" t="s">
        <v>64</v>
      </c>
      <c r="AE154" s="4">
        <v>13491.85</v>
      </c>
      <c r="AF154" s="4">
        <v>0</v>
      </c>
      <c r="AG154" s="2">
        <v>0</v>
      </c>
      <c r="AH154" s="3">
        <v>97.766999999999996</v>
      </c>
      <c r="AI154" s="3">
        <v>0</v>
      </c>
      <c r="AJ154" s="5">
        <v>0</v>
      </c>
      <c r="AT154" s="1" t="s">
        <v>65</v>
      </c>
      <c r="AU154" s="1" t="s">
        <v>66</v>
      </c>
      <c r="AV154" s="1" t="s">
        <v>197</v>
      </c>
      <c r="AW154" s="1" t="s">
        <v>198</v>
      </c>
      <c r="AX154" s="1" t="s">
        <v>322</v>
      </c>
      <c r="AY154" s="1" t="s">
        <v>323</v>
      </c>
      <c r="BB154" s="1" t="s">
        <v>71</v>
      </c>
      <c r="BC154" s="1" t="s">
        <v>72</v>
      </c>
    </row>
    <row r="155" spans="1:55" x14ac:dyDescent="0.25">
      <c r="A155" s="1">
        <v>1540</v>
      </c>
      <c r="B155" s="1" t="s">
        <v>55</v>
      </c>
      <c r="C155" s="1" t="s">
        <v>56</v>
      </c>
      <c r="D155" s="1" t="s">
        <v>57</v>
      </c>
      <c r="E155" s="1" t="s">
        <v>326</v>
      </c>
      <c r="F155" s="1" t="s">
        <v>327</v>
      </c>
      <c r="G155" s="1" t="s">
        <v>110</v>
      </c>
      <c r="H155" s="1" t="s">
        <v>110</v>
      </c>
      <c r="I155" s="2">
        <v>372.6</v>
      </c>
      <c r="L155" s="3">
        <v>0</v>
      </c>
      <c r="M155" s="3">
        <v>14.646000000000001</v>
      </c>
      <c r="N155" s="3">
        <v>17.23</v>
      </c>
      <c r="O155" s="4">
        <v>0</v>
      </c>
      <c r="P155" s="4">
        <v>5457.1</v>
      </c>
      <c r="Q155" s="4">
        <v>6419.9</v>
      </c>
      <c r="S155" s="1" t="s">
        <v>320</v>
      </c>
      <c r="T155" s="1" t="s">
        <v>321</v>
      </c>
      <c r="W155" s="1" t="s">
        <v>57</v>
      </c>
      <c r="Z155" s="1" t="s">
        <v>64</v>
      </c>
      <c r="AA155" s="5">
        <v>0</v>
      </c>
      <c r="AB155" s="5">
        <v>0</v>
      </c>
      <c r="AD155" s="1" t="s">
        <v>64</v>
      </c>
      <c r="AE155" s="4">
        <v>5457.1</v>
      </c>
      <c r="AF155" s="4">
        <v>0</v>
      </c>
      <c r="AG155" s="2">
        <v>0</v>
      </c>
      <c r="AH155" s="3">
        <v>14.646000000000001</v>
      </c>
      <c r="AI155" s="3">
        <v>0</v>
      </c>
      <c r="AJ155" s="5">
        <v>0</v>
      </c>
      <c r="AT155" s="1" t="s">
        <v>65</v>
      </c>
      <c r="AU155" s="1" t="s">
        <v>66</v>
      </c>
      <c r="AV155" s="1" t="s">
        <v>197</v>
      </c>
      <c r="AW155" s="1" t="s">
        <v>198</v>
      </c>
      <c r="AX155" s="1" t="s">
        <v>322</v>
      </c>
      <c r="AY155" s="1" t="s">
        <v>323</v>
      </c>
      <c r="BB155" s="1" t="s">
        <v>71</v>
      </c>
      <c r="BC155" s="1" t="s">
        <v>72</v>
      </c>
    </row>
    <row r="156" spans="1:55" x14ac:dyDescent="0.25">
      <c r="A156" s="1">
        <v>1550</v>
      </c>
      <c r="B156" s="1" t="s">
        <v>55</v>
      </c>
      <c r="C156" s="1" t="s">
        <v>56</v>
      </c>
      <c r="D156" s="1" t="s">
        <v>57</v>
      </c>
      <c r="E156" s="1" t="s">
        <v>73</v>
      </c>
      <c r="F156" s="1" t="s">
        <v>74</v>
      </c>
      <c r="G156" s="1" t="s">
        <v>75</v>
      </c>
      <c r="I156" s="2">
        <v>13362</v>
      </c>
      <c r="L156" s="3">
        <v>0</v>
      </c>
      <c r="M156" s="3">
        <v>0</v>
      </c>
      <c r="N156" s="3">
        <v>0.23</v>
      </c>
      <c r="O156" s="4">
        <v>0</v>
      </c>
      <c r="P156" s="4">
        <v>0</v>
      </c>
      <c r="Q156" s="4">
        <v>3073.26</v>
      </c>
      <c r="S156" s="1" t="s">
        <v>328</v>
      </c>
      <c r="T156" s="1" t="s">
        <v>329</v>
      </c>
      <c r="W156" s="1" t="s">
        <v>57</v>
      </c>
      <c r="Z156" s="1" t="s">
        <v>64</v>
      </c>
      <c r="AA156" s="5">
        <v>0</v>
      </c>
      <c r="AB156" s="5">
        <v>0</v>
      </c>
      <c r="AD156" s="1" t="s">
        <v>64</v>
      </c>
      <c r="AE156" s="4">
        <v>0</v>
      </c>
      <c r="AF156" s="4">
        <v>0</v>
      </c>
      <c r="AG156" s="2">
        <v>0</v>
      </c>
      <c r="AH156" s="3">
        <v>0</v>
      </c>
      <c r="AI156" s="3">
        <v>0</v>
      </c>
      <c r="AJ156" s="5">
        <v>0</v>
      </c>
      <c r="AT156" s="1" t="s">
        <v>65</v>
      </c>
      <c r="AU156" s="1" t="s">
        <v>66</v>
      </c>
      <c r="AV156" s="1" t="s">
        <v>330</v>
      </c>
      <c r="AW156" s="1" t="s">
        <v>331</v>
      </c>
      <c r="AX156" s="1" t="s">
        <v>332</v>
      </c>
      <c r="AY156" s="1" t="s">
        <v>333</v>
      </c>
      <c r="BB156" s="1" t="s">
        <v>71</v>
      </c>
      <c r="BC156" s="1" t="s">
        <v>72</v>
      </c>
    </row>
    <row r="157" spans="1:55" x14ac:dyDescent="0.25">
      <c r="A157" s="1">
        <v>1560</v>
      </c>
      <c r="B157" s="1" t="s">
        <v>55</v>
      </c>
      <c r="C157" s="1" t="s">
        <v>56</v>
      </c>
      <c r="D157" s="1" t="s">
        <v>57</v>
      </c>
      <c r="E157" s="1" t="s">
        <v>150</v>
      </c>
      <c r="F157" s="1" t="s">
        <v>151</v>
      </c>
      <c r="G157" s="1" t="s">
        <v>60</v>
      </c>
      <c r="H157" s="1" t="s">
        <v>61</v>
      </c>
      <c r="I157" s="2">
        <v>501.08</v>
      </c>
      <c r="L157" s="3">
        <v>0</v>
      </c>
      <c r="M157" s="3">
        <v>0.83</v>
      </c>
      <c r="N157" s="3">
        <v>0.53</v>
      </c>
      <c r="O157" s="4">
        <v>0</v>
      </c>
      <c r="P157" s="4">
        <v>415.9</v>
      </c>
      <c r="Q157" s="4">
        <v>265.57</v>
      </c>
      <c r="S157" s="1" t="s">
        <v>328</v>
      </c>
      <c r="T157" s="1" t="s">
        <v>329</v>
      </c>
      <c r="W157" s="1" t="s">
        <v>57</v>
      </c>
      <c r="Z157" s="1" t="s">
        <v>64</v>
      </c>
      <c r="AA157" s="5">
        <v>0</v>
      </c>
      <c r="AB157" s="5">
        <v>0</v>
      </c>
      <c r="AD157" s="1" t="s">
        <v>64</v>
      </c>
      <c r="AE157" s="4">
        <v>415.9</v>
      </c>
      <c r="AF157" s="4">
        <v>0</v>
      </c>
      <c r="AG157" s="2">
        <v>0</v>
      </c>
      <c r="AH157" s="3">
        <v>0.83</v>
      </c>
      <c r="AI157" s="3">
        <v>0</v>
      </c>
      <c r="AJ157" s="5">
        <v>0</v>
      </c>
      <c r="AT157" s="1" t="s">
        <v>65</v>
      </c>
      <c r="AU157" s="1" t="s">
        <v>66</v>
      </c>
      <c r="AV157" s="1" t="s">
        <v>330</v>
      </c>
      <c r="AW157" s="1" t="s">
        <v>331</v>
      </c>
      <c r="AX157" s="1" t="s">
        <v>332</v>
      </c>
      <c r="AY157" s="1" t="s">
        <v>333</v>
      </c>
      <c r="BB157" s="1" t="s">
        <v>71</v>
      </c>
      <c r="BC157" s="1" t="s">
        <v>72</v>
      </c>
    </row>
    <row r="158" spans="1:55" x14ac:dyDescent="0.25">
      <c r="A158" s="1">
        <v>1570</v>
      </c>
      <c r="B158" s="1" t="s">
        <v>55</v>
      </c>
      <c r="C158" s="1" t="s">
        <v>56</v>
      </c>
      <c r="D158" s="1" t="s">
        <v>57</v>
      </c>
      <c r="E158" s="1" t="s">
        <v>86</v>
      </c>
      <c r="F158" s="1" t="s">
        <v>87</v>
      </c>
      <c r="G158" s="1" t="s">
        <v>60</v>
      </c>
      <c r="H158" s="1" t="s">
        <v>61</v>
      </c>
      <c r="I158" s="2">
        <v>764.36</v>
      </c>
      <c r="L158" s="3">
        <v>0</v>
      </c>
      <c r="M158" s="3">
        <v>6</v>
      </c>
      <c r="N158" s="3">
        <v>6.61</v>
      </c>
      <c r="O158" s="4">
        <v>0</v>
      </c>
      <c r="P158" s="4">
        <v>4586.16</v>
      </c>
      <c r="Q158" s="4">
        <v>5052.42</v>
      </c>
      <c r="S158" s="1" t="s">
        <v>328</v>
      </c>
      <c r="T158" s="1" t="s">
        <v>329</v>
      </c>
      <c r="W158" s="1" t="s">
        <v>57</v>
      </c>
      <c r="Z158" s="1" t="s">
        <v>64</v>
      </c>
      <c r="AA158" s="5">
        <v>0</v>
      </c>
      <c r="AB158" s="5">
        <v>0</v>
      </c>
      <c r="AD158" s="1" t="s">
        <v>64</v>
      </c>
      <c r="AE158" s="4">
        <v>4586.16</v>
      </c>
      <c r="AF158" s="4">
        <v>0</v>
      </c>
      <c r="AG158" s="2">
        <v>0</v>
      </c>
      <c r="AH158" s="3">
        <v>6</v>
      </c>
      <c r="AI158" s="3">
        <v>0</v>
      </c>
      <c r="AJ158" s="5">
        <v>0</v>
      </c>
      <c r="AT158" s="1" t="s">
        <v>65</v>
      </c>
      <c r="AU158" s="1" t="s">
        <v>66</v>
      </c>
      <c r="AV158" s="1" t="s">
        <v>330</v>
      </c>
      <c r="AW158" s="1" t="s">
        <v>331</v>
      </c>
      <c r="AX158" s="1" t="s">
        <v>332</v>
      </c>
      <c r="AY158" s="1" t="s">
        <v>333</v>
      </c>
      <c r="BB158" s="1" t="s">
        <v>71</v>
      </c>
      <c r="BC158" s="1" t="s">
        <v>72</v>
      </c>
    </row>
    <row r="159" spans="1:55" x14ac:dyDescent="0.25">
      <c r="A159" s="1">
        <v>1580</v>
      </c>
      <c r="B159" s="1" t="s">
        <v>55</v>
      </c>
      <c r="C159" s="1" t="s">
        <v>56</v>
      </c>
      <c r="D159" s="1" t="s">
        <v>57</v>
      </c>
      <c r="E159" s="1" t="s">
        <v>334</v>
      </c>
      <c r="F159" s="1" t="s">
        <v>335</v>
      </c>
      <c r="G159" s="1" t="s">
        <v>60</v>
      </c>
      <c r="H159" s="1" t="s">
        <v>61</v>
      </c>
      <c r="I159" s="2">
        <v>123.69</v>
      </c>
      <c r="L159" s="3">
        <v>0</v>
      </c>
      <c r="M159" s="3">
        <v>2</v>
      </c>
      <c r="N159" s="3">
        <v>2.11</v>
      </c>
      <c r="O159" s="4">
        <v>0</v>
      </c>
      <c r="P159" s="4">
        <v>247.38</v>
      </c>
      <c r="Q159" s="4">
        <v>260.99</v>
      </c>
      <c r="S159" s="1" t="s">
        <v>328</v>
      </c>
      <c r="T159" s="1" t="s">
        <v>329</v>
      </c>
      <c r="W159" s="1" t="s">
        <v>57</v>
      </c>
      <c r="Z159" s="1" t="s">
        <v>64</v>
      </c>
      <c r="AA159" s="5">
        <v>0</v>
      </c>
      <c r="AB159" s="5">
        <v>0</v>
      </c>
      <c r="AD159" s="1" t="s">
        <v>64</v>
      </c>
      <c r="AE159" s="4">
        <v>247.38</v>
      </c>
      <c r="AF159" s="4">
        <v>0</v>
      </c>
      <c r="AG159" s="2">
        <v>0</v>
      </c>
      <c r="AH159" s="3">
        <v>2</v>
      </c>
      <c r="AI159" s="3">
        <v>0</v>
      </c>
      <c r="AJ159" s="5">
        <v>0</v>
      </c>
      <c r="AT159" s="1" t="s">
        <v>65</v>
      </c>
      <c r="AU159" s="1" t="s">
        <v>66</v>
      </c>
      <c r="AV159" s="1" t="s">
        <v>330</v>
      </c>
      <c r="AW159" s="1" t="s">
        <v>331</v>
      </c>
      <c r="AX159" s="1" t="s">
        <v>332</v>
      </c>
      <c r="AY159" s="1" t="s">
        <v>333</v>
      </c>
      <c r="BB159" s="1" t="s">
        <v>71</v>
      </c>
      <c r="BC159" s="1" t="s">
        <v>72</v>
      </c>
    </row>
    <row r="160" spans="1:55" x14ac:dyDescent="0.25">
      <c r="A160" s="1">
        <v>1590</v>
      </c>
      <c r="B160" s="1" t="s">
        <v>55</v>
      </c>
      <c r="C160" s="1" t="s">
        <v>56</v>
      </c>
      <c r="D160" s="1" t="s">
        <v>57</v>
      </c>
      <c r="E160" s="1" t="s">
        <v>336</v>
      </c>
      <c r="F160" s="1" t="s">
        <v>337</v>
      </c>
      <c r="G160" s="1" t="s">
        <v>110</v>
      </c>
      <c r="H160" s="1" t="s">
        <v>110</v>
      </c>
      <c r="I160" s="2">
        <v>240</v>
      </c>
      <c r="L160" s="3">
        <v>0</v>
      </c>
      <c r="M160" s="3">
        <v>219.99</v>
      </c>
      <c r="N160" s="3">
        <v>231.57</v>
      </c>
      <c r="O160" s="4">
        <v>0</v>
      </c>
      <c r="P160" s="4">
        <v>52797.599999999999</v>
      </c>
      <c r="Q160" s="4">
        <v>55576.800000000003</v>
      </c>
      <c r="S160" s="1" t="s">
        <v>328</v>
      </c>
      <c r="T160" s="1" t="s">
        <v>329</v>
      </c>
      <c r="W160" s="1" t="s">
        <v>57</v>
      </c>
      <c r="Z160" s="1" t="s">
        <v>64</v>
      </c>
      <c r="AA160" s="5">
        <v>0</v>
      </c>
      <c r="AB160" s="5">
        <v>0</v>
      </c>
      <c r="AD160" s="1" t="s">
        <v>64</v>
      </c>
      <c r="AE160" s="4">
        <v>52797.599999999999</v>
      </c>
      <c r="AF160" s="4">
        <v>0</v>
      </c>
      <c r="AG160" s="2">
        <v>0</v>
      </c>
      <c r="AH160" s="3">
        <v>219.99</v>
      </c>
      <c r="AI160" s="3">
        <v>0</v>
      </c>
      <c r="AJ160" s="5">
        <v>0</v>
      </c>
      <c r="AT160" s="1" t="s">
        <v>65</v>
      </c>
      <c r="AU160" s="1" t="s">
        <v>66</v>
      </c>
      <c r="AV160" s="1" t="s">
        <v>330</v>
      </c>
      <c r="AW160" s="1" t="s">
        <v>331</v>
      </c>
      <c r="AX160" s="1" t="s">
        <v>332</v>
      </c>
      <c r="AY160" s="1" t="s">
        <v>333</v>
      </c>
      <c r="BB160" s="1" t="s">
        <v>71</v>
      </c>
      <c r="BC160" s="1" t="s">
        <v>72</v>
      </c>
    </row>
    <row r="161" spans="1:55" x14ac:dyDescent="0.25">
      <c r="A161" s="1">
        <v>1600</v>
      </c>
      <c r="B161" s="1" t="s">
        <v>55</v>
      </c>
      <c r="C161" s="1" t="s">
        <v>56</v>
      </c>
      <c r="D161" s="1" t="s">
        <v>57</v>
      </c>
      <c r="E161" s="1" t="s">
        <v>88</v>
      </c>
      <c r="F161" s="1" t="s">
        <v>89</v>
      </c>
      <c r="G161" s="1" t="s">
        <v>60</v>
      </c>
      <c r="H161" s="1" t="s">
        <v>61</v>
      </c>
      <c r="I161" s="2">
        <v>29.4</v>
      </c>
      <c r="L161" s="3">
        <v>0</v>
      </c>
      <c r="M161" s="3">
        <v>135</v>
      </c>
      <c r="N161" s="3">
        <v>81.67</v>
      </c>
      <c r="O161" s="4">
        <v>0</v>
      </c>
      <c r="P161" s="4">
        <v>3969</v>
      </c>
      <c r="Q161" s="4">
        <v>2401.1</v>
      </c>
      <c r="S161" s="1" t="s">
        <v>328</v>
      </c>
      <c r="T161" s="1" t="s">
        <v>329</v>
      </c>
      <c r="W161" s="1" t="s">
        <v>57</v>
      </c>
      <c r="Z161" s="1" t="s">
        <v>64</v>
      </c>
      <c r="AA161" s="5">
        <v>0</v>
      </c>
      <c r="AB161" s="5">
        <v>0</v>
      </c>
      <c r="AD161" s="1" t="s">
        <v>64</v>
      </c>
      <c r="AE161" s="4">
        <v>3969</v>
      </c>
      <c r="AF161" s="4">
        <v>0</v>
      </c>
      <c r="AG161" s="2">
        <v>0</v>
      </c>
      <c r="AH161" s="3">
        <v>135</v>
      </c>
      <c r="AI161" s="3">
        <v>0</v>
      </c>
      <c r="AJ161" s="5">
        <v>0</v>
      </c>
      <c r="AT161" s="1" t="s">
        <v>65</v>
      </c>
      <c r="AU161" s="1" t="s">
        <v>66</v>
      </c>
      <c r="AV161" s="1" t="s">
        <v>330</v>
      </c>
      <c r="AW161" s="1" t="s">
        <v>331</v>
      </c>
      <c r="AX161" s="1" t="s">
        <v>338</v>
      </c>
      <c r="AY161" s="1" t="s">
        <v>339</v>
      </c>
      <c r="BB161" s="1" t="s">
        <v>71</v>
      </c>
      <c r="BC161" s="1" t="s">
        <v>72</v>
      </c>
    </row>
    <row r="162" spans="1:55" x14ac:dyDescent="0.25">
      <c r="A162" s="1">
        <v>1610</v>
      </c>
      <c r="B162" s="1" t="s">
        <v>55</v>
      </c>
      <c r="C162" s="1" t="s">
        <v>56</v>
      </c>
      <c r="D162" s="1" t="s">
        <v>57</v>
      </c>
      <c r="E162" s="1" t="s">
        <v>90</v>
      </c>
      <c r="F162" s="1" t="s">
        <v>91</v>
      </c>
      <c r="G162" s="1" t="s">
        <v>60</v>
      </c>
      <c r="H162" s="1" t="s">
        <v>61</v>
      </c>
      <c r="I162" s="2">
        <v>216.6</v>
      </c>
      <c r="L162" s="3">
        <v>0</v>
      </c>
      <c r="M162" s="3">
        <v>167</v>
      </c>
      <c r="N162" s="3">
        <v>118.65</v>
      </c>
      <c r="O162" s="4">
        <v>0</v>
      </c>
      <c r="P162" s="4">
        <v>36172.199999999997</v>
      </c>
      <c r="Q162" s="4">
        <v>25699.59</v>
      </c>
      <c r="S162" s="1" t="s">
        <v>328</v>
      </c>
      <c r="T162" s="1" t="s">
        <v>329</v>
      </c>
      <c r="W162" s="1" t="s">
        <v>57</v>
      </c>
      <c r="Z162" s="1" t="s">
        <v>64</v>
      </c>
      <c r="AA162" s="5">
        <v>0</v>
      </c>
      <c r="AB162" s="5">
        <v>0</v>
      </c>
      <c r="AD162" s="1" t="s">
        <v>64</v>
      </c>
      <c r="AE162" s="4">
        <v>36172.199999999997</v>
      </c>
      <c r="AF162" s="4">
        <v>0</v>
      </c>
      <c r="AG162" s="2">
        <v>0</v>
      </c>
      <c r="AH162" s="3">
        <v>167</v>
      </c>
      <c r="AI162" s="3">
        <v>0</v>
      </c>
      <c r="AJ162" s="5">
        <v>0</v>
      </c>
      <c r="AT162" s="1" t="s">
        <v>65</v>
      </c>
      <c r="AU162" s="1" t="s">
        <v>66</v>
      </c>
      <c r="AV162" s="1" t="s">
        <v>330</v>
      </c>
      <c r="AW162" s="1" t="s">
        <v>331</v>
      </c>
      <c r="AX162" s="1" t="s">
        <v>338</v>
      </c>
      <c r="AY162" s="1" t="s">
        <v>339</v>
      </c>
      <c r="BB162" s="1" t="s">
        <v>71</v>
      </c>
      <c r="BC162" s="1" t="s">
        <v>72</v>
      </c>
    </row>
    <row r="163" spans="1:55" x14ac:dyDescent="0.25">
      <c r="A163" s="1">
        <v>1620</v>
      </c>
      <c r="B163" s="1" t="s">
        <v>55</v>
      </c>
      <c r="C163" s="1" t="s">
        <v>56</v>
      </c>
      <c r="D163" s="1" t="s">
        <v>57</v>
      </c>
      <c r="E163" s="1" t="s">
        <v>340</v>
      </c>
      <c r="F163" s="1" t="s">
        <v>341</v>
      </c>
      <c r="G163" s="1" t="s">
        <v>60</v>
      </c>
      <c r="H163" s="1" t="s">
        <v>61</v>
      </c>
      <c r="I163" s="2">
        <v>114.08</v>
      </c>
      <c r="L163" s="3">
        <v>0</v>
      </c>
      <c r="M163" s="3">
        <v>220</v>
      </c>
      <c r="N163" s="3">
        <v>146.22</v>
      </c>
      <c r="O163" s="4">
        <v>0</v>
      </c>
      <c r="P163" s="4">
        <v>25097.599999999999</v>
      </c>
      <c r="Q163" s="4">
        <v>16680.78</v>
      </c>
      <c r="S163" s="1" t="s">
        <v>328</v>
      </c>
      <c r="T163" s="1" t="s">
        <v>329</v>
      </c>
      <c r="W163" s="1" t="s">
        <v>57</v>
      </c>
      <c r="Z163" s="1" t="s">
        <v>64</v>
      </c>
      <c r="AA163" s="5">
        <v>0</v>
      </c>
      <c r="AB163" s="5">
        <v>0</v>
      </c>
      <c r="AD163" s="1" t="s">
        <v>64</v>
      </c>
      <c r="AE163" s="4">
        <v>25097.599999999999</v>
      </c>
      <c r="AF163" s="4">
        <v>0</v>
      </c>
      <c r="AG163" s="2">
        <v>0</v>
      </c>
      <c r="AH163" s="3">
        <v>220</v>
      </c>
      <c r="AI163" s="3">
        <v>0</v>
      </c>
      <c r="AJ163" s="5">
        <v>0</v>
      </c>
      <c r="AT163" s="1" t="s">
        <v>65</v>
      </c>
      <c r="AU163" s="1" t="s">
        <v>66</v>
      </c>
      <c r="AV163" s="1" t="s">
        <v>330</v>
      </c>
      <c r="AW163" s="1" t="s">
        <v>331</v>
      </c>
      <c r="AX163" s="1" t="s">
        <v>338</v>
      </c>
      <c r="AY163" s="1" t="s">
        <v>339</v>
      </c>
      <c r="BB163" s="1" t="s">
        <v>71</v>
      </c>
      <c r="BC163" s="1" t="s">
        <v>72</v>
      </c>
    </row>
    <row r="164" spans="1:55" x14ac:dyDescent="0.25">
      <c r="A164" s="1">
        <v>1630</v>
      </c>
      <c r="B164" s="1" t="s">
        <v>55</v>
      </c>
      <c r="C164" s="1" t="s">
        <v>56</v>
      </c>
      <c r="D164" s="1" t="s">
        <v>57</v>
      </c>
      <c r="E164" s="1" t="s">
        <v>193</v>
      </c>
      <c r="F164" s="1" t="s">
        <v>194</v>
      </c>
      <c r="G164" s="1" t="s">
        <v>60</v>
      </c>
      <c r="H164" s="1" t="s">
        <v>61</v>
      </c>
      <c r="I164" s="2">
        <v>1.5</v>
      </c>
      <c r="L164" s="3">
        <v>0</v>
      </c>
      <c r="M164" s="3">
        <v>220</v>
      </c>
      <c r="N164" s="3">
        <v>154.07</v>
      </c>
      <c r="O164" s="4">
        <v>0</v>
      </c>
      <c r="P164" s="4">
        <v>330</v>
      </c>
      <c r="Q164" s="4">
        <v>231.11</v>
      </c>
      <c r="S164" s="1" t="s">
        <v>328</v>
      </c>
      <c r="T164" s="1" t="s">
        <v>329</v>
      </c>
      <c r="W164" s="1" t="s">
        <v>57</v>
      </c>
      <c r="Z164" s="1" t="s">
        <v>64</v>
      </c>
      <c r="AA164" s="5">
        <v>0</v>
      </c>
      <c r="AB164" s="5">
        <v>0</v>
      </c>
      <c r="AD164" s="1" t="s">
        <v>64</v>
      </c>
      <c r="AE164" s="4">
        <v>330</v>
      </c>
      <c r="AF164" s="4">
        <v>0</v>
      </c>
      <c r="AG164" s="2">
        <v>0</v>
      </c>
      <c r="AH164" s="3">
        <v>220</v>
      </c>
      <c r="AI164" s="3">
        <v>0</v>
      </c>
      <c r="AJ164" s="5">
        <v>0</v>
      </c>
      <c r="AT164" s="1" t="s">
        <v>65</v>
      </c>
      <c r="AU164" s="1" t="s">
        <v>66</v>
      </c>
      <c r="AV164" s="1" t="s">
        <v>330</v>
      </c>
      <c r="AW164" s="1" t="s">
        <v>331</v>
      </c>
      <c r="AX164" s="1" t="s">
        <v>342</v>
      </c>
      <c r="AY164" s="1" t="s">
        <v>343</v>
      </c>
      <c r="BB164" s="1" t="s">
        <v>71</v>
      </c>
      <c r="BC164" s="1" t="s">
        <v>72</v>
      </c>
    </row>
    <row r="165" spans="1:55" x14ac:dyDescent="0.25">
      <c r="A165" s="1">
        <v>1640</v>
      </c>
      <c r="B165" s="1" t="s">
        <v>55</v>
      </c>
      <c r="C165" s="1" t="s">
        <v>56</v>
      </c>
      <c r="D165" s="1" t="s">
        <v>57</v>
      </c>
      <c r="E165" s="1" t="s">
        <v>94</v>
      </c>
      <c r="F165" s="1" t="s">
        <v>95</v>
      </c>
      <c r="G165" s="1" t="s">
        <v>96</v>
      </c>
      <c r="H165" s="1" t="s">
        <v>97</v>
      </c>
      <c r="I165" s="2">
        <v>91.2</v>
      </c>
      <c r="L165" s="3">
        <v>0</v>
      </c>
      <c r="M165" s="3">
        <v>20.72</v>
      </c>
      <c r="N165" s="3">
        <v>20.72</v>
      </c>
      <c r="O165" s="4">
        <v>0</v>
      </c>
      <c r="P165" s="4">
        <v>1889.66</v>
      </c>
      <c r="Q165" s="4">
        <v>1889.66</v>
      </c>
      <c r="S165" s="1" t="s">
        <v>328</v>
      </c>
      <c r="T165" s="1" t="s">
        <v>329</v>
      </c>
      <c r="W165" s="1" t="s">
        <v>57</v>
      </c>
      <c r="Z165" s="1" t="s">
        <v>64</v>
      </c>
      <c r="AA165" s="5">
        <v>0</v>
      </c>
      <c r="AB165" s="5">
        <v>0</v>
      </c>
      <c r="AD165" s="1" t="s">
        <v>64</v>
      </c>
      <c r="AE165" s="4">
        <v>1889.66</v>
      </c>
      <c r="AF165" s="4">
        <v>0</v>
      </c>
      <c r="AG165" s="2">
        <v>0</v>
      </c>
      <c r="AH165" s="3">
        <v>20.72</v>
      </c>
      <c r="AI165" s="3">
        <v>0</v>
      </c>
      <c r="AJ165" s="5">
        <v>0</v>
      </c>
      <c r="AT165" s="1" t="s">
        <v>65</v>
      </c>
      <c r="AU165" s="1" t="s">
        <v>66</v>
      </c>
      <c r="AV165" s="1" t="s">
        <v>330</v>
      </c>
      <c r="AW165" s="1" t="s">
        <v>331</v>
      </c>
      <c r="AX165" s="1" t="s">
        <v>338</v>
      </c>
      <c r="AY165" s="1" t="s">
        <v>339</v>
      </c>
      <c r="BB165" s="1" t="s">
        <v>71</v>
      </c>
      <c r="BC165" s="1" t="s">
        <v>72</v>
      </c>
    </row>
    <row r="166" spans="1:55" x14ac:dyDescent="0.25">
      <c r="A166" s="1">
        <v>1650</v>
      </c>
      <c r="B166" s="1" t="s">
        <v>55</v>
      </c>
      <c r="C166" s="1" t="s">
        <v>56</v>
      </c>
      <c r="D166" s="1" t="s">
        <v>57</v>
      </c>
      <c r="E166" s="1" t="s">
        <v>94</v>
      </c>
      <c r="F166" s="1" t="s">
        <v>95</v>
      </c>
      <c r="G166" s="1" t="s">
        <v>96</v>
      </c>
      <c r="H166" s="1" t="s">
        <v>97</v>
      </c>
      <c r="I166" s="2">
        <v>310.97000000000003</v>
      </c>
      <c r="L166" s="3">
        <v>0</v>
      </c>
      <c r="M166" s="3">
        <v>20.72</v>
      </c>
      <c r="N166" s="3">
        <v>20.72</v>
      </c>
      <c r="O166" s="4">
        <v>0</v>
      </c>
      <c r="P166" s="4">
        <v>6443.3</v>
      </c>
      <c r="Q166" s="4">
        <v>6443.3</v>
      </c>
      <c r="S166" s="1" t="s">
        <v>328</v>
      </c>
      <c r="T166" s="1" t="s">
        <v>329</v>
      </c>
      <c r="W166" s="1" t="s">
        <v>57</v>
      </c>
      <c r="Z166" s="1" t="s">
        <v>64</v>
      </c>
      <c r="AA166" s="5">
        <v>0</v>
      </c>
      <c r="AB166" s="5">
        <v>0</v>
      </c>
      <c r="AD166" s="1" t="s">
        <v>64</v>
      </c>
      <c r="AE166" s="4">
        <v>6443.3</v>
      </c>
      <c r="AF166" s="4">
        <v>0</v>
      </c>
      <c r="AG166" s="2">
        <v>0</v>
      </c>
      <c r="AH166" s="3">
        <v>20.72</v>
      </c>
      <c r="AI166" s="3">
        <v>0</v>
      </c>
      <c r="AJ166" s="5">
        <v>0</v>
      </c>
      <c r="AT166" s="1" t="s">
        <v>65</v>
      </c>
      <c r="AU166" s="1" t="s">
        <v>66</v>
      </c>
      <c r="AV166" s="1" t="s">
        <v>330</v>
      </c>
      <c r="AW166" s="1" t="s">
        <v>331</v>
      </c>
      <c r="AX166" s="1" t="s">
        <v>342</v>
      </c>
      <c r="AY166" s="1" t="s">
        <v>343</v>
      </c>
      <c r="BB166" s="1" t="s">
        <v>71</v>
      </c>
      <c r="BC166" s="1" t="s">
        <v>72</v>
      </c>
    </row>
    <row r="167" spans="1:55" x14ac:dyDescent="0.25">
      <c r="A167" s="1">
        <v>1660</v>
      </c>
      <c r="B167" s="1" t="s">
        <v>55</v>
      </c>
      <c r="C167" s="1" t="s">
        <v>56</v>
      </c>
      <c r="D167" s="1" t="s">
        <v>57</v>
      </c>
      <c r="E167" s="1" t="s">
        <v>94</v>
      </c>
      <c r="F167" s="1" t="s">
        <v>95</v>
      </c>
      <c r="G167" s="1" t="s">
        <v>96</v>
      </c>
      <c r="H167" s="1" t="s">
        <v>97</v>
      </c>
      <c r="I167" s="2">
        <v>7.49</v>
      </c>
      <c r="L167" s="3">
        <v>0</v>
      </c>
      <c r="M167" s="3">
        <v>20.72</v>
      </c>
      <c r="N167" s="3">
        <v>20.72</v>
      </c>
      <c r="O167" s="4">
        <v>0</v>
      </c>
      <c r="P167" s="4">
        <v>155.19</v>
      </c>
      <c r="Q167" s="4">
        <v>155.19</v>
      </c>
      <c r="S167" s="1" t="s">
        <v>328</v>
      </c>
      <c r="T167" s="1" t="s">
        <v>329</v>
      </c>
      <c r="W167" s="1" t="s">
        <v>57</v>
      </c>
      <c r="Z167" s="1" t="s">
        <v>64</v>
      </c>
      <c r="AA167" s="5">
        <v>0</v>
      </c>
      <c r="AB167" s="5">
        <v>0</v>
      </c>
      <c r="AD167" s="1" t="s">
        <v>64</v>
      </c>
      <c r="AE167" s="4">
        <v>155.19</v>
      </c>
      <c r="AF167" s="4">
        <v>0</v>
      </c>
      <c r="AG167" s="2">
        <v>0</v>
      </c>
      <c r="AH167" s="3">
        <v>20.72</v>
      </c>
      <c r="AI167" s="3">
        <v>0</v>
      </c>
      <c r="AJ167" s="5">
        <v>0</v>
      </c>
      <c r="AT167" s="1" t="s">
        <v>65</v>
      </c>
      <c r="AU167" s="1" t="s">
        <v>66</v>
      </c>
      <c r="AV167" s="1" t="s">
        <v>330</v>
      </c>
      <c r="AW167" s="1" t="s">
        <v>331</v>
      </c>
      <c r="AX167" s="1" t="s">
        <v>342</v>
      </c>
      <c r="AY167" s="1" t="s">
        <v>343</v>
      </c>
      <c r="BB167" s="1" t="s">
        <v>71</v>
      </c>
      <c r="BC167" s="1" t="s">
        <v>72</v>
      </c>
    </row>
    <row r="168" spans="1:55" x14ac:dyDescent="0.25">
      <c r="A168" s="1">
        <v>1670</v>
      </c>
      <c r="B168" s="1" t="s">
        <v>55</v>
      </c>
      <c r="C168" s="1" t="s">
        <v>56</v>
      </c>
      <c r="D168" s="1" t="s">
        <v>57</v>
      </c>
      <c r="E168" s="1" t="s">
        <v>344</v>
      </c>
      <c r="F168" s="1" t="s">
        <v>345</v>
      </c>
      <c r="G168" s="1" t="s">
        <v>203</v>
      </c>
      <c r="I168" s="2">
        <v>5439.95</v>
      </c>
      <c r="L168" s="3">
        <v>0</v>
      </c>
      <c r="M168" s="3">
        <v>0.219</v>
      </c>
      <c r="N168" s="3">
        <v>0.23100000000000001</v>
      </c>
      <c r="O168" s="4">
        <v>0</v>
      </c>
      <c r="P168" s="4">
        <v>1191.3499999999999</v>
      </c>
      <c r="Q168" s="4">
        <v>1256.6300000000001</v>
      </c>
      <c r="S168" s="1" t="s">
        <v>328</v>
      </c>
      <c r="T168" s="1" t="s">
        <v>329</v>
      </c>
      <c r="W168" s="1" t="s">
        <v>57</v>
      </c>
      <c r="Z168" s="1" t="s">
        <v>64</v>
      </c>
      <c r="AA168" s="5">
        <v>0</v>
      </c>
      <c r="AB168" s="5">
        <v>0</v>
      </c>
      <c r="AD168" s="1" t="s">
        <v>64</v>
      </c>
      <c r="AE168" s="4">
        <v>1191.3499999999999</v>
      </c>
      <c r="AF168" s="4">
        <v>0</v>
      </c>
      <c r="AG168" s="2">
        <v>0</v>
      </c>
      <c r="AH168" s="3">
        <v>0.219</v>
      </c>
      <c r="AI168" s="3">
        <v>0</v>
      </c>
      <c r="AJ168" s="5">
        <v>0</v>
      </c>
      <c r="AT168" s="1" t="s">
        <v>65</v>
      </c>
      <c r="AU168" s="1" t="s">
        <v>66</v>
      </c>
      <c r="AV168" s="1" t="s">
        <v>330</v>
      </c>
      <c r="AW168" s="1" t="s">
        <v>331</v>
      </c>
      <c r="AX168" s="1" t="s">
        <v>342</v>
      </c>
      <c r="AY168" s="1" t="s">
        <v>343</v>
      </c>
      <c r="BB168" s="1" t="s">
        <v>71</v>
      </c>
      <c r="BC168" s="1" t="s">
        <v>72</v>
      </c>
    </row>
    <row r="169" spans="1:55" x14ac:dyDescent="0.25">
      <c r="A169" s="1">
        <v>1680</v>
      </c>
      <c r="B169" s="1" t="s">
        <v>55</v>
      </c>
      <c r="C169" s="1" t="s">
        <v>56</v>
      </c>
      <c r="D169" s="1" t="s">
        <v>57</v>
      </c>
      <c r="E169" s="1" t="s">
        <v>98</v>
      </c>
      <c r="F169" s="1" t="s">
        <v>99</v>
      </c>
      <c r="G169" s="1" t="s">
        <v>100</v>
      </c>
      <c r="H169" s="1" t="s">
        <v>101</v>
      </c>
      <c r="I169" s="2">
        <v>28800</v>
      </c>
      <c r="L169" s="3">
        <v>0</v>
      </c>
      <c r="M169" s="3">
        <v>1.1200000000000001</v>
      </c>
      <c r="N169" s="3">
        <v>1.72</v>
      </c>
      <c r="O169" s="4">
        <v>0</v>
      </c>
      <c r="P169" s="4">
        <v>32256</v>
      </c>
      <c r="Q169" s="4">
        <v>49536</v>
      </c>
      <c r="S169" s="1" t="s">
        <v>328</v>
      </c>
      <c r="T169" s="1" t="s">
        <v>329</v>
      </c>
      <c r="W169" s="1" t="s">
        <v>57</v>
      </c>
      <c r="Z169" s="1" t="s">
        <v>64</v>
      </c>
      <c r="AA169" s="5">
        <v>0</v>
      </c>
      <c r="AB169" s="5">
        <v>0</v>
      </c>
      <c r="AD169" s="1" t="s">
        <v>64</v>
      </c>
      <c r="AE169" s="4">
        <v>32256</v>
      </c>
      <c r="AF169" s="4">
        <v>0</v>
      </c>
      <c r="AG169" s="2">
        <v>0</v>
      </c>
      <c r="AH169" s="3">
        <v>1.1200000000000001</v>
      </c>
      <c r="AI169" s="3">
        <v>0</v>
      </c>
      <c r="AJ169" s="5">
        <v>0</v>
      </c>
      <c r="AT169" s="1" t="s">
        <v>65</v>
      </c>
      <c r="AU169" s="1" t="s">
        <v>66</v>
      </c>
      <c r="AV169" s="1" t="s">
        <v>330</v>
      </c>
      <c r="AW169" s="1" t="s">
        <v>331</v>
      </c>
      <c r="AX169" s="1" t="s">
        <v>332</v>
      </c>
      <c r="AY169" s="1" t="s">
        <v>333</v>
      </c>
      <c r="BB169" s="1" t="s">
        <v>71</v>
      </c>
      <c r="BC169" s="1" t="s">
        <v>72</v>
      </c>
    </row>
    <row r="170" spans="1:55" x14ac:dyDescent="0.25">
      <c r="A170" s="1">
        <v>1690</v>
      </c>
      <c r="B170" s="1" t="s">
        <v>55</v>
      </c>
      <c r="C170" s="1" t="s">
        <v>56</v>
      </c>
      <c r="D170" s="1" t="s">
        <v>57</v>
      </c>
      <c r="E170" s="1" t="s">
        <v>98</v>
      </c>
      <c r="F170" s="1" t="s">
        <v>99</v>
      </c>
      <c r="G170" s="1" t="s">
        <v>100</v>
      </c>
      <c r="H170" s="1" t="s">
        <v>101</v>
      </c>
      <c r="I170" s="2">
        <v>28158</v>
      </c>
      <c r="L170" s="3">
        <v>0</v>
      </c>
      <c r="M170" s="3">
        <v>1.1200000000000001</v>
      </c>
      <c r="N170" s="3">
        <v>1.72</v>
      </c>
      <c r="O170" s="4">
        <v>0</v>
      </c>
      <c r="P170" s="4">
        <v>31536.959999999999</v>
      </c>
      <c r="Q170" s="4">
        <v>48431.76</v>
      </c>
      <c r="S170" s="1" t="s">
        <v>328</v>
      </c>
      <c r="T170" s="1" t="s">
        <v>329</v>
      </c>
      <c r="W170" s="1" t="s">
        <v>57</v>
      </c>
      <c r="Z170" s="1" t="s">
        <v>64</v>
      </c>
      <c r="AA170" s="5">
        <v>0</v>
      </c>
      <c r="AB170" s="5">
        <v>0</v>
      </c>
      <c r="AD170" s="1" t="s">
        <v>64</v>
      </c>
      <c r="AE170" s="4">
        <v>31536.959999999999</v>
      </c>
      <c r="AF170" s="4">
        <v>0</v>
      </c>
      <c r="AG170" s="2">
        <v>0</v>
      </c>
      <c r="AH170" s="3">
        <v>1.1200000000000001</v>
      </c>
      <c r="AI170" s="3">
        <v>0</v>
      </c>
      <c r="AJ170" s="5">
        <v>0</v>
      </c>
      <c r="AT170" s="1" t="s">
        <v>65</v>
      </c>
      <c r="AU170" s="1" t="s">
        <v>66</v>
      </c>
      <c r="AV170" s="1" t="s">
        <v>330</v>
      </c>
      <c r="AW170" s="1" t="s">
        <v>331</v>
      </c>
      <c r="AX170" s="1" t="s">
        <v>338</v>
      </c>
      <c r="AY170" s="1" t="s">
        <v>339</v>
      </c>
      <c r="BB170" s="1" t="s">
        <v>71</v>
      </c>
      <c r="BC170" s="1" t="s">
        <v>72</v>
      </c>
    </row>
    <row r="171" spans="1:55" x14ac:dyDescent="0.25">
      <c r="A171" s="1">
        <v>1700</v>
      </c>
      <c r="B171" s="1" t="s">
        <v>55</v>
      </c>
      <c r="C171" s="1" t="s">
        <v>56</v>
      </c>
      <c r="D171" s="1" t="s">
        <v>57</v>
      </c>
      <c r="E171" s="1" t="s">
        <v>98</v>
      </c>
      <c r="F171" s="1" t="s">
        <v>99</v>
      </c>
      <c r="G171" s="1" t="s">
        <v>100</v>
      </c>
      <c r="H171" s="1" t="s">
        <v>101</v>
      </c>
      <c r="I171" s="2">
        <v>19286</v>
      </c>
      <c r="L171" s="3">
        <v>0</v>
      </c>
      <c r="M171" s="3">
        <v>1.1200000000000001</v>
      </c>
      <c r="N171" s="3">
        <v>1.72</v>
      </c>
      <c r="O171" s="4">
        <v>0</v>
      </c>
      <c r="P171" s="4">
        <v>21600.32</v>
      </c>
      <c r="Q171" s="4">
        <v>33171.919999999998</v>
      </c>
      <c r="S171" s="1" t="s">
        <v>328</v>
      </c>
      <c r="T171" s="1" t="s">
        <v>329</v>
      </c>
      <c r="W171" s="1" t="s">
        <v>57</v>
      </c>
      <c r="Z171" s="1" t="s">
        <v>64</v>
      </c>
      <c r="AA171" s="5">
        <v>0</v>
      </c>
      <c r="AB171" s="5">
        <v>0</v>
      </c>
      <c r="AD171" s="1" t="s">
        <v>64</v>
      </c>
      <c r="AE171" s="4">
        <v>21600.32</v>
      </c>
      <c r="AF171" s="4">
        <v>0</v>
      </c>
      <c r="AG171" s="2">
        <v>0</v>
      </c>
      <c r="AH171" s="3">
        <v>1.1200000000000001</v>
      </c>
      <c r="AI171" s="3">
        <v>0</v>
      </c>
      <c r="AJ171" s="5">
        <v>0</v>
      </c>
      <c r="AT171" s="1" t="s">
        <v>65</v>
      </c>
      <c r="AU171" s="1" t="s">
        <v>66</v>
      </c>
      <c r="AV171" s="1" t="s">
        <v>330</v>
      </c>
      <c r="AW171" s="1" t="s">
        <v>331</v>
      </c>
      <c r="AX171" s="1" t="s">
        <v>342</v>
      </c>
      <c r="AY171" s="1" t="s">
        <v>343</v>
      </c>
      <c r="BB171" s="1" t="s">
        <v>71</v>
      </c>
      <c r="BC171" s="1" t="s">
        <v>72</v>
      </c>
    </row>
    <row r="172" spans="1:55" x14ac:dyDescent="0.25">
      <c r="A172" s="1">
        <v>1710</v>
      </c>
      <c r="B172" s="1" t="s">
        <v>55</v>
      </c>
      <c r="C172" s="1" t="s">
        <v>56</v>
      </c>
      <c r="D172" s="1" t="s">
        <v>57</v>
      </c>
      <c r="E172" s="1" t="s">
        <v>98</v>
      </c>
      <c r="F172" s="1" t="s">
        <v>99</v>
      </c>
      <c r="G172" s="1" t="s">
        <v>100</v>
      </c>
      <c r="H172" s="1" t="s">
        <v>101</v>
      </c>
      <c r="I172" s="2">
        <v>1800</v>
      </c>
      <c r="L172" s="3">
        <v>0</v>
      </c>
      <c r="M172" s="3">
        <v>1.1200000000000001</v>
      </c>
      <c r="N172" s="3">
        <v>1.72</v>
      </c>
      <c r="O172" s="4">
        <v>0</v>
      </c>
      <c r="P172" s="4">
        <v>2016</v>
      </c>
      <c r="Q172" s="4">
        <v>3096</v>
      </c>
      <c r="S172" s="1" t="s">
        <v>328</v>
      </c>
      <c r="T172" s="1" t="s">
        <v>329</v>
      </c>
      <c r="W172" s="1" t="s">
        <v>57</v>
      </c>
      <c r="Z172" s="1" t="s">
        <v>64</v>
      </c>
      <c r="AA172" s="5">
        <v>0</v>
      </c>
      <c r="AB172" s="5">
        <v>0</v>
      </c>
      <c r="AD172" s="1" t="s">
        <v>64</v>
      </c>
      <c r="AE172" s="4">
        <v>2016</v>
      </c>
      <c r="AF172" s="4">
        <v>0</v>
      </c>
      <c r="AG172" s="2">
        <v>0</v>
      </c>
      <c r="AH172" s="3">
        <v>1.1200000000000001</v>
      </c>
      <c r="AI172" s="3">
        <v>0</v>
      </c>
      <c r="AJ172" s="5">
        <v>0</v>
      </c>
      <c r="AT172" s="1" t="s">
        <v>65</v>
      </c>
      <c r="AU172" s="1" t="s">
        <v>66</v>
      </c>
      <c r="AV172" s="1" t="s">
        <v>330</v>
      </c>
      <c r="AW172" s="1" t="s">
        <v>331</v>
      </c>
      <c r="AX172" s="1" t="s">
        <v>342</v>
      </c>
      <c r="AY172" s="1" t="s">
        <v>343</v>
      </c>
      <c r="BB172" s="1" t="s">
        <v>71</v>
      </c>
      <c r="BC172" s="1" t="s">
        <v>72</v>
      </c>
    </row>
    <row r="173" spans="1:55" x14ac:dyDescent="0.25">
      <c r="A173" s="1">
        <v>1720</v>
      </c>
      <c r="B173" s="1" t="s">
        <v>55</v>
      </c>
      <c r="C173" s="1" t="s">
        <v>56</v>
      </c>
      <c r="D173" s="1" t="s">
        <v>57</v>
      </c>
      <c r="E173" s="1" t="s">
        <v>346</v>
      </c>
      <c r="F173" s="1" t="s">
        <v>347</v>
      </c>
      <c r="G173" s="1" t="s">
        <v>348</v>
      </c>
      <c r="I173" s="2">
        <v>3500</v>
      </c>
      <c r="L173" s="3">
        <v>0</v>
      </c>
      <c r="M173" s="3">
        <v>1.39</v>
      </c>
      <c r="N173" s="3">
        <v>1.46</v>
      </c>
      <c r="O173" s="4">
        <v>0</v>
      </c>
      <c r="P173" s="4">
        <v>4865</v>
      </c>
      <c r="Q173" s="4">
        <v>5110</v>
      </c>
      <c r="S173" s="1" t="s">
        <v>328</v>
      </c>
      <c r="T173" s="1" t="s">
        <v>329</v>
      </c>
      <c r="W173" s="1" t="s">
        <v>57</v>
      </c>
      <c r="Z173" s="1" t="s">
        <v>64</v>
      </c>
      <c r="AA173" s="5">
        <v>0</v>
      </c>
      <c r="AB173" s="5">
        <v>0</v>
      </c>
      <c r="AD173" s="1" t="s">
        <v>64</v>
      </c>
      <c r="AE173" s="4">
        <v>4865</v>
      </c>
      <c r="AF173" s="4">
        <v>0</v>
      </c>
      <c r="AG173" s="2">
        <v>0</v>
      </c>
      <c r="AH173" s="3">
        <v>1.39</v>
      </c>
      <c r="AI173" s="3">
        <v>0</v>
      </c>
      <c r="AJ173" s="5">
        <v>0</v>
      </c>
      <c r="AT173" s="1" t="s">
        <v>65</v>
      </c>
      <c r="AU173" s="1" t="s">
        <v>66</v>
      </c>
      <c r="AV173" s="1" t="s">
        <v>330</v>
      </c>
      <c r="AW173" s="1" t="s">
        <v>331</v>
      </c>
      <c r="AX173" s="1" t="s">
        <v>349</v>
      </c>
      <c r="AY173" s="1" t="s">
        <v>350</v>
      </c>
      <c r="BB173" s="1" t="s">
        <v>71</v>
      </c>
      <c r="BC173" s="1" t="s">
        <v>72</v>
      </c>
    </row>
    <row r="174" spans="1:55" x14ac:dyDescent="0.25">
      <c r="A174" s="1">
        <v>1730</v>
      </c>
      <c r="B174" s="1" t="s">
        <v>55</v>
      </c>
      <c r="C174" s="1" t="s">
        <v>56</v>
      </c>
      <c r="D174" s="1" t="s">
        <v>57</v>
      </c>
      <c r="E174" s="1" t="s">
        <v>351</v>
      </c>
      <c r="F174" s="1" t="s">
        <v>352</v>
      </c>
      <c r="G174" s="1" t="s">
        <v>348</v>
      </c>
      <c r="I174" s="2">
        <v>21000</v>
      </c>
      <c r="L174" s="3">
        <v>0</v>
      </c>
      <c r="M174" s="3">
        <v>1.84</v>
      </c>
      <c r="N174" s="3">
        <v>1.94</v>
      </c>
      <c r="O174" s="4">
        <v>0</v>
      </c>
      <c r="P174" s="4">
        <v>38640</v>
      </c>
      <c r="Q174" s="4">
        <v>40740</v>
      </c>
      <c r="S174" s="1" t="s">
        <v>328</v>
      </c>
      <c r="T174" s="1" t="s">
        <v>329</v>
      </c>
      <c r="W174" s="1" t="s">
        <v>57</v>
      </c>
      <c r="Z174" s="1" t="s">
        <v>64</v>
      </c>
      <c r="AA174" s="5">
        <v>0</v>
      </c>
      <c r="AB174" s="5">
        <v>0</v>
      </c>
      <c r="AD174" s="1" t="s">
        <v>64</v>
      </c>
      <c r="AE174" s="4">
        <v>38640</v>
      </c>
      <c r="AF174" s="4">
        <v>0</v>
      </c>
      <c r="AG174" s="2">
        <v>0</v>
      </c>
      <c r="AH174" s="3">
        <v>1.84</v>
      </c>
      <c r="AI174" s="3">
        <v>0</v>
      </c>
      <c r="AJ174" s="5">
        <v>0</v>
      </c>
      <c r="AT174" s="1" t="s">
        <v>65</v>
      </c>
      <c r="AU174" s="1" t="s">
        <v>66</v>
      </c>
      <c r="AV174" s="1" t="s">
        <v>330</v>
      </c>
      <c r="AW174" s="1" t="s">
        <v>331</v>
      </c>
      <c r="AX174" s="1" t="s">
        <v>349</v>
      </c>
      <c r="AY174" s="1" t="s">
        <v>350</v>
      </c>
      <c r="BB174" s="1" t="s">
        <v>71</v>
      </c>
      <c r="BC174" s="1" t="s">
        <v>72</v>
      </c>
    </row>
    <row r="175" spans="1:55" x14ac:dyDescent="0.25">
      <c r="A175" s="1">
        <v>1740</v>
      </c>
      <c r="B175" s="1" t="s">
        <v>55</v>
      </c>
      <c r="C175" s="1" t="s">
        <v>56</v>
      </c>
      <c r="D175" s="1" t="s">
        <v>57</v>
      </c>
      <c r="E175" s="1" t="s">
        <v>353</v>
      </c>
      <c r="F175" s="1" t="s">
        <v>354</v>
      </c>
      <c r="G175" s="1" t="s">
        <v>348</v>
      </c>
      <c r="I175" s="2">
        <v>17500</v>
      </c>
      <c r="L175" s="3">
        <v>0</v>
      </c>
      <c r="M175" s="3">
        <v>2.0099999999999998</v>
      </c>
      <c r="N175" s="3">
        <v>2.12</v>
      </c>
      <c r="O175" s="4">
        <v>0</v>
      </c>
      <c r="P175" s="4">
        <v>35175</v>
      </c>
      <c r="Q175" s="4">
        <v>37100</v>
      </c>
      <c r="S175" s="1" t="s">
        <v>328</v>
      </c>
      <c r="T175" s="1" t="s">
        <v>329</v>
      </c>
      <c r="W175" s="1" t="s">
        <v>57</v>
      </c>
      <c r="Z175" s="1" t="s">
        <v>64</v>
      </c>
      <c r="AA175" s="5">
        <v>0</v>
      </c>
      <c r="AB175" s="5">
        <v>0</v>
      </c>
      <c r="AD175" s="1" t="s">
        <v>64</v>
      </c>
      <c r="AE175" s="4">
        <v>35175</v>
      </c>
      <c r="AF175" s="4">
        <v>0</v>
      </c>
      <c r="AG175" s="2">
        <v>0</v>
      </c>
      <c r="AH175" s="3">
        <v>2.0099999999999998</v>
      </c>
      <c r="AI175" s="3">
        <v>0</v>
      </c>
      <c r="AJ175" s="5">
        <v>0</v>
      </c>
      <c r="AT175" s="1" t="s">
        <v>65</v>
      </c>
      <c r="AU175" s="1" t="s">
        <v>66</v>
      </c>
      <c r="AV175" s="1" t="s">
        <v>330</v>
      </c>
      <c r="AW175" s="1" t="s">
        <v>331</v>
      </c>
      <c r="AX175" s="1" t="s">
        <v>349</v>
      </c>
      <c r="AY175" s="1" t="s">
        <v>350</v>
      </c>
      <c r="BB175" s="1" t="s">
        <v>71</v>
      </c>
      <c r="BC175" s="1" t="s">
        <v>72</v>
      </c>
    </row>
    <row r="176" spans="1:55" x14ac:dyDescent="0.25">
      <c r="A176" s="1">
        <v>1750</v>
      </c>
      <c r="B176" s="1" t="s">
        <v>55</v>
      </c>
      <c r="C176" s="1" t="s">
        <v>56</v>
      </c>
      <c r="D176" s="1" t="s">
        <v>57</v>
      </c>
      <c r="E176" s="1" t="s">
        <v>355</v>
      </c>
      <c r="F176" s="1" t="s">
        <v>356</v>
      </c>
      <c r="G176" s="1" t="s">
        <v>203</v>
      </c>
      <c r="I176" s="2">
        <v>45605</v>
      </c>
      <c r="L176" s="3">
        <v>0</v>
      </c>
      <c r="M176" s="3">
        <v>0.61399999999999999</v>
      </c>
      <c r="N176" s="3">
        <v>0.64700000000000002</v>
      </c>
      <c r="O176" s="4">
        <v>0</v>
      </c>
      <c r="P176" s="4">
        <v>28001.47</v>
      </c>
      <c r="Q176" s="4">
        <v>29506.44</v>
      </c>
      <c r="S176" s="1" t="s">
        <v>328</v>
      </c>
      <c r="T176" s="1" t="s">
        <v>329</v>
      </c>
      <c r="W176" s="1" t="s">
        <v>57</v>
      </c>
      <c r="Z176" s="1" t="s">
        <v>64</v>
      </c>
      <c r="AA176" s="5">
        <v>0</v>
      </c>
      <c r="AB176" s="5">
        <v>0</v>
      </c>
      <c r="AD176" s="1" t="s">
        <v>64</v>
      </c>
      <c r="AE176" s="4">
        <v>28001.47</v>
      </c>
      <c r="AF176" s="4">
        <v>0</v>
      </c>
      <c r="AG176" s="2">
        <v>0</v>
      </c>
      <c r="AH176" s="3">
        <v>0.61399999999999999</v>
      </c>
      <c r="AI176" s="3">
        <v>0</v>
      </c>
      <c r="AJ176" s="5">
        <v>0</v>
      </c>
      <c r="AT176" s="1" t="s">
        <v>65</v>
      </c>
      <c r="AU176" s="1" t="s">
        <v>66</v>
      </c>
      <c r="AV176" s="1" t="s">
        <v>330</v>
      </c>
      <c r="AW176" s="1" t="s">
        <v>331</v>
      </c>
      <c r="AX176" s="1" t="s">
        <v>349</v>
      </c>
      <c r="AY176" s="1" t="s">
        <v>350</v>
      </c>
      <c r="BB176" s="1" t="s">
        <v>71</v>
      </c>
      <c r="BC176" s="1" t="s">
        <v>72</v>
      </c>
    </row>
    <row r="177" spans="1:55" x14ac:dyDescent="0.25">
      <c r="A177" s="1">
        <v>1760</v>
      </c>
      <c r="B177" s="1" t="s">
        <v>55</v>
      </c>
      <c r="C177" s="1" t="s">
        <v>56</v>
      </c>
      <c r="D177" s="1" t="s">
        <v>57</v>
      </c>
      <c r="E177" s="1" t="s">
        <v>357</v>
      </c>
      <c r="F177" s="1" t="s">
        <v>358</v>
      </c>
      <c r="G177" s="1" t="s">
        <v>203</v>
      </c>
      <c r="I177" s="2">
        <v>68145</v>
      </c>
      <c r="L177" s="3">
        <v>0</v>
      </c>
      <c r="M177" s="3">
        <v>4.3999999999999997E-2</v>
      </c>
      <c r="N177" s="3">
        <v>4.5999999999999999E-2</v>
      </c>
      <c r="O177" s="4">
        <v>0</v>
      </c>
      <c r="P177" s="4">
        <v>2998.38</v>
      </c>
      <c r="Q177" s="4">
        <v>3134.67</v>
      </c>
      <c r="S177" s="1" t="s">
        <v>328</v>
      </c>
      <c r="T177" s="1" t="s">
        <v>329</v>
      </c>
      <c r="W177" s="1" t="s">
        <v>57</v>
      </c>
      <c r="Z177" s="1" t="s">
        <v>64</v>
      </c>
      <c r="AA177" s="5">
        <v>0</v>
      </c>
      <c r="AB177" s="5">
        <v>0</v>
      </c>
      <c r="AD177" s="1" t="s">
        <v>64</v>
      </c>
      <c r="AE177" s="4">
        <v>2998.38</v>
      </c>
      <c r="AF177" s="4">
        <v>0</v>
      </c>
      <c r="AG177" s="2">
        <v>0</v>
      </c>
      <c r="AH177" s="3">
        <v>4.3999999999999997E-2</v>
      </c>
      <c r="AI177" s="3">
        <v>0</v>
      </c>
      <c r="AJ177" s="5">
        <v>0</v>
      </c>
      <c r="AT177" s="1" t="s">
        <v>65</v>
      </c>
      <c r="AU177" s="1" t="s">
        <v>66</v>
      </c>
      <c r="AV177" s="1" t="s">
        <v>330</v>
      </c>
      <c r="AW177" s="1" t="s">
        <v>331</v>
      </c>
      <c r="AX177" s="1" t="s">
        <v>349</v>
      </c>
      <c r="AY177" s="1" t="s">
        <v>350</v>
      </c>
      <c r="BB177" s="1" t="s">
        <v>71</v>
      </c>
      <c r="BC177" s="1" t="s">
        <v>72</v>
      </c>
    </row>
    <row r="178" spans="1:55" x14ac:dyDescent="0.25">
      <c r="A178" s="1">
        <v>1770</v>
      </c>
      <c r="B178" s="1" t="s">
        <v>55</v>
      </c>
      <c r="C178" s="1" t="s">
        <v>56</v>
      </c>
      <c r="D178" s="1" t="s">
        <v>57</v>
      </c>
      <c r="E178" s="1" t="s">
        <v>359</v>
      </c>
      <c r="F178" s="1" t="s">
        <v>360</v>
      </c>
      <c r="G178" s="1" t="s">
        <v>203</v>
      </c>
      <c r="I178" s="2">
        <v>55160</v>
      </c>
      <c r="L178" s="3">
        <v>0</v>
      </c>
      <c r="M178" s="3">
        <v>0.13200000000000001</v>
      </c>
      <c r="N178" s="3">
        <v>0.13900000000000001</v>
      </c>
      <c r="O178" s="4">
        <v>0</v>
      </c>
      <c r="P178" s="4">
        <v>7281.12</v>
      </c>
      <c r="Q178" s="4">
        <v>7667.24</v>
      </c>
      <c r="S178" s="1" t="s">
        <v>328</v>
      </c>
      <c r="T178" s="1" t="s">
        <v>329</v>
      </c>
      <c r="W178" s="1" t="s">
        <v>57</v>
      </c>
      <c r="Z178" s="1" t="s">
        <v>64</v>
      </c>
      <c r="AA178" s="5">
        <v>0</v>
      </c>
      <c r="AB178" s="5">
        <v>0</v>
      </c>
      <c r="AD178" s="1" t="s">
        <v>64</v>
      </c>
      <c r="AE178" s="4">
        <v>7281.12</v>
      </c>
      <c r="AF178" s="4">
        <v>0</v>
      </c>
      <c r="AG178" s="2">
        <v>0</v>
      </c>
      <c r="AH178" s="3">
        <v>0.13200000000000001</v>
      </c>
      <c r="AI178" s="3">
        <v>0</v>
      </c>
      <c r="AJ178" s="5">
        <v>0</v>
      </c>
      <c r="AT178" s="1" t="s">
        <v>65</v>
      </c>
      <c r="AU178" s="1" t="s">
        <v>66</v>
      </c>
      <c r="AV178" s="1" t="s">
        <v>330</v>
      </c>
      <c r="AW178" s="1" t="s">
        <v>331</v>
      </c>
      <c r="AX178" s="1" t="s">
        <v>349</v>
      </c>
      <c r="AY178" s="1" t="s">
        <v>350</v>
      </c>
      <c r="BB178" s="1" t="s">
        <v>71</v>
      </c>
      <c r="BC178" s="1" t="s">
        <v>72</v>
      </c>
    </row>
    <row r="179" spans="1:55" x14ac:dyDescent="0.25">
      <c r="A179" s="1">
        <v>1780</v>
      </c>
      <c r="B179" s="1" t="s">
        <v>55</v>
      </c>
      <c r="C179" s="1" t="s">
        <v>56</v>
      </c>
      <c r="D179" s="1" t="s">
        <v>57</v>
      </c>
      <c r="E179" s="1" t="s">
        <v>361</v>
      </c>
      <c r="F179" s="1" t="s">
        <v>224</v>
      </c>
      <c r="G179" s="1" t="s">
        <v>225</v>
      </c>
      <c r="I179" s="2">
        <v>115.2</v>
      </c>
      <c r="L179" s="3">
        <v>0</v>
      </c>
      <c r="M179" s="3">
        <v>9.23</v>
      </c>
      <c r="N179" s="3">
        <v>9.7200000000000006</v>
      </c>
      <c r="O179" s="4">
        <v>0</v>
      </c>
      <c r="P179" s="4">
        <v>1063.3</v>
      </c>
      <c r="Q179" s="4">
        <v>1119.74</v>
      </c>
      <c r="S179" s="1" t="s">
        <v>328</v>
      </c>
      <c r="T179" s="1" t="s">
        <v>329</v>
      </c>
      <c r="W179" s="1" t="s">
        <v>57</v>
      </c>
      <c r="Z179" s="1" t="s">
        <v>64</v>
      </c>
      <c r="AA179" s="5">
        <v>0</v>
      </c>
      <c r="AB179" s="5">
        <v>0</v>
      </c>
      <c r="AD179" s="1" t="s">
        <v>64</v>
      </c>
      <c r="AE179" s="4">
        <v>1063.3</v>
      </c>
      <c r="AF179" s="4">
        <v>0</v>
      </c>
      <c r="AG179" s="2">
        <v>0</v>
      </c>
      <c r="AH179" s="3">
        <v>9.23</v>
      </c>
      <c r="AI179" s="3">
        <v>0</v>
      </c>
      <c r="AJ179" s="5">
        <v>0</v>
      </c>
      <c r="AT179" s="1" t="s">
        <v>65</v>
      </c>
      <c r="AU179" s="1" t="s">
        <v>66</v>
      </c>
      <c r="AV179" s="1" t="s">
        <v>330</v>
      </c>
      <c r="AW179" s="1" t="s">
        <v>331</v>
      </c>
      <c r="AX179" s="1" t="s">
        <v>349</v>
      </c>
      <c r="AY179" s="1" t="s">
        <v>350</v>
      </c>
      <c r="BB179" s="1" t="s">
        <v>71</v>
      </c>
      <c r="BC179" s="1" t="s">
        <v>72</v>
      </c>
    </row>
    <row r="180" spans="1:55" x14ac:dyDescent="0.25">
      <c r="A180" s="1">
        <v>1790</v>
      </c>
      <c r="B180" s="1" t="s">
        <v>55</v>
      </c>
      <c r="C180" s="1" t="s">
        <v>56</v>
      </c>
      <c r="D180" s="1" t="s">
        <v>57</v>
      </c>
      <c r="E180" s="1" t="s">
        <v>234</v>
      </c>
      <c r="F180" s="1" t="s">
        <v>235</v>
      </c>
      <c r="G180" s="1" t="s">
        <v>110</v>
      </c>
      <c r="H180" s="1" t="s">
        <v>110</v>
      </c>
      <c r="I180" s="2">
        <v>180</v>
      </c>
      <c r="L180" s="3">
        <v>0</v>
      </c>
      <c r="M180" s="3">
        <v>1109.3499999999999</v>
      </c>
      <c r="N180" s="3">
        <v>1167.74</v>
      </c>
      <c r="O180" s="4">
        <v>0</v>
      </c>
      <c r="P180" s="4">
        <v>199683</v>
      </c>
      <c r="Q180" s="4">
        <v>210193.2</v>
      </c>
      <c r="S180" s="1" t="s">
        <v>328</v>
      </c>
      <c r="T180" s="1" t="s">
        <v>329</v>
      </c>
      <c r="W180" s="1" t="s">
        <v>57</v>
      </c>
      <c r="Z180" s="1" t="s">
        <v>64</v>
      </c>
      <c r="AA180" s="5">
        <v>0</v>
      </c>
      <c r="AB180" s="5">
        <v>0</v>
      </c>
      <c r="AD180" s="1" t="s">
        <v>64</v>
      </c>
      <c r="AE180" s="4">
        <v>199683</v>
      </c>
      <c r="AF180" s="4">
        <v>0</v>
      </c>
      <c r="AG180" s="2">
        <v>0</v>
      </c>
      <c r="AH180" s="3">
        <v>1109.3499999999999</v>
      </c>
      <c r="AI180" s="3">
        <v>0</v>
      </c>
      <c r="AJ180" s="5">
        <v>0</v>
      </c>
      <c r="AT180" s="1" t="s">
        <v>65</v>
      </c>
      <c r="AU180" s="1" t="s">
        <v>66</v>
      </c>
      <c r="AV180" s="1" t="s">
        <v>330</v>
      </c>
      <c r="AW180" s="1" t="s">
        <v>331</v>
      </c>
      <c r="AX180" s="1" t="s">
        <v>362</v>
      </c>
      <c r="AY180" s="1" t="s">
        <v>363</v>
      </c>
      <c r="BB180" s="1" t="s">
        <v>71</v>
      </c>
      <c r="BC180" s="1" t="s">
        <v>72</v>
      </c>
    </row>
    <row r="181" spans="1:55" x14ac:dyDescent="0.25">
      <c r="A181" s="1">
        <v>1800</v>
      </c>
      <c r="B181" s="1" t="s">
        <v>55</v>
      </c>
      <c r="C181" s="1" t="s">
        <v>56</v>
      </c>
      <c r="D181" s="1" t="s">
        <v>57</v>
      </c>
      <c r="E181" s="1" t="s">
        <v>106</v>
      </c>
      <c r="F181" s="1" t="s">
        <v>107</v>
      </c>
      <c r="G181" s="1" t="s">
        <v>104</v>
      </c>
      <c r="H181" s="1" t="s">
        <v>105</v>
      </c>
      <c r="I181" s="2">
        <v>1068.96</v>
      </c>
      <c r="L181" s="3">
        <v>0</v>
      </c>
      <c r="M181" s="3">
        <v>8</v>
      </c>
      <c r="N181" s="3">
        <v>6.7</v>
      </c>
      <c r="O181" s="4">
        <v>0</v>
      </c>
      <c r="P181" s="4">
        <v>8551.68</v>
      </c>
      <c r="Q181" s="4">
        <v>7162.03</v>
      </c>
      <c r="S181" s="1" t="s">
        <v>328</v>
      </c>
      <c r="T181" s="1" t="s">
        <v>329</v>
      </c>
      <c r="W181" s="1" t="s">
        <v>57</v>
      </c>
      <c r="Z181" s="1" t="s">
        <v>64</v>
      </c>
      <c r="AA181" s="5">
        <v>0</v>
      </c>
      <c r="AB181" s="5">
        <v>0</v>
      </c>
      <c r="AD181" s="1" t="s">
        <v>64</v>
      </c>
      <c r="AE181" s="4">
        <v>8551.68</v>
      </c>
      <c r="AF181" s="4">
        <v>0</v>
      </c>
      <c r="AG181" s="2">
        <v>0</v>
      </c>
      <c r="AH181" s="3">
        <v>8</v>
      </c>
      <c r="AI181" s="3">
        <v>0</v>
      </c>
      <c r="AJ181" s="5">
        <v>0</v>
      </c>
      <c r="AT181" s="1" t="s">
        <v>65</v>
      </c>
      <c r="AU181" s="1" t="s">
        <v>66</v>
      </c>
      <c r="AV181" s="1" t="s">
        <v>330</v>
      </c>
      <c r="AW181" s="1" t="s">
        <v>331</v>
      </c>
      <c r="AX181" s="1" t="s">
        <v>332</v>
      </c>
      <c r="AY181" s="1" t="s">
        <v>333</v>
      </c>
      <c r="BB181" s="1" t="s">
        <v>71</v>
      </c>
      <c r="BC181" s="1" t="s">
        <v>72</v>
      </c>
    </row>
    <row r="182" spans="1:55" x14ac:dyDescent="0.25">
      <c r="A182" s="1">
        <v>1810</v>
      </c>
      <c r="B182" s="1" t="s">
        <v>55</v>
      </c>
      <c r="C182" s="1" t="s">
        <v>56</v>
      </c>
      <c r="D182" s="1" t="s">
        <v>57</v>
      </c>
      <c r="E182" s="1" t="s">
        <v>146</v>
      </c>
      <c r="F182" s="1" t="s">
        <v>147</v>
      </c>
      <c r="G182" s="1" t="s">
        <v>96</v>
      </c>
      <c r="H182" s="1" t="s">
        <v>97</v>
      </c>
      <c r="I182" s="2">
        <v>1840</v>
      </c>
      <c r="L182" s="3">
        <v>0</v>
      </c>
      <c r="M182" s="3">
        <v>2.5</v>
      </c>
      <c r="N182" s="3">
        <v>3.52</v>
      </c>
      <c r="O182" s="4">
        <v>0</v>
      </c>
      <c r="P182" s="4">
        <v>4600</v>
      </c>
      <c r="Q182" s="4">
        <v>6476.8</v>
      </c>
      <c r="S182" s="1" t="s">
        <v>140</v>
      </c>
      <c r="T182" s="1" t="s">
        <v>141</v>
      </c>
      <c r="W182" s="1" t="s">
        <v>57</v>
      </c>
      <c r="Z182" s="1" t="s">
        <v>64</v>
      </c>
      <c r="AA182" s="5">
        <v>0</v>
      </c>
      <c r="AB182" s="5">
        <v>0</v>
      </c>
      <c r="AD182" s="1" t="s">
        <v>64</v>
      </c>
      <c r="AE182" s="4">
        <v>4600</v>
      </c>
      <c r="AF182" s="4">
        <v>0</v>
      </c>
      <c r="AG182" s="2">
        <v>0</v>
      </c>
      <c r="AH182" s="3">
        <v>2.5</v>
      </c>
      <c r="AI182" s="3">
        <v>0</v>
      </c>
      <c r="AJ182" s="5">
        <v>0</v>
      </c>
      <c r="AT182" s="1" t="s">
        <v>65</v>
      </c>
      <c r="AU182" s="1" t="s">
        <v>66</v>
      </c>
      <c r="AV182" s="1" t="s">
        <v>197</v>
      </c>
      <c r="AW182" s="1" t="s">
        <v>198</v>
      </c>
      <c r="AX182" s="1" t="s">
        <v>144</v>
      </c>
      <c r="AY182" s="1" t="s">
        <v>145</v>
      </c>
      <c r="BB182" s="1" t="s">
        <v>71</v>
      </c>
      <c r="BC182" s="1" t="s">
        <v>72</v>
      </c>
    </row>
    <row r="183" spans="1:55" x14ac:dyDescent="0.25">
      <c r="A183" s="1">
        <v>1820</v>
      </c>
      <c r="B183" s="1" t="s">
        <v>55</v>
      </c>
      <c r="C183" s="1" t="s">
        <v>56</v>
      </c>
      <c r="D183" s="1" t="s">
        <v>57</v>
      </c>
      <c r="E183" s="1" t="s">
        <v>364</v>
      </c>
      <c r="F183" s="1" t="s">
        <v>365</v>
      </c>
      <c r="G183" s="1" t="s">
        <v>182</v>
      </c>
      <c r="H183" s="1" t="s">
        <v>183</v>
      </c>
      <c r="I183" s="2">
        <v>46</v>
      </c>
      <c r="L183" s="3">
        <v>0</v>
      </c>
      <c r="M183" s="3">
        <v>56.895000000000003</v>
      </c>
      <c r="N183" s="3">
        <v>73.89</v>
      </c>
      <c r="O183" s="4">
        <v>0</v>
      </c>
      <c r="P183" s="4">
        <v>2617.17</v>
      </c>
      <c r="Q183" s="4">
        <v>3398.94</v>
      </c>
      <c r="S183" s="1" t="s">
        <v>310</v>
      </c>
      <c r="T183" s="1" t="s">
        <v>311</v>
      </c>
      <c r="W183" s="1" t="s">
        <v>57</v>
      </c>
      <c r="Z183" s="1" t="s">
        <v>64</v>
      </c>
      <c r="AA183" s="5">
        <v>0</v>
      </c>
      <c r="AB183" s="5">
        <v>0</v>
      </c>
      <c r="AD183" s="1" t="s">
        <v>64</v>
      </c>
      <c r="AE183" s="4">
        <v>2617.17</v>
      </c>
      <c r="AF183" s="4">
        <v>0</v>
      </c>
      <c r="AG183" s="2">
        <v>0</v>
      </c>
      <c r="AH183" s="3">
        <v>56.895000000000003</v>
      </c>
      <c r="AI183" s="3">
        <v>0</v>
      </c>
      <c r="AJ183" s="5">
        <v>0</v>
      </c>
      <c r="AT183" s="1" t="s">
        <v>65</v>
      </c>
      <c r="AU183" s="1" t="s">
        <v>66</v>
      </c>
      <c r="AV183" s="1" t="s">
        <v>197</v>
      </c>
      <c r="AW183" s="1" t="s">
        <v>198</v>
      </c>
      <c r="AX183" s="1" t="s">
        <v>312</v>
      </c>
      <c r="AY183" s="1" t="s">
        <v>313</v>
      </c>
      <c r="BB183" s="1" t="s">
        <v>71</v>
      </c>
      <c r="BC183" s="1" t="s">
        <v>72</v>
      </c>
    </row>
    <row r="184" spans="1:55" x14ac:dyDescent="0.25">
      <c r="A184" s="1">
        <v>1830</v>
      </c>
      <c r="B184" s="1" t="s">
        <v>55</v>
      </c>
      <c r="C184" s="1" t="s">
        <v>56</v>
      </c>
      <c r="D184" s="1" t="s">
        <v>57</v>
      </c>
      <c r="E184" s="1" t="s">
        <v>366</v>
      </c>
      <c r="F184" s="1" t="s">
        <v>367</v>
      </c>
      <c r="G184" s="1" t="s">
        <v>96</v>
      </c>
      <c r="H184" s="1" t="s">
        <v>97</v>
      </c>
      <c r="I184" s="2">
        <v>9144</v>
      </c>
      <c r="L184" s="3">
        <v>0</v>
      </c>
      <c r="M184" s="3">
        <v>8.33</v>
      </c>
      <c r="N184" s="3">
        <v>8.77</v>
      </c>
      <c r="O184" s="4">
        <v>0</v>
      </c>
      <c r="P184" s="4">
        <v>76169.52</v>
      </c>
      <c r="Q184" s="4">
        <v>80192.88</v>
      </c>
      <c r="S184" s="1" t="s">
        <v>310</v>
      </c>
      <c r="T184" s="1" t="s">
        <v>311</v>
      </c>
      <c r="W184" s="1" t="s">
        <v>57</v>
      </c>
      <c r="Z184" s="1" t="s">
        <v>64</v>
      </c>
      <c r="AA184" s="5">
        <v>0</v>
      </c>
      <c r="AB184" s="5">
        <v>0</v>
      </c>
      <c r="AD184" s="1" t="s">
        <v>64</v>
      </c>
      <c r="AE184" s="4">
        <v>76169.52</v>
      </c>
      <c r="AF184" s="4">
        <v>0</v>
      </c>
      <c r="AG184" s="2">
        <v>0</v>
      </c>
      <c r="AH184" s="3">
        <v>8.33</v>
      </c>
      <c r="AI184" s="3">
        <v>0</v>
      </c>
      <c r="AJ184" s="5">
        <v>0</v>
      </c>
      <c r="AT184" s="1" t="s">
        <v>65</v>
      </c>
      <c r="AU184" s="1" t="s">
        <v>66</v>
      </c>
      <c r="AV184" s="1" t="s">
        <v>197</v>
      </c>
      <c r="AW184" s="1" t="s">
        <v>198</v>
      </c>
      <c r="AX184" s="1" t="s">
        <v>312</v>
      </c>
      <c r="AY184" s="1" t="s">
        <v>313</v>
      </c>
      <c r="BB184" s="1" t="s">
        <v>71</v>
      </c>
      <c r="BC184" s="1" t="s">
        <v>72</v>
      </c>
    </row>
    <row r="185" spans="1:55" x14ac:dyDescent="0.25">
      <c r="A185" s="1">
        <v>1840</v>
      </c>
      <c r="B185" s="1" t="s">
        <v>55</v>
      </c>
      <c r="C185" s="1" t="s">
        <v>56</v>
      </c>
      <c r="D185" s="1" t="s">
        <v>57</v>
      </c>
      <c r="E185" s="1" t="s">
        <v>84</v>
      </c>
      <c r="F185" s="1" t="s">
        <v>85</v>
      </c>
      <c r="G185" s="1" t="s">
        <v>60</v>
      </c>
      <c r="H185" s="1" t="s">
        <v>61</v>
      </c>
      <c r="I185" s="2">
        <v>51.65</v>
      </c>
      <c r="L185" s="3">
        <v>0</v>
      </c>
      <c r="M185" s="3">
        <v>23.84</v>
      </c>
      <c r="N185" s="3">
        <v>25.09</v>
      </c>
      <c r="O185" s="4">
        <v>0</v>
      </c>
      <c r="P185" s="4">
        <v>1231.3399999999999</v>
      </c>
      <c r="Q185" s="4">
        <v>1295.9000000000001</v>
      </c>
      <c r="S185" s="1" t="s">
        <v>368</v>
      </c>
      <c r="T185" s="1" t="s">
        <v>369</v>
      </c>
      <c r="W185" s="1" t="s">
        <v>57</v>
      </c>
      <c r="Z185" s="1" t="s">
        <v>64</v>
      </c>
      <c r="AA185" s="5">
        <v>0</v>
      </c>
      <c r="AB185" s="5">
        <v>0</v>
      </c>
      <c r="AD185" s="1" t="s">
        <v>64</v>
      </c>
      <c r="AE185" s="4">
        <v>1231.3399999999999</v>
      </c>
      <c r="AF185" s="4">
        <v>0</v>
      </c>
      <c r="AG185" s="2">
        <v>0</v>
      </c>
      <c r="AH185" s="3">
        <v>23.84</v>
      </c>
      <c r="AI185" s="3">
        <v>0</v>
      </c>
      <c r="AJ185" s="5">
        <v>0</v>
      </c>
      <c r="AT185" s="1" t="s">
        <v>65</v>
      </c>
      <c r="AU185" s="1" t="s">
        <v>66</v>
      </c>
      <c r="AV185" s="1" t="s">
        <v>370</v>
      </c>
      <c r="AW185" s="1" t="s">
        <v>371</v>
      </c>
      <c r="AX185" s="1" t="s">
        <v>372</v>
      </c>
      <c r="AY185" s="1" t="s">
        <v>373</v>
      </c>
      <c r="BB185" s="1" t="s">
        <v>71</v>
      </c>
      <c r="BC185" s="1" t="s">
        <v>72</v>
      </c>
    </row>
    <row r="186" spans="1:55" x14ac:dyDescent="0.25">
      <c r="A186" s="1">
        <v>1850</v>
      </c>
      <c r="B186" s="1" t="s">
        <v>55</v>
      </c>
      <c r="C186" s="1" t="s">
        <v>56</v>
      </c>
      <c r="D186" s="1" t="s">
        <v>57</v>
      </c>
      <c r="E186" s="1" t="s">
        <v>88</v>
      </c>
      <c r="F186" s="1" t="s">
        <v>89</v>
      </c>
      <c r="G186" s="1" t="s">
        <v>60</v>
      </c>
      <c r="H186" s="1" t="s">
        <v>61</v>
      </c>
      <c r="I186" s="2">
        <v>17.399999999999999</v>
      </c>
      <c r="L186" s="3">
        <v>0</v>
      </c>
      <c r="M186" s="3">
        <v>135</v>
      </c>
      <c r="N186" s="3">
        <v>81.67</v>
      </c>
      <c r="O186" s="4">
        <v>0</v>
      </c>
      <c r="P186" s="4">
        <v>2349</v>
      </c>
      <c r="Q186" s="4">
        <v>1421.06</v>
      </c>
      <c r="S186" s="1" t="s">
        <v>368</v>
      </c>
      <c r="T186" s="1" t="s">
        <v>369</v>
      </c>
      <c r="W186" s="1" t="s">
        <v>57</v>
      </c>
      <c r="Z186" s="1" t="s">
        <v>64</v>
      </c>
      <c r="AA186" s="5">
        <v>0</v>
      </c>
      <c r="AB186" s="5">
        <v>0</v>
      </c>
      <c r="AD186" s="1" t="s">
        <v>64</v>
      </c>
      <c r="AE186" s="4">
        <v>2349</v>
      </c>
      <c r="AF186" s="4">
        <v>0</v>
      </c>
      <c r="AG186" s="2">
        <v>0</v>
      </c>
      <c r="AH186" s="3">
        <v>135</v>
      </c>
      <c r="AI186" s="3">
        <v>0</v>
      </c>
      <c r="AJ186" s="5">
        <v>0</v>
      </c>
      <c r="AT186" s="1" t="s">
        <v>65</v>
      </c>
      <c r="AU186" s="1" t="s">
        <v>66</v>
      </c>
      <c r="AV186" s="1" t="s">
        <v>370</v>
      </c>
      <c r="AW186" s="1" t="s">
        <v>371</v>
      </c>
      <c r="AX186" s="1" t="s">
        <v>372</v>
      </c>
      <c r="AY186" s="1" t="s">
        <v>373</v>
      </c>
      <c r="BB186" s="1" t="s">
        <v>71</v>
      </c>
      <c r="BC186" s="1" t="s">
        <v>72</v>
      </c>
    </row>
    <row r="187" spans="1:55" x14ac:dyDescent="0.25">
      <c r="A187" s="1">
        <v>1860</v>
      </c>
      <c r="B187" s="1" t="s">
        <v>55</v>
      </c>
      <c r="C187" s="1" t="s">
        <v>56</v>
      </c>
      <c r="D187" s="1" t="s">
        <v>57</v>
      </c>
      <c r="E187" s="1" t="s">
        <v>94</v>
      </c>
      <c r="F187" s="1" t="s">
        <v>95</v>
      </c>
      <c r="G187" s="1" t="s">
        <v>96</v>
      </c>
      <c r="H187" s="1" t="s">
        <v>97</v>
      </c>
      <c r="I187" s="2">
        <v>34.799999999999997</v>
      </c>
      <c r="L187" s="3">
        <v>0</v>
      </c>
      <c r="M187" s="3">
        <v>20.72</v>
      </c>
      <c r="N187" s="3">
        <v>20.72</v>
      </c>
      <c r="O187" s="4">
        <v>0</v>
      </c>
      <c r="P187" s="4">
        <v>721.06</v>
      </c>
      <c r="Q187" s="4">
        <v>721.06</v>
      </c>
      <c r="S187" s="1" t="s">
        <v>368</v>
      </c>
      <c r="T187" s="1" t="s">
        <v>369</v>
      </c>
      <c r="W187" s="1" t="s">
        <v>57</v>
      </c>
      <c r="Z187" s="1" t="s">
        <v>64</v>
      </c>
      <c r="AA187" s="5">
        <v>0</v>
      </c>
      <c r="AB187" s="5">
        <v>0</v>
      </c>
      <c r="AD187" s="1" t="s">
        <v>64</v>
      </c>
      <c r="AE187" s="4">
        <v>721.06</v>
      </c>
      <c r="AF187" s="4">
        <v>0</v>
      </c>
      <c r="AG187" s="2">
        <v>0</v>
      </c>
      <c r="AH187" s="3">
        <v>20.72</v>
      </c>
      <c r="AI187" s="3">
        <v>0</v>
      </c>
      <c r="AJ187" s="5">
        <v>0</v>
      </c>
      <c r="AT187" s="1" t="s">
        <v>65</v>
      </c>
      <c r="AU187" s="1" t="s">
        <v>66</v>
      </c>
      <c r="AV187" s="1" t="s">
        <v>370</v>
      </c>
      <c r="AW187" s="1" t="s">
        <v>371</v>
      </c>
      <c r="AX187" s="1" t="s">
        <v>372</v>
      </c>
      <c r="AY187" s="1" t="s">
        <v>373</v>
      </c>
      <c r="BB187" s="1" t="s">
        <v>71</v>
      </c>
      <c r="BC187" s="1" t="s">
        <v>72</v>
      </c>
    </row>
    <row r="188" spans="1:55" x14ac:dyDescent="0.25">
      <c r="A188" s="1">
        <v>1870</v>
      </c>
      <c r="B188" s="1" t="s">
        <v>55</v>
      </c>
      <c r="C188" s="1" t="s">
        <v>56</v>
      </c>
      <c r="D188" s="1" t="s">
        <v>57</v>
      </c>
      <c r="E188" s="1" t="s">
        <v>102</v>
      </c>
      <c r="F188" s="1" t="s">
        <v>103</v>
      </c>
      <c r="G188" s="1" t="s">
        <v>104</v>
      </c>
      <c r="H188" s="1" t="s">
        <v>105</v>
      </c>
      <c r="I188" s="2">
        <v>44.13</v>
      </c>
      <c r="L188" s="3">
        <v>0</v>
      </c>
      <c r="M188" s="3">
        <v>20.5</v>
      </c>
      <c r="N188" s="3">
        <v>22.96</v>
      </c>
      <c r="O188" s="4">
        <v>0</v>
      </c>
      <c r="P188" s="4">
        <v>904.67</v>
      </c>
      <c r="Q188" s="4">
        <v>1013.22</v>
      </c>
      <c r="S188" s="1" t="s">
        <v>368</v>
      </c>
      <c r="T188" s="1" t="s">
        <v>369</v>
      </c>
      <c r="W188" s="1" t="s">
        <v>57</v>
      </c>
      <c r="Z188" s="1" t="s">
        <v>64</v>
      </c>
      <c r="AA188" s="5">
        <v>0</v>
      </c>
      <c r="AB188" s="5">
        <v>0</v>
      </c>
      <c r="AD188" s="1" t="s">
        <v>64</v>
      </c>
      <c r="AE188" s="4">
        <v>904.67</v>
      </c>
      <c r="AF188" s="4">
        <v>0</v>
      </c>
      <c r="AG188" s="2">
        <v>0</v>
      </c>
      <c r="AH188" s="3">
        <v>20.5</v>
      </c>
      <c r="AI188" s="3">
        <v>0</v>
      </c>
      <c r="AJ188" s="5">
        <v>0</v>
      </c>
      <c r="AT188" s="1" t="s">
        <v>65</v>
      </c>
      <c r="AU188" s="1" t="s">
        <v>66</v>
      </c>
      <c r="AV188" s="1" t="s">
        <v>370</v>
      </c>
      <c r="AW188" s="1" t="s">
        <v>371</v>
      </c>
      <c r="AX188" s="1" t="s">
        <v>372</v>
      </c>
      <c r="AY188" s="1" t="s">
        <v>373</v>
      </c>
      <c r="BB188" s="1" t="s">
        <v>71</v>
      </c>
      <c r="BC188" s="1" t="s">
        <v>72</v>
      </c>
    </row>
    <row r="189" spans="1:55" x14ac:dyDescent="0.25">
      <c r="A189" s="1">
        <v>1880</v>
      </c>
      <c r="B189" s="1" t="s">
        <v>55</v>
      </c>
      <c r="C189" s="1" t="s">
        <v>56</v>
      </c>
      <c r="D189" s="1" t="s">
        <v>57</v>
      </c>
      <c r="E189" s="1" t="s">
        <v>184</v>
      </c>
      <c r="F189" s="1" t="s">
        <v>185</v>
      </c>
      <c r="G189" s="1" t="s">
        <v>104</v>
      </c>
      <c r="H189" s="1" t="s">
        <v>105</v>
      </c>
      <c r="I189" s="2">
        <v>0.17</v>
      </c>
      <c r="L189" s="3">
        <v>0</v>
      </c>
      <c r="M189" s="3">
        <v>350</v>
      </c>
      <c r="N189" s="3">
        <v>68.88</v>
      </c>
      <c r="O189" s="4">
        <v>0</v>
      </c>
      <c r="P189" s="4">
        <v>59.5</v>
      </c>
      <c r="Q189" s="4">
        <v>11.71</v>
      </c>
      <c r="S189" s="1" t="s">
        <v>368</v>
      </c>
      <c r="T189" s="1" t="s">
        <v>369</v>
      </c>
      <c r="W189" s="1" t="s">
        <v>57</v>
      </c>
      <c r="Z189" s="1" t="s">
        <v>64</v>
      </c>
      <c r="AA189" s="5">
        <v>0</v>
      </c>
      <c r="AB189" s="5">
        <v>0</v>
      </c>
      <c r="AD189" s="1" t="s">
        <v>64</v>
      </c>
      <c r="AE189" s="4">
        <v>59.5</v>
      </c>
      <c r="AF189" s="4">
        <v>0</v>
      </c>
      <c r="AG189" s="2">
        <v>0</v>
      </c>
      <c r="AH189" s="3">
        <v>350</v>
      </c>
      <c r="AI189" s="3">
        <v>0</v>
      </c>
      <c r="AJ189" s="5">
        <v>0</v>
      </c>
      <c r="AT189" s="1" t="s">
        <v>65</v>
      </c>
      <c r="AU189" s="1" t="s">
        <v>66</v>
      </c>
      <c r="AV189" s="1" t="s">
        <v>370</v>
      </c>
      <c r="AW189" s="1" t="s">
        <v>371</v>
      </c>
      <c r="AX189" s="1" t="s">
        <v>372</v>
      </c>
      <c r="AY189" s="1" t="s">
        <v>373</v>
      </c>
      <c r="BB189" s="1" t="s">
        <v>71</v>
      </c>
      <c r="BC189" s="1" t="s">
        <v>72</v>
      </c>
    </row>
    <row r="190" spans="1:55" x14ac:dyDescent="0.25">
      <c r="A190" s="1">
        <v>1890</v>
      </c>
      <c r="B190" s="1" t="s">
        <v>55</v>
      </c>
      <c r="C190" s="1" t="s">
        <v>56</v>
      </c>
      <c r="D190" s="1" t="s">
        <v>57</v>
      </c>
      <c r="E190" s="1" t="s">
        <v>374</v>
      </c>
      <c r="F190" s="1" t="s">
        <v>375</v>
      </c>
      <c r="G190" s="1" t="s">
        <v>182</v>
      </c>
      <c r="H190" s="1" t="s">
        <v>183</v>
      </c>
      <c r="I190" s="2">
        <v>2</v>
      </c>
      <c r="L190" s="3">
        <v>0</v>
      </c>
      <c r="M190" s="3">
        <v>60.33</v>
      </c>
      <c r="N190" s="3">
        <v>63.51</v>
      </c>
      <c r="O190" s="4">
        <v>0</v>
      </c>
      <c r="P190" s="4">
        <v>120.66</v>
      </c>
      <c r="Q190" s="4">
        <v>127.02</v>
      </c>
      <c r="S190" s="1" t="s">
        <v>368</v>
      </c>
      <c r="T190" s="1" t="s">
        <v>369</v>
      </c>
      <c r="W190" s="1" t="s">
        <v>57</v>
      </c>
      <c r="Z190" s="1" t="s">
        <v>64</v>
      </c>
      <c r="AA190" s="5">
        <v>0</v>
      </c>
      <c r="AB190" s="5">
        <v>0</v>
      </c>
      <c r="AD190" s="1" t="s">
        <v>64</v>
      </c>
      <c r="AE190" s="4">
        <v>120.66</v>
      </c>
      <c r="AF190" s="4">
        <v>0</v>
      </c>
      <c r="AG190" s="2">
        <v>0</v>
      </c>
      <c r="AH190" s="3">
        <v>60.33</v>
      </c>
      <c r="AI190" s="3">
        <v>0</v>
      </c>
      <c r="AJ190" s="5">
        <v>0</v>
      </c>
      <c r="AT190" s="1" t="s">
        <v>65</v>
      </c>
      <c r="AU190" s="1" t="s">
        <v>66</v>
      </c>
      <c r="AV190" s="1" t="s">
        <v>370</v>
      </c>
      <c r="AW190" s="1" t="s">
        <v>371</v>
      </c>
      <c r="AX190" s="1" t="s">
        <v>372</v>
      </c>
      <c r="AY190" s="1" t="s">
        <v>373</v>
      </c>
      <c r="BB190" s="1" t="s">
        <v>71</v>
      </c>
      <c r="BC190" s="1" t="s">
        <v>72</v>
      </c>
    </row>
    <row r="191" spans="1:55" x14ac:dyDescent="0.25">
      <c r="A191" s="1">
        <v>1900</v>
      </c>
      <c r="B191" s="1" t="s">
        <v>55</v>
      </c>
      <c r="C191" s="1" t="s">
        <v>56</v>
      </c>
      <c r="D191" s="1" t="s">
        <v>57</v>
      </c>
      <c r="E191" s="1" t="s">
        <v>376</v>
      </c>
      <c r="F191" s="1" t="s">
        <v>377</v>
      </c>
      <c r="G191" s="1" t="s">
        <v>182</v>
      </c>
      <c r="H191" s="1" t="s">
        <v>183</v>
      </c>
      <c r="I191" s="2">
        <v>2</v>
      </c>
      <c r="L191" s="3">
        <v>0</v>
      </c>
      <c r="M191" s="3">
        <v>39.340000000000003</v>
      </c>
      <c r="N191" s="3">
        <v>41.41</v>
      </c>
      <c r="O191" s="4">
        <v>0</v>
      </c>
      <c r="P191" s="4">
        <v>78.680000000000007</v>
      </c>
      <c r="Q191" s="4">
        <v>82.82</v>
      </c>
      <c r="S191" s="1" t="s">
        <v>368</v>
      </c>
      <c r="T191" s="1" t="s">
        <v>369</v>
      </c>
      <c r="W191" s="1" t="s">
        <v>57</v>
      </c>
      <c r="Z191" s="1" t="s">
        <v>64</v>
      </c>
      <c r="AA191" s="5">
        <v>0</v>
      </c>
      <c r="AB191" s="5">
        <v>0</v>
      </c>
      <c r="AD191" s="1" t="s">
        <v>64</v>
      </c>
      <c r="AE191" s="4">
        <v>78.680000000000007</v>
      </c>
      <c r="AF191" s="4">
        <v>0</v>
      </c>
      <c r="AG191" s="2">
        <v>0</v>
      </c>
      <c r="AH191" s="3">
        <v>39.340000000000003</v>
      </c>
      <c r="AI191" s="3">
        <v>0</v>
      </c>
      <c r="AJ191" s="5">
        <v>0</v>
      </c>
      <c r="AT191" s="1" t="s">
        <v>65</v>
      </c>
      <c r="AU191" s="1" t="s">
        <v>66</v>
      </c>
      <c r="AV191" s="1" t="s">
        <v>370</v>
      </c>
      <c r="AW191" s="1" t="s">
        <v>371</v>
      </c>
      <c r="AX191" s="1" t="s">
        <v>372</v>
      </c>
      <c r="AY191" s="1" t="s">
        <v>373</v>
      </c>
      <c r="BB191" s="1" t="s">
        <v>71</v>
      </c>
      <c r="BC191" s="1" t="s">
        <v>72</v>
      </c>
    </row>
    <row r="192" spans="1:55" x14ac:dyDescent="0.25">
      <c r="A192" s="1">
        <v>1910</v>
      </c>
      <c r="B192" s="1" t="s">
        <v>55</v>
      </c>
      <c r="C192" s="1" t="s">
        <v>56</v>
      </c>
      <c r="D192" s="1" t="s">
        <v>57</v>
      </c>
      <c r="E192" s="1" t="s">
        <v>378</v>
      </c>
      <c r="F192" s="1" t="s">
        <v>379</v>
      </c>
      <c r="G192" s="1" t="s">
        <v>182</v>
      </c>
      <c r="H192" s="1" t="s">
        <v>183</v>
      </c>
      <c r="I192" s="2">
        <v>2</v>
      </c>
      <c r="L192" s="3">
        <v>0</v>
      </c>
      <c r="M192" s="3">
        <v>176.47</v>
      </c>
      <c r="N192" s="3">
        <v>185.76</v>
      </c>
      <c r="O192" s="4">
        <v>0</v>
      </c>
      <c r="P192" s="4">
        <v>352.94</v>
      </c>
      <c r="Q192" s="4">
        <v>371.52</v>
      </c>
      <c r="S192" s="1" t="s">
        <v>368</v>
      </c>
      <c r="T192" s="1" t="s">
        <v>369</v>
      </c>
      <c r="W192" s="1" t="s">
        <v>57</v>
      </c>
      <c r="Z192" s="1" t="s">
        <v>64</v>
      </c>
      <c r="AA192" s="5">
        <v>0</v>
      </c>
      <c r="AB192" s="5">
        <v>0</v>
      </c>
      <c r="AD192" s="1" t="s">
        <v>64</v>
      </c>
      <c r="AE192" s="4">
        <v>352.94</v>
      </c>
      <c r="AF192" s="4">
        <v>0</v>
      </c>
      <c r="AG192" s="2">
        <v>0</v>
      </c>
      <c r="AH192" s="3">
        <v>176.47</v>
      </c>
      <c r="AI192" s="3">
        <v>0</v>
      </c>
      <c r="AJ192" s="5">
        <v>0</v>
      </c>
      <c r="AT192" s="1" t="s">
        <v>65</v>
      </c>
      <c r="AU192" s="1" t="s">
        <v>66</v>
      </c>
      <c r="AV192" s="1" t="s">
        <v>370</v>
      </c>
      <c r="AW192" s="1" t="s">
        <v>371</v>
      </c>
      <c r="AX192" s="1" t="s">
        <v>372</v>
      </c>
      <c r="AY192" s="1" t="s">
        <v>373</v>
      </c>
      <c r="BB192" s="1" t="s">
        <v>71</v>
      </c>
      <c r="BC192" s="1" t="s">
        <v>72</v>
      </c>
    </row>
    <row r="193" spans="1:55" x14ac:dyDescent="0.25">
      <c r="A193" s="1">
        <v>1920</v>
      </c>
      <c r="B193" s="1" t="s">
        <v>55</v>
      </c>
      <c r="C193" s="1" t="s">
        <v>56</v>
      </c>
      <c r="D193" s="1" t="s">
        <v>57</v>
      </c>
      <c r="E193" s="1" t="s">
        <v>380</v>
      </c>
      <c r="F193" s="1" t="s">
        <v>381</v>
      </c>
      <c r="G193" s="1" t="s">
        <v>110</v>
      </c>
      <c r="H193" s="1" t="s">
        <v>110</v>
      </c>
      <c r="I193" s="2">
        <v>174</v>
      </c>
      <c r="L193" s="3">
        <v>0</v>
      </c>
      <c r="M193" s="3">
        <v>4.29</v>
      </c>
      <c r="N193" s="3">
        <v>4.5199999999999996</v>
      </c>
      <c r="O193" s="4">
        <v>0</v>
      </c>
      <c r="P193" s="4">
        <v>746.46</v>
      </c>
      <c r="Q193" s="4">
        <v>786.48</v>
      </c>
      <c r="S193" s="1" t="s">
        <v>368</v>
      </c>
      <c r="T193" s="1" t="s">
        <v>369</v>
      </c>
      <c r="W193" s="1" t="s">
        <v>57</v>
      </c>
      <c r="Z193" s="1" t="s">
        <v>64</v>
      </c>
      <c r="AA193" s="5">
        <v>0</v>
      </c>
      <c r="AB193" s="5">
        <v>0</v>
      </c>
      <c r="AD193" s="1" t="s">
        <v>64</v>
      </c>
      <c r="AE193" s="4">
        <v>746.46</v>
      </c>
      <c r="AF193" s="4">
        <v>0</v>
      </c>
      <c r="AG193" s="2">
        <v>0</v>
      </c>
      <c r="AH193" s="3">
        <v>4.29</v>
      </c>
      <c r="AI193" s="3">
        <v>0</v>
      </c>
      <c r="AJ193" s="5">
        <v>0</v>
      </c>
      <c r="AT193" s="1" t="s">
        <v>65</v>
      </c>
      <c r="AU193" s="1" t="s">
        <v>66</v>
      </c>
      <c r="AV193" s="1" t="s">
        <v>370</v>
      </c>
      <c r="AW193" s="1" t="s">
        <v>371</v>
      </c>
      <c r="AX193" s="1" t="s">
        <v>372</v>
      </c>
      <c r="AY193" s="1" t="s">
        <v>373</v>
      </c>
      <c r="BB193" s="1" t="s">
        <v>71</v>
      </c>
      <c r="BC193" s="1" t="s">
        <v>72</v>
      </c>
    </row>
    <row r="194" spans="1:55" x14ac:dyDescent="0.25">
      <c r="A194" s="1">
        <v>1930</v>
      </c>
      <c r="B194" s="1" t="s">
        <v>55</v>
      </c>
      <c r="C194" s="1" t="s">
        <v>56</v>
      </c>
      <c r="D194" s="1" t="s">
        <v>57</v>
      </c>
      <c r="E194" s="1" t="s">
        <v>382</v>
      </c>
      <c r="F194" s="1" t="s">
        <v>383</v>
      </c>
      <c r="G194" s="1" t="s">
        <v>182</v>
      </c>
      <c r="H194" s="1" t="s">
        <v>183</v>
      </c>
      <c r="I194" s="2">
        <v>2</v>
      </c>
      <c r="L194" s="3">
        <v>0</v>
      </c>
      <c r="M194" s="3">
        <v>280.18</v>
      </c>
      <c r="N194" s="3">
        <v>294.93</v>
      </c>
      <c r="O194" s="4">
        <v>0</v>
      </c>
      <c r="P194" s="4">
        <v>560.36</v>
      </c>
      <c r="Q194" s="4">
        <v>589.86</v>
      </c>
      <c r="S194" s="1" t="s">
        <v>368</v>
      </c>
      <c r="T194" s="1" t="s">
        <v>369</v>
      </c>
      <c r="W194" s="1" t="s">
        <v>57</v>
      </c>
      <c r="Z194" s="1" t="s">
        <v>64</v>
      </c>
      <c r="AA194" s="5">
        <v>0</v>
      </c>
      <c r="AB194" s="5">
        <v>0</v>
      </c>
      <c r="AD194" s="1" t="s">
        <v>64</v>
      </c>
      <c r="AE194" s="4">
        <v>560.36</v>
      </c>
      <c r="AF194" s="4">
        <v>0</v>
      </c>
      <c r="AG194" s="2">
        <v>0</v>
      </c>
      <c r="AH194" s="3">
        <v>280.18</v>
      </c>
      <c r="AI194" s="3">
        <v>0</v>
      </c>
      <c r="AJ194" s="5">
        <v>0</v>
      </c>
      <c r="AT194" s="1" t="s">
        <v>65</v>
      </c>
      <c r="AU194" s="1" t="s">
        <v>66</v>
      </c>
      <c r="AV194" s="1" t="s">
        <v>370</v>
      </c>
      <c r="AW194" s="1" t="s">
        <v>371</v>
      </c>
      <c r="AX194" s="1" t="s">
        <v>372</v>
      </c>
      <c r="AY194" s="1" t="s">
        <v>373</v>
      </c>
      <c r="BB194" s="1" t="s">
        <v>71</v>
      </c>
      <c r="BC194" s="1" t="s">
        <v>72</v>
      </c>
    </row>
    <row r="195" spans="1:55" x14ac:dyDescent="0.25">
      <c r="A195" s="1">
        <v>1940</v>
      </c>
      <c r="B195" s="1" t="s">
        <v>55</v>
      </c>
      <c r="C195" s="1" t="s">
        <v>56</v>
      </c>
      <c r="D195" s="1" t="s">
        <v>57</v>
      </c>
      <c r="E195" s="1" t="s">
        <v>384</v>
      </c>
      <c r="F195" s="1" t="s">
        <v>385</v>
      </c>
      <c r="G195" s="1" t="s">
        <v>182</v>
      </c>
      <c r="H195" s="1" t="s">
        <v>183</v>
      </c>
      <c r="I195" s="2">
        <v>2</v>
      </c>
      <c r="L195" s="3">
        <v>0</v>
      </c>
      <c r="M195" s="3">
        <v>440.11</v>
      </c>
      <c r="N195" s="3">
        <v>463.27</v>
      </c>
      <c r="O195" s="4">
        <v>0</v>
      </c>
      <c r="P195" s="4">
        <v>880.22</v>
      </c>
      <c r="Q195" s="4">
        <v>926.54</v>
      </c>
      <c r="S195" s="1" t="s">
        <v>368</v>
      </c>
      <c r="T195" s="1" t="s">
        <v>369</v>
      </c>
      <c r="W195" s="1" t="s">
        <v>57</v>
      </c>
      <c r="Z195" s="1" t="s">
        <v>64</v>
      </c>
      <c r="AA195" s="5">
        <v>0</v>
      </c>
      <c r="AB195" s="5">
        <v>0</v>
      </c>
      <c r="AD195" s="1" t="s">
        <v>64</v>
      </c>
      <c r="AE195" s="4">
        <v>880.22</v>
      </c>
      <c r="AF195" s="4">
        <v>0</v>
      </c>
      <c r="AG195" s="2">
        <v>0</v>
      </c>
      <c r="AH195" s="3">
        <v>440.11</v>
      </c>
      <c r="AI195" s="3">
        <v>0</v>
      </c>
      <c r="AJ195" s="5">
        <v>0</v>
      </c>
      <c r="AT195" s="1" t="s">
        <v>65</v>
      </c>
      <c r="AU195" s="1" t="s">
        <v>66</v>
      </c>
      <c r="AV195" s="1" t="s">
        <v>370</v>
      </c>
      <c r="AW195" s="1" t="s">
        <v>371</v>
      </c>
      <c r="AX195" s="1" t="s">
        <v>372</v>
      </c>
      <c r="AY195" s="1" t="s">
        <v>373</v>
      </c>
      <c r="BB195" s="1" t="s">
        <v>71</v>
      </c>
      <c r="BC195" s="1" t="s">
        <v>72</v>
      </c>
    </row>
    <row r="196" spans="1:55" x14ac:dyDescent="0.25">
      <c r="A196" s="1">
        <v>1950</v>
      </c>
      <c r="B196" s="1" t="s">
        <v>55</v>
      </c>
      <c r="C196" s="1" t="s">
        <v>56</v>
      </c>
      <c r="D196" s="1" t="s">
        <v>57</v>
      </c>
      <c r="E196" s="1" t="s">
        <v>386</v>
      </c>
      <c r="F196" s="1" t="s">
        <v>387</v>
      </c>
      <c r="G196" s="1" t="s">
        <v>110</v>
      </c>
      <c r="H196" s="1" t="s">
        <v>110</v>
      </c>
      <c r="I196" s="2">
        <v>87</v>
      </c>
      <c r="L196" s="3">
        <v>0</v>
      </c>
      <c r="M196" s="3">
        <v>11.22</v>
      </c>
      <c r="N196" s="3">
        <v>11.81</v>
      </c>
      <c r="O196" s="4">
        <v>0</v>
      </c>
      <c r="P196" s="4">
        <v>976.14</v>
      </c>
      <c r="Q196" s="4">
        <v>1027.47</v>
      </c>
      <c r="S196" s="1" t="s">
        <v>368</v>
      </c>
      <c r="T196" s="1" t="s">
        <v>369</v>
      </c>
      <c r="W196" s="1" t="s">
        <v>57</v>
      </c>
      <c r="Z196" s="1" t="s">
        <v>64</v>
      </c>
      <c r="AA196" s="5">
        <v>0</v>
      </c>
      <c r="AB196" s="5">
        <v>0</v>
      </c>
      <c r="AD196" s="1" t="s">
        <v>64</v>
      </c>
      <c r="AE196" s="4">
        <v>976.14</v>
      </c>
      <c r="AF196" s="4">
        <v>0</v>
      </c>
      <c r="AG196" s="2">
        <v>0</v>
      </c>
      <c r="AH196" s="3">
        <v>11.22</v>
      </c>
      <c r="AI196" s="3">
        <v>0</v>
      </c>
      <c r="AJ196" s="5">
        <v>0</v>
      </c>
      <c r="AT196" s="1" t="s">
        <v>65</v>
      </c>
      <c r="AU196" s="1" t="s">
        <v>66</v>
      </c>
      <c r="AV196" s="1" t="s">
        <v>370</v>
      </c>
      <c r="AW196" s="1" t="s">
        <v>371</v>
      </c>
      <c r="AX196" s="1" t="s">
        <v>372</v>
      </c>
      <c r="AY196" s="1" t="s">
        <v>373</v>
      </c>
      <c r="BB196" s="1" t="s">
        <v>71</v>
      </c>
      <c r="BC196" s="1" t="s">
        <v>72</v>
      </c>
    </row>
    <row r="197" spans="1:55" x14ac:dyDescent="0.25">
      <c r="A197" s="1">
        <v>1960</v>
      </c>
      <c r="B197" s="1" t="s">
        <v>55</v>
      </c>
      <c r="C197" s="1" t="s">
        <v>56</v>
      </c>
      <c r="D197" s="1" t="s">
        <v>57</v>
      </c>
      <c r="E197" s="1" t="s">
        <v>388</v>
      </c>
      <c r="F197" s="1" t="s">
        <v>389</v>
      </c>
      <c r="G197" s="1" t="s">
        <v>182</v>
      </c>
      <c r="H197" s="1" t="s">
        <v>183</v>
      </c>
      <c r="I197" s="2">
        <v>2</v>
      </c>
      <c r="L197" s="3">
        <v>0</v>
      </c>
      <c r="M197" s="3">
        <v>115.29</v>
      </c>
      <c r="N197" s="3">
        <v>121.36</v>
      </c>
      <c r="O197" s="4">
        <v>0</v>
      </c>
      <c r="P197" s="4">
        <v>230.58</v>
      </c>
      <c r="Q197" s="4">
        <v>242.72</v>
      </c>
      <c r="S197" s="1" t="s">
        <v>368</v>
      </c>
      <c r="T197" s="1" t="s">
        <v>369</v>
      </c>
      <c r="W197" s="1" t="s">
        <v>57</v>
      </c>
      <c r="Z197" s="1" t="s">
        <v>64</v>
      </c>
      <c r="AA197" s="5">
        <v>0</v>
      </c>
      <c r="AB197" s="5">
        <v>0</v>
      </c>
      <c r="AD197" s="1" t="s">
        <v>64</v>
      </c>
      <c r="AE197" s="4">
        <v>230.58</v>
      </c>
      <c r="AF197" s="4">
        <v>0</v>
      </c>
      <c r="AG197" s="2">
        <v>0</v>
      </c>
      <c r="AH197" s="3">
        <v>115.29</v>
      </c>
      <c r="AI197" s="3">
        <v>0</v>
      </c>
      <c r="AJ197" s="5">
        <v>0</v>
      </c>
      <c r="AT197" s="1" t="s">
        <v>65</v>
      </c>
      <c r="AU197" s="1" t="s">
        <v>66</v>
      </c>
      <c r="AV197" s="1" t="s">
        <v>370</v>
      </c>
      <c r="AW197" s="1" t="s">
        <v>371</v>
      </c>
      <c r="AX197" s="1" t="s">
        <v>372</v>
      </c>
      <c r="AY197" s="1" t="s">
        <v>373</v>
      </c>
      <c r="BB197" s="1" t="s">
        <v>71</v>
      </c>
      <c r="BC197" s="1" t="s">
        <v>72</v>
      </c>
    </row>
    <row r="198" spans="1:55" x14ac:dyDescent="0.25">
      <c r="A198" s="1">
        <v>1970</v>
      </c>
      <c r="B198" s="1" t="s">
        <v>55</v>
      </c>
      <c r="C198" s="1" t="s">
        <v>56</v>
      </c>
      <c r="D198" s="1" t="s">
        <v>57</v>
      </c>
      <c r="E198" s="1" t="s">
        <v>390</v>
      </c>
      <c r="F198" s="1" t="s">
        <v>391</v>
      </c>
      <c r="G198" s="1" t="s">
        <v>182</v>
      </c>
      <c r="H198" s="1" t="s">
        <v>183</v>
      </c>
      <c r="I198" s="2">
        <v>2</v>
      </c>
      <c r="L198" s="3">
        <v>0</v>
      </c>
      <c r="M198" s="3">
        <v>35.4</v>
      </c>
      <c r="N198" s="3">
        <v>37.26</v>
      </c>
      <c r="O198" s="4">
        <v>0</v>
      </c>
      <c r="P198" s="4">
        <v>70.8</v>
      </c>
      <c r="Q198" s="4">
        <v>74.52</v>
      </c>
      <c r="S198" s="1" t="s">
        <v>368</v>
      </c>
      <c r="T198" s="1" t="s">
        <v>369</v>
      </c>
      <c r="W198" s="1" t="s">
        <v>57</v>
      </c>
      <c r="Z198" s="1" t="s">
        <v>64</v>
      </c>
      <c r="AA198" s="5">
        <v>0</v>
      </c>
      <c r="AB198" s="5">
        <v>0</v>
      </c>
      <c r="AD198" s="1" t="s">
        <v>64</v>
      </c>
      <c r="AE198" s="4">
        <v>70.8</v>
      </c>
      <c r="AF198" s="4">
        <v>0</v>
      </c>
      <c r="AG198" s="2">
        <v>0</v>
      </c>
      <c r="AH198" s="3">
        <v>35.4</v>
      </c>
      <c r="AI198" s="3">
        <v>0</v>
      </c>
      <c r="AJ198" s="5">
        <v>0</v>
      </c>
      <c r="AT198" s="1" t="s">
        <v>65</v>
      </c>
      <c r="AU198" s="1" t="s">
        <v>66</v>
      </c>
      <c r="AV198" s="1" t="s">
        <v>370</v>
      </c>
      <c r="AW198" s="1" t="s">
        <v>371</v>
      </c>
      <c r="AX198" s="1" t="s">
        <v>372</v>
      </c>
      <c r="AY198" s="1" t="s">
        <v>373</v>
      </c>
      <c r="BB198" s="1" t="s">
        <v>71</v>
      </c>
      <c r="BC198" s="1" t="s">
        <v>72</v>
      </c>
    </row>
    <row r="199" spans="1:55" x14ac:dyDescent="0.25">
      <c r="A199" s="1">
        <v>1980</v>
      </c>
      <c r="B199" s="1" t="s">
        <v>55</v>
      </c>
      <c r="C199" s="1" t="s">
        <v>56</v>
      </c>
      <c r="D199" s="1" t="s">
        <v>57</v>
      </c>
      <c r="E199" s="1" t="s">
        <v>84</v>
      </c>
      <c r="F199" s="1" t="s">
        <v>85</v>
      </c>
      <c r="G199" s="1" t="s">
        <v>60</v>
      </c>
      <c r="H199" s="1" t="s">
        <v>61</v>
      </c>
      <c r="I199" s="2">
        <v>51.65</v>
      </c>
      <c r="L199" s="3">
        <v>0</v>
      </c>
      <c r="M199" s="3">
        <v>23.84</v>
      </c>
      <c r="N199" s="3">
        <v>25.09</v>
      </c>
      <c r="O199" s="4">
        <v>0</v>
      </c>
      <c r="P199" s="4">
        <v>1231.3399999999999</v>
      </c>
      <c r="Q199" s="4">
        <v>1295.9000000000001</v>
      </c>
      <c r="S199" s="1" t="s">
        <v>392</v>
      </c>
      <c r="T199" s="1" t="s">
        <v>393</v>
      </c>
      <c r="W199" s="1" t="s">
        <v>57</v>
      </c>
      <c r="Z199" s="1" t="s">
        <v>64</v>
      </c>
      <c r="AA199" s="5">
        <v>0</v>
      </c>
      <c r="AB199" s="5">
        <v>0</v>
      </c>
      <c r="AD199" s="1" t="s">
        <v>64</v>
      </c>
      <c r="AE199" s="4">
        <v>1231.3399999999999</v>
      </c>
      <c r="AF199" s="4">
        <v>0</v>
      </c>
      <c r="AG199" s="2">
        <v>0</v>
      </c>
      <c r="AH199" s="3">
        <v>23.84</v>
      </c>
      <c r="AI199" s="3">
        <v>0</v>
      </c>
      <c r="AJ199" s="5">
        <v>0</v>
      </c>
      <c r="AT199" s="1" t="s">
        <v>65</v>
      </c>
      <c r="AU199" s="1" t="s">
        <v>66</v>
      </c>
      <c r="AV199" s="1" t="s">
        <v>370</v>
      </c>
      <c r="AW199" s="1" t="s">
        <v>371</v>
      </c>
      <c r="AX199" s="1" t="s">
        <v>394</v>
      </c>
      <c r="AY199" s="1" t="s">
        <v>395</v>
      </c>
      <c r="BB199" s="1" t="s">
        <v>71</v>
      </c>
      <c r="BC199" s="1" t="s">
        <v>72</v>
      </c>
    </row>
    <row r="200" spans="1:55" x14ac:dyDescent="0.25">
      <c r="A200" s="1">
        <v>1990</v>
      </c>
      <c r="B200" s="1" t="s">
        <v>55</v>
      </c>
      <c r="C200" s="1" t="s">
        <v>56</v>
      </c>
      <c r="D200" s="1" t="s">
        <v>57</v>
      </c>
      <c r="E200" s="1" t="s">
        <v>88</v>
      </c>
      <c r="F200" s="1" t="s">
        <v>89</v>
      </c>
      <c r="G200" s="1" t="s">
        <v>60</v>
      </c>
      <c r="H200" s="1" t="s">
        <v>61</v>
      </c>
      <c r="I200" s="2">
        <v>51.4</v>
      </c>
      <c r="L200" s="3">
        <v>0</v>
      </c>
      <c r="M200" s="3">
        <v>135</v>
      </c>
      <c r="N200" s="3">
        <v>81.67</v>
      </c>
      <c r="O200" s="4">
        <v>0</v>
      </c>
      <c r="P200" s="4">
        <v>6939</v>
      </c>
      <c r="Q200" s="4">
        <v>4197.84</v>
      </c>
      <c r="S200" s="1" t="s">
        <v>392</v>
      </c>
      <c r="T200" s="1" t="s">
        <v>393</v>
      </c>
      <c r="W200" s="1" t="s">
        <v>57</v>
      </c>
      <c r="Z200" s="1" t="s">
        <v>64</v>
      </c>
      <c r="AA200" s="5">
        <v>0</v>
      </c>
      <c r="AB200" s="5">
        <v>0</v>
      </c>
      <c r="AD200" s="1" t="s">
        <v>64</v>
      </c>
      <c r="AE200" s="4">
        <v>6939</v>
      </c>
      <c r="AF200" s="4">
        <v>0</v>
      </c>
      <c r="AG200" s="2">
        <v>0</v>
      </c>
      <c r="AH200" s="3">
        <v>135</v>
      </c>
      <c r="AI200" s="3">
        <v>0</v>
      </c>
      <c r="AJ200" s="5">
        <v>0</v>
      </c>
      <c r="AT200" s="1" t="s">
        <v>65</v>
      </c>
      <c r="AU200" s="1" t="s">
        <v>66</v>
      </c>
      <c r="AV200" s="1" t="s">
        <v>370</v>
      </c>
      <c r="AW200" s="1" t="s">
        <v>371</v>
      </c>
      <c r="AX200" s="1" t="s">
        <v>394</v>
      </c>
      <c r="AY200" s="1" t="s">
        <v>395</v>
      </c>
      <c r="BB200" s="1" t="s">
        <v>71</v>
      </c>
      <c r="BC200" s="1" t="s">
        <v>72</v>
      </c>
    </row>
    <row r="201" spans="1:55" x14ac:dyDescent="0.25">
      <c r="A201" s="1">
        <v>2000</v>
      </c>
      <c r="B201" s="1" t="s">
        <v>55</v>
      </c>
      <c r="C201" s="1" t="s">
        <v>56</v>
      </c>
      <c r="D201" s="1" t="s">
        <v>57</v>
      </c>
      <c r="E201" s="1" t="s">
        <v>94</v>
      </c>
      <c r="F201" s="1" t="s">
        <v>95</v>
      </c>
      <c r="G201" s="1" t="s">
        <v>96</v>
      </c>
      <c r="H201" s="1" t="s">
        <v>97</v>
      </c>
      <c r="I201" s="2">
        <v>102.8</v>
      </c>
      <c r="L201" s="3">
        <v>0</v>
      </c>
      <c r="M201" s="3">
        <v>20.72</v>
      </c>
      <c r="N201" s="3">
        <v>20.72</v>
      </c>
      <c r="O201" s="4">
        <v>0</v>
      </c>
      <c r="P201" s="4">
        <v>2130.02</v>
      </c>
      <c r="Q201" s="4">
        <v>2130.02</v>
      </c>
      <c r="S201" s="1" t="s">
        <v>392</v>
      </c>
      <c r="T201" s="1" t="s">
        <v>393</v>
      </c>
      <c r="W201" s="1" t="s">
        <v>57</v>
      </c>
      <c r="Z201" s="1" t="s">
        <v>64</v>
      </c>
      <c r="AA201" s="5">
        <v>0</v>
      </c>
      <c r="AB201" s="5">
        <v>0</v>
      </c>
      <c r="AD201" s="1" t="s">
        <v>64</v>
      </c>
      <c r="AE201" s="4">
        <v>2130.02</v>
      </c>
      <c r="AF201" s="4">
        <v>0</v>
      </c>
      <c r="AG201" s="2">
        <v>0</v>
      </c>
      <c r="AH201" s="3">
        <v>20.72</v>
      </c>
      <c r="AI201" s="3">
        <v>0</v>
      </c>
      <c r="AJ201" s="5">
        <v>0</v>
      </c>
      <c r="AT201" s="1" t="s">
        <v>65</v>
      </c>
      <c r="AU201" s="1" t="s">
        <v>66</v>
      </c>
      <c r="AV201" s="1" t="s">
        <v>370</v>
      </c>
      <c r="AW201" s="1" t="s">
        <v>371</v>
      </c>
      <c r="AX201" s="1" t="s">
        <v>394</v>
      </c>
      <c r="AY201" s="1" t="s">
        <v>395</v>
      </c>
      <c r="BB201" s="1" t="s">
        <v>71</v>
      </c>
      <c r="BC201" s="1" t="s">
        <v>72</v>
      </c>
    </row>
    <row r="202" spans="1:55" x14ac:dyDescent="0.25">
      <c r="A202" s="1">
        <v>2010</v>
      </c>
      <c r="B202" s="1" t="s">
        <v>55</v>
      </c>
      <c r="C202" s="1" t="s">
        <v>56</v>
      </c>
      <c r="D202" s="1" t="s">
        <v>57</v>
      </c>
      <c r="E202" s="1" t="s">
        <v>102</v>
      </c>
      <c r="F202" s="1" t="s">
        <v>103</v>
      </c>
      <c r="G202" s="1" t="s">
        <v>104</v>
      </c>
      <c r="H202" s="1" t="s">
        <v>105</v>
      </c>
      <c r="I202" s="2">
        <v>129.13</v>
      </c>
      <c r="L202" s="3">
        <v>0</v>
      </c>
      <c r="M202" s="3">
        <v>20.5</v>
      </c>
      <c r="N202" s="3">
        <v>22.96</v>
      </c>
      <c r="O202" s="4">
        <v>0</v>
      </c>
      <c r="P202" s="4">
        <v>2647.17</v>
      </c>
      <c r="Q202" s="4">
        <v>2964.82</v>
      </c>
      <c r="S202" s="1" t="s">
        <v>392</v>
      </c>
      <c r="T202" s="1" t="s">
        <v>393</v>
      </c>
      <c r="W202" s="1" t="s">
        <v>57</v>
      </c>
      <c r="Z202" s="1" t="s">
        <v>64</v>
      </c>
      <c r="AA202" s="5">
        <v>0</v>
      </c>
      <c r="AB202" s="5">
        <v>0</v>
      </c>
      <c r="AD202" s="1" t="s">
        <v>64</v>
      </c>
      <c r="AE202" s="4">
        <v>2647.17</v>
      </c>
      <c r="AF202" s="4">
        <v>0</v>
      </c>
      <c r="AG202" s="2">
        <v>0</v>
      </c>
      <c r="AH202" s="3">
        <v>20.5</v>
      </c>
      <c r="AI202" s="3">
        <v>0</v>
      </c>
      <c r="AJ202" s="5">
        <v>0</v>
      </c>
      <c r="AT202" s="1" t="s">
        <v>65</v>
      </c>
      <c r="AU202" s="1" t="s">
        <v>66</v>
      </c>
      <c r="AV202" s="1" t="s">
        <v>370</v>
      </c>
      <c r="AW202" s="1" t="s">
        <v>371</v>
      </c>
      <c r="AX202" s="1" t="s">
        <v>394</v>
      </c>
      <c r="AY202" s="1" t="s">
        <v>395</v>
      </c>
      <c r="BB202" s="1" t="s">
        <v>71</v>
      </c>
      <c r="BC202" s="1" t="s">
        <v>72</v>
      </c>
    </row>
    <row r="203" spans="1:55" x14ac:dyDescent="0.25">
      <c r="A203" s="1">
        <v>2020</v>
      </c>
      <c r="B203" s="1" t="s">
        <v>55</v>
      </c>
      <c r="C203" s="1" t="s">
        <v>56</v>
      </c>
      <c r="D203" s="1" t="s">
        <v>57</v>
      </c>
      <c r="E203" s="1" t="s">
        <v>184</v>
      </c>
      <c r="F203" s="1" t="s">
        <v>185</v>
      </c>
      <c r="G203" s="1" t="s">
        <v>104</v>
      </c>
      <c r="H203" s="1" t="s">
        <v>105</v>
      </c>
      <c r="I203" s="2">
        <v>0.52</v>
      </c>
      <c r="L203" s="3">
        <v>0</v>
      </c>
      <c r="M203" s="3">
        <v>350</v>
      </c>
      <c r="N203" s="3">
        <v>68.88</v>
      </c>
      <c r="O203" s="4">
        <v>0</v>
      </c>
      <c r="P203" s="4">
        <v>182</v>
      </c>
      <c r="Q203" s="4">
        <v>35.82</v>
      </c>
      <c r="S203" s="1" t="s">
        <v>392</v>
      </c>
      <c r="T203" s="1" t="s">
        <v>393</v>
      </c>
      <c r="W203" s="1" t="s">
        <v>57</v>
      </c>
      <c r="Z203" s="1" t="s">
        <v>64</v>
      </c>
      <c r="AA203" s="5">
        <v>0</v>
      </c>
      <c r="AB203" s="5">
        <v>0</v>
      </c>
      <c r="AD203" s="1" t="s">
        <v>64</v>
      </c>
      <c r="AE203" s="4">
        <v>182</v>
      </c>
      <c r="AF203" s="4">
        <v>0</v>
      </c>
      <c r="AG203" s="2">
        <v>0</v>
      </c>
      <c r="AH203" s="3">
        <v>350</v>
      </c>
      <c r="AI203" s="3">
        <v>0</v>
      </c>
      <c r="AJ203" s="5">
        <v>0</v>
      </c>
      <c r="AT203" s="1" t="s">
        <v>65</v>
      </c>
      <c r="AU203" s="1" t="s">
        <v>66</v>
      </c>
      <c r="AV203" s="1" t="s">
        <v>370</v>
      </c>
      <c r="AW203" s="1" t="s">
        <v>371</v>
      </c>
      <c r="AX203" s="1" t="s">
        <v>394</v>
      </c>
      <c r="AY203" s="1" t="s">
        <v>395</v>
      </c>
      <c r="BB203" s="1" t="s">
        <v>71</v>
      </c>
      <c r="BC203" s="1" t="s">
        <v>72</v>
      </c>
    </row>
    <row r="204" spans="1:55" x14ac:dyDescent="0.25">
      <c r="A204" s="1">
        <v>2030</v>
      </c>
      <c r="B204" s="1" t="s">
        <v>55</v>
      </c>
      <c r="C204" s="1" t="s">
        <v>56</v>
      </c>
      <c r="D204" s="1" t="s">
        <v>57</v>
      </c>
      <c r="E204" s="1" t="s">
        <v>374</v>
      </c>
      <c r="F204" s="1" t="s">
        <v>375</v>
      </c>
      <c r="G204" s="1" t="s">
        <v>182</v>
      </c>
      <c r="H204" s="1" t="s">
        <v>183</v>
      </c>
      <c r="I204" s="2">
        <v>4</v>
      </c>
      <c r="L204" s="3">
        <v>0</v>
      </c>
      <c r="M204" s="3">
        <v>60.33</v>
      </c>
      <c r="N204" s="3">
        <v>63.51</v>
      </c>
      <c r="O204" s="4">
        <v>0</v>
      </c>
      <c r="P204" s="4">
        <v>241.32</v>
      </c>
      <c r="Q204" s="4">
        <v>254.04</v>
      </c>
      <c r="S204" s="1" t="s">
        <v>392</v>
      </c>
      <c r="T204" s="1" t="s">
        <v>393</v>
      </c>
      <c r="W204" s="1" t="s">
        <v>57</v>
      </c>
      <c r="Z204" s="1" t="s">
        <v>64</v>
      </c>
      <c r="AA204" s="5">
        <v>0</v>
      </c>
      <c r="AB204" s="5">
        <v>0</v>
      </c>
      <c r="AD204" s="1" t="s">
        <v>64</v>
      </c>
      <c r="AE204" s="4">
        <v>241.32</v>
      </c>
      <c r="AF204" s="4">
        <v>0</v>
      </c>
      <c r="AG204" s="2">
        <v>0</v>
      </c>
      <c r="AH204" s="3">
        <v>60.33</v>
      </c>
      <c r="AI204" s="3">
        <v>0</v>
      </c>
      <c r="AJ204" s="5">
        <v>0</v>
      </c>
      <c r="AT204" s="1" t="s">
        <v>65</v>
      </c>
      <c r="AU204" s="1" t="s">
        <v>66</v>
      </c>
      <c r="AV204" s="1" t="s">
        <v>370</v>
      </c>
      <c r="AW204" s="1" t="s">
        <v>371</v>
      </c>
      <c r="AX204" s="1" t="s">
        <v>394</v>
      </c>
      <c r="AY204" s="1" t="s">
        <v>395</v>
      </c>
      <c r="BB204" s="1" t="s">
        <v>71</v>
      </c>
      <c r="BC204" s="1" t="s">
        <v>72</v>
      </c>
    </row>
    <row r="205" spans="1:55" x14ac:dyDescent="0.25">
      <c r="A205" s="1">
        <v>2040</v>
      </c>
      <c r="B205" s="1" t="s">
        <v>55</v>
      </c>
      <c r="C205" s="1" t="s">
        <v>56</v>
      </c>
      <c r="D205" s="1" t="s">
        <v>57</v>
      </c>
      <c r="E205" s="1" t="s">
        <v>376</v>
      </c>
      <c r="F205" s="1" t="s">
        <v>377</v>
      </c>
      <c r="G205" s="1" t="s">
        <v>182</v>
      </c>
      <c r="H205" s="1" t="s">
        <v>183</v>
      </c>
      <c r="I205" s="2">
        <v>4</v>
      </c>
      <c r="L205" s="3">
        <v>0</v>
      </c>
      <c r="M205" s="3">
        <v>39.340000000000003</v>
      </c>
      <c r="N205" s="3">
        <v>41.41</v>
      </c>
      <c r="O205" s="4">
        <v>0</v>
      </c>
      <c r="P205" s="4">
        <v>157.36000000000001</v>
      </c>
      <c r="Q205" s="4">
        <v>165.64</v>
      </c>
      <c r="S205" s="1" t="s">
        <v>392</v>
      </c>
      <c r="T205" s="1" t="s">
        <v>393</v>
      </c>
      <c r="W205" s="1" t="s">
        <v>57</v>
      </c>
      <c r="Z205" s="1" t="s">
        <v>64</v>
      </c>
      <c r="AA205" s="5">
        <v>0</v>
      </c>
      <c r="AB205" s="5">
        <v>0</v>
      </c>
      <c r="AD205" s="1" t="s">
        <v>64</v>
      </c>
      <c r="AE205" s="4">
        <v>157.36000000000001</v>
      </c>
      <c r="AF205" s="4">
        <v>0</v>
      </c>
      <c r="AG205" s="2">
        <v>0</v>
      </c>
      <c r="AH205" s="3">
        <v>39.340000000000003</v>
      </c>
      <c r="AI205" s="3">
        <v>0</v>
      </c>
      <c r="AJ205" s="5">
        <v>0</v>
      </c>
      <c r="AT205" s="1" t="s">
        <v>65</v>
      </c>
      <c r="AU205" s="1" t="s">
        <v>66</v>
      </c>
      <c r="AV205" s="1" t="s">
        <v>370</v>
      </c>
      <c r="AW205" s="1" t="s">
        <v>371</v>
      </c>
      <c r="AX205" s="1" t="s">
        <v>394</v>
      </c>
      <c r="AY205" s="1" t="s">
        <v>395</v>
      </c>
      <c r="BB205" s="1" t="s">
        <v>71</v>
      </c>
      <c r="BC205" s="1" t="s">
        <v>72</v>
      </c>
    </row>
    <row r="206" spans="1:55" x14ac:dyDescent="0.25">
      <c r="A206" s="1">
        <v>2050</v>
      </c>
      <c r="B206" s="1" t="s">
        <v>55</v>
      </c>
      <c r="C206" s="1" t="s">
        <v>56</v>
      </c>
      <c r="D206" s="1" t="s">
        <v>57</v>
      </c>
      <c r="E206" s="1" t="s">
        <v>378</v>
      </c>
      <c r="F206" s="1" t="s">
        <v>379</v>
      </c>
      <c r="G206" s="1" t="s">
        <v>182</v>
      </c>
      <c r="H206" s="1" t="s">
        <v>183</v>
      </c>
      <c r="I206" s="2">
        <v>4</v>
      </c>
      <c r="L206" s="3">
        <v>0</v>
      </c>
      <c r="M206" s="3">
        <v>176.47</v>
      </c>
      <c r="N206" s="3">
        <v>185.76</v>
      </c>
      <c r="O206" s="4">
        <v>0</v>
      </c>
      <c r="P206" s="4">
        <v>705.88</v>
      </c>
      <c r="Q206" s="4">
        <v>743.04</v>
      </c>
      <c r="S206" s="1" t="s">
        <v>392</v>
      </c>
      <c r="T206" s="1" t="s">
        <v>393</v>
      </c>
      <c r="W206" s="1" t="s">
        <v>57</v>
      </c>
      <c r="Z206" s="1" t="s">
        <v>64</v>
      </c>
      <c r="AA206" s="5">
        <v>0</v>
      </c>
      <c r="AB206" s="5">
        <v>0</v>
      </c>
      <c r="AD206" s="1" t="s">
        <v>64</v>
      </c>
      <c r="AE206" s="4">
        <v>705.88</v>
      </c>
      <c r="AF206" s="4">
        <v>0</v>
      </c>
      <c r="AG206" s="2">
        <v>0</v>
      </c>
      <c r="AH206" s="3">
        <v>176.47</v>
      </c>
      <c r="AI206" s="3">
        <v>0</v>
      </c>
      <c r="AJ206" s="5">
        <v>0</v>
      </c>
      <c r="AT206" s="1" t="s">
        <v>65</v>
      </c>
      <c r="AU206" s="1" t="s">
        <v>66</v>
      </c>
      <c r="AV206" s="1" t="s">
        <v>370</v>
      </c>
      <c r="AW206" s="1" t="s">
        <v>371</v>
      </c>
      <c r="AX206" s="1" t="s">
        <v>394</v>
      </c>
      <c r="AY206" s="1" t="s">
        <v>395</v>
      </c>
      <c r="BB206" s="1" t="s">
        <v>71</v>
      </c>
      <c r="BC206" s="1" t="s">
        <v>72</v>
      </c>
    </row>
    <row r="207" spans="1:55" x14ac:dyDescent="0.25">
      <c r="A207" s="1">
        <v>2060</v>
      </c>
      <c r="B207" s="1" t="s">
        <v>55</v>
      </c>
      <c r="C207" s="1" t="s">
        <v>56</v>
      </c>
      <c r="D207" s="1" t="s">
        <v>57</v>
      </c>
      <c r="E207" s="1" t="s">
        <v>380</v>
      </c>
      <c r="F207" s="1" t="s">
        <v>381</v>
      </c>
      <c r="G207" s="1" t="s">
        <v>110</v>
      </c>
      <c r="H207" s="1" t="s">
        <v>110</v>
      </c>
      <c r="I207" s="2">
        <v>514</v>
      </c>
      <c r="L207" s="3">
        <v>0</v>
      </c>
      <c r="M207" s="3">
        <v>4.29</v>
      </c>
      <c r="N207" s="3">
        <v>4.5199999999999996</v>
      </c>
      <c r="O207" s="4">
        <v>0</v>
      </c>
      <c r="P207" s="4">
        <v>2205.06</v>
      </c>
      <c r="Q207" s="4">
        <v>2323.2800000000002</v>
      </c>
      <c r="S207" s="1" t="s">
        <v>392</v>
      </c>
      <c r="T207" s="1" t="s">
        <v>393</v>
      </c>
      <c r="W207" s="1" t="s">
        <v>57</v>
      </c>
      <c r="Z207" s="1" t="s">
        <v>64</v>
      </c>
      <c r="AA207" s="5">
        <v>0</v>
      </c>
      <c r="AB207" s="5">
        <v>0</v>
      </c>
      <c r="AD207" s="1" t="s">
        <v>64</v>
      </c>
      <c r="AE207" s="4">
        <v>2205.06</v>
      </c>
      <c r="AF207" s="4">
        <v>0</v>
      </c>
      <c r="AG207" s="2">
        <v>0</v>
      </c>
      <c r="AH207" s="3">
        <v>4.29</v>
      </c>
      <c r="AI207" s="3">
        <v>0</v>
      </c>
      <c r="AJ207" s="5">
        <v>0</v>
      </c>
      <c r="AT207" s="1" t="s">
        <v>65</v>
      </c>
      <c r="AU207" s="1" t="s">
        <v>66</v>
      </c>
      <c r="AV207" s="1" t="s">
        <v>370</v>
      </c>
      <c r="AW207" s="1" t="s">
        <v>371</v>
      </c>
      <c r="AX207" s="1" t="s">
        <v>394</v>
      </c>
      <c r="AY207" s="1" t="s">
        <v>395</v>
      </c>
      <c r="BB207" s="1" t="s">
        <v>71</v>
      </c>
      <c r="BC207" s="1" t="s">
        <v>72</v>
      </c>
    </row>
    <row r="208" spans="1:55" x14ac:dyDescent="0.25">
      <c r="A208" s="1">
        <v>2070</v>
      </c>
      <c r="B208" s="1" t="s">
        <v>55</v>
      </c>
      <c r="C208" s="1" t="s">
        <v>56</v>
      </c>
      <c r="D208" s="1" t="s">
        <v>57</v>
      </c>
      <c r="E208" s="1" t="s">
        <v>382</v>
      </c>
      <c r="F208" s="1" t="s">
        <v>383</v>
      </c>
      <c r="G208" s="1" t="s">
        <v>182</v>
      </c>
      <c r="H208" s="1" t="s">
        <v>183</v>
      </c>
      <c r="I208" s="2">
        <v>2</v>
      </c>
      <c r="L208" s="3">
        <v>0</v>
      </c>
      <c r="M208" s="3">
        <v>280.18</v>
      </c>
      <c r="N208" s="3">
        <v>294.93</v>
      </c>
      <c r="O208" s="4">
        <v>0</v>
      </c>
      <c r="P208" s="4">
        <v>560.36</v>
      </c>
      <c r="Q208" s="4">
        <v>589.86</v>
      </c>
      <c r="S208" s="1" t="s">
        <v>392</v>
      </c>
      <c r="T208" s="1" t="s">
        <v>393</v>
      </c>
      <c r="W208" s="1" t="s">
        <v>57</v>
      </c>
      <c r="Z208" s="1" t="s">
        <v>64</v>
      </c>
      <c r="AA208" s="5">
        <v>0</v>
      </c>
      <c r="AB208" s="5">
        <v>0</v>
      </c>
      <c r="AD208" s="1" t="s">
        <v>64</v>
      </c>
      <c r="AE208" s="4">
        <v>560.36</v>
      </c>
      <c r="AF208" s="4">
        <v>0</v>
      </c>
      <c r="AG208" s="2">
        <v>0</v>
      </c>
      <c r="AH208" s="3">
        <v>280.18</v>
      </c>
      <c r="AI208" s="3">
        <v>0</v>
      </c>
      <c r="AJ208" s="5">
        <v>0</v>
      </c>
      <c r="AT208" s="1" t="s">
        <v>65</v>
      </c>
      <c r="AU208" s="1" t="s">
        <v>66</v>
      </c>
      <c r="AV208" s="1" t="s">
        <v>370</v>
      </c>
      <c r="AW208" s="1" t="s">
        <v>371</v>
      </c>
      <c r="AX208" s="1" t="s">
        <v>394</v>
      </c>
      <c r="AY208" s="1" t="s">
        <v>395</v>
      </c>
      <c r="BB208" s="1" t="s">
        <v>71</v>
      </c>
      <c r="BC208" s="1" t="s">
        <v>72</v>
      </c>
    </row>
    <row r="209" spans="1:55" x14ac:dyDescent="0.25">
      <c r="A209" s="1">
        <v>2080</v>
      </c>
      <c r="B209" s="1" t="s">
        <v>55</v>
      </c>
      <c r="C209" s="1" t="s">
        <v>56</v>
      </c>
      <c r="D209" s="1" t="s">
        <v>57</v>
      </c>
      <c r="E209" s="1" t="s">
        <v>384</v>
      </c>
      <c r="F209" s="1" t="s">
        <v>385</v>
      </c>
      <c r="G209" s="1" t="s">
        <v>182</v>
      </c>
      <c r="H209" s="1" t="s">
        <v>183</v>
      </c>
      <c r="I209" s="2">
        <v>2</v>
      </c>
      <c r="L209" s="3">
        <v>0</v>
      </c>
      <c r="M209" s="3">
        <v>440.11</v>
      </c>
      <c r="N209" s="3">
        <v>463.27</v>
      </c>
      <c r="O209" s="4">
        <v>0</v>
      </c>
      <c r="P209" s="4">
        <v>880.22</v>
      </c>
      <c r="Q209" s="4">
        <v>926.54</v>
      </c>
      <c r="S209" s="1" t="s">
        <v>392</v>
      </c>
      <c r="T209" s="1" t="s">
        <v>393</v>
      </c>
      <c r="W209" s="1" t="s">
        <v>57</v>
      </c>
      <c r="Z209" s="1" t="s">
        <v>64</v>
      </c>
      <c r="AA209" s="5">
        <v>0</v>
      </c>
      <c r="AB209" s="5">
        <v>0</v>
      </c>
      <c r="AD209" s="1" t="s">
        <v>64</v>
      </c>
      <c r="AE209" s="4">
        <v>880.22</v>
      </c>
      <c r="AF209" s="4">
        <v>0</v>
      </c>
      <c r="AG209" s="2">
        <v>0</v>
      </c>
      <c r="AH209" s="3">
        <v>440.11</v>
      </c>
      <c r="AI209" s="3">
        <v>0</v>
      </c>
      <c r="AJ209" s="5">
        <v>0</v>
      </c>
      <c r="AT209" s="1" t="s">
        <v>65</v>
      </c>
      <c r="AU209" s="1" t="s">
        <v>66</v>
      </c>
      <c r="AV209" s="1" t="s">
        <v>370</v>
      </c>
      <c r="AW209" s="1" t="s">
        <v>371</v>
      </c>
      <c r="AX209" s="1" t="s">
        <v>394</v>
      </c>
      <c r="AY209" s="1" t="s">
        <v>395</v>
      </c>
      <c r="BB209" s="1" t="s">
        <v>71</v>
      </c>
      <c r="BC209" s="1" t="s">
        <v>72</v>
      </c>
    </row>
    <row r="210" spans="1:55" x14ac:dyDescent="0.25">
      <c r="A210" s="1">
        <v>2090</v>
      </c>
      <c r="B210" s="1" t="s">
        <v>55</v>
      </c>
      <c r="C210" s="1" t="s">
        <v>56</v>
      </c>
      <c r="D210" s="1" t="s">
        <v>57</v>
      </c>
      <c r="E210" s="1" t="s">
        <v>386</v>
      </c>
      <c r="F210" s="1" t="s">
        <v>387</v>
      </c>
      <c r="G210" s="1" t="s">
        <v>110</v>
      </c>
      <c r="H210" s="1" t="s">
        <v>110</v>
      </c>
      <c r="I210" s="2">
        <v>257</v>
      </c>
      <c r="L210" s="3">
        <v>0</v>
      </c>
      <c r="M210" s="3">
        <v>11.22</v>
      </c>
      <c r="N210" s="3">
        <v>11.81</v>
      </c>
      <c r="O210" s="4">
        <v>0</v>
      </c>
      <c r="P210" s="4">
        <v>2883.54</v>
      </c>
      <c r="Q210" s="4">
        <v>3035.17</v>
      </c>
      <c r="S210" s="1" t="s">
        <v>392</v>
      </c>
      <c r="T210" s="1" t="s">
        <v>393</v>
      </c>
      <c r="W210" s="1" t="s">
        <v>57</v>
      </c>
      <c r="Z210" s="1" t="s">
        <v>64</v>
      </c>
      <c r="AA210" s="5">
        <v>0</v>
      </c>
      <c r="AB210" s="5">
        <v>0</v>
      </c>
      <c r="AD210" s="1" t="s">
        <v>64</v>
      </c>
      <c r="AE210" s="4">
        <v>2883.54</v>
      </c>
      <c r="AF210" s="4">
        <v>0</v>
      </c>
      <c r="AG210" s="2">
        <v>0</v>
      </c>
      <c r="AH210" s="3">
        <v>11.22</v>
      </c>
      <c r="AI210" s="3">
        <v>0</v>
      </c>
      <c r="AJ210" s="5">
        <v>0</v>
      </c>
      <c r="AT210" s="1" t="s">
        <v>65</v>
      </c>
      <c r="AU210" s="1" t="s">
        <v>66</v>
      </c>
      <c r="AV210" s="1" t="s">
        <v>370</v>
      </c>
      <c r="AW210" s="1" t="s">
        <v>371</v>
      </c>
      <c r="AX210" s="1" t="s">
        <v>394</v>
      </c>
      <c r="AY210" s="1" t="s">
        <v>395</v>
      </c>
      <c r="BB210" s="1" t="s">
        <v>71</v>
      </c>
      <c r="BC210" s="1" t="s">
        <v>72</v>
      </c>
    </row>
    <row r="211" spans="1:55" x14ac:dyDescent="0.25">
      <c r="A211" s="1">
        <v>2100</v>
      </c>
      <c r="B211" s="1" t="s">
        <v>55</v>
      </c>
      <c r="C211" s="1" t="s">
        <v>56</v>
      </c>
      <c r="D211" s="1" t="s">
        <v>57</v>
      </c>
      <c r="E211" s="1" t="s">
        <v>388</v>
      </c>
      <c r="F211" s="1" t="s">
        <v>389</v>
      </c>
      <c r="G211" s="1" t="s">
        <v>182</v>
      </c>
      <c r="H211" s="1" t="s">
        <v>183</v>
      </c>
      <c r="I211" s="2">
        <v>2</v>
      </c>
      <c r="L211" s="3">
        <v>0</v>
      </c>
      <c r="M211" s="3">
        <v>115.29</v>
      </c>
      <c r="N211" s="3">
        <v>121.36</v>
      </c>
      <c r="O211" s="4">
        <v>0</v>
      </c>
      <c r="P211" s="4">
        <v>230.58</v>
      </c>
      <c r="Q211" s="4">
        <v>242.72</v>
      </c>
      <c r="S211" s="1" t="s">
        <v>392</v>
      </c>
      <c r="T211" s="1" t="s">
        <v>393</v>
      </c>
      <c r="W211" s="1" t="s">
        <v>57</v>
      </c>
      <c r="Z211" s="1" t="s">
        <v>64</v>
      </c>
      <c r="AA211" s="5">
        <v>0</v>
      </c>
      <c r="AB211" s="5">
        <v>0</v>
      </c>
      <c r="AD211" s="1" t="s">
        <v>64</v>
      </c>
      <c r="AE211" s="4">
        <v>230.58</v>
      </c>
      <c r="AF211" s="4">
        <v>0</v>
      </c>
      <c r="AG211" s="2">
        <v>0</v>
      </c>
      <c r="AH211" s="3">
        <v>115.29</v>
      </c>
      <c r="AI211" s="3">
        <v>0</v>
      </c>
      <c r="AJ211" s="5">
        <v>0</v>
      </c>
      <c r="AT211" s="1" t="s">
        <v>65</v>
      </c>
      <c r="AU211" s="1" t="s">
        <v>66</v>
      </c>
      <c r="AV211" s="1" t="s">
        <v>370</v>
      </c>
      <c r="AW211" s="1" t="s">
        <v>371</v>
      </c>
      <c r="AX211" s="1" t="s">
        <v>394</v>
      </c>
      <c r="AY211" s="1" t="s">
        <v>395</v>
      </c>
      <c r="BB211" s="1" t="s">
        <v>71</v>
      </c>
      <c r="BC211" s="1" t="s">
        <v>72</v>
      </c>
    </row>
    <row r="212" spans="1:55" x14ac:dyDescent="0.25">
      <c r="A212" s="1">
        <v>2110</v>
      </c>
      <c r="B212" s="1" t="s">
        <v>55</v>
      </c>
      <c r="C212" s="1" t="s">
        <v>56</v>
      </c>
      <c r="D212" s="1" t="s">
        <v>57</v>
      </c>
      <c r="E212" s="1" t="s">
        <v>390</v>
      </c>
      <c r="F212" s="1" t="s">
        <v>391</v>
      </c>
      <c r="G212" s="1" t="s">
        <v>182</v>
      </c>
      <c r="H212" s="1" t="s">
        <v>183</v>
      </c>
      <c r="I212" s="2">
        <v>2</v>
      </c>
      <c r="L212" s="3">
        <v>0</v>
      </c>
      <c r="M212" s="3">
        <v>35.4</v>
      </c>
      <c r="N212" s="3">
        <v>37.26</v>
      </c>
      <c r="O212" s="4">
        <v>0</v>
      </c>
      <c r="P212" s="4">
        <v>70.8</v>
      </c>
      <c r="Q212" s="4">
        <v>74.52</v>
      </c>
      <c r="S212" s="1" t="s">
        <v>392</v>
      </c>
      <c r="T212" s="1" t="s">
        <v>393</v>
      </c>
      <c r="W212" s="1" t="s">
        <v>57</v>
      </c>
      <c r="Z212" s="1" t="s">
        <v>64</v>
      </c>
      <c r="AA212" s="5">
        <v>0</v>
      </c>
      <c r="AB212" s="5">
        <v>0</v>
      </c>
      <c r="AD212" s="1" t="s">
        <v>64</v>
      </c>
      <c r="AE212" s="4">
        <v>70.8</v>
      </c>
      <c r="AF212" s="4">
        <v>0</v>
      </c>
      <c r="AG212" s="2">
        <v>0</v>
      </c>
      <c r="AH212" s="3">
        <v>35.4</v>
      </c>
      <c r="AI212" s="3">
        <v>0</v>
      </c>
      <c r="AJ212" s="5">
        <v>0</v>
      </c>
      <c r="AT212" s="1" t="s">
        <v>65</v>
      </c>
      <c r="AU212" s="1" t="s">
        <v>66</v>
      </c>
      <c r="AV212" s="1" t="s">
        <v>370</v>
      </c>
      <c r="AW212" s="1" t="s">
        <v>371</v>
      </c>
      <c r="AX212" s="1" t="s">
        <v>394</v>
      </c>
      <c r="AY212" s="1" t="s">
        <v>395</v>
      </c>
      <c r="BB212" s="1" t="s">
        <v>71</v>
      </c>
      <c r="BC212" s="1" t="s">
        <v>72</v>
      </c>
    </row>
    <row r="213" spans="1:55" x14ac:dyDescent="0.25">
      <c r="A213" s="1">
        <v>2120</v>
      </c>
      <c r="B213" s="1" t="s">
        <v>55</v>
      </c>
      <c r="C213" s="1" t="s">
        <v>56</v>
      </c>
      <c r="D213" s="1" t="s">
        <v>57</v>
      </c>
      <c r="E213" s="1" t="s">
        <v>148</v>
      </c>
      <c r="F213" s="1" t="s">
        <v>149</v>
      </c>
      <c r="G213" s="1" t="s">
        <v>60</v>
      </c>
      <c r="H213" s="1" t="s">
        <v>61</v>
      </c>
      <c r="I213" s="2">
        <v>19746.599999999999</v>
      </c>
      <c r="L213" s="3">
        <v>0</v>
      </c>
      <c r="M213" s="3">
        <v>22</v>
      </c>
      <c r="N213" s="3">
        <v>20.34</v>
      </c>
      <c r="O213" s="4">
        <v>0</v>
      </c>
      <c r="P213" s="4">
        <v>434425.2</v>
      </c>
      <c r="Q213" s="4">
        <v>401645.84</v>
      </c>
      <c r="S213" s="1" t="s">
        <v>396</v>
      </c>
      <c r="T213" s="1" t="s">
        <v>397</v>
      </c>
      <c r="W213" s="1" t="s">
        <v>57</v>
      </c>
      <c r="Z213" s="1" t="s">
        <v>64</v>
      </c>
      <c r="AA213" s="5">
        <v>0</v>
      </c>
      <c r="AB213" s="5">
        <v>0</v>
      </c>
      <c r="AD213" s="1" t="s">
        <v>64</v>
      </c>
      <c r="AE213" s="4">
        <v>434425.2</v>
      </c>
      <c r="AF213" s="4">
        <v>0</v>
      </c>
      <c r="AG213" s="2">
        <v>0</v>
      </c>
      <c r="AH213" s="3">
        <v>22</v>
      </c>
      <c r="AI213" s="3">
        <v>0</v>
      </c>
      <c r="AJ213" s="5">
        <v>0</v>
      </c>
      <c r="AT213" s="1" t="s">
        <v>65</v>
      </c>
      <c r="AU213" s="1" t="s">
        <v>66</v>
      </c>
      <c r="AV213" s="1" t="s">
        <v>250</v>
      </c>
      <c r="AW213" s="1" t="s">
        <v>397</v>
      </c>
      <c r="AX213" s="1" t="s">
        <v>398</v>
      </c>
      <c r="AY213" s="1" t="s">
        <v>399</v>
      </c>
      <c r="BB213" s="1" t="s">
        <v>71</v>
      </c>
      <c r="BC213" s="1" t="s">
        <v>72</v>
      </c>
    </row>
    <row r="214" spans="1:55" x14ac:dyDescent="0.25">
      <c r="A214" s="1">
        <v>2130</v>
      </c>
      <c r="B214" s="1" t="s">
        <v>55</v>
      </c>
      <c r="C214" s="1" t="s">
        <v>56</v>
      </c>
      <c r="D214" s="1" t="s">
        <v>57</v>
      </c>
      <c r="E214" s="1" t="s">
        <v>400</v>
      </c>
      <c r="F214" s="1" t="s">
        <v>401</v>
      </c>
      <c r="G214" s="1" t="s">
        <v>96</v>
      </c>
      <c r="H214" s="1" t="s">
        <v>97</v>
      </c>
      <c r="I214" s="2">
        <v>65822</v>
      </c>
      <c r="L214" s="3">
        <v>0</v>
      </c>
      <c r="M214" s="3">
        <v>2.5</v>
      </c>
      <c r="N214" s="3">
        <v>0.68</v>
      </c>
      <c r="O214" s="4">
        <v>0</v>
      </c>
      <c r="P214" s="4">
        <v>164555</v>
      </c>
      <c r="Q214" s="4">
        <v>44758.96</v>
      </c>
      <c r="S214" s="1" t="s">
        <v>396</v>
      </c>
      <c r="T214" s="1" t="s">
        <v>397</v>
      </c>
      <c r="W214" s="1" t="s">
        <v>57</v>
      </c>
      <c r="Z214" s="1" t="s">
        <v>64</v>
      </c>
      <c r="AA214" s="5">
        <v>0</v>
      </c>
      <c r="AB214" s="5">
        <v>0</v>
      </c>
      <c r="AD214" s="1" t="s">
        <v>64</v>
      </c>
      <c r="AE214" s="4">
        <v>164555</v>
      </c>
      <c r="AF214" s="4">
        <v>0</v>
      </c>
      <c r="AG214" s="2">
        <v>0</v>
      </c>
      <c r="AH214" s="3">
        <v>2.5</v>
      </c>
      <c r="AI214" s="3">
        <v>0</v>
      </c>
      <c r="AJ214" s="5">
        <v>0</v>
      </c>
      <c r="AT214" s="1" t="s">
        <v>65</v>
      </c>
      <c r="AU214" s="1" t="s">
        <v>66</v>
      </c>
      <c r="AV214" s="1" t="s">
        <v>250</v>
      </c>
      <c r="AW214" s="1" t="s">
        <v>397</v>
      </c>
      <c r="AX214" s="1" t="s">
        <v>398</v>
      </c>
      <c r="AY214" s="1" t="s">
        <v>399</v>
      </c>
      <c r="BB214" s="1" t="s">
        <v>71</v>
      </c>
      <c r="BC214" s="1" t="s">
        <v>72</v>
      </c>
    </row>
    <row r="215" spans="1:55" x14ac:dyDescent="0.25">
      <c r="A215" s="1">
        <v>2140</v>
      </c>
      <c r="B215" s="1" t="s">
        <v>55</v>
      </c>
      <c r="C215" s="1" t="s">
        <v>56</v>
      </c>
      <c r="D215" s="1" t="s">
        <v>57</v>
      </c>
      <c r="E215" s="1" t="s">
        <v>402</v>
      </c>
      <c r="F215" s="1" t="s">
        <v>403</v>
      </c>
      <c r="G215" s="1" t="s">
        <v>182</v>
      </c>
      <c r="H215" s="1" t="s">
        <v>183</v>
      </c>
      <c r="I215" s="2">
        <v>1743</v>
      </c>
      <c r="L215" s="3">
        <v>0</v>
      </c>
      <c r="M215" s="3">
        <v>5.46</v>
      </c>
      <c r="N215" s="3">
        <v>15.1</v>
      </c>
      <c r="O215" s="4">
        <v>0</v>
      </c>
      <c r="P215" s="4">
        <v>9516.7800000000007</v>
      </c>
      <c r="Q215" s="4">
        <v>26319.3</v>
      </c>
      <c r="S215" s="1" t="s">
        <v>396</v>
      </c>
      <c r="T215" s="1" t="s">
        <v>397</v>
      </c>
      <c r="W215" s="1" t="s">
        <v>57</v>
      </c>
      <c r="Z215" s="1" t="s">
        <v>64</v>
      </c>
      <c r="AA215" s="5">
        <v>0</v>
      </c>
      <c r="AB215" s="5">
        <v>0</v>
      </c>
      <c r="AD215" s="1" t="s">
        <v>64</v>
      </c>
      <c r="AE215" s="4">
        <v>9516.7800000000007</v>
      </c>
      <c r="AF215" s="4">
        <v>0</v>
      </c>
      <c r="AG215" s="2">
        <v>0</v>
      </c>
      <c r="AH215" s="3">
        <v>5.46</v>
      </c>
      <c r="AI215" s="3">
        <v>0</v>
      </c>
      <c r="AJ215" s="5">
        <v>0</v>
      </c>
      <c r="AT215" s="1" t="s">
        <v>65</v>
      </c>
      <c r="AU215" s="1" t="s">
        <v>66</v>
      </c>
      <c r="AV215" s="1" t="s">
        <v>250</v>
      </c>
      <c r="AW215" s="1" t="s">
        <v>397</v>
      </c>
      <c r="AX215" s="1" t="s">
        <v>398</v>
      </c>
      <c r="AY215" s="1" t="s">
        <v>399</v>
      </c>
      <c r="BB215" s="1" t="s">
        <v>71</v>
      </c>
      <c r="BC215" s="1" t="s">
        <v>72</v>
      </c>
    </row>
    <row r="216" spans="1:55" x14ac:dyDescent="0.25">
      <c r="A216" s="1">
        <v>2150</v>
      </c>
      <c r="B216" s="1" t="s">
        <v>55</v>
      </c>
      <c r="C216" s="1" t="s">
        <v>56</v>
      </c>
      <c r="D216" s="1" t="s">
        <v>57</v>
      </c>
      <c r="E216" s="1" t="s">
        <v>404</v>
      </c>
      <c r="F216" s="1" t="s">
        <v>405</v>
      </c>
      <c r="G216" s="1" t="s">
        <v>182</v>
      </c>
      <c r="H216" s="1" t="s">
        <v>183</v>
      </c>
      <c r="I216" s="2">
        <v>138</v>
      </c>
      <c r="L216" s="3">
        <v>0</v>
      </c>
      <c r="M216" s="3">
        <v>5.46</v>
      </c>
      <c r="N216" s="3">
        <v>15.1</v>
      </c>
      <c r="O216" s="4">
        <v>0</v>
      </c>
      <c r="P216" s="4">
        <v>753.48</v>
      </c>
      <c r="Q216" s="4">
        <v>2083.8000000000002</v>
      </c>
      <c r="S216" s="1" t="s">
        <v>396</v>
      </c>
      <c r="T216" s="1" t="s">
        <v>397</v>
      </c>
      <c r="W216" s="1" t="s">
        <v>57</v>
      </c>
      <c r="Z216" s="1" t="s">
        <v>64</v>
      </c>
      <c r="AA216" s="5">
        <v>0</v>
      </c>
      <c r="AB216" s="5">
        <v>0</v>
      </c>
      <c r="AD216" s="1" t="s">
        <v>64</v>
      </c>
      <c r="AE216" s="4">
        <v>753.48</v>
      </c>
      <c r="AF216" s="4">
        <v>0</v>
      </c>
      <c r="AG216" s="2">
        <v>0</v>
      </c>
      <c r="AH216" s="3">
        <v>5.46</v>
      </c>
      <c r="AI216" s="3">
        <v>0</v>
      </c>
      <c r="AJ216" s="5">
        <v>0</v>
      </c>
      <c r="AT216" s="1" t="s">
        <v>65</v>
      </c>
      <c r="AU216" s="1" t="s">
        <v>66</v>
      </c>
      <c r="AV216" s="1" t="s">
        <v>250</v>
      </c>
      <c r="AW216" s="1" t="s">
        <v>397</v>
      </c>
      <c r="AX216" s="1" t="s">
        <v>398</v>
      </c>
      <c r="AY216" s="1" t="s">
        <v>399</v>
      </c>
      <c r="BB216" s="1" t="s">
        <v>71</v>
      </c>
      <c r="BC216" s="1" t="s">
        <v>72</v>
      </c>
    </row>
    <row r="217" spans="1:55" x14ac:dyDescent="0.25">
      <c r="A217" s="1">
        <v>2160</v>
      </c>
      <c r="B217" s="1" t="s">
        <v>55</v>
      </c>
      <c r="C217" s="1" t="s">
        <v>56</v>
      </c>
      <c r="D217" s="1" t="s">
        <v>57</v>
      </c>
      <c r="E217" s="1" t="s">
        <v>406</v>
      </c>
      <c r="F217" s="1" t="s">
        <v>405</v>
      </c>
      <c r="G217" s="1" t="s">
        <v>182</v>
      </c>
      <c r="H217" s="1" t="s">
        <v>183</v>
      </c>
      <c r="I217" s="2">
        <v>484</v>
      </c>
      <c r="L217" s="3">
        <v>0</v>
      </c>
      <c r="M217" s="3">
        <v>5.46</v>
      </c>
      <c r="N217" s="3">
        <v>5.92</v>
      </c>
      <c r="O217" s="4">
        <v>0</v>
      </c>
      <c r="P217" s="4">
        <v>2642.64</v>
      </c>
      <c r="Q217" s="4">
        <v>2865.28</v>
      </c>
      <c r="S217" s="1" t="s">
        <v>396</v>
      </c>
      <c r="T217" s="1" t="s">
        <v>397</v>
      </c>
      <c r="W217" s="1" t="s">
        <v>57</v>
      </c>
      <c r="Z217" s="1" t="s">
        <v>64</v>
      </c>
      <c r="AA217" s="5">
        <v>0</v>
      </c>
      <c r="AB217" s="5">
        <v>0</v>
      </c>
      <c r="AD217" s="1" t="s">
        <v>64</v>
      </c>
      <c r="AE217" s="4">
        <v>2642.64</v>
      </c>
      <c r="AF217" s="4">
        <v>0</v>
      </c>
      <c r="AG217" s="2">
        <v>0</v>
      </c>
      <c r="AH217" s="3">
        <v>5.46</v>
      </c>
      <c r="AI217" s="3">
        <v>0</v>
      </c>
      <c r="AJ217" s="5">
        <v>0</v>
      </c>
      <c r="AT217" s="1" t="s">
        <v>65</v>
      </c>
      <c r="AU217" s="1" t="s">
        <v>66</v>
      </c>
      <c r="AV217" s="1" t="s">
        <v>250</v>
      </c>
      <c r="AW217" s="1" t="s">
        <v>397</v>
      </c>
      <c r="AX217" s="1" t="s">
        <v>398</v>
      </c>
      <c r="AY217" s="1" t="s">
        <v>399</v>
      </c>
      <c r="BB217" s="1" t="s">
        <v>71</v>
      </c>
      <c r="BC217" s="1" t="s">
        <v>72</v>
      </c>
    </row>
    <row r="218" spans="1:55" x14ac:dyDescent="0.25">
      <c r="A218" s="1">
        <v>2170</v>
      </c>
      <c r="B218" s="1" t="s">
        <v>55</v>
      </c>
      <c r="C218" s="1" t="s">
        <v>56</v>
      </c>
      <c r="D218" s="1" t="s">
        <v>57</v>
      </c>
      <c r="E218" s="1" t="s">
        <v>407</v>
      </c>
      <c r="F218" s="1" t="s">
        <v>408</v>
      </c>
      <c r="G218" s="1" t="s">
        <v>409</v>
      </c>
      <c r="H218" s="1" t="s">
        <v>410</v>
      </c>
      <c r="I218" s="2">
        <v>1</v>
      </c>
      <c r="L218" s="3">
        <v>0</v>
      </c>
      <c r="M218" s="3">
        <v>1589802.5009999999</v>
      </c>
      <c r="N218" s="3">
        <v>2923510.02</v>
      </c>
      <c r="O218" s="4">
        <v>0</v>
      </c>
      <c r="P218" s="4">
        <v>1589802.5</v>
      </c>
      <c r="Q218" s="4">
        <v>2923510.02</v>
      </c>
      <c r="S218" s="1" t="s">
        <v>407</v>
      </c>
      <c r="T218" s="1" t="s">
        <v>408</v>
      </c>
      <c r="W218" s="1" t="s">
        <v>57</v>
      </c>
      <c r="Z218" s="1" t="s">
        <v>64</v>
      </c>
      <c r="AA218" s="5">
        <v>0</v>
      </c>
      <c r="AB218" s="5">
        <v>0</v>
      </c>
      <c r="AD218" s="1" t="s">
        <v>64</v>
      </c>
      <c r="AE218" s="4">
        <v>1589802.5</v>
      </c>
      <c r="AF218" s="4">
        <v>0</v>
      </c>
      <c r="AG218" s="2">
        <v>0</v>
      </c>
      <c r="AH218" s="3">
        <v>1589802.5009999999</v>
      </c>
      <c r="AI218" s="3">
        <v>0</v>
      </c>
      <c r="AJ218" s="5">
        <v>0</v>
      </c>
      <c r="AT218" s="1" t="s">
        <v>65</v>
      </c>
      <c r="AU218" s="1" t="s">
        <v>66</v>
      </c>
      <c r="AV218" s="1" t="s">
        <v>407</v>
      </c>
      <c r="AW218" s="1" t="s">
        <v>411</v>
      </c>
      <c r="AX218" s="1" t="s">
        <v>412</v>
      </c>
      <c r="AY218" s="1" t="s">
        <v>413</v>
      </c>
      <c r="BB218" s="1" t="s">
        <v>71</v>
      </c>
      <c r="BC218" s="1" t="s">
        <v>72</v>
      </c>
    </row>
    <row r="219" spans="1:55" x14ac:dyDescent="0.25">
      <c r="A219" s="1">
        <v>2180</v>
      </c>
      <c r="B219" s="1" t="s">
        <v>55</v>
      </c>
      <c r="C219" s="1" t="s">
        <v>56</v>
      </c>
      <c r="D219" s="1" t="s">
        <v>57</v>
      </c>
      <c r="E219" s="1" t="s">
        <v>414</v>
      </c>
      <c r="F219" s="1" t="s">
        <v>415</v>
      </c>
      <c r="G219" s="1" t="s">
        <v>409</v>
      </c>
      <c r="H219" s="1" t="s">
        <v>410</v>
      </c>
      <c r="I219" s="2">
        <v>5425920</v>
      </c>
      <c r="L219" s="3">
        <v>0</v>
      </c>
      <c r="M219" s="3">
        <v>0</v>
      </c>
      <c r="N219" s="3">
        <v>-0.53</v>
      </c>
      <c r="O219" s="4">
        <v>0</v>
      </c>
      <c r="P219" s="4">
        <v>0</v>
      </c>
      <c r="Q219" s="4">
        <v>-2875737.6</v>
      </c>
      <c r="S219" s="1" t="s">
        <v>414</v>
      </c>
      <c r="T219" s="1" t="s">
        <v>415</v>
      </c>
      <c r="W219" s="1" t="s">
        <v>57</v>
      </c>
      <c r="Z219" s="1" t="s">
        <v>64</v>
      </c>
      <c r="AA219" s="5">
        <v>0</v>
      </c>
      <c r="AB219" s="5">
        <v>0</v>
      </c>
      <c r="AD219" s="1" t="s">
        <v>64</v>
      </c>
      <c r="AE219" s="4">
        <v>0</v>
      </c>
      <c r="AF219" s="4">
        <v>0</v>
      </c>
      <c r="AG219" s="2">
        <v>0</v>
      </c>
      <c r="AH219" s="3">
        <v>0</v>
      </c>
      <c r="AI219" s="3">
        <v>0</v>
      </c>
      <c r="AJ219" s="5">
        <v>0</v>
      </c>
      <c r="AT219" s="1" t="s">
        <v>65</v>
      </c>
      <c r="AU219" s="1" t="s">
        <v>66</v>
      </c>
      <c r="AV219" s="1" t="s">
        <v>416</v>
      </c>
      <c r="AW219" s="1" t="s">
        <v>417</v>
      </c>
      <c r="AX219" s="1" t="s">
        <v>418</v>
      </c>
      <c r="AY219" s="1" t="s">
        <v>419</v>
      </c>
      <c r="BB219" s="1" t="s">
        <v>71</v>
      </c>
      <c r="BC219" s="1" t="s">
        <v>72</v>
      </c>
    </row>
    <row r="220" spans="1:55" x14ac:dyDescent="0.25">
      <c r="A220" s="1">
        <v>2190</v>
      </c>
      <c r="B220" s="1" t="s">
        <v>55</v>
      </c>
      <c r="C220" s="1" t="s">
        <v>56</v>
      </c>
      <c r="D220" s="1" t="s">
        <v>57</v>
      </c>
      <c r="E220" s="1" t="s">
        <v>420</v>
      </c>
      <c r="F220" s="1" t="s">
        <v>421</v>
      </c>
      <c r="G220" s="1" t="s">
        <v>409</v>
      </c>
      <c r="H220" s="1" t="s">
        <v>410</v>
      </c>
      <c r="I220" s="2">
        <v>1</v>
      </c>
      <c r="L220" s="3">
        <v>0</v>
      </c>
      <c r="M220" s="3">
        <v>1167622.25</v>
      </c>
      <c r="N220" s="3">
        <v>0</v>
      </c>
      <c r="O220" s="4">
        <v>0</v>
      </c>
      <c r="P220" s="4">
        <v>1167622.25</v>
      </c>
      <c r="Q220" s="4">
        <v>0</v>
      </c>
      <c r="S220" s="1" t="s">
        <v>422</v>
      </c>
      <c r="T220" s="1" t="s">
        <v>421</v>
      </c>
      <c r="W220" s="1" t="s">
        <v>57</v>
      </c>
      <c r="Z220" s="1" t="s">
        <v>64</v>
      </c>
      <c r="AA220" s="5">
        <v>0</v>
      </c>
      <c r="AB220" s="5">
        <v>0</v>
      </c>
      <c r="AD220" s="1" t="s">
        <v>64</v>
      </c>
      <c r="AE220" s="4">
        <v>1167622.25</v>
      </c>
      <c r="AF220" s="4">
        <v>0</v>
      </c>
      <c r="AG220" s="2">
        <v>0</v>
      </c>
      <c r="AH220" s="3">
        <v>1167622.25</v>
      </c>
      <c r="AI220" s="3">
        <v>0</v>
      </c>
      <c r="AJ220" s="5">
        <v>0</v>
      </c>
      <c r="AT220" s="1" t="s">
        <v>423</v>
      </c>
      <c r="AU220" s="1" t="s">
        <v>424</v>
      </c>
      <c r="AV220" s="1" t="s">
        <v>425</v>
      </c>
      <c r="AW220" s="1" t="s">
        <v>426</v>
      </c>
      <c r="AX220" s="1" t="s">
        <v>427</v>
      </c>
      <c r="AY220" s="1" t="s">
        <v>428</v>
      </c>
      <c r="BB220" s="1" t="s">
        <v>429</v>
      </c>
      <c r="BC220" s="1" t="s">
        <v>430</v>
      </c>
    </row>
    <row r="221" spans="1:55" x14ac:dyDescent="0.25">
      <c r="A221" s="1">
        <v>2200</v>
      </c>
      <c r="B221" s="1" t="s">
        <v>55</v>
      </c>
      <c r="C221" s="1" t="s">
        <v>56</v>
      </c>
      <c r="D221" s="1" t="s">
        <v>57</v>
      </c>
      <c r="E221" s="1" t="s">
        <v>431</v>
      </c>
      <c r="F221" s="1" t="s">
        <v>432</v>
      </c>
      <c r="G221" s="1" t="s">
        <v>409</v>
      </c>
      <c r="H221" s="1" t="s">
        <v>410</v>
      </c>
      <c r="I221" s="2">
        <v>1</v>
      </c>
      <c r="L221" s="3">
        <v>0</v>
      </c>
      <c r="M221" s="3">
        <v>25240</v>
      </c>
      <c r="N221" s="3">
        <v>0</v>
      </c>
      <c r="O221" s="4">
        <v>0</v>
      </c>
      <c r="P221" s="4">
        <v>25240</v>
      </c>
      <c r="Q221" s="4">
        <v>0</v>
      </c>
      <c r="S221" s="1" t="s">
        <v>431</v>
      </c>
      <c r="T221" s="1" t="s">
        <v>432</v>
      </c>
      <c r="W221" s="1" t="s">
        <v>57</v>
      </c>
      <c r="Z221" s="1" t="s">
        <v>64</v>
      </c>
      <c r="AA221" s="5">
        <v>0</v>
      </c>
      <c r="AB221" s="5">
        <v>0</v>
      </c>
      <c r="AD221" s="1" t="s">
        <v>64</v>
      </c>
      <c r="AE221" s="4">
        <v>25240</v>
      </c>
      <c r="AF221" s="4">
        <v>0</v>
      </c>
      <c r="AG221" s="2">
        <v>0</v>
      </c>
      <c r="AH221" s="3">
        <v>25240</v>
      </c>
      <c r="AI221" s="3">
        <v>0</v>
      </c>
      <c r="AJ221" s="5">
        <v>0</v>
      </c>
      <c r="AT221" s="1" t="s">
        <v>423</v>
      </c>
      <c r="AU221" s="1" t="s">
        <v>424</v>
      </c>
      <c r="AV221" s="1" t="s">
        <v>425</v>
      </c>
      <c r="AW221" s="1" t="s">
        <v>426</v>
      </c>
      <c r="AX221" s="1" t="s">
        <v>433</v>
      </c>
      <c r="AY221" s="1" t="s">
        <v>434</v>
      </c>
      <c r="BB221" s="1" t="s">
        <v>429</v>
      </c>
      <c r="BC221" s="1" t="s">
        <v>430</v>
      </c>
    </row>
    <row r="222" spans="1:55" x14ac:dyDescent="0.25">
      <c r="A222" s="1">
        <v>2210</v>
      </c>
      <c r="B222" s="1" t="s">
        <v>55</v>
      </c>
      <c r="C222" s="1" t="s">
        <v>56</v>
      </c>
      <c r="D222" s="1" t="s">
        <v>57</v>
      </c>
      <c r="E222" s="1" t="s">
        <v>435</v>
      </c>
      <c r="F222" s="1" t="s">
        <v>436</v>
      </c>
      <c r="G222" s="1" t="s">
        <v>409</v>
      </c>
      <c r="H222" s="1" t="s">
        <v>410</v>
      </c>
      <c r="I222" s="2">
        <v>1</v>
      </c>
      <c r="L222" s="3">
        <v>0</v>
      </c>
      <c r="M222" s="3">
        <v>180600.61</v>
      </c>
      <c r="N222" s="3">
        <v>0</v>
      </c>
      <c r="O222" s="4">
        <v>0</v>
      </c>
      <c r="P222" s="4">
        <v>180600.61</v>
      </c>
      <c r="Q222" s="4">
        <v>0</v>
      </c>
      <c r="S222" s="1" t="s">
        <v>435</v>
      </c>
      <c r="T222" s="1" t="s">
        <v>436</v>
      </c>
      <c r="W222" s="1" t="s">
        <v>57</v>
      </c>
      <c r="Z222" s="1" t="s">
        <v>64</v>
      </c>
      <c r="AA222" s="5">
        <v>0</v>
      </c>
      <c r="AB222" s="5">
        <v>0</v>
      </c>
      <c r="AD222" s="1" t="s">
        <v>64</v>
      </c>
      <c r="AE222" s="4">
        <v>180600.61</v>
      </c>
      <c r="AF222" s="4">
        <v>0</v>
      </c>
      <c r="AG222" s="2">
        <v>0</v>
      </c>
      <c r="AH222" s="3">
        <v>180600.61</v>
      </c>
      <c r="AI222" s="3">
        <v>0</v>
      </c>
      <c r="AJ222" s="5">
        <v>0</v>
      </c>
      <c r="AT222" s="1" t="s">
        <v>423</v>
      </c>
      <c r="AU222" s="1" t="s">
        <v>424</v>
      </c>
      <c r="AV222" s="1" t="s">
        <v>425</v>
      </c>
      <c r="AW222" s="1" t="s">
        <v>426</v>
      </c>
      <c r="AX222" s="1" t="s">
        <v>437</v>
      </c>
      <c r="AY222" s="1" t="s">
        <v>438</v>
      </c>
      <c r="BB222" s="1" t="s">
        <v>429</v>
      </c>
      <c r="BC222" s="1" t="s">
        <v>430</v>
      </c>
    </row>
    <row r="223" spans="1:55" x14ac:dyDescent="0.25">
      <c r="A223" s="1">
        <v>2220</v>
      </c>
      <c r="B223" s="1" t="s">
        <v>55</v>
      </c>
      <c r="C223" s="1" t="s">
        <v>56</v>
      </c>
      <c r="D223" s="1" t="s">
        <v>57</v>
      </c>
      <c r="E223" s="1" t="s">
        <v>439</v>
      </c>
      <c r="F223" s="1" t="s">
        <v>440</v>
      </c>
      <c r="G223" s="1" t="s">
        <v>409</v>
      </c>
      <c r="H223" s="1" t="s">
        <v>410</v>
      </c>
      <c r="I223" s="2">
        <v>1</v>
      </c>
      <c r="L223" s="3">
        <v>0</v>
      </c>
      <c r="M223" s="3">
        <v>176220</v>
      </c>
      <c r="N223" s="3">
        <v>0</v>
      </c>
      <c r="O223" s="4">
        <v>0</v>
      </c>
      <c r="P223" s="4">
        <v>176220</v>
      </c>
      <c r="Q223" s="4">
        <v>0</v>
      </c>
      <c r="S223" s="1" t="s">
        <v>439</v>
      </c>
      <c r="T223" s="1" t="s">
        <v>440</v>
      </c>
      <c r="W223" s="1" t="s">
        <v>57</v>
      </c>
      <c r="Z223" s="1" t="s">
        <v>64</v>
      </c>
      <c r="AA223" s="5">
        <v>0</v>
      </c>
      <c r="AB223" s="5">
        <v>0</v>
      </c>
      <c r="AD223" s="1" t="s">
        <v>64</v>
      </c>
      <c r="AE223" s="4">
        <v>176220</v>
      </c>
      <c r="AF223" s="4">
        <v>0</v>
      </c>
      <c r="AG223" s="2">
        <v>0</v>
      </c>
      <c r="AH223" s="3">
        <v>176220</v>
      </c>
      <c r="AI223" s="3">
        <v>0</v>
      </c>
      <c r="AJ223" s="5">
        <v>0</v>
      </c>
      <c r="AT223" s="1" t="s">
        <v>423</v>
      </c>
      <c r="AU223" s="1" t="s">
        <v>424</v>
      </c>
      <c r="AV223" s="1" t="s">
        <v>425</v>
      </c>
      <c r="AW223" s="1" t="s">
        <v>426</v>
      </c>
      <c r="AX223" s="1" t="s">
        <v>441</v>
      </c>
      <c r="AY223" s="1" t="s">
        <v>442</v>
      </c>
      <c r="BB223" s="1" t="s">
        <v>429</v>
      </c>
      <c r="BC223" s="1" t="s">
        <v>430</v>
      </c>
    </row>
    <row r="224" spans="1:55" x14ac:dyDescent="0.25">
      <c r="A224" s="1">
        <v>2230</v>
      </c>
      <c r="B224" s="1" t="s">
        <v>55</v>
      </c>
      <c r="C224" s="1" t="s">
        <v>56</v>
      </c>
      <c r="D224" s="1" t="s">
        <v>57</v>
      </c>
      <c r="E224" s="1" t="s">
        <v>443</v>
      </c>
      <c r="F224" s="1" t="s">
        <v>444</v>
      </c>
      <c r="G224" s="1" t="s">
        <v>409</v>
      </c>
      <c r="H224" s="1" t="s">
        <v>410</v>
      </c>
      <c r="I224" s="2">
        <v>1</v>
      </c>
      <c r="L224" s="3">
        <v>0</v>
      </c>
      <c r="M224" s="3">
        <v>14000</v>
      </c>
      <c r="N224" s="3">
        <v>0</v>
      </c>
      <c r="O224" s="4">
        <v>0</v>
      </c>
      <c r="P224" s="4">
        <v>14000</v>
      </c>
      <c r="Q224" s="4">
        <v>0</v>
      </c>
      <c r="S224" s="1" t="s">
        <v>443</v>
      </c>
      <c r="T224" s="1" t="s">
        <v>444</v>
      </c>
      <c r="W224" s="1" t="s">
        <v>57</v>
      </c>
      <c r="Z224" s="1" t="s">
        <v>64</v>
      </c>
      <c r="AA224" s="5">
        <v>0</v>
      </c>
      <c r="AB224" s="5">
        <v>0</v>
      </c>
      <c r="AD224" s="1" t="s">
        <v>64</v>
      </c>
      <c r="AE224" s="4">
        <v>14000</v>
      </c>
      <c r="AF224" s="4">
        <v>0</v>
      </c>
      <c r="AG224" s="2">
        <v>0</v>
      </c>
      <c r="AH224" s="3">
        <v>14000</v>
      </c>
      <c r="AI224" s="3">
        <v>0</v>
      </c>
      <c r="AJ224" s="5">
        <v>0</v>
      </c>
      <c r="AT224" s="1" t="s">
        <v>423</v>
      </c>
      <c r="AU224" s="1" t="s">
        <v>424</v>
      </c>
      <c r="AV224" s="1" t="s">
        <v>425</v>
      </c>
      <c r="AW224" s="1" t="s">
        <v>426</v>
      </c>
      <c r="AX224" s="1" t="s">
        <v>445</v>
      </c>
      <c r="AY224" s="1" t="s">
        <v>446</v>
      </c>
      <c r="BB224" s="1" t="s">
        <v>429</v>
      </c>
      <c r="BC224" s="1" t="s">
        <v>430</v>
      </c>
    </row>
    <row r="225" spans="1:55" x14ac:dyDescent="0.25">
      <c r="A225" s="1">
        <v>2240</v>
      </c>
      <c r="B225" s="1" t="s">
        <v>55</v>
      </c>
      <c r="C225" s="1" t="s">
        <v>56</v>
      </c>
      <c r="D225" s="1" t="s">
        <v>57</v>
      </c>
      <c r="E225" s="1" t="s">
        <v>447</v>
      </c>
      <c r="F225" s="1" t="s">
        <v>448</v>
      </c>
      <c r="G225" s="1" t="s">
        <v>409</v>
      </c>
      <c r="H225" s="1" t="s">
        <v>410</v>
      </c>
      <c r="I225" s="2">
        <v>1</v>
      </c>
      <c r="L225" s="3">
        <v>0</v>
      </c>
      <c r="M225" s="3">
        <v>10500</v>
      </c>
      <c r="N225" s="3">
        <v>0</v>
      </c>
      <c r="O225" s="4">
        <v>0</v>
      </c>
      <c r="P225" s="4">
        <v>10500</v>
      </c>
      <c r="Q225" s="4">
        <v>0</v>
      </c>
      <c r="S225" s="1" t="s">
        <v>447</v>
      </c>
      <c r="T225" s="1" t="s">
        <v>448</v>
      </c>
      <c r="W225" s="1" t="s">
        <v>57</v>
      </c>
      <c r="Z225" s="1" t="s">
        <v>64</v>
      </c>
      <c r="AA225" s="5">
        <v>0</v>
      </c>
      <c r="AB225" s="5">
        <v>0</v>
      </c>
      <c r="AD225" s="1" t="s">
        <v>64</v>
      </c>
      <c r="AE225" s="4">
        <v>10500</v>
      </c>
      <c r="AF225" s="4">
        <v>0</v>
      </c>
      <c r="AG225" s="2">
        <v>0</v>
      </c>
      <c r="AH225" s="3">
        <v>10500</v>
      </c>
      <c r="AI225" s="3">
        <v>0</v>
      </c>
      <c r="AJ225" s="5">
        <v>0</v>
      </c>
      <c r="AT225" s="1" t="s">
        <v>423</v>
      </c>
      <c r="AU225" s="1" t="s">
        <v>424</v>
      </c>
      <c r="AV225" s="1" t="s">
        <v>425</v>
      </c>
      <c r="AW225" s="1" t="s">
        <v>426</v>
      </c>
      <c r="AX225" s="1" t="s">
        <v>449</v>
      </c>
      <c r="AY225" s="1" t="s">
        <v>448</v>
      </c>
      <c r="BB225" s="1" t="s">
        <v>429</v>
      </c>
      <c r="BC225" s="1" t="s">
        <v>430</v>
      </c>
    </row>
    <row r="226" spans="1:55" x14ac:dyDescent="0.25">
      <c r="A226" s="1">
        <v>2250</v>
      </c>
      <c r="B226" s="1" t="s">
        <v>55</v>
      </c>
      <c r="C226" s="1" t="s">
        <v>56</v>
      </c>
      <c r="D226" s="1" t="s">
        <v>57</v>
      </c>
      <c r="E226" s="1" t="s">
        <v>450</v>
      </c>
      <c r="F226" s="1" t="s">
        <v>451</v>
      </c>
      <c r="G226" s="1" t="s">
        <v>409</v>
      </c>
      <c r="H226" s="1" t="s">
        <v>410</v>
      </c>
      <c r="I226" s="2">
        <v>1</v>
      </c>
      <c r="L226" s="3">
        <v>0</v>
      </c>
      <c r="M226" s="3">
        <v>73485.604000000007</v>
      </c>
      <c r="N226" s="3">
        <v>0</v>
      </c>
      <c r="O226" s="4">
        <v>0</v>
      </c>
      <c r="P226" s="4">
        <v>73485.600000000006</v>
      </c>
      <c r="Q226" s="4">
        <v>0</v>
      </c>
      <c r="S226" s="1" t="s">
        <v>450</v>
      </c>
      <c r="T226" s="1" t="s">
        <v>451</v>
      </c>
      <c r="W226" s="1" t="s">
        <v>57</v>
      </c>
      <c r="Z226" s="1" t="s">
        <v>64</v>
      </c>
      <c r="AA226" s="5">
        <v>0</v>
      </c>
      <c r="AB226" s="5">
        <v>0</v>
      </c>
      <c r="AD226" s="1" t="s">
        <v>64</v>
      </c>
      <c r="AE226" s="4">
        <v>73485.600000000006</v>
      </c>
      <c r="AF226" s="4">
        <v>0</v>
      </c>
      <c r="AG226" s="2">
        <v>0</v>
      </c>
      <c r="AH226" s="3">
        <v>73485.604000000007</v>
      </c>
      <c r="AI226" s="3">
        <v>0</v>
      </c>
      <c r="AJ226" s="5">
        <v>0</v>
      </c>
      <c r="AT226" s="1" t="s">
        <v>423</v>
      </c>
      <c r="AU226" s="1" t="s">
        <v>424</v>
      </c>
      <c r="AV226" s="1" t="s">
        <v>425</v>
      </c>
      <c r="AW226" s="1" t="s">
        <v>426</v>
      </c>
      <c r="AX226" s="1" t="s">
        <v>452</v>
      </c>
      <c r="AY226" s="1" t="s">
        <v>453</v>
      </c>
      <c r="BB226" s="1" t="s">
        <v>429</v>
      </c>
      <c r="BC226" s="1" t="s">
        <v>430</v>
      </c>
    </row>
    <row r="227" spans="1:55" x14ac:dyDescent="0.25">
      <c r="A227" s="1">
        <v>2260</v>
      </c>
      <c r="B227" s="1" t="s">
        <v>55</v>
      </c>
      <c r="C227" s="1" t="s">
        <v>56</v>
      </c>
      <c r="D227" s="1" t="s">
        <v>57</v>
      </c>
      <c r="E227" s="1" t="s">
        <v>454</v>
      </c>
      <c r="F227" s="1" t="s">
        <v>455</v>
      </c>
      <c r="G227" s="1" t="s">
        <v>409</v>
      </c>
      <c r="H227" s="1" t="s">
        <v>410</v>
      </c>
      <c r="I227" s="2">
        <v>1</v>
      </c>
      <c r="L227" s="3">
        <v>0</v>
      </c>
      <c r="M227" s="3">
        <v>175000</v>
      </c>
      <c r="N227" s="3">
        <v>0</v>
      </c>
      <c r="O227" s="4">
        <v>0</v>
      </c>
      <c r="P227" s="4">
        <v>175000</v>
      </c>
      <c r="Q227" s="4">
        <v>0</v>
      </c>
      <c r="S227" s="1" t="s">
        <v>454</v>
      </c>
      <c r="T227" s="1" t="s">
        <v>456</v>
      </c>
      <c r="W227" s="1" t="s">
        <v>57</v>
      </c>
      <c r="Z227" s="1" t="s">
        <v>64</v>
      </c>
      <c r="AA227" s="5">
        <v>0</v>
      </c>
      <c r="AB227" s="5">
        <v>0</v>
      </c>
      <c r="AD227" s="1" t="s">
        <v>64</v>
      </c>
      <c r="AE227" s="4">
        <v>175000</v>
      </c>
      <c r="AF227" s="4">
        <v>0</v>
      </c>
      <c r="AG227" s="2">
        <v>0</v>
      </c>
      <c r="AH227" s="3">
        <v>175000</v>
      </c>
      <c r="AI227" s="3">
        <v>0</v>
      </c>
      <c r="AJ227" s="5">
        <v>0</v>
      </c>
      <c r="AT227" s="1" t="s">
        <v>457</v>
      </c>
      <c r="AU227" s="1" t="s">
        <v>458</v>
      </c>
      <c r="AV227" s="1" t="s">
        <v>459</v>
      </c>
      <c r="AW227" s="1" t="s">
        <v>460</v>
      </c>
      <c r="AX227" s="1" t="s">
        <v>461</v>
      </c>
      <c r="AY227" s="1" t="s">
        <v>456</v>
      </c>
      <c r="BB227" s="1" t="s">
        <v>429</v>
      </c>
      <c r="BC227" s="1" t="s">
        <v>430</v>
      </c>
    </row>
    <row r="228" spans="1:55" x14ac:dyDescent="0.25">
      <c r="A228" s="1">
        <v>2270</v>
      </c>
      <c r="B228" s="1" t="s">
        <v>55</v>
      </c>
      <c r="C228" s="1" t="s">
        <v>56</v>
      </c>
      <c r="D228" s="1" t="s">
        <v>57</v>
      </c>
      <c r="E228" s="1" t="s">
        <v>462</v>
      </c>
      <c r="F228" s="1" t="s">
        <v>463</v>
      </c>
      <c r="G228" s="1" t="s">
        <v>409</v>
      </c>
      <c r="H228" s="1" t="s">
        <v>410</v>
      </c>
      <c r="I228" s="2">
        <v>1</v>
      </c>
      <c r="L228" s="3">
        <v>0</v>
      </c>
      <c r="M228" s="3">
        <v>70000</v>
      </c>
      <c r="N228" s="3">
        <v>0</v>
      </c>
      <c r="O228" s="4">
        <v>0</v>
      </c>
      <c r="P228" s="4">
        <v>70000</v>
      </c>
      <c r="Q228" s="4">
        <v>0</v>
      </c>
      <c r="S228" s="1" t="s">
        <v>462</v>
      </c>
      <c r="T228" s="1" t="s">
        <v>463</v>
      </c>
      <c r="W228" s="1" t="s">
        <v>57</v>
      </c>
      <c r="Z228" s="1" t="s">
        <v>64</v>
      </c>
      <c r="AA228" s="5">
        <v>0</v>
      </c>
      <c r="AB228" s="5">
        <v>0</v>
      </c>
      <c r="AD228" s="1" t="s">
        <v>64</v>
      </c>
      <c r="AE228" s="4">
        <v>70000</v>
      </c>
      <c r="AF228" s="4">
        <v>0</v>
      </c>
      <c r="AG228" s="2">
        <v>0</v>
      </c>
      <c r="AH228" s="3">
        <v>70000</v>
      </c>
      <c r="AI228" s="3">
        <v>0</v>
      </c>
      <c r="AJ228" s="5">
        <v>0</v>
      </c>
      <c r="AT228" s="1" t="s">
        <v>457</v>
      </c>
      <c r="AU228" s="1" t="s">
        <v>458</v>
      </c>
      <c r="AV228" s="1" t="s">
        <v>459</v>
      </c>
      <c r="AW228" s="1" t="s">
        <v>460</v>
      </c>
      <c r="AX228" s="1" t="s">
        <v>464</v>
      </c>
      <c r="AY228" s="1" t="s">
        <v>465</v>
      </c>
      <c r="BB228" s="1" t="s">
        <v>429</v>
      </c>
      <c r="BC228" s="1" t="s">
        <v>430</v>
      </c>
    </row>
    <row r="229" spans="1:55" x14ac:dyDescent="0.25">
      <c r="A229" s="1">
        <v>2280</v>
      </c>
      <c r="B229" s="1" t="s">
        <v>55</v>
      </c>
      <c r="C229" s="1" t="s">
        <v>56</v>
      </c>
      <c r="D229" s="1" t="s">
        <v>57</v>
      </c>
      <c r="E229" s="1" t="s">
        <v>466</v>
      </c>
      <c r="F229" s="1" t="s">
        <v>467</v>
      </c>
      <c r="G229" s="1" t="s">
        <v>409</v>
      </c>
      <c r="H229" s="1" t="s">
        <v>410</v>
      </c>
      <c r="I229" s="2">
        <v>1</v>
      </c>
      <c r="L229" s="3">
        <v>0</v>
      </c>
      <c r="M229" s="3">
        <v>7000</v>
      </c>
      <c r="N229" s="3">
        <v>0</v>
      </c>
      <c r="O229" s="4">
        <v>0</v>
      </c>
      <c r="P229" s="4">
        <v>7000</v>
      </c>
      <c r="Q229" s="4">
        <v>0</v>
      </c>
      <c r="S229" s="1" t="s">
        <v>466</v>
      </c>
      <c r="T229" s="1" t="s">
        <v>467</v>
      </c>
      <c r="W229" s="1" t="s">
        <v>57</v>
      </c>
      <c r="Z229" s="1" t="s">
        <v>64</v>
      </c>
      <c r="AA229" s="5">
        <v>0</v>
      </c>
      <c r="AB229" s="5">
        <v>0</v>
      </c>
      <c r="AD229" s="1" t="s">
        <v>64</v>
      </c>
      <c r="AE229" s="4">
        <v>7000</v>
      </c>
      <c r="AF229" s="4">
        <v>0</v>
      </c>
      <c r="AG229" s="2">
        <v>0</v>
      </c>
      <c r="AH229" s="3">
        <v>7000</v>
      </c>
      <c r="AI229" s="3">
        <v>0</v>
      </c>
      <c r="AJ229" s="5">
        <v>0</v>
      </c>
      <c r="AT229" s="1" t="s">
        <v>457</v>
      </c>
      <c r="AU229" s="1" t="s">
        <v>458</v>
      </c>
      <c r="AV229" s="1" t="s">
        <v>459</v>
      </c>
      <c r="AW229" s="1" t="s">
        <v>460</v>
      </c>
      <c r="AX229" s="1" t="s">
        <v>468</v>
      </c>
      <c r="AY229" s="1" t="s">
        <v>467</v>
      </c>
      <c r="BB229" s="1" t="s">
        <v>429</v>
      </c>
      <c r="BC229" s="1" t="s">
        <v>430</v>
      </c>
    </row>
    <row r="230" spans="1:55" x14ac:dyDescent="0.25">
      <c r="A230" s="1">
        <v>2290</v>
      </c>
      <c r="B230" s="1" t="s">
        <v>55</v>
      </c>
      <c r="C230" s="1" t="s">
        <v>56</v>
      </c>
      <c r="D230" s="1" t="s">
        <v>57</v>
      </c>
      <c r="E230" s="1" t="s">
        <v>469</v>
      </c>
      <c r="F230" s="1" t="s">
        <v>470</v>
      </c>
      <c r="G230" s="1" t="s">
        <v>409</v>
      </c>
      <c r="H230" s="1" t="s">
        <v>410</v>
      </c>
      <c r="I230" s="2">
        <v>1</v>
      </c>
      <c r="L230" s="3">
        <v>0</v>
      </c>
      <c r="M230" s="3">
        <v>36900</v>
      </c>
      <c r="N230" s="3">
        <v>0</v>
      </c>
      <c r="O230" s="4">
        <v>0</v>
      </c>
      <c r="P230" s="4">
        <v>36900</v>
      </c>
      <c r="Q230" s="4">
        <v>0</v>
      </c>
      <c r="S230" s="1" t="s">
        <v>469</v>
      </c>
      <c r="T230" s="1" t="s">
        <v>470</v>
      </c>
      <c r="W230" s="1" t="s">
        <v>57</v>
      </c>
      <c r="Z230" s="1" t="s">
        <v>64</v>
      </c>
      <c r="AA230" s="5">
        <v>0</v>
      </c>
      <c r="AB230" s="5">
        <v>0</v>
      </c>
      <c r="AD230" s="1" t="s">
        <v>64</v>
      </c>
      <c r="AE230" s="4">
        <v>36900</v>
      </c>
      <c r="AF230" s="4">
        <v>0</v>
      </c>
      <c r="AG230" s="2">
        <v>0</v>
      </c>
      <c r="AH230" s="3">
        <v>36900</v>
      </c>
      <c r="AI230" s="3">
        <v>0</v>
      </c>
      <c r="AJ230" s="5">
        <v>0</v>
      </c>
      <c r="AT230" s="1" t="s">
        <v>457</v>
      </c>
      <c r="AU230" s="1" t="s">
        <v>458</v>
      </c>
      <c r="AV230" s="1" t="s">
        <v>459</v>
      </c>
      <c r="AW230" s="1" t="s">
        <v>460</v>
      </c>
      <c r="AX230" s="1" t="s">
        <v>471</v>
      </c>
      <c r="AY230" s="1" t="s">
        <v>470</v>
      </c>
      <c r="BB230" s="1" t="s">
        <v>429</v>
      </c>
      <c r="BC230" s="1" t="s">
        <v>430</v>
      </c>
    </row>
    <row r="231" spans="1:55" x14ac:dyDescent="0.25">
      <c r="A231" s="1">
        <v>2300</v>
      </c>
      <c r="B231" s="1" t="s">
        <v>55</v>
      </c>
      <c r="C231" s="1" t="s">
        <v>56</v>
      </c>
      <c r="D231" s="1" t="s">
        <v>57</v>
      </c>
      <c r="E231" s="1" t="s">
        <v>472</v>
      </c>
      <c r="F231" s="1" t="s">
        <v>473</v>
      </c>
      <c r="G231" s="1" t="s">
        <v>409</v>
      </c>
      <c r="H231" s="1" t="s">
        <v>410</v>
      </c>
      <c r="I231" s="2">
        <v>1</v>
      </c>
      <c r="L231" s="3">
        <v>0</v>
      </c>
      <c r="M231" s="3">
        <v>3500</v>
      </c>
      <c r="N231" s="3">
        <v>0</v>
      </c>
      <c r="O231" s="4">
        <v>0</v>
      </c>
      <c r="P231" s="4">
        <v>3500</v>
      </c>
      <c r="Q231" s="4">
        <v>0</v>
      </c>
      <c r="S231" s="1" t="s">
        <v>472</v>
      </c>
      <c r="T231" s="1" t="s">
        <v>474</v>
      </c>
      <c r="W231" s="1" t="s">
        <v>57</v>
      </c>
      <c r="Z231" s="1" t="s">
        <v>64</v>
      </c>
      <c r="AA231" s="5">
        <v>0</v>
      </c>
      <c r="AB231" s="5">
        <v>0</v>
      </c>
      <c r="AD231" s="1" t="s">
        <v>64</v>
      </c>
      <c r="AE231" s="4">
        <v>3500</v>
      </c>
      <c r="AF231" s="4">
        <v>0</v>
      </c>
      <c r="AG231" s="2">
        <v>0</v>
      </c>
      <c r="AH231" s="3">
        <v>3500</v>
      </c>
      <c r="AI231" s="3">
        <v>0</v>
      </c>
      <c r="AJ231" s="5">
        <v>0</v>
      </c>
      <c r="AT231" s="1" t="s">
        <v>457</v>
      </c>
      <c r="AU231" s="1" t="s">
        <v>458</v>
      </c>
      <c r="AV231" s="1" t="s">
        <v>459</v>
      </c>
      <c r="AW231" s="1" t="s">
        <v>460</v>
      </c>
      <c r="AX231" s="1" t="s">
        <v>475</v>
      </c>
      <c r="AY231" s="1" t="s">
        <v>474</v>
      </c>
      <c r="BB231" s="1" t="s">
        <v>429</v>
      </c>
      <c r="BC231" s="1" t="s">
        <v>430</v>
      </c>
    </row>
    <row r="232" spans="1:55" x14ac:dyDescent="0.25">
      <c r="A232" s="1">
        <v>2310</v>
      </c>
      <c r="B232" s="1" t="s">
        <v>55</v>
      </c>
      <c r="C232" s="1" t="s">
        <v>56</v>
      </c>
      <c r="D232" s="1" t="s">
        <v>57</v>
      </c>
      <c r="E232" s="1" t="s">
        <v>476</v>
      </c>
      <c r="F232" s="1" t="s">
        <v>477</v>
      </c>
      <c r="G232" s="1" t="s">
        <v>409</v>
      </c>
      <c r="H232" s="1" t="s">
        <v>410</v>
      </c>
      <c r="I232" s="2">
        <v>1</v>
      </c>
      <c r="L232" s="3">
        <v>0</v>
      </c>
      <c r="M232" s="3">
        <v>500</v>
      </c>
      <c r="N232" s="3">
        <v>0</v>
      </c>
      <c r="O232" s="4">
        <v>0</v>
      </c>
      <c r="P232" s="4">
        <v>500</v>
      </c>
      <c r="Q232" s="4">
        <v>0</v>
      </c>
      <c r="S232" s="1" t="s">
        <v>476</v>
      </c>
      <c r="T232" s="1" t="s">
        <v>477</v>
      </c>
      <c r="W232" s="1" t="s">
        <v>57</v>
      </c>
      <c r="Z232" s="1" t="s">
        <v>64</v>
      </c>
      <c r="AA232" s="5">
        <v>0</v>
      </c>
      <c r="AB232" s="5">
        <v>0</v>
      </c>
      <c r="AD232" s="1" t="s">
        <v>64</v>
      </c>
      <c r="AE232" s="4">
        <v>500</v>
      </c>
      <c r="AF232" s="4">
        <v>0</v>
      </c>
      <c r="AG232" s="2">
        <v>0</v>
      </c>
      <c r="AH232" s="3">
        <v>500</v>
      </c>
      <c r="AI232" s="3">
        <v>0</v>
      </c>
      <c r="AJ232" s="5">
        <v>0</v>
      </c>
      <c r="AR232" s="1" t="s">
        <v>64</v>
      </c>
      <c r="AS232" s="1" t="s">
        <v>457</v>
      </c>
      <c r="AT232" s="1" t="s">
        <v>457</v>
      </c>
      <c r="AU232" s="1" t="s">
        <v>458</v>
      </c>
      <c r="AV232" s="1" t="s">
        <v>459</v>
      </c>
      <c r="AW232" s="1" t="s">
        <v>460</v>
      </c>
      <c r="AX232" s="1" t="s">
        <v>478</v>
      </c>
      <c r="AY232" s="1" t="s">
        <v>477</v>
      </c>
      <c r="BB232" s="1" t="s">
        <v>429</v>
      </c>
      <c r="BC232" s="1" t="s">
        <v>430</v>
      </c>
    </row>
    <row r="233" spans="1:55" x14ac:dyDescent="0.25">
      <c r="A233" s="1">
        <v>2320</v>
      </c>
      <c r="B233" s="1" t="s">
        <v>55</v>
      </c>
      <c r="C233" s="1" t="s">
        <v>56</v>
      </c>
      <c r="D233" s="1" t="s">
        <v>57</v>
      </c>
      <c r="E233" s="1" t="s">
        <v>479</v>
      </c>
      <c r="F233" s="1" t="s">
        <v>480</v>
      </c>
      <c r="G233" s="1" t="s">
        <v>409</v>
      </c>
      <c r="H233" s="1" t="s">
        <v>410</v>
      </c>
      <c r="I233" s="2">
        <v>1</v>
      </c>
      <c r="L233" s="3">
        <v>0</v>
      </c>
      <c r="M233" s="3">
        <v>15480</v>
      </c>
      <c r="N233" s="3">
        <v>0</v>
      </c>
      <c r="O233" s="4">
        <v>0</v>
      </c>
      <c r="P233" s="4">
        <v>15480</v>
      </c>
      <c r="Q233" s="4">
        <v>0</v>
      </c>
      <c r="S233" s="1" t="s">
        <v>479</v>
      </c>
      <c r="T233" s="1" t="s">
        <v>480</v>
      </c>
      <c r="W233" s="1" t="s">
        <v>57</v>
      </c>
      <c r="Z233" s="1" t="s">
        <v>64</v>
      </c>
      <c r="AA233" s="5">
        <v>0</v>
      </c>
      <c r="AB233" s="5">
        <v>0</v>
      </c>
      <c r="AD233" s="1" t="s">
        <v>64</v>
      </c>
      <c r="AE233" s="4">
        <v>15480</v>
      </c>
      <c r="AF233" s="4">
        <v>0</v>
      </c>
      <c r="AG233" s="2">
        <v>0</v>
      </c>
      <c r="AH233" s="3">
        <v>15480</v>
      </c>
      <c r="AI233" s="3">
        <v>0</v>
      </c>
      <c r="AJ233" s="5">
        <v>0</v>
      </c>
      <c r="AT233" s="1" t="s">
        <v>457</v>
      </c>
      <c r="AU233" s="1" t="s">
        <v>458</v>
      </c>
      <c r="AV233" s="1" t="s">
        <v>459</v>
      </c>
      <c r="AW233" s="1" t="s">
        <v>460</v>
      </c>
      <c r="AX233" s="1" t="s">
        <v>481</v>
      </c>
      <c r="AY233" s="1" t="s">
        <v>480</v>
      </c>
      <c r="BB233" s="1" t="s">
        <v>429</v>
      </c>
      <c r="BC233" s="1" t="s">
        <v>430</v>
      </c>
    </row>
    <row r="234" spans="1:55" x14ac:dyDescent="0.25">
      <c r="A234" s="1">
        <v>2330</v>
      </c>
      <c r="B234" s="1" t="s">
        <v>55</v>
      </c>
      <c r="C234" s="1" t="s">
        <v>56</v>
      </c>
      <c r="D234" s="1" t="s">
        <v>57</v>
      </c>
      <c r="E234" s="1" t="s">
        <v>482</v>
      </c>
      <c r="F234" s="1" t="s">
        <v>483</v>
      </c>
      <c r="G234" s="1" t="s">
        <v>409</v>
      </c>
      <c r="H234" s="1" t="s">
        <v>410</v>
      </c>
      <c r="I234" s="2">
        <v>1</v>
      </c>
      <c r="L234" s="3">
        <v>0</v>
      </c>
      <c r="M234" s="3">
        <v>175000</v>
      </c>
      <c r="N234" s="3">
        <v>0</v>
      </c>
      <c r="O234" s="4">
        <v>0</v>
      </c>
      <c r="P234" s="4">
        <v>175000</v>
      </c>
      <c r="Q234" s="4">
        <v>0</v>
      </c>
      <c r="S234" s="1" t="s">
        <v>482</v>
      </c>
      <c r="T234" s="1" t="s">
        <v>484</v>
      </c>
      <c r="W234" s="1" t="s">
        <v>57</v>
      </c>
      <c r="Z234" s="1" t="s">
        <v>64</v>
      </c>
      <c r="AA234" s="5">
        <v>0</v>
      </c>
      <c r="AB234" s="5">
        <v>0</v>
      </c>
      <c r="AD234" s="1" t="s">
        <v>64</v>
      </c>
      <c r="AE234" s="4">
        <v>175000</v>
      </c>
      <c r="AF234" s="4">
        <v>0</v>
      </c>
      <c r="AG234" s="2">
        <v>0</v>
      </c>
      <c r="AH234" s="3">
        <v>175000</v>
      </c>
      <c r="AI234" s="3">
        <v>0</v>
      </c>
      <c r="AJ234" s="5">
        <v>0</v>
      </c>
      <c r="AT234" s="1" t="s">
        <v>457</v>
      </c>
      <c r="AU234" s="1" t="s">
        <v>458</v>
      </c>
      <c r="AV234" s="1" t="s">
        <v>459</v>
      </c>
      <c r="AW234" s="1" t="s">
        <v>460</v>
      </c>
      <c r="AX234" s="1" t="s">
        <v>485</v>
      </c>
      <c r="AY234" s="1" t="s">
        <v>483</v>
      </c>
      <c r="BB234" s="1" t="s">
        <v>429</v>
      </c>
      <c r="BC234" s="1" t="s">
        <v>430</v>
      </c>
    </row>
    <row r="235" spans="1:55" x14ac:dyDescent="0.25">
      <c r="A235" s="1">
        <v>2340</v>
      </c>
      <c r="B235" s="1" t="s">
        <v>55</v>
      </c>
      <c r="C235" s="1" t="s">
        <v>56</v>
      </c>
      <c r="D235" s="1" t="s">
        <v>57</v>
      </c>
      <c r="E235" s="1" t="s">
        <v>486</v>
      </c>
      <c r="F235" s="1" t="s">
        <v>487</v>
      </c>
      <c r="G235" s="1" t="s">
        <v>409</v>
      </c>
      <c r="H235" s="1" t="s">
        <v>410</v>
      </c>
      <c r="I235" s="2">
        <v>1</v>
      </c>
      <c r="L235" s="3">
        <v>0</v>
      </c>
      <c r="M235" s="3">
        <v>218685.245</v>
      </c>
      <c r="N235" s="3">
        <v>0</v>
      </c>
      <c r="O235" s="4">
        <v>0</v>
      </c>
      <c r="P235" s="4">
        <v>218685.25</v>
      </c>
      <c r="Q235" s="4">
        <v>0</v>
      </c>
      <c r="S235" s="1" t="s">
        <v>488</v>
      </c>
      <c r="T235" s="1" t="s">
        <v>487</v>
      </c>
      <c r="W235" s="1" t="s">
        <v>57</v>
      </c>
      <c r="Z235" s="1" t="s">
        <v>64</v>
      </c>
      <c r="AA235" s="5">
        <v>0</v>
      </c>
      <c r="AB235" s="5">
        <v>0</v>
      </c>
      <c r="AD235" s="1" t="s">
        <v>64</v>
      </c>
      <c r="AE235" s="4">
        <v>218685.25</v>
      </c>
      <c r="AF235" s="4">
        <v>0</v>
      </c>
      <c r="AG235" s="2">
        <v>0</v>
      </c>
      <c r="AH235" s="3">
        <v>218685.245</v>
      </c>
      <c r="AI235" s="3">
        <v>0</v>
      </c>
      <c r="AJ235" s="5">
        <v>0</v>
      </c>
      <c r="AT235" s="1" t="s">
        <v>489</v>
      </c>
      <c r="AU235" s="1" t="s">
        <v>490</v>
      </c>
      <c r="AV235" s="1" t="s">
        <v>491</v>
      </c>
      <c r="AW235" s="1" t="s">
        <v>492</v>
      </c>
      <c r="AX235" s="1" t="s">
        <v>493</v>
      </c>
      <c r="AY235" s="1" t="s">
        <v>487</v>
      </c>
      <c r="BB235" s="1" t="s">
        <v>429</v>
      </c>
      <c r="BC235" s="1" t="s">
        <v>430</v>
      </c>
    </row>
    <row r="236" spans="1:55" x14ac:dyDescent="0.25">
      <c r="A236" s="1">
        <v>2350</v>
      </c>
      <c r="B236" s="1" t="s">
        <v>55</v>
      </c>
      <c r="C236" s="1" t="s">
        <v>56</v>
      </c>
      <c r="D236" s="1" t="s">
        <v>57</v>
      </c>
      <c r="E236" s="1" t="s">
        <v>494</v>
      </c>
      <c r="F236" s="1" t="s">
        <v>495</v>
      </c>
      <c r="G236" s="1" t="s">
        <v>409</v>
      </c>
      <c r="H236" s="1" t="s">
        <v>410</v>
      </c>
      <c r="I236" s="2">
        <v>1</v>
      </c>
      <c r="L236" s="3">
        <v>0</v>
      </c>
      <c r="M236" s="3">
        <v>52971.667000000001</v>
      </c>
      <c r="N236" s="3">
        <v>0</v>
      </c>
      <c r="O236" s="4">
        <v>0</v>
      </c>
      <c r="P236" s="4">
        <v>52971.67</v>
      </c>
      <c r="Q236" s="4">
        <v>0</v>
      </c>
      <c r="S236" s="1" t="s">
        <v>494</v>
      </c>
      <c r="T236" s="1" t="s">
        <v>495</v>
      </c>
      <c r="W236" s="1" t="s">
        <v>57</v>
      </c>
      <c r="Z236" s="1" t="s">
        <v>64</v>
      </c>
      <c r="AA236" s="5">
        <v>0</v>
      </c>
      <c r="AB236" s="5">
        <v>0</v>
      </c>
      <c r="AD236" s="1" t="s">
        <v>64</v>
      </c>
      <c r="AE236" s="4">
        <v>52971.67</v>
      </c>
      <c r="AF236" s="4">
        <v>0</v>
      </c>
      <c r="AG236" s="2">
        <v>0</v>
      </c>
      <c r="AH236" s="3">
        <v>52971.667000000001</v>
      </c>
      <c r="AI236" s="3">
        <v>0</v>
      </c>
      <c r="AJ236" s="5">
        <v>0</v>
      </c>
      <c r="AT236" s="1" t="s">
        <v>489</v>
      </c>
      <c r="AU236" s="1" t="s">
        <v>490</v>
      </c>
      <c r="AV236" s="1" t="s">
        <v>491</v>
      </c>
      <c r="AW236" s="1" t="s">
        <v>492</v>
      </c>
      <c r="AX236" s="1" t="s">
        <v>496</v>
      </c>
      <c r="AY236" s="1" t="s">
        <v>495</v>
      </c>
      <c r="BB236" s="1" t="s">
        <v>429</v>
      </c>
      <c r="BC236" s="1" t="s">
        <v>430</v>
      </c>
    </row>
    <row r="237" spans="1:55" x14ac:dyDescent="0.25">
      <c r="A237" s="1">
        <v>2360</v>
      </c>
      <c r="B237" s="1" t="s">
        <v>55</v>
      </c>
      <c r="C237" s="1" t="s">
        <v>56</v>
      </c>
      <c r="D237" s="1" t="s">
        <v>57</v>
      </c>
      <c r="E237" s="1" t="s">
        <v>497</v>
      </c>
      <c r="F237" s="1" t="s">
        <v>498</v>
      </c>
      <c r="G237" s="1" t="s">
        <v>409</v>
      </c>
      <c r="H237" s="1" t="s">
        <v>410</v>
      </c>
      <c r="I237" s="2">
        <v>1</v>
      </c>
      <c r="L237" s="3">
        <v>0</v>
      </c>
      <c r="M237" s="3">
        <v>97597.6</v>
      </c>
      <c r="N237" s="3">
        <v>0</v>
      </c>
      <c r="O237" s="4">
        <v>0</v>
      </c>
      <c r="P237" s="4">
        <v>97597.6</v>
      </c>
      <c r="Q237" s="4">
        <v>0</v>
      </c>
      <c r="S237" s="1" t="s">
        <v>497</v>
      </c>
      <c r="T237" s="1" t="s">
        <v>499</v>
      </c>
      <c r="W237" s="1" t="s">
        <v>57</v>
      </c>
      <c r="Z237" s="1" t="s">
        <v>64</v>
      </c>
      <c r="AA237" s="5">
        <v>0</v>
      </c>
      <c r="AB237" s="5">
        <v>0</v>
      </c>
      <c r="AD237" s="1" t="s">
        <v>64</v>
      </c>
      <c r="AE237" s="4">
        <v>97597.6</v>
      </c>
      <c r="AF237" s="4">
        <v>0</v>
      </c>
      <c r="AG237" s="2">
        <v>0</v>
      </c>
      <c r="AH237" s="3">
        <v>97597.6</v>
      </c>
      <c r="AI237" s="3">
        <v>0</v>
      </c>
      <c r="AJ237" s="5">
        <v>0</v>
      </c>
      <c r="AT237" s="1" t="s">
        <v>489</v>
      </c>
      <c r="AU237" s="1" t="s">
        <v>490</v>
      </c>
      <c r="AV237" s="1" t="s">
        <v>491</v>
      </c>
      <c r="AW237" s="1" t="s">
        <v>492</v>
      </c>
      <c r="AX237" s="1" t="s">
        <v>500</v>
      </c>
      <c r="AY237" s="1" t="s">
        <v>499</v>
      </c>
      <c r="BB237" s="1" t="s">
        <v>429</v>
      </c>
      <c r="BC237" s="1" t="s">
        <v>430</v>
      </c>
    </row>
    <row r="238" spans="1:55" x14ac:dyDescent="0.25">
      <c r="A238" s="1">
        <v>2370</v>
      </c>
      <c r="B238" s="1" t="s">
        <v>55</v>
      </c>
      <c r="C238" s="1" t="s">
        <v>56</v>
      </c>
      <c r="D238" s="1" t="s">
        <v>57</v>
      </c>
      <c r="E238" s="1" t="s">
        <v>501</v>
      </c>
      <c r="F238" s="1" t="s">
        <v>502</v>
      </c>
      <c r="G238" s="1" t="s">
        <v>409</v>
      </c>
      <c r="H238" s="1" t="s">
        <v>410</v>
      </c>
      <c r="I238" s="2">
        <v>1</v>
      </c>
      <c r="L238" s="3">
        <v>0</v>
      </c>
      <c r="M238" s="3">
        <v>161355.51999999999</v>
      </c>
      <c r="N238" s="3">
        <v>0</v>
      </c>
      <c r="O238" s="4">
        <v>0</v>
      </c>
      <c r="P238" s="4">
        <v>161355.51999999999</v>
      </c>
      <c r="Q238" s="4">
        <v>0</v>
      </c>
      <c r="S238" s="1" t="s">
        <v>501</v>
      </c>
      <c r="T238" s="1" t="s">
        <v>502</v>
      </c>
      <c r="W238" s="1" t="s">
        <v>57</v>
      </c>
      <c r="Z238" s="1" t="s">
        <v>64</v>
      </c>
      <c r="AA238" s="5">
        <v>0</v>
      </c>
      <c r="AB238" s="5">
        <v>0</v>
      </c>
      <c r="AD238" s="1" t="s">
        <v>64</v>
      </c>
      <c r="AE238" s="4">
        <v>161355.51999999999</v>
      </c>
      <c r="AF238" s="4">
        <v>0</v>
      </c>
      <c r="AG238" s="2">
        <v>0</v>
      </c>
      <c r="AH238" s="3">
        <v>161355.51999999999</v>
      </c>
      <c r="AI238" s="3">
        <v>0</v>
      </c>
      <c r="AJ238" s="5">
        <v>0</v>
      </c>
      <c r="AT238" s="1" t="s">
        <v>489</v>
      </c>
      <c r="AU238" s="1" t="s">
        <v>490</v>
      </c>
      <c r="AV238" s="1" t="s">
        <v>491</v>
      </c>
      <c r="AW238" s="1" t="s">
        <v>492</v>
      </c>
      <c r="AX238" s="1" t="s">
        <v>503</v>
      </c>
      <c r="AY238" s="1" t="s">
        <v>502</v>
      </c>
      <c r="BB238" s="1" t="s">
        <v>429</v>
      </c>
      <c r="BC238" s="1" t="s">
        <v>430</v>
      </c>
    </row>
    <row r="239" spans="1:55" x14ac:dyDescent="0.25">
      <c r="A239" s="1">
        <v>2380</v>
      </c>
      <c r="B239" s="1" t="s">
        <v>55</v>
      </c>
      <c r="C239" s="1" t="s">
        <v>56</v>
      </c>
      <c r="D239" s="1" t="s">
        <v>57</v>
      </c>
      <c r="E239" s="1" t="s">
        <v>504</v>
      </c>
      <c r="F239" s="1" t="s">
        <v>505</v>
      </c>
      <c r="G239" s="1" t="s">
        <v>409</v>
      </c>
      <c r="H239" s="1" t="s">
        <v>410</v>
      </c>
      <c r="I239" s="2">
        <v>1</v>
      </c>
      <c r="L239" s="3">
        <v>0</v>
      </c>
      <c r="M239" s="3">
        <v>25421.014999999999</v>
      </c>
      <c r="N239" s="3">
        <v>0</v>
      </c>
      <c r="O239" s="4">
        <v>0</v>
      </c>
      <c r="P239" s="4">
        <v>25421.02</v>
      </c>
      <c r="Q239" s="4">
        <v>0</v>
      </c>
      <c r="S239" s="1" t="s">
        <v>504</v>
      </c>
      <c r="T239" s="1" t="s">
        <v>505</v>
      </c>
      <c r="W239" s="1" t="s">
        <v>57</v>
      </c>
      <c r="Z239" s="1" t="s">
        <v>64</v>
      </c>
      <c r="AA239" s="5">
        <v>0</v>
      </c>
      <c r="AB239" s="5">
        <v>0</v>
      </c>
      <c r="AD239" s="1" t="s">
        <v>64</v>
      </c>
      <c r="AE239" s="4">
        <v>25421.02</v>
      </c>
      <c r="AF239" s="4">
        <v>0</v>
      </c>
      <c r="AG239" s="2">
        <v>0</v>
      </c>
      <c r="AH239" s="3">
        <v>25421.014999999999</v>
      </c>
      <c r="AI239" s="3">
        <v>0</v>
      </c>
      <c r="AJ239" s="5">
        <v>0</v>
      </c>
      <c r="AT239" s="1" t="s">
        <v>489</v>
      </c>
      <c r="AU239" s="1" t="s">
        <v>490</v>
      </c>
      <c r="AV239" s="1" t="s">
        <v>491</v>
      </c>
      <c r="AW239" s="1" t="s">
        <v>492</v>
      </c>
      <c r="AX239" s="1" t="s">
        <v>506</v>
      </c>
      <c r="AY239" s="1" t="s">
        <v>505</v>
      </c>
      <c r="BB239" s="1" t="s">
        <v>429</v>
      </c>
      <c r="BC239" s="1" t="s">
        <v>430</v>
      </c>
    </row>
    <row r="240" spans="1:55" x14ac:dyDescent="0.25">
      <c r="A240" s="1">
        <v>2390</v>
      </c>
      <c r="B240" s="1" t="s">
        <v>55</v>
      </c>
      <c r="C240" s="1" t="s">
        <v>56</v>
      </c>
      <c r="D240" s="1" t="s">
        <v>57</v>
      </c>
      <c r="E240" s="1" t="s">
        <v>507</v>
      </c>
      <c r="F240" s="1" t="s">
        <v>508</v>
      </c>
      <c r="G240" s="1" t="s">
        <v>409</v>
      </c>
      <c r="H240" s="1" t="s">
        <v>410</v>
      </c>
      <c r="I240" s="2">
        <v>1</v>
      </c>
      <c r="L240" s="3">
        <v>0</v>
      </c>
      <c r="M240" s="3">
        <v>17500</v>
      </c>
      <c r="N240" s="3">
        <v>0</v>
      </c>
      <c r="O240" s="4">
        <v>0</v>
      </c>
      <c r="P240" s="4">
        <v>17500</v>
      </c>
      <c r="Q240" s="4">
        <v>0</v>
      </c>
      <c r="S240" s="1" t="s">
        <v>507</v>
      </c>
      <c r="T240" s="1" t="s">
        <v>509</v>
      </c>
      <c r="W240" s="1" t="s">
        <v>57</v>
      </c>
      <c r="Z240" s="1" t="s">
        <v>64</v>
      </c>
      <c r="AA240" s="5">
        <v>0</v>
      </c>
      <c r="AB240" s="5">
        <v>0</v>
      </c>
      <c r="AD240" s="1" t="s">
        <v>64</v>
      </c>
      <c r="AE240" s="4">
        <v>17500</v>
      </c>
      <c r="AF240" s="4">
        <v>0</v>
      </c>
      <c r="AG240" s="2">
        <v>0</v>
      </c>
      <c r="AH240" s="3">
        <v>17500</v>
      </c>
      <c r="AI240" s="3">
        <v>0</v>
      </c>
      <c r="AJ240" s="5">
        <v>0</v>
      </c>
      <c r="AT240" s="1" t="s">
        <v>489</v>
      </c>
      <c r="AU240" s="1" t="s">
        <v>490</v>
      </c>
      <c r="AV240" s="1" t="s">
        <v>491</v>
      </c>
      <c r="AW240" s="1" t="s">
        <v>492</v>
      </c>
      <c r="AX240" s="1" t="s">
        <v>510</v>
      </c>
      <c r="AY240" s="1" t="s">
        <v>509</v>
      </c>
      <c r="BB240" s="1" t="s">
        <v>429</v>
      </c>
      <c r="BC240" s="1" t="s">
        <v>430</v>
      </c>
    </row>
    <row r="241" spans="1:55" x14ac:dyDescent="0.25">
      <c r="A241" s="1">
        <v>2400</v>
      </c>
      <c r="B241" s="1" t="s">
        <v>55</v>
      </c>
      <c r="C241" s="1" t="s">
        <v>56</v>
      </c>
      <c r="D241" s="1" t="s">
        <v>57</v>
      </c>
      <c r="E241" s="1" t="s">
        <v>511</v>
      </c>
      <c r="F241" s="1" t="s">
        <v>512</v>
      </c>
      <c r="G241" s="1" t="s">
        <v>409</v>
      </c>
      <c r="H241" s="1" t="s">
        <v>410</v>
      </c>
      <c r="I241" s="2">
        <v>1</v>
      </c>
      <c r="L241" s="3">
        <v>0</v>
      </c>
      <c r="M241" s="3">
        <v>10500</v>
      </c>
      <c r="N241" s="3">
        <v>0</v>
      </c>
      <c r="O241" s="4">
        <v>0</v>
      </c>
      <c r="P241" s="4">
        <v>10500</v>
      </c>
      <c r="Q241" s="4">
        <v>0</v>
      </c>
      <c r="S241" s="1" t="s">
        <v>511</v>
      </c>
      <c r="T241" s="1" t="s">
        <v>513</v>
      </c>
      <c r="W241" s="1" t="s">
        <v>57</v>
      </c>
      <c r="Z241" s="1" t="s">
        <v>64</v>
      </c>
      <c r="AA241" s="5">
        <v>0</v>
      </c>
      <c r="AB241" s="5">
        <v>0</v>
      </c>
      <c r="AD241" s="1" t="s">
        <v>64</v>
      </c>
      <c r="AE241" s="4">
        <v>10500</v>
      </c>
      <c r="AF241" s="4">
        <v>0</v>
      </c>
      <c r="AG241" s="2">
        <v>0</v>
      </c>
      <c r="AH241" s="3">
        <v>10500</v>
      </c>
      <c r="AI241" s="3">
        <v>0</v>
      </c>
      <c r="AJ241" s="5">
        <v>0</v>
      </c>
      <c r="AT241" s="1" t="s">
        <v>489</v>
      </c>
      <c r="AU241" s="1" t="s">
        <v>490</v>
      </c>
      <c r="AV241" s="1" t="s">
        <v>491</v>
      </c>
      <c r="AW241" s="1" t="s">
        <v>492</v>
      </c>
      <c r="AX241" s="1" t="s">
        <v>514</v>
      </c>
      <c r="AY241" s="1" t="s">
        <v>513</v>
      </c>
      <c r="BB241" s="1" t="s">
        <v>429</v>
      </c>
      <c r="BC241" s="1" t="s">
        <v>430</v>
      </c>
    </row>
    <row r="242" spans="1:55" x14ac:dyDescent="0.25">
      <c r="A242" s="1">
        <v>2410</v>
      </c>
      <c r="B242" s="1" t="s">
        <v>55</v>
      </c>
      <c r="C242" s="1" t="s">
        <v>56</v>
      </c>
      <c r="D242" s="1" t="s">
        <v>57</v>
      </c>
      <c r="E242" s="1" t="s">
        <v>515</v>
      </c>
      <c r="F242" s="1" t="s">
        <v>516</v>
      </c>
      <c r="G242" s="1" t="s">
        <v>409</v>
      </c>
      <c r="H242" s="1" t="s">
        <v>410</v>
      </c>
      <c r="I242" s="2">
        <v>1</v>
      </c>
      <c r="L242" s="3">
        <v>0</v>
      </c>
      <c r="M242" s="3">
        <v>35000</v>
      </c>
      <c r="N242" s="3">
        <v>0</v>
      </c>
      <c r="O242" s="4">
        <v>0</v>
      </c>
      <c r="P242" s="4">
        <v>35000</v>
      </c>
      <c r="Q242" s="4">
        <v>0</v>
      </c>
      <c r="S242" s="1" t="s">
        <v>515</v>
      </c>
      <c r="T242" s="1" t="s">
        <v>516</v>
      </c>
      <c r="W242" s="1" t="s">
        <v>57</v>
      </c>
      <c r="Z242" s="1" t="s">
        <v>64</v>
      </c>
      <c r="AA242" s="5">
        <v>0</v>
      </c>
      <c r="AB242" s="5">
        <v>0</v>
      </c>
      <c r="AD242" s="1" t="s">
        <v>64</v>
      </c>
      <c r="AE242" s="4">
        <v>35000</v>
      </c>
      <c r="AF242" s="4">
        <v>0</v>
      </c>
      <c r="AG242" s="2">
        <v>0</v>
      </c>
      <c r="AH242" s="3">
        <v>35000</v>
      </c>
      <c r="AI242" s="3">
        <v>0</v>
      </c>
      <c r="AJ242" s="5">
        <v>0</v>
      </c>
      <c r="AT242" s="1" t="s">
        <v>517</v>
      </c>
      <c r="AU242" s="1" t="s">
        <v>518</v>
      </c>
      <c r="AV242" s="1" t="s">
        <v>519</v>
      </c>
      <c r="AW242" s="1" t="s">
        <v>520</v>
      </c>
      <c r="AX242" s="1" t="s">
        <v>521</v>
      </c>
      <c r="AY242" s="1" t="s">
        <v>516</v>
      </c>
      <c r="BB242" s="1" t="s">
        <v>429</v>
      </c>
      <c r="BC242" s="1" t="s">
        <v>430</v>
      </c>
    </row>
    <row r="243" spans="1:55" x14ac:dyDescent="0.25">
      <c r="A243" s="1">
        <v>2420</v>
      </c>
      <c r="B243" s="1" t="s">
        <v>55</v>
      </c>
      <c r="C243" s="1" t="s">
        <v>56</v>
      </c>
      <c r="D243" s="1" t="s">
        <v>57</v>
      </c>
      <c r="E243" s="1" t="s">
        <v>522</v>
      </c>
      <c r="F243" s="1" t="s">
        <v>523</v>
      </c>
      <c r="G243" s="1" t="s">
        <v>409</v>
      </c>
      <c r="H243" s="1" t="s">
        <v>410</v>
      </c>
      <c r="I243" s="2">
        <v>1</v>
      </c>
      <c r="L243" s="3">
        <v>0</v>
      </c>
      <c r="M243" s="3">
        <v>8750</v>
      </c>
      <c r="N243" s="3">
        <v>0</v>
      </c>
      <c r="O243" s="4">
        <v>0</v>
      </c>
      <c r="P243" s="4">
        <v>8750</v>
      </c>
      <c r="Q243" s="4">
        <v>0</v>
      </c>
      <c r="S243" s="1" t="s">
        <v>522</v>
      </c>
      <c r="T243" s="1" t="s">
        <v>523</v>
      </c>
      <c r="W243" s="1" t="s">
        <v>57</v>
      </c>
      <c r="Z243" s="1" t="s">
        <v>64</v>
      </c>
      <c r="AA243" s="5">
        <v>0</v>
      </c>
      <c r="AB243" s="5">
        <v>0</v>
      </c>
      <c r="AD243" s="1" t="s">
        <v>64</v>
      </c>
      <c r="AE243" s="4">
        <v>8750</v>
      </c>
      <c r="AF243" s="4">
        <v>0</v>
      </c>
      <c r="AG243" s="2">
        <v>0</v>
      </c>
      <c r="AH243" s="3">
        <v>8750</v>
      </c>
      <c r="AI243" s="3">
        <v>0</v>
      </c>
      <c r="AJ243" s="5">
        <v>0</v>
      </c>
      <c r="AT243" s="1" t="s">
        <v>524</v>
      </c>
      <c r="AU243" s="1" t="s">
        <v>525</v>
      </c>
      <c r="AV243" s="1" t="s">
        <v>526</v>
      </c>
      <c r="AW243" s="1" t="s">
        <v>527</v>
      </c>
      <c r="AX243" s="1" t="s">
        <v>528</v>
      </c>
      <c r="AY243" s="1" t="s">
        <v>523</v>
      </c>
      <c r="BB243" s="1" t="s">
        <v>429</v>
      </c>
      <c r="BC243" s="1" t="s">
        <v>430</v>
      </c>
    </row>
    <row r="244" spans="1:55" x14ac:dyDescent="0.25">
      <c r="A244" s="1">
        <v>2430</v>
      </c>
      <c r="B244" s="1" t="s">
        <v>55</v>
      </c>
      <c r="C244" s="1" t="s">
        <v>56</v>
      </c>
      <c r="D244" s="1" t="s">
        <v>57</v>
      </c>
      <c r="E244" s="1" t="s">
        <v>529</v>
      </c>
      <c r="F244" s="1" t="s">
        <v>530</v>
      </c>
      <c r="G244" s="1" t="s">
        <v>409</v>
      </c>
      <c r="H244" s="1" t="s">
        <v>410</v>
      </c>
      <c r="I244" s="2">
        <v>1</v>
      </c>
      <c r="L244" s="3">
        <v>0</v>
      </c>
      <c r="M244" s="3">
        <v>8750</v>
      </c>
      <c r="N244" s="3">
        <v>0</v>
      </c>
      <c r="O244" s="4">
        <v>0</v>
      </c>
      <c r="P244" s="4">
        <v>8750</v>
      </c>
      <c r="Q244" s="4">
        <v>0</v>
      </c>
      <c r="S244" s="1" t="s">
        <v>529</v>
      </c>
      <c r="T244" s="1" t="s">
        <v>530</v>
      </c>
      <c r="W244" s="1" t="s">
        <v>57</v>
      </c>
      <c r="Z244" s="1" t="s">
        <v>64</v>
      </c>
      <c r="AA244" s="5">
        <v>0</v>
      </c>
      <c r="AB244" s="5">
        <v>0</v>
      </c>
      <c r="AD244" s="1" t="s">
        <v>64</v>
      </c>
      <c r="AE244" s="4">
        <v>8750</v>
      </c>
      <c r="AF244" s="4">
        <v>0</v>
      </c>
      <c r="AG244" s="2">
        <v>0</v>
      </c>
      <c r="AH244" s="3">
        <v>8750</v>
      </c>
      <c r="AI244" s="3">
        <v>0</v>
      </c>
      <c r="AJ244" s="5">
        <v>0</v>
      </c>
      <c r="AT244" s="1" t="s">
        <v>524</v>
      </c>
      <c r="AU244" s="1" t="s">
        <v>525</v>
      </c>
      <c r="AV244" s="1" t="s">
        <v>526</v>
      </c>
      <c r="AW244" s="1" t="s">
        <v>527</v>
      </c>
      <c r="AX244" s="1" t="s">
        <v>531</v>
      </c>
      <c r="AY244" s="1" t="s">
        <v>530</v>
      </c>
      <c r="BB244" s="1" t="s">
        <v>429</v>
      </c>
      <c r="BC244" s="1" t="s">
        <v>430</v>
      </c>
    </row>
    <row r="245" spans="1:55" x14ac:dyDescent="0.25">
      <c r="A245" s="1">
        <v>2440</v>
      </c>
      <c r="B245" s="1" t="s">
        <v>55</v>
      </c>
      <c r="C245" s="1" t="s">
        <v>56</v>
      </c>
      <c r="D245" s="1" t="s">
        <v>57</v>
      </c>
      <c r="E245" s="1" t="s">
        <v>532</v>
      </c>
      <c r="F245" s="1" t="s">
        <v>533</v>
      </c>
      <c r="G245" s="1" t="s">
        <v>409</v>
      </c>
      <c r="H245" s="1" t="s">
        <v>410</v>
      </c>
      <c r="I245" s="2">
        <v>1</v>
      </c>
      <c r="L245" s="3">
        <v>0</v>
      </c>
      <c r="M245" s="3">
        <v>7000</v>
      </c>
      <c r="N245" s="3">
        <v>0</v>
      </c>
      <c r="O245" s="4">
        <v>0</v>
      </c>
      <c r="P245" s="4">
        <v>7000</v>
      </c>
      <c r="Q245" s="4">
        <v>0</v>
      </c>
      <c r="S245" s="1" t="s">
        <v>532</v>
      </c>
      <c r="T245" s="1" t="s">
        <v>533</v>
      </c>
      <c r="W245" s="1" t="s">
        <v>57</v>
      </c>
      <c r="Z245" s="1" t="s">
        <v>64</v>
      </c>
      <c r="AA245" s="5">
        <v>0</v>
      </c>
      <c r="AB245" s="5">
        <v>0</v>
      </c>
      <c r="AD245" s="1" t="s">
        <v>64</v>
      </c>
      <c r="AE245" s="4">
        <v>7000</v>
      </c>
      <c r="AF245" s="4">
        <v>0</v>
      </c>
      <c r="AG245" s="2">
        <v>0</v>
      </c>
      <c r="AH245" s="3">
        <v>7000</v>
      </c>
      <c r="AI245" s="3">
        <v>0</v>
      </c>
      <c r="AJ245" s="5">
        <v>0</v>
      </c>
      <c r="AT245" s="1" t="s">
        <v>534</v>
      </c>
      <c r="AU245" s="1" t="s">
        <v>535</v>
      </c>
      <c r="AV245" s="1" t="s">
        <v>536</v>
      </c>
      <c r="AW245" s="1" t="s">
        <v>535</v>
      </c>
      <c r="AX245" s="1" t="s">
        <v>537</v>
      </c>
      <c r="AY245" s="1" t="s">
        <v>533</v>
      </c>
      <c r="BB245" s="1" t="s">
        <v>429</v>
      </c>
      <c r="BC245" s="1" t="s">
        <v>430</v>
      </c>
    </row>
    <row r="246" spans="1:55" x14ac:dyDescent="0.25">
      <c r="A246" s="1">
        <v>2450</v>
      </c>
      <c r="B246" s="1" t="s">
        <v>55</v>
      </c>
      <c r="C246" s="1" t="s">
        <v>56</v>
      </c>
      <c r="D246" s="1" t="s">
        <v>57</v>
      </c>
      <c r="E246" s="1" t="s">
        <v>538</v>
      </c>
      <c r="F246" s="1" t="s">
        <v>539</v>
      </c>
      <c r="G246" s="1" t="s">
        <v>409</v>
      </c>
      <c r="H246" s="1" t="s">
        <v>410</v>
      </c>
      <c r="I246" s="2">
        <v>1</v>
      </c>
      <c r="L246" s="3">
        <v>0</v>
      </c>
      <c r="M246" s="3">
        <v>243430.55600000001</v>
      </c>
      <c r="N246" s="3">
        <v>0</v>
      </c>
      <c r="O246" s="4">
        <v>0</v>
      </c>
      <c r="P246" s="4">
        <v>243430.56</v>
      </c>
      <c r="Q246" s="4">
        <v>0</v>
      </c>
      <c r="S246" s="1" t="s">
        <v>538</v>
      </c>
      <c r="T246" s="1" t="s">
        <v>539</v>
      </c>
      <c r="W246" s="1" t="s">
        <v>57</v>
      </c>
      <c r="Z246" s="1" t="s">
        <v>64</v>
      </c>
      <c r="AA246" s="5">
        <v>0</v>
      </c>
      <c r="AB246" s="5">
        <v>0</v>
      </c>
      <c r="AD246" s="1" t="s">
        <v>64</v>
      </c>
      <c r="AE246" s="4">
        <v>243430.56</v>
      </c>
      <c r="AF246" s="4">
        <v>0</v>
      </c>
      <c r="AG246" s="2">
        <v>0</v>
      </c>
      <c r="AH246" s="3">
        <v>243430.55600000001</v>
      </c>
      <c r="AI246" s="3">
        <v>0</v>
      </c>
      <c r="AJ246" s="5">
        <v>0</v>
      </c>
      <c r="AT246" s="1" t="s">
        <v>534</v>
      </c>
      <c r="AU246" s="1" t="s">
        <v>535</v>
      </c>
      <c r="AV246" s="1" t="s">
        <v>536</v>
      </c>
      <c r="AW246" s="1" t="s">
        <v>535</v>
      </c>
      <c r="AX246" s="1" t="s">
        <v>540</v>
      </c>
      <c r="AY246" s="1" t="s">
        <v>541</v>
      </c>
      <c r="BB246" s="1" t="s">
        <v>429</v>
      </c>
      <c r="BC246" s="1" t="s">
        <v>430</v>
      </c>
    </row>
    <row r="247" spans="1:55" x14ac:dyDescent="0.25">
      <c r="A247" s="1">
        <v>2460</v>
      </c>
      <c r="B247" s="1" t="s">
        <v>55</v>
      </c>
      <c r="C247" s="1" t="s">
        <v>56</v>
      </c>
      <c r="D247" s="1" t="s">
        <v>57</v>
      </c>
      <c r="E247" s="1" t="s">
        <v>542</v>
      </c>
      <c r="F247" s="1" t="s">
        <v>543</v>
      </c>
      <c r="G247" s="1" t="s">
        <v>409</v>
      </c>
      <c r="H247" s="1" t="s">
        <v>410</v>
      </c>
      <c r="I247" s="2">
        <v>1</v>
      </c>
      <c r="L247" s="3">
        <v>0</v>
      </c>
      <c r="M247" s="3">
        <v>10000</v>
      </c>
      <c r="N247" s="3">
        <v>0</v>
      </c>
      <c r="O247" s="4">
        <v>0</v>
      </c>
      <c r="P247" s="4">
        <v>10000</v>
      </c>
      <c r="Q247" s="4">
        <v>0</v>
      </c>
      <c r="S247" s="1" t="s">
        <v>542</v>
      </c>
      <c r="T247" s="1" t="s">
        <v>544</v>
      </c>
      <c r="W247" s="1" t="s">
        <v>57</v>
      </c>
      <c r="Z247" s="1" t="s">
        <v>64</v>
      </c>
      <c r="AA247" s="5">
        <v>0</v>
      </c>
      <c r="AB247" s="5">
        <v>0</v>
      </c>
      <c r="AD247" s="1" t="s">
        <v>64</v>
      </c>
      <c r="AE247" s="4">
        <v>10000</v>
      </c>
      <c r="AF247" s="4">
        <v>0</v>
      </c>
      <c r="AG247" s="2">
        <v>0</v>
      </c>
      <c r="AH247" s="3">
        <v>10000</v>
      </c>
      <c r="AI247" s="3">
        <v>0</v>
      </c>
      <c r="AJ247" s="5">
        <v>0</v>
      </c>
      <c r="AT247" s="1" t="s">
        <v>534</v>
      </c>
      <c r="AU247" s="1" t="s">
        <v>535</v>
      </c>
      <c r="AV247" s="1" t="s">
        <v>536</v>
      </c>
      <c r="AW247" s="1" t="s">
        <v>535</v>
      </c>
      <c r="AX247" s="1" t="s">
        <v>545</v>
      </c>
      <c r="AY247" s="1" t="s">
        <v>544</v>
      </c>
      <c r="BB247" s="1" t="s">
        <v>429</v>
      </c>
      <c r="BC247" s="1" t="s">
        <v>430</v>
      </c>
    </row>
    <row r="248" spans="1:55" x14ac:dyDescent="0.25">
      <c r="A248" s="1">
        <v>2470</v>
      </c>
      <c r="B248" s="1" t="s">
        <v>55</v>
      </c>
      <c r="C248" s="1" t="s">
        <v>56</v>
      </c>
      <c r="D248" s="1" t="s">
        <v>57</v>
      </c>
      <c r="E248" s="1" t="s">
        <v>546</v>
      </c>
      <c r="F248" s="1" t="s">
        <v>547</v>
      </c>
      <c r="G248" s="1" t="s">
        <v>409</v>
      </c>
      <c r="H248" s="1" t="s">
        <v>410</v>
      </c>
      <c r="I248" s="2">
        <v>1</v>
      </c>
      <c r="L248" s="3">
        <v>0</v>
      </c>
      <c r="M248" s="3">
        <v>13600</v>
      </c>
      <c r="N248" s="3">
        <v>0</v>
      </c>
      <c r="O248" s="4">
        <v>0</v>
      </c>
      <c r="P248" s="4">
        <v>13600</v>
      </c>
      <c r="Q248" s="4">
        <v>0</v>
      </c>
      <c r="S248" s="1" t="s">
        <v>546</v>
      </c>
      <c r="T248" s="1" t="s">
        <v>547</v>
      </c>
      <c r="W248" s="1" t="s">
        <v>57</v>
      </c>
      <c r="Z248" s="1" t="s">
        <v>64</v>
      </c>
      <c r="AA248" s="5">
        <v>0</v>
      </c>
      <c r="AB248" s="5">
        <v>0</v>
      </c>
      <c r="AD248" s="1" t="s">
        <v>64</v>
      </c>
      <c r="AE248" s="4">
        <v>13600</v>
      </c>
      <c r="AF248" s="4">
        <v>0</v>
      </c>
      <c r="AG248" s="2">
        <v>0</v>
      </c>
      <c r="AH248" s="3">
        <v>13600</v>
      </c>
      <c r="AI248" s="3">
        <v>0</v>
      </c>
      <c r="AJ248" s="5">
        <v>0</v>
      </c>
      <c r="AT248" s="1" t="s">
        <v>534</v>
      </c>
      <c r="AU248" s="1" t="s">
        <v>535</v>
      </c>
      <c r="AV248" s="1" t="s">
        <v>536</v>
      </c>
      <c r="AW248" s="1" t="s">
        <v>535</v>
      </c>
      <c r="AX248" s="1" t="s">
        <v>548</v>
      </c>
      <c r="AY248" s="1" t="s">
        <v>547</v>
      </c>
      <c r="BB248" s="1" t="s">
        <v>429</v>
      </c>
      <c r="BC248" s="1" t="s">
        <v>430</v>
      </c>
    </row>
    <row r="249" spans="1:55" x14ac:dyDescent="0.25">
      <c r="A249" s="1">
        <v>2480</v>
      </c>
      <c r="B249" s="1" t="s">
        <v>55</v>
      </c>
      <c r="C249" s="1" t="s">
        <v>56</v>
      </c>
      <c r="D249" s="1" t="s">
        <v>57</v>
      </c>
      <c r="E249" s="1" t="s">
        <v>549</v>
      </c>
      <c r="F249" s="1" t="s">
        <v>550</v>
      </c>
      <c r="G249" s="1" t="s">
        <v>409</v>
      </c>
      <c r="H249" s="1" t="s">
        <v>410</v>
      </c>
      <c r="I249" s="2">
        <v>1</v>
      </c>
      <c r="L249" s="3">
        <v>0</v>
      </c>
      <c r="M249" s="3">
        <v>52500</v>
      </c>
      <c r="N249" s="3">
        <v>0</v>
      </c>
      <c r="O249" s="4">
        <v>0</v>
      </c>
      <c r="P249" s="4">
        <v>52500</v>
      </c>
      <c r="Q249" s="4">
        <v>0</v>
      </c>
      <c r="S249" s="1" t="s">
        <v>549</v>
      </c>
      <c r="T249" s="1" t="s">
        <v>550</v>
      </c>
      <c r="W249" s="1" t="s">
        <v>57</v>
      </c>
      <c r="Z249" s="1" t="s">
        <v>64</v>
      </c>
      <c r="AA249" s="5">
        <v>0</v>
      </c>
      <c r="AB249" s="5">
        <v>0</v>
      </c>
      <c r="AD249" s="1" t="s">
        <v>64</v>
      </c>
      <c r="AE249" s="4">
        <v>52500</v>
      </c>
      <c r="AF249" s="4">
        <v>0</v>
      </c>
      <c r="AG249" s="2">
        <v>0</v>
      </c>
      <c r="AH249" s="3">
        <v>52500</v>
      </c>
      <c r="AI249" s="3">
        <v>0</v>
      </c>
      <c r="AJ249" s="5">
        <v>0</v>
      </c>
      <c r="AT249" s="1" t="s">
        <v>534</v>
      </c>
      <c r="AU249" s="1" t="s">
        <v>535</v>
      </c>
      <c r="AV249" s="1" t="s">
        <v>536</v>
      </c>
      <c r="AW249" s="1" t="s">
        <v>535</v>
      </c>
      <c r="AX249" s="1" t="s">
        <v>551</v>
      </c>
      <c r="AY249" s="1" t="s">
        <v>550</v>
      </c>
      <c r="BB249" s="1" t="s">
        <v>429</v>
      </c>
      <c r="BC249" s="1" t="s">
        <v>430</v>
      </c>
    </row>
    <row r="250" spans="1:55" x14ac:dyDescent="0.25">
      <c r="A250" s="1">
        <v>2490</v>
      </c>
      <c r="B250" s="1" t="s">
        <v>55</v>
      </c>
      <c r="C250" s="1" t="s">
        <v>56</v>
      </c>
      <c r="D250" s="1" t="s">
        <v>57</v>
      </c>
      <c r="E250" s="1" t="s">
        <v>552</v>
      </c>
      <c r="F250" s="1" t="s">
        <v>553</v>
      </c>
      <c r="G250" s="1" t="s">
        <v>409</v>
      </c>
      <c r="H250" s="1" t="s">
        <v>410</v>
      </c>
      <c r="I250" s="2">
        <v>1</v>
      </c>
      <c r="L250" s="3">
        <v>0</v>
      </c>
      <c r="M250" s="3">
        <v>7000</v>
      </c>
      <c r="N250" s="3">
        <v>0</v>
      </c>
      <c r="O250" s="4">
        <v>0</v>
      </c>
      <c r="P250" s="4">
        <v>7000</v>
      </c>
      <c r="Q250" s="4">
        <v>0</v>
      </c>
      <c r="S250" s="1" t="s">
        <v>552</v>
      </c>
      <c r="T250" s="1" t="s">
        <v>553</v>
      </c>
      <c r="W250" s="1" t="s">
        <v>57</v>
      </c>
      <c r="Z250" s="1" t="s">
        <v>64</v>
      </c>
      <c r="AA250" s="5">
        <v>0</v>
      </c>
      <c r="AB250" s="5">
        <v>0</v>
      </c>
      <c r="AD250" s="1" t="s">
        <v>64</v>
      </c>
      <c r="AE250" s="4">
        <v>7000</v>
      </c>
      <c r="AF250" s="4">
        <v>0</v>
      </c>
      <c r="AG250" s="2">
        <v>0</v>
      </c>
      <c r="AH250" s="3">
        <v>7000</v>
      </c>
      <c r="AI250" s="3">
        <v>0</v>
      </c>
      <c r="AJ250" s="5">
        <v>0</v>
      </c>
      <c r="AT250" s="1" t="s">
        <v>534</v>
      </c>
      <c r="AU250" s="1" t="s">
        <v>535</v>
      </c>
      <c r="AV250" s="1" t="s">
        <v>536</v>
      </c>
      <c r="AW250" s="1" t="s">
        <v>535</v>
      </c>
      <c r="AX250" s="1" t="s">
        <v>554</v>
      </c>
      <c r="AY250" s="1" t="s">
        <v>553</v>
      </c>
      <c r="BB250" s="1" t="s">
        <v>429</v>
      </c>
      <c r="BC250" s="1" t="s">
        <v>430</v>
      </c>
    </row>
    <row r="251" spans="1:55" x14ac:dyDescent="0.25">
      <c r="A251" s="1">
        <v>2500</v>
      </c>
      <c r="B251" s="1" t="s">
        <v>55</v>
      </c>
      <c r="C251" s="1" t="s">
        <v>56</v>
      </c>
      <c r="D251" s="1" t="s">
        <v>57</v>
      </c>
      <c r="E251" s="1" t="s">
        <v>555</v>
      </c>
      <c r="F251" s="1" t="s">
        <v>556</v>
      </c>
      <c r="G251" s="1" t="s">
        <v>409</v>
      </c>
      <c r="H251" s="1" t="s">
        <v>410</v>
      </c>
      <c r="I251" s="2">
        <v>1</v>
      </c>
      <c r="L251" s="3">
        <v>0</v>
      </c>
      <c r="M251" s="3">
        <v>71086.168000000005</v>
      </c>
      <c r="N251" s="3">
        <v>0</v>
      </c>
      <c r="O251" s="4">
        <v>0</v>
      </c>
      <c r="P251" s="4">
        <v>71086.17</v>
      </c>
      <c r="Q251" s="4">
        <v>0</v>
      </c>
      <c r="S251" s="1" t="s">
        <v>555</v>
      </c>
      <c r="T251" s="1" t="s">
        <v>557</v>
      </c>
      <c r="W251" s="1" t="s">
        <v>57</v>
      </c>
      <c r="Z251" s="1" t="s">
        <v>64</v>
      </c>
      <c r="AA251" s="5">
        <v>0</v>
      </c>
      <c r="AB251" s="5">
        <v>0</v>
      </c>
      <c r="AD251" s="1" t="s">
        <v>64</v>
      </c>
      <c r="AE251" s="4">
        <v>71086.17</v>
      </c>
      <c r="AF251" s="4">
        <v>0</v>
      </c>
      <c r="AG251" s="2">
        <v>0</v>
      </c>
      <c r="AH251" s="3">
        <v>71086.168000000005</v>
      </c>
      <c r="AI251" s="3">
        <v>0</v>
      </c>
      <c r="AJ251" s="5">
        <v>0</v>
      </c>
      <c r="AT251" s="1" t="s">
        <v>534</v>
      </c>
      <c r="AU251" s="1" t="s">
        <v>535</v>
      </c>
      <c r="AV251" s="1" t="s">
        <v>536</v>
      </c>
      <c r="AW251" s="1" t="s">
        <v>535</v>
      </c>
      <c r="AX251" s="1" t="s">
        <v>558</v>
      </c>
      <c r="AY251" s="1" t="s">
        <v>556</v>
      </c>
      <c r="BB251" s="1" t="s">
        <v>429</v>
      </c>
      <c r="BC251" s="1" t="s">
        <v>430</v>
      </c>
    </row>
    <row r="252" spans="1:55" x14ac:dyDescent="0.25">
      <c r="A252" s="1">
        <v>2510</v>
      </c>
      <c r="B252" s="1" t="s">
        <v>55</v>
      </c>
      <c r="C252" s="1" t="s">
        <v>56</v>
      </c>
      <c r="D252" s="1" t="s">
        <v>57</v>
      </c>
      <c r="E252" s="1" t="s">
        <v>559</v>
      </c>
      <c r="F252" s="1" t="s">
        <v>560</v>
      </c>
      <c r="G252" s="1" t="s">
        <v>409</v>
      </c>
      <c r="H252" s="1" t="s">
        <v>410</v>
      </c>
      <c r="I252" s="2">
        <v>1</v>
      </c>
      <c r="L252" s="3">
        <v>0</v>
      </c>
      <c r="M252" s="3">
        <v>17136</v>
      </c>
      <c r="N252" s="3">
        <v>0</v>
      </c>
      <c r="O252" s="4">
        <v>0</v>
      </c>
      <c r="P252" s="4">
        <v>17136</v>
      </c>
      <c r="Q252" s="4">
        <v>0</v>
      </c>
      <c r="S252" s="1" t="s">
        <v>559</v>
      </c>
      <c r="T252" s="1" t="s">
        <v>561</v>
      </c>
      <c r="W252" s="1" t="s">
        <v>57</v>
      </c>
      <c r="Z252" s="1" t="s">
        <v>64</v>
      </c>
      <c r="AA252" s="5">
        <v>0</v>
      </c>
      <c r="AB252" s="5">
        <v>0</v>
      </c>
      <c r="AD252" s="1" t="s">
        <v>64</v>
      </c>
      <c r="AE252" s="4">
        <v>17136</v>
      </c>
      <c r="AF252" s="4">
        <v>0</v>
      </c>
      <c r="AG252" s="2">
        <v>0</v>
      </c>
      <c r="AH252" s="3">
        <v>17136</v>
      </c>
      <c r="AI252" s="3">
        <v>0</v>
      </c>
      <c r="AJ252" s="5">
        <v>0</v>
      </c>
      <c r="AT252" s="1" t="s">
        <v>562</v>
      </c>
      <c r="AU252" s="1" t="s">
        <v>563</v>
      </c>
      <c r="AV252" s="1" t="s">
        <v>564</v>
      </c>
      <c r="AW252" s="1" t="s">
        <v>565</v>
      </c>
      <c r="AX252" s="1" t="s">
        <v>566</v>
      </c>
      <c r="AY252" s="1" t="s">
        <v>561</v>
      </c>
      <c r="BB252" s="1" t="s">
        <v>429</v>
      </c>
      <c r="BC252" s="1" t="s">
        <v>430</v>
      </c>
    </row>
    <row r="253" spans="1:55" x14ac:dyDescent="0.25">
      <c r="A253" s="1">
        <v>2520</v>
      </c>
      <c r="B253" s="1" t="s">
        <v>55</v>
      </c>
      <c r="C253" s="1" t="s">
        <v>56</v>
      </c>
      <c r="D253" s="1" t="s">
        <v>57</v>
      </c>
      <c r="E253" s="1" t="s">
        <v>567</v>
      </c>
      <c r="F253" s="1" t="s">
        <v>568</v>
      </c>
      <c r="G253" s="1" t="s">
        <v>409</v>
      </c>
      <c r="H253" s="1" t="s">
        <v>410</v>
      </c>
      <c r="I253" s="2">
        <v>1</v>
      </c>
      <c r="L253" s="3">
        <v>0</v>
      </c>
      <c r="M253" s="3">
        <v>215042.5</v>
      </c>
      <c r="N253" s="3">
        <v>0</v>
      </c>
      <c r="O253" s="4">
        <v>0</v>
      </c>
      <c r="P253" s="4">
        <v>215042.5</v>
      </c>
      <c r="Q253" s="4">
        <v>0</v>
      </c>
      <c r="S253" s="1" t="s">
        <v>567</v>
      </c>
      <c r="T253" s="1" t="s">
        <v>569</v>
      </c>
      <c r="W253" s="1" t="s">
        <v>57</v>
      </c>
      <c r="Z253" s="1" t="s">
        <v>64</v>
      </c>
      <c r="AA253" s="5">
        <v>0</v>
      </c>
      <c r="AB253" s="5">
        <v>0</v>
      </c>
      <c r="AD253" s="1" t="s">
        <v>64</v>
      </c>
      <c r="AE253" s="4">
        <v>215042.5</v>
      </c>
      <c r="AF253" s="4">
        <v>0</v>
      </c>
      <c r="AG253" s="2">
        <v>0</v>
      </c>
      <c r="AH253" s="3">
        <v>215042.5</v>
      </c>
      <c r="AI253" s="3">
        <v>0</v>
      </c>
      <c r="AJ253" s="5">
        <v>0</v>
      </c>
      <c r="AT253" s="1" t="s">
        <v>562</v>
      </c>
      <c r="AU253" s="1" t="s">
        <v>563</v>
      </c>
      <c r="AV253" s="1" t="s">
        <v>564</v>
      </c>
      <c r="AW253" s="1" t="s">
        <v>565</v>
      </c>
      <c r="AX253" s="1" t="s">
        <v>570</v>
      </c>
      <c r="AY253" s="1" t="s">
        <v>569</v>
      </c>
      <c r="BB253" s="1" t="s">
        <v>429</v>
      </c>
      <c r="BC253" s="1" t="s">
        <v>430</v>
      </c>
    </row>
    <row r="254" spans="1:55" x14ac:dyDescent="0.25">
      <c r="A254" s="1">
        <v>2530</v>
      </c>
      <c r="B254" s="1" t="s">
        <v>55</v>
      </c>
      <c r="C254" s="1" t="s">
        <v>56</v>
      </c>
      <c r="D254" s="1" t="s">
        <v>57</v>
      </c>
      <c r="E254" s="1" t="s">
        <v>571</v>
      </c>
      <c r="F254" s="1" t="s">
        <v>572</v>
      </c>
      <c r="G254" s="1" t="s">
        <v>409</v>
      </c>
      <c r="H254" s="1" t="s">
        <v>410</v>
      </c>
      <c r="I254" s="2">
        <v>1</v>
      </c>
      <c r="L254" s="3">
        <v>0</v>
      </c>
      <c r="M254" s="3">
        <v>165701.76000000001</v>
      </c>
      <c r="N254" s="3">
        <v>0</v>
      </c>
      <c r="O254" s="4">
        <v>0</v>
      </c>
      <c r="P254" s="4">
        <v>165701.76000000001</v>
      </c>
      <c r="Q254" s="4">
        <v>0</v>
      </c>
      <c r="S254" s="1" t="s">
        <v>571</v>
      </c>
      <c r="T254" s="1" t="s">
        <v>573</v>
      </c>
      <c r="W254" s="1" t="s">
        <v>57</v>
      </c>
      <c r="Z254" s="1" t="s">
        <v>64</v>
      </c>
      <c r="AA254" s="5">
        <v>0</v>
      </c>
      <c r="AB254" s="5">
        <v>0</v>
      </c>
      <c r="AD254" s="1" t="s">
        <v>64</v>
      </c>
      <c r="AE254" s="4">
        <v>165701.76000000001</v>
      </c>
      <c r="AF254" s="4">
        <v>0</v>
      </c>
      <c r="AG254" s="2">
        <v>0</v>
      </c>
      <c r="AH254" s="3">
        <v>165701.76000000001</v>
      </c>
      <c r="AI254" s="3">
        <v>0</v>
      </c>
      <c r="AJ254" s="5">
        <v>0</v>
      </c>
      <c r="AT254" s="1" t="s">
        <v>562</v>
      </c>
      <c r="AU254" s="1" t="s">
        <v>563</v>
      </c>
      <c r="AV254" s="1" t="s">
        <v>564</v>
      </c>
      <c r="AW254" s="1" t="s">
        <v>565</v>
      </c>
      <c r="AX254" s="1" t="s">
        <v>574</v>
      </c>
      <c r="AY254" s="1" t="s">
        <v>573</v>
      </c>
      <c r="BB254" s="1" t="s">
        <v>429</v>
      </c>
      <c r="BC254" s="1" t="s">
        <v>430</v>
      </c>
    </row>
    <row r="255" spans="1:55" x14ac:dyDescent="0.25">
      <c r="A255" s="1">
        <v>2540</v>
      </c>
      <c r="B255" s="1" t="s">
        <v>55</v>
      </c>
      <c r="C255" s="1" t="s">
        <v>56</v>
      </c>
      <c r="D255" s="1" t="s">
        <v>57</v>
      </c>
      <c r="E255" s="1" t="s">
        <v>575</v>
      </c>
      <c r="F255" s="1" t="s">
        <v>576</v>
      </c>
      <c r="G255" s="1" t="s">
        <v>409</v>
      </c>
      <c r="H255" s="1" t="s">
        <v>410</v>
      </c>
      <c r="I255" s="2">
        <v>1</v>
      </c>
      <c r="L255" s="3">
        <v>0</v>
      </c>
      <c r="M255" s="3">
        <v>71250</v>
      </c>
      <c r="N255" s="3">
        <v>0</v>
      </c>
      <c r="O255" s="4">
        <v>0</v>
      </c>
      <c r="P255" s="4">
        <v>71250</v>
      </c>
      <c r="Q255" s="4">
        <v>0</v>
      </c>
      <c r="S255" s="1" t="s">
        <v>575</v>
      </c>
      <c r="T255" s="1" t="s">
        <v>576</v>
      </c>
      <c r="W255" s="1" t="s">
        <v>57</v>
      </c>
      <c r="Z255" s="1" t="s">
        <v>64</v>
      </c>
      <c r="AA255" s="5">
        <v>0</v>
      </c>
      <c r="AB255" s="5">
        <v>0</v>
      </c>
      <c r="AD255" s="1" t="s">
        <v>64</v>
      </c>
      <c r="AE255" s="4">
        <v>71250</v>
      </c>
      <c r="AF255" s="4">
        <v>0</v>
      </c>
      <c r="AG255" s="2">
        <v>0</v>
      </c>
      <c r="AH255" s="3">
        <v>71250</v>
      </c>
      <c r="AI255" s="3">
        <v>0</v>
      </c>
      <c r="AJ255" s="5">
        <v>0</v>
      </c>
      <c r="AT255" s="1" t="s">
        <v>562</v>
      </c>
      <c r="AU255" s="1" t="s">
        <v>563</v>
      </c>
      <c r="AV255" s="1" t="s">
        <v>564</v>
      </c>
      <c r="AW255" s="1" t="s">
        <v>565</v>
      </c>
      <c r="AX255" s="1" t="s">
        <v>577</v>
      </c>
      <c r="AY255" s="1" t="s">
        <v>576</v>
      </c>
      <c r="BB255" s="1" t="s">
        <v>429</v>
      </c>
      <c r="BC255" s="1" t="s">
        <v>430</v>
      </c>
    </row>
    <row r="256" spans="1:55" x14ac:dyDescent="0.25">
      <c r="A256" s="1">
        <v>2550</v>
      </c>
      <c r="B256" s="1" t="s">
        <v>55</v>
      </c>
      <c r="C256" s="1" t="s">
        <v>56</v>
      </c>
      <c r="D256" s="1" t="s">
        <v>57</v>
      </c>
      <c r="E256" s="1" t="s">
        <v>578</v>
      </c>
      <c r="F256" s="1" t="s">
        <v>579</v>
      </c>
      <c r="G256" s="1" t="s">
        <v>409</v>
      </c>
      <c r="H256" s="1" t="s">
        <v>410</v>
      </c>
      <c r="I256" s="2">
        <v>1</v>
      </c>
      <c r="L256" s="3">
        <v>0</v>
      </c>
      <c r="M256" s="3">
        <v>40000</v>
      </c>
      <c r="N256" s="3">
        <v>0</v>
      </c>
      <c r="O256" s="4">
        <v>0</v>
      </c>
      <c r="P256" s="4">
        <v>40000</v>
      </c>
      <c r="Q256" s="4">
        <v>0</v>
      </c>
      <c r="S256" s="1" t="s">
        <v>578</v>
      </c>
      <c r="T256" s="1" t="s">
        <v>579</v>
      </c>
      <c r="W256" s="1" t="s">
        <v>57</v>
      </c>
      <c r="Z256" s="1" t="s">
        <v>64</v>
      </c>
      <c r="AA256" s="5">
        <v>0</v>
      </c>
      <c r="AB256" s="5">
        <v>0</v>
      </c>
      <c r="AD256" s="1" t="s">
        <v>64</v>
      </c>
      <c r="AE256" s="4">
        <v>40000</v>
      </c>
      <c r="AF256" s="4">
        <v>0</v>
      </c>
      <c r="AG256" s="2">
        <v>0</v>
      </c>
      <c r="AH256" s="3">
        <v>40000</v>
      </c>
      <c r="AI256" s="3">
        <v>0</v>
      </c>
      <c r="AJ256" s="5">
        <v>0</v>
      </c>
      <c r="AT256" s="1" t="s">
        <v>562</v>
      </c>
      <c r="AU256" s="1" t="s">
        <v>563</v>
      </c>
      <c r="AV256" s="1" t="s">
        <v>564</v>
      </c>
      <c r="AW256" s="1" t="s">
        <v>565</v>
      </c>
      <c r="AX256" s="1" t="s">
        <v>580</v>
      </c>
      <c r="AY256" s="1" t="s">
        <v>579</v>
      </c>
      <c r="BB256" s="1" t="s">
        <v>429</v>
      </c>
      <c r="BC256" s="1" t="s">
        <v>430</v>
      </c>
    </row>
    <row r="257" spans="1:55" x14ac:dyDescent="0.25">
      <c r="A257" s="1">
        <v>2560</v>
      </c>
      <c r="B257" s="1" t="s">
        <v>55</v>
      </c>
      <c r="C257" s="1" t="s">
        <v>56</v>
      </c>
      <c r="D257" s="1" t="s">
        <v>57</v>
      </c>
      <c r="E257" s="1" t="s">
        <v>581</v>
      </c>
      <c r="F257" s="1" t="s">
        <v>582</v>
      </c>
      <c r="G257" s="1" t="s">
        <v>409</v>
      </c>
      <c r="H257" s="1" t="s">
        <v>410</v>
      </c>
      <c r="I257" s="2">
        <v>1</v>
      </c>
      <c r="L257" s="3">
        <v>0</v>
      </c>
      <c r="M257" s="3">
        <v>30000</v>
      </c>
      <c r="N257" s="3">
        <v>0</v>
      </c>
      <c r="O257" s="4">
        <v>0</v>
      </c>
      <c r="P257" s="4">
        <v>30000</v>
      </c>
      <c r="Q257" s="4">
        <v>0</v>
      </c>
      <c r="S257" s="1" t="s">
        <v>581</v>
      </c>
      <c r="T257" s="1" t="s">
        <v>582</v>
      </c>
      <c r="W257" s="1" t="s">
        <v>57</v>
      </c>
      <c r="Z257" s="1" t="s">
        <v>64</v>
      </c>
      <c r="AA257" s="5">
        <v>0</v>
      </c>
      <c r="AB257" s="5">
        <v>0</v>
      </c>
      <c r="AD257" s="1" t="s">
        <v>64</v>
      </c>
      <c r="AE257" s="4">
        <v>30000</v>
      </c>
      <c r="AF257" s="4">
        <v>0</v>
      </c>
      <c r="AG257" s="2">
        <v>0</v>
      </c>
      <c r="AH257" s="3">
        <v>30000</v>
      </c>
      <c r="AI257" s="3">
        <v>0</v>
      </c>
      <c r="AJ257" s="5">
        <v>0</v>
      </c>
      <c r="AT257" s="1" t="s">
        <v>562</v>
      </c>
      <c r="AU257" s="1" t="s">
        <v>563</v>
      </c>
      <c r="AV257" s="1" t="s">
        <v>564</v>
      </c>
      <c r="AW257" s="1" t="s">
        <v>565</v>
      </c>
      <c r="AX257" s="1" t="s">
        <v>583</v>
      </c>
      <c r="AY257" s="1" t="s">
        <v>582</v>
      </c>
      <c r="BB257" s="1" t="s">
        <v>429</v>
      </c>
      <c r="BC257" s="1" t="s">
        <v>430</v>
      </c>
    </row>
    <row r="258" spans="1:55" x14ac:dyDescent="0.25">
      <c r="A258" s="1">
        <v>2570</v>
      </c>
      <c r="B258" s="1" t="s">
        <v>55</v>
      </c>
      <c r="C258" s="1" t="s">
        <v>56</v>
      </c>
      <c r="D258" s="1" t="s">
        <v>57</v>
      </c>
      <c r="E258" s="1" t="s">
        <v>584</v>
      </c>
      <c r="F258" s="1" t="s">
        <v>585</v>
      </c>
      <c r="G258" s="1" t="s">
        <v>409</v>
      </c>
      <c r="H258" s="1" t="s">
        <v>410</v>
      </c>
      <c r="I258" s="2">
        <v>1</v>
      </c>
      <c r="L258" s="3">
        <v>0</v>
      </c>
      <c r="M258" s="3">
        <v>39455.006000000001</v>
      </c>
      <c r="N258" s="3">
        <v>0</v>
      </c>
      <c r="O258" s="4">
        <v>0</v>
      </c>
      <c r="P258" s="4">
        <v>39455.01</v>
      </c>
      <c r="Q258" s="4">
        <v>0</v>
      </c>
      <c r="S258" s="1" t="s">
        <v>584</v>
      </c>
      <c r="T258" s="1" t="s">
        <v>585</v>
      </c>
      <c r="W258" s="1" t="s">
        <v>57</v>
      </c>
      <c r="Z258" s="1" t="s">
        <v>64</v>
      </c>
      <c r="AA258" s="5">
        <v>0</v>
      </c>
      <c r="AB258" s="5">
        <v>0</v>
      </c>
      <c r="AD258" s="1" t="s">
        <v>64</v>
      </c>
      <c r="AE258" s="4">
        <v>39455.01</v>
      </c>
      <c r="AF258" s="4">
        <v>0</v>
      </c>
      <c r="AG258" s="2">
        <v>0</v>
      </c>
      <c r="AH258" s="3">
        <v>39455.006000000001</v>
      </c>
      <c r="AI258" s="3">
        <v>0</v>
      </c>
      <c r="AJ258" s="5">
        <v>0</v>
      </c>
      <c r="AT258" s="1" t="s">
        <v>562</v>
      </c>
      <c r="AU258" s="1" t="s">
        <v>563</v>
      </c>
      <c r="AV258" s="1" t="s">
        <v>564</v>
      </c>
      <c r="AW258" s="1" t="s">
        <v>565</v>
      </c>
      <c r="AX258" s="1" t="s">
        <v>586</v>
      </c>
      <c r="AY258" s="1" t="s">
        <v>585</v>
      </c>
      <c r="BB258" s="1" t="s">
        <v>429</v>
      </c>
      <c r="BC258" s="1" t="s">
        <v>430</v>
      </c>
    </row>
    <row r="259" spans="1:55" x14ac:dyDescent="0.25">
      <c r="A259" s="1">
        <v>2580</v>
      </c>
      <c r="B259" s="1" t="s">
        <v>55</v>
      </c>
      <c r="C259" s="1" t="s">
        <v>56</v>
      </c>
      <c r="D259" s="1" t="s">
        <v>57</v>
      </c>
      <c r="E259" s="1" t="s">
        <v>587</v>
      </c>
      <c r="F259" s="1" t="s">
        <v>588</v>
      </c>
      <c r="G259" s="1" t="s">
        <v>409</v>
      </c>
      <c r="H259" s="1" t="s">
        <v>410</v>
      </c>
      <c r="I259" s="2">
        <v>1</v>
      </c>
      <c r="L259" s="3">
        <v>0</v>
      </c>
      <c r="M259" s="3">
        <v>5888.27</v>
      </c>
      <c r="N259" s="3">
        <v>0</v>
      </c>
      <c r="O259" s="4">
        <v>0</v>
      </c>
      <c r="P259" s="4">
        <v>5888.27</v>
      </c>
      <c r="Q259" s="4">
        <v>0</v>
      </c>
      <c r="S259" s="1" t="s">
        <v>587</v>
      </c>
      <c r="T259" s="1" t="s">
        <v>588</v>
      </c>
      <c r="W259" s="1" t="s">
        <v>57</v>
      </c>
      <c r="Z259" s="1" t="s">
        <v>64</v>
      </c>
      <c r="AA259" s="5">
        <v>0</v>
      </c>
      <c r="AB259" s="5">
        <v>0</v>
      </c>
      <c r="AD259" s="1" t="s">
        <v>64</v>
      </c>
      <c r="AE259" s="4">
        <v>5888.27</v>
      </c>
      <c r="AF259" s="4">
        <v>0</v>
      </c>
      <c r="AG259" s="2">
        <v>0</v>
      </c>
      <c r="AH259" s="3">
        <v>5888.27</v>
      </c>
      <c r="AI259" s="3">
        <v>0</v>
      </c>
      <c r="AJ259" s="5">
        <v>0</v>
      </c>
      <c r="AT259" s="1" t="s">
        <v>562</v>
      </c>
      <c r="AU259" s="1" t="s">
        <v>563</v>
      </c>
      <c r="AV259" s="1" t="s">
        <v>564</v>
      </c>
      <c r="AW259" s="1" t="s">
        <v>565</v>
      </c>
      <c r="AX259" s="1" t="s">
        <v>589</v>
      </c>
      <c r="AY259" s="1" t="s">
        <v>588</v>
      </c>
      <c r="BB259" s="1" t="s">
        <v>429</v>
      </c>
      <c r="BC259" s="1" t="s">
        <v>430</v>
      </c>
    </row>
    <row r="260" spans="1:55" x14ac:dyDescent="0.25">
      <c r="A260" s="1">
        <v>2590</v>
      </c>
      <c r="B260" s="1" t="s">
        <v>55</v>
      </c>
      <c r="C260" s="1" t="s">
        <v>56</v>
      </c>
      <c r="D260" s="1" t="s">
        <v>57</v>
      </c>
      <c r="E260" s="1" t="s">
        <v>590</v>
      </c>
      <c r="F260" s="1" t="s">
        <v>591</v>
      </c>
      <c r="G260" s="1" t="s">
        <v>409</v>
      </c>
      <c r="H260" s="1" t="s">
        <v>410</v>
      </c>
      <c r="I260" s="2">
        <v>1</v>
      </c>
      <c r="L260" s="3">
        <v>0</v>
      </c>
      <c r="M260" s="3">
        <v>7500</v>
      </c>
      <c r="N260" s="3">
        <v>0</v>
      </c>
      <c r="O260" s="4">
        <v>0</v>
      </c>
      <c r="P260" s="4">
        <v>7500</v>
      </c>
      <c r="Q260" s="4">
        <v>0</v>
      </c>
      <c r="S260" s="1" t="s">
        <v>590</v>
      </c>
      <c r="T260" s="1" t="s">
        <v>591</v>
      </c>
      <c r="W260" s="1" t="s">
        <v>57</v>
      </c>
      <c r="Z260" s="1" t="s">
        <v>64</v>
      </c>
      <c r="AA260" s="5">
        <v>0</v>
      </c>
      <c r="AB260" s="5">
        <v>0</v>
      </c>
      <c r="AD260" s="1" t="s">
        <v>64</v>
      </c>
      <c r="AE260" s="4">
        <v>7500</v>
      </c>
      <c r="AF260" s="4">
        <v>0</v>
      </c>
      <c r="AG260" s="2">
        <v>0</v>
      </c>
      <c r="AH260" s="3">
        <v>7500</v>
      </c>
      <c r="AI260" s="3">
        <v>0</v>
      </c>
      <c r="AJ260" s="5">
        <v>0</v>
      </c>
      <c r="AT260" s="1" t="s">
        <v>562</v>
      </c>
      <c r="AU260" s="1" t="s">
        <v>563</v>
      </c>
      <c r="AV260" s="1" t="s">
        <v>564</v>
      </c>
      <c r="AW260" s="1" t="s">
        <v>565</v>
      </c>
      <c r="AX260" s="1" t="s">
        <v>592</v>
      </c>
      <c r="AY260" s="1" t="s">
        <v>591</v>
      </c>
      <c r="BB260" s="1" t="s">
        <v>429</v>
      </c>
      <c r="BC260" s="1" t="s">
        <v>430</v>
      </c>
    </row>
    <row r="261" spans="1:55" x14ac:dyDescent="0.25">
      <c r="A261" s="1">
        <v>2600</v>
      </c>
      <c r="B261" s="1" t="s">
        <v>55</v>
      </c>
      <c r="C261" s="1" t="s">
        <v>56</v>
      </c>
      <c r="D261" s="1" t="s">
        <v>57</v>
      </c>
      <c r="E261" s="1" t="s">
        <v>593</v>
      </c>
      <c r="F261" s="1" t="s">
        <v>594</v>
      </c>
      <c r="G261" s="1" t="s">
        <v>409</v>
      </c>
      <c r="H261" s="1" t="s">
        <v>410</v>
      </c>
      <c r="I261" s="2">
        <v>1</v>
      </c>
      <c r="L261" s="3">
        <v>0</v>
      </c>
      <c r="M261" s="3">
        <v>10000</v>
      </c>
      <c r="N261" s="3">
        <v>0</v>
      </c>
      <c r="O261" s="4">
        <v>0</v>
      </c>
      <c r="P261" s="4">
        <v>10000</v>
      </c>
      <c r="Q261" s="4">
        <v>0</v>
      </c>
      <c r="S261" s="1" t="s">
        <v>593</v>
      </c>
      <c r="T261" s="1" t="s">
        <v>594</v>
      </c>
      <c r="W261" s="1" t="s">
        <v>57</v>
      </c>
      <c r="Z261" s="1" t="s">
        <v>64</v>
      </c>
      <c r="AA261" s="5">
        <v>0</v>
      </c>
      <c r="AB261" s="5">
        <v>0</v>
      </c>
      <c r="AD261" s="1" t="s">
        <v>64</v>
      </c>
      <c r="AE261" s="4">
        <v>10000</v>
      </c>
      <c r="AF261" s="4">
        <v>0</v>
      </c>
      <c r="AG261" s="2">
        <v>0</v>
      </c>
      <c r="AH261" s="3">
        <v>10000</v>
      </c>
      <c r="AI261" s="3">
        <v>0</v>
      </c>
      <c r="AJ261" s="5">
        <v>0</v>
      </c>
      <c r="AT261" s="1" t="s">
        <v>562</v>
      </c>
      <c r="AU261" s="1" t="s">
        <v>563</v>
      </c>
      <c r="AV261" s="1" t="s">
        <v>564</v>
      </c>
      <c r="AW261" s="1" t="s">
        <v>565</v>
      </c>
      <c r="AX261" s="1" t="s">
        <v>595</v>
      </c>
      <c r="AY261" s="1" t="s">
        <v>594</v>
      </c>
      <c r="BB261" s="1" t="s">
        <v>429</v>
      </c>
      <c r="BC261" s="1" t="s">
        <v>430</v>
      </c>
    </row>
    <row r="262" spans="1:55" x14ac:dyDescent="0.25">
      <c r="A262" s="1">
        <v>2610</v>
      </c>
      <c r="B262" s="1" t="s">
        <v>55</v>
      </c>
      <c r="C262" s="1" t="s">
        <v>56</v>
      </c>
      <c r="D262" s="1" t="s">
        <v>57</v>
      </c>
      <c r="E262" s="1" t="s">
        <v>596</v>
      </c>
      <c r="F262" s="1" t="s">
        <v>597</v>
      </c>
      <c r="G262" s="1" t="s">
        <v>409</v>
      </c>
      <c r="H262" s="1" t="s">
        <v>410</v>
      </c>
      <c r="I262" s="2">
        <v>1</v>
      </c>
      <c r="L262" s="3">
        <v>0</v>
      </c>
      <c r="M262" s="3">
        <v>25000</v>
      </c>
      <c r="N262" s="3">
        <v>0</v>
      </c>
      <c r="O262" s="4">
        <v>0</v>
      </c>
      <c r="P262" s="4">
        <v>25000</v>
      </c>
      <c r="Q262" s="4">
        <v>0</v>
      </c>
      <c r="S262" s="1" t="s">
        <v>596</v>
      </c>
      <c r="T262" s="1" t="s">
        <v>597</v>
      </c>
      <c r="W262" s="1" t="s">
        <v>57</v>
      </c>
      <c r="Z262" s="1" t="s">
        <v>64</v>
      </c>
      <c r="AA262" s="5">
        <v>0</v>
      </c>
      <c r="AB262" s="5">
        <v>0</v>
      </c>
      <c r="AD262" s="1" t="s">
        <v>64</v>
      </c>
      <c r="AE262" s="4">
        <v>25000</v>
      </c>
      <c r="AF262" s="4">
        <v>0</v>
      </c>
      <c r="AG262" s="2">
        <v>0</v>
      </c>
      <c r="AH262" s="3">
        <v>25000</v>
      </c>
      <c r="AI262" s="3">
        <v>0</v>
      </c>
      <c r="AJ262" s="5">
        <v>0</v>
      </c>
      <c r="AT262" s="1" t="s">
        <v>562</v>
      </c>
      <c r="AU262" s="1" t="s">
        <v>563</v>
      </c>
      <c r="AV262" s="1" t="s">
        <v>564</v>
      </c>
      <c r="AW262" s="1" t="s">
        <v>565</v>
      </c>
      <c r="AX262" s="1" t="s">
        <v>598</v>
      </c>
      <c r="AY262" s="1" t="s">
        <v>597</v>
      </c>
      <c r="BB262" s="1" t="s">
        <v>429</v>
      </c>
      <c r="BC262" s="1" t="s">
        <v>430</v>
      </c>
    </row>
    <row r="263" spans="1:55" x14ac:dyDescent="0.25">
      <c r="A263" s="1">
        <v>2620</v>
      </c>
      <c r="B263" s="1" t="s">
        <v>55</v>
      </c>
      <c r="C263" s="1" t="s">
        <v>56</v>
      </c>
      <c r="D263" s="1" t="s">
        <v>57</v>
      </c>
      <c r="E263" s="1" t="s">
        <v>599</v>
      </c>
      <c r="F263" s="1" t="s">
        <v>600</v>
      </c>
      <c r="G263" s="1" t="s">
        <v>409</v>
      </c>
      <c r="H263" s="1" t="s">
        <v>410</v>
      </c>
      <c r="I263" s="2">
        <v>1</v>
      </c>
      <c r="L263" s="3">
        <v>0</v>
      </c>
      <c r="M263" s="3">
        <v>20000</v>
      </c>
      <c r="N263" s="3">
        <v>0</v>
      </c>
      <c r="O263" s="4">
        <v>0</v>
      </c>
      <c r="P263" s="4">
        <v>20000</v>
      </c>
      <c r="Q263" s="4">
        <v>0</v>
      </c>
      <c r="S263" s="1" t="s">
        <v>599</v>
      </c>
      <c r="T263" s="1" t="s">
        <v>600</v>
      </c>
      <c r="W263" s="1" t="s">
        <v>57</v>
      </c>
      <c r="Z263" s="1" t="s">
        <v>64</v>
      </c>
      <c r="AA263" s="5">
        <v>0</v>
      </c>
      <c r="AB263" s="5">
        <v>0</v>
      </c>
      <c r="AD263" s="1" t="s">
        <v>64</v>
      </c>
      <c r="AE263" s="4">
        <v>20000</v>
      </c>
      <c r="AF263" s="4">
        <v>0</v>
      </c>
      <c r="AG263" s="2">
        <v>0</v>
      </c>
      <c r="AH263" s="3">
        <v>20000</v>
      </c>
      <c r="AI263" s="3">
        <v>0</v>
      </c>
      <c r="AJ263" s="5">
        <v>0</v>
      </c>
      <c r="AT263" s="1" t="s">
        <v>562</v>
      </c>
      <c r="AU263" s="1" t="s">
        <v>563</v>
      </c>
      <c r="AV263" s="1" t="s">
        <v>564</v>
      </c>
      <c r="AW263" s="1" t="s">
        <v>565</v>
      </c>
      <c r="AX263" s="1" t="s">
        <v>601</v>
      </c>
      <c r="AY263" s="1" t="s">
        <v>600</v>
      </c>
      <c r="BB263" s="1" t="s">
        <v>429</v>
      </c>
      <c r="BC263" s="1" t="s">
        <v>430</v>
      </c>
    </row>
    <row r="264" spans="1:55" x14ac:dyDescent="0.25">
      <c r="A264" s="1">
        <v>2630</v>
      </c>
      <c r="B264" s="1" t="s">
        <v>55</v>
      </c>
      <c r="C264" s="1" t="s">
        <v>56</v>
      </c>
      <c r="D264" s="1" t="s">
        <v>57</v>
      </c>
      <c r="E264" s="1" t="s">
        <v>602</v>
      </c>
      <c r="F264" s="1" t="s">
        <v>603</v>
      </c>
      <c r="G264" s="1" t="s">
        <v>409</v>
      </c>
      <c r="H264" s="1" t="s">
        <v>410</v>
      </c>
      <c r="I264" s="2">
        <v>1</v>
      </c>
      <c r="L264" s="3">
        <v>0</v>
      </c>
      <c r="M264" s="3">
        <v>7740</v>
      </c>
      <c r="N264" s="3">
        <v>0</v>
      </c>
      <c r="O264" s="4">
        <v>0</v>
      </c>
      <c r="P264" s="4">
        <v>7740</v>
      </c>
      <c r="Q264" s="4">
        <v>0</v>
      </c>
      <c r="S264" s="1" t="s">
        <v>602</v>
      </c>
      <c r="T264" s="1" t="s">
        <v>603</v>
      </c>
      <c r="W264" s="1" t="s">
        <v>57</v>
      </c>
      <c r="Z264" s="1" t="s">
        <v>64</v>
      </c>
      <c r="AA264" s="5">
        <v>0</v>
      </c>
      <c r="AB264" s="5">
        <v>0</v>
      </c>
      <c r="AD264" s="1" t="s">
        <v>64</v>
      </c>
      <c r="AE264" s="4">
        <v>7740</v>
      </c>
      <c r="AF264" s="4">
        <v>0</v>
      </c>
      <c r="AG264" s="2">
        <v>0</v>
      </c>
      <c r="AH264" s="3">
        <v>7740</v>
      </c>
      <c r="AI264" s="3">
        <v>0</v>
      </c>
      <c r="AJ264" s="5">
        <v>0</v>
      </c>
      <c r="AT264" s="1" t="s">
        <v>562</v>
      </c>
      <c r="AU264" s="1" t="s">
        <v>563</v>
      </c>
      <c r="AV264" s="1" t="s">
        <v>564</v>
      </c>
      <c r="AW264" s="1" t="s">
        <v>565</v>
      </c>
      <c r="AX264" s="1" t="s">
        <v>604</v>
      </c>
      <c r="AY264" s="1" t="s">
        <v>603</v>
      </c>
      <c r="BB264" s="1" t="s">
        <v>429</v>
      </c>
      <c r="BC264" s="1" t="s">
        <v>430</v>
      </c>
    </row>
    <row r="265" spans="1:55" x14ac:dyDescent="0.25">
      <c r="A265" s="1">
        <v>2640</v>
      </c>
      <c r="B265" s="1" t="s">
        <v>55</v>
      </c>
      <c r="C265" s="1" t="s">
        <v>56</v>
      </c>
      <c r="D265" s="1" t="s">
        <v>57</v>
      </c>
      <c r="E265" s="1" t="s">
        <v>605</v>
      </c>
      <c r="F265" s="1" t="s">
        <v>606</v>
      </c>
      <c r="G265" s="1" t="s">
        <v>409</v>
      </c>
      <c r="H265" s="1" t="s">
        <v>410</v>
      </c>
      <c r="I265" s="2">
        <v>1</v>
      </c>
      <c r="L265" s="3">
        <v>0</v>
      </c>
      <c r="M265" s="3">
        <v>3000</v>
      </c>
      <c r="N265" s="3">
        <v>0</v>
      </c>
      <c r="O265" s="4">
        <v>0</v>
      </c>
      <c r="P265" s="4">
        <v>3000</v>
      </c>
      <c r="Q265" s="4">
        <v>0</v>
      </c>
      <c r="S265" s="1" t="s">
        <v>605</v>
      </c>
      <c r="T265" s="1" t="s">
        <v>606</v>
      </c>
      <c r="W265" s="1" t="s">
        <v>57</v>
      </c>
      <c r="Z265" s="1" t="s">
        <v>64</v>
      </c>
      <c r="AA265" s="5">
        <v>0</v>
      </c>
      <c r="AB265" s="5">
        <v>0</v>
      </c>
      <c r="AD265" s="1" t="s">
        <v>64</v>
      </c>
      <c r="AE265" s="4">
        <v>3000</v>
      </c>
      <c r="AF265" s="4">
        <v>0</v>
      </c>
      <c r="AG265" s="2">
        <v>0</v>
      </c>
      <c r="AH265" s="3">
        <v>3000</v>
      </c>
      <c r="AI265" s="3">
        <v>0</v>
      </c>
      <c r="AJ265" s="5">
        <v>0</v>
      </c>
      <c r="AT265" s="1" t="s">
        <v>562</v>
      </c>
      <c r="AU265" s="1" t="s">
        <v>563</v>
      </c>
      <c r="AV265" s="1" t="s">
        <v>564</v>
      </c>
      <c r="AW265" s="1" t="s">
        <v>565</v>
      </c>
      <c r="AX265" s="1" t="s">
        <v>607</v>
      </c>
      <c r="AY265" s="1" t="s">
        <v>606</v>
      </c>
      <c r="BB265" s="1" t="s">
        <v>429</v>
      </c>
      <c r="BC265" s="1" t="s">
        <v>430</v>
      </c>
    </row>
    <row r="266" spans="1:55" x14ac:dyDescent="0.25">
      <c r="A266" s="1">
        <v>2650</v>
      </c>
      <c r="B266" s="1" t="s">
        <v>55</v>
      </c>
      <c r="C266" s="1" t="s">
        <v>56</v>
      </c>
      <c r="D266" s="1" t="s">
        <v>57</v>
      </c>
      <c r="E266" s="1" t="s">
        <v>608</v>
      </c>
      <c r="F266" s="1" t="s">
        <v>609</v>
      </c>
      <c r="G266" s="1" t="s">
        <v>409</v>
      </c>
      <c r="H266" s="1" t="s">
        <v>410</v>
      </c>
      <c r="I266" s="2">
        <v>1</v>
      </c>
      <c r="L266" s="3">
        <v>0</v>
      </c>
      <c r="M266" s="3">
        <v>1907033.2050000001</v>
      </c>
      <c r="N266" s="3">
        <v>0</v>
      </c>
      <c r="O266" s="4">
        <v>0</v>
      </c>
      <c r="P266" s="4">
        <v>1907033.21</v>
      </c>
      <c r="Q266" s="4">
        <v>0</v>
      </c>
      <c r="S266" s="1" t="s">
        <v>608</v>
      </c>
      <c r="T266" s="1" t="s">
        <v>609</v>
      </c>
      <c r="W266" s="1" t="s">
        <v>57</v>
      </c>
      <c r="Z266" s="1" t="s">
        <v>64</v>
      </c>
      <c r="AA266" s="5">
        <v>0</v>
      </c>
      <c r="AB266" s="5">
        <v>0</v>
      </c>
      <c r="AD266" s="1" t="s">
        <v>64</v>
      </c>
      <c r="AE266" s="4">
        <v>1907033.21</v>
      </c>
      <c r="AF266" s="4">
        <v>0</v>
      </c>
      <c r="AG266" s="2">
        <v>0</v>
      </c>
      <c r="AH266" s="3">
        <v>1907033.2050000001</v>
      </c>
      <c r="AI266" s="3">
        <v>0</v>
      </c>
      <c r="AJ266" s="5">
        <v>0</v>
      </c>
      <c r="AT266" s="1" t="s">
        <v>562</v>
      </c>
      <c r="AU266" s="1" t="s">
        <v>563</v>
      </c>
      <c r="AV266" s="1" t="s">
        <v>564</v>
      </c>
      <c r="AW266" s="1" t="s">
        <v>565</v>
      </c>
      <c r="AX266" s="1" t="s">
        <v>610</v>
      </c>
      <c r="AY266" s="1" t="s">
        <v>609</v>
      </c>
      <c r="BB266" s="1" t="s">
        <v>429</v>
      </c>
      <c r="BC266" s="1" t="s">
        <v>430</v>
      </c>
    </row>
    <row r="267" spans="1:55" x14ac:dyDescent="0.25">
      <c r="A267" s="1">
        <v>2660</v>
      </c>
      <c r="B267" s="1" t="s">
        <v>55</v>
      </c>
      <c r="C267" s="1" t="s">
        <v>56</v>
      </c>
      <c r="D267" s="1" t="s">
        <v>57</v>
      </c>
      <c r="E267" s="1" t="s">
        <v>611</v>
      </c>
      <c r="F267" s="1" t="s">
        <v>612</v>
      </c>
      <c r="G267" s="1" t="s">
        <v>409</v>
      </c>
      <c r="H267" s="1" t="s">
        <v>410</v>
      </c>
      <c r="I267" s="2">
        <v>1</v>
      </c>
      <c r="L267" s="3">
        <v>0</v>
      </c>
      <c r="M267" s="3">
        <v>45887.78</v>
      </c>
      <c r="N267" s="3">
        <v>0</v>
      </c>
      <c r="O267" s="4">
        <v>0</v>
      </c>
      <c r="P267" s="4">
        <v>45887.78</v>
      </c>
      <c r="Q267" s="4">
        <v>0</v>
      </c>
      <c r="S267" s="1" t="s">
        <v>611</v>
      </c>
      <c r="T267" s="1" t="s">
        <v>612</v>
      </c>
      <c r="W267" s="1" t="s">
        <v>57</v>
      </c>
      <c r="Z267" s="1" t="s">
        <v>64</v>
      </c>
      <c r="AA267" s="5">
        <v>0</v>
      </c>
      <c r="AB267" s="5">
        <v>0</v>
      </c>
      <c r="AD267" s="1" t="s">
        <v>64</v>
      </c>
      <c r="AE267" s="4">
        <v>45887.78</v>
      </c>
      <c r="AF267" s="4">
        <v>0</v>
      </c>
      <c r="AG267" s="2">
        <v>0</v>
      </c>
      <c r="AH267" s="3">
        <v>45887.78</v>
      </c>
      <c r="AI267" s="3">
        <v>0</v>
      </c>
      <c r="AJ267" s="5">
        <v>0</v>
      </c>
      <c r="AT267" s="1" t="s">
        <v>613</v>
      </c>
      <c r="AU267" s="1" t="s">
        <v>614</v>
      </c>
      <c r="AV267" s="1" t="s">
        <v>615</v>
      </c>
      <c r="AW267" s="1" t="s">
        <v>616</v>
      </c>
      <c r="AX267" s="1" t="s">
        <v>617</v>
      </c>
      <c r="AY267" s="1" t="s">
        <v>612</v>
      </c>
      <c r="BB267" s="1" t="s">
        <v>429</v>
      </c>
      <c r="BC267" s="1" t="s">
        <v>430</v>
      </c>
    </row>
    <row r="268" spans="1:55" x14ac:dyDescent="0.25">
      <c r="A268" s="1">
        <v>2670</v>
      </c>
      <c r="B268" s="1" t="s">
        <v>55</v>
      </c>
      <c r="C268" s="1" t="s">
        <v>56</v>
      </c>
      <c r="D268" s="1" t="s">
        <v>57</v>
      </c>
      <c r="E268" s="1" t="s">
        <v>618</v>
      </c>
      <c r="F268" s="1" t="s">
        <v>619</v>
      </c>
      <c r="G268" s="1" t="s">
        <v>409</v>
      </c>
      <c r="H268" s="1" t="s">
        <v>410</v>
      </c>
      <c r="I268" s="2">
        <v>1</v>
      </c>
      <c r="L268" s="3">
        <v>0</v>
      </c>
      <c r="M268" s="3">
        <v>80000</v>
      </c>
      <c r="N268" s="3">
        <v>0</v>
      </c>
      <c r="O268" s="4">
        <v>0</v>
      </c>
      <c r="P268" s="4">
        <v>80000</v>
      </c>
      <c r="Q268" s="4">
        <v>0</v>
      </c>
      <c r="S268" s="1" t="s">
        <v>618</v>
      </c>
      <c r="T268" s="1" t="s">
        <v>619</v>
      </c>
      <c r="W268" s="1" t="s">
        <v>57</v>
      </c>
      <c r="Z268" s="1" t="s">
        <v>64</v>
      </c>
      <c r="AA268" s="5">
        <v>0</v>
      </c>
      <c r="AB268" s="5">
        <v>0</v>
      </c>
      <c r="AD268" s="1" t="s">
        <v>64</v>
      </c>
      <c r="AE268" s="4">
        <v>80000</v>
      </c>
      <c r="AF268" s="4">
        <v>0</v>
      </c>
      <c r="AG268" s="2">
        <v>0</v>
      </c>
      <c r="AH268" s="3">
        <v>80000</v>
      </c>
      <c r="AI268" s="3">
        <v>0</v>
      </c>
      <c r="AJ268" s="5">
        <v>0</v>
      </c>
      <c r="AT268" s="1" t="s">
        <v>562</v>
      </c>
      <c r="AU268" s="1" t="s">
        <v>563</v>
      </c>
      <c r="AV268" s="1" t="s">
        <v>615</v>
      </c>
      <c r="AW268" s="1" t="s">
        <v>616</v>
      </c>
      <c r="AX268" s="1" t="s">
        <v>620</v>
      </c>
      <c r="AY268" s="1" t="s">
        <v>619</v>
      </c>
      <c r="BB268" s="1" t="s">
        <v>429</v>
      </c>
      <c r="BC268" s="1" t="s">
        <v>430</v>
      </c>
    </row>
    <row r="269" spans="1:55" x14ac:dyDescent="0.25">
      <c r="A269" s="1">
        <v>2690</v>
      </c>
      <c r="B269" s="1" t="s">
        <v>55</v>
      </c>
      <c r="C269" s="1" t="s">
        <v>56</v>
      </c>
      <c r="D269" s="1" t="s">
        <v>57</v>
      </c>
      <c r="E269" s="1" t="s">
        <v>621</v>
      </c>
      <c r="F269" s="1" t="s">
        <v>622</v>
      </c>
      <c r="G269" s="1" t="s">
        <v>623</v>
      </c>
      <c r="I269" s="2">
        <v>926.9</v>
      </c>
      <c r="L269" s="3">
        <v>0</v>
      </c>
      <c r="M269" s="3">
        <v>18.670000000000002</v>
      </c>
      <c r="N269" s="3">
        <v>22.29</v>
      </c>
      <c r="O269" s="4">
        <v>0</v>
      </c>
      <c r="P269" s="4">
        <v>17305.22</v>
      </c>
      <c r="Q269" s="4">
        <v>20660.599999999999</v>
      </c>
      <c r="S269" s="1" t="s">
        <v>289</v>
      </c>
      <c r="T269" s="1" t="s">
        <v>290</v>
      </c>
      <c r="W269" s="1" t="s">
        <v>57</v>
      </c>
      <c r="Z269" s="1" t="s">
        <v>64</v>
      </c>
      <c r="AA269" s="5">
        <v>0</v>
      </c>
      <c r="AB269" s="5">
        <v>0</v>
      </c>
      <c r="AD269" s="1" t="s">
        <v>64</v>
      </c>
      <c r="AE269" s="4">
        <v>17305.22</v>
      </c>
      <c r="AF269" s="4">
        <v>0</v>
      </c>
      <c r="AG269" s="2">
        <v>0</v>
      </c>
      <c r="AH269" s="3">
        <v>18.670000000000002</v>
      </c>
      <c r="AI269" s="3">
        <v>0</v>
      </c>
      <c r="AJ269" s="5">
        <v>0</v>
      </c>
      <c r="AT269" s="1" t="s">
        <v>65</v>
      </c>
      <c r="AU269" s="1" t="s">
        <v>66</v>
      </c>
      <c r="AV269" s="1" t="s">
        <v>197</v>
      </c>
      <c r="AW269" s="1" t="s">
        <v>198</v>
      </c>
      <c r="AX269" s="1" t="s">
        <v>291</v>
      </c>
      <c r="AY269" s="1" t="s">
        <v>292</v>
      </c>
      <c r="BB269" s="1" t="s">
        <v>71</v>
      </c>
      <c r="BC269" s="1" t="s">
        <v>72</v>
      </c>
    </row>
    <row r="270" spans="1:55" x14ac:dyDescent="0.25">
      <c r="A270" s="1">
        <v>2700</v>
      </c>
      <c r="B270" s="1" t="s">
        <v>55</v>
      </c>
      <c r="C270" s="1" t="s">
        <v>56</v>
      </c>
      <c r="D270" s="1" t="s">
        <v>57</v>
      </c>
      <c r="E270" s="1" t="s">
        <v>73</v>
      </c>
      <c r="F270" s="1" t="s">
        <v>74</v>
      </c>
      <c r="G270" s="1" t="s">
        <v>75</v>
      </c>
      <c r="I270" s="2">
        <v>13362</v>
      </c>
      <c r="L270" s="3">
        <v>0</v>
      </c>
      <c r="M270" s="3">
        <v>0</v>
      </c>
      <c r="N270" s="3">
        <v>0.23</v>
      </c>
      <c r="O270" s="4">
        <v>0</v>
      </c>
      <c r="P270" s="4">
        <v>0</v>
      </c>
      <c r="Q270" s="4">
        <v>3073.26</v>
      </c>
      <c r="S270" s="1" t="s">
        <v>328</v>
      </c>
      <c r="T270" s="1" t="s">
        <v>329</v>
      </c>
      <c r="W270" s="1" t="s">
        <v>57</v>
      </c>
      <c r="Z270" s="1" t="s">
        <v>64</v>
      </c>
      <c r="AA270" s="5">
        <v>0</v>
      </c>
      <c r="AB270" s="5">
        <v>0</v>
      </c>
      <c r="AD270" s="1" t="s">
        <v>64</v>
      </c>
      <c r="AE270" s="4">
        <v>0</v>
      </c>
      <c r="AF270" s="4">
        <v>0</v>
      </c>
      <c r="AG270" s="2">
        <v>0</v>
      </c>
      <c r="AH270" s="3">
        <v>0</v>
      </c>
      <c r="AI270" s="3">
        <v>0</v>
      </c>
      <c r="AJ270" s="5">
        <v>0</v>
      </c>
      <c r="AT270" s="1" t="s">
        <v>65</v>
      </c>
      <c r="AU270" s="1" t="s">
        <v>66</v>
      </c>
      <c r="AV270" s="1" t="s">
        <v>330</v>
      </c>
      <c r="AW270" s="1" t="s">
        <v>331</v>
      </c>
      <c r="AX270" s="1" t="s">
        <v>332</v>
      </c>
      <c r="AY270" s="1" t="s">
        <v>333</v>
      </c>
      <c r="BB270" s="1" t="s">
        <v>71</v>
      </c>
      <c r="BC270" s="1" t="s">
        <v>72</v>
      </c>
    </row>
    <row r="271" spans="1:55" x14ac:dyDescent="0.25">
      <c r="A271" s="1">
        <v>2710</v>
      </c>
      <c r="B271" s="1" t="s">
        <v>55</v>
      </c>
      <c r="C271" s="1" t="s">
        <v>56</v>
      </c>
      <c r="D271" s="1" t="s">
        <v>57</v>
      </c>
      <c r="E271" s="1" t="s">
        <v>150</v>
      </c>
      <c r="F271" s="1" t="s">
        <v>151</v>
      </c>
      <c r="G271" s="1" t="s">
        <v>60</v>
      </c>
      <c r="H271" s="1" t="s">
        <v>61</v>
      </c>
      <c r="I271" s="2">
        <v>501.08</v>
      </c>
      <c r="L271" s="3">
        <v>0</v>
      </c>
      <c r="M271" s="3">
        <v>0.83</v>
      </c>
      <c r="N271" s="3">
        <v>0.53</v>
      </c>
      <c r="O271" s="4">
        <v>0</v>
      </c>
      <c r="P271" s="4">
        <v>415.9</v>
      </c>
      <c r="Q271" s="4">
        <v>265.57</v>
      </c>
      <c r="S271" s="1" t="s">
        <v>328</v>
      </c>
      <c r="T271" s="1" t="s">
        <v>329</v>
      </c>
      <c r="W271" s="1" t="s">
        <v>57</v>
      </c>
      <c r="Z271" s="1" t="s">
        <v>64</v>
      </c>
      <c r="AA271" s="5">
        <v>0</v>
      </c>
      <c r="AB271" s="5">
        <v>0</v>
      </c>
      <c r="AD271" s="1" t="s">
        <v>64</v>
      </c>
      <c r="AE271" s="4">
        <v>415.9</v>
      </c>
      <c r="AF271" s="4">
        <v>0</v>
      </c>
      <c r="AG271" s="2">
        <v>0</v>
      </c>
      <c r="AH271" s="3">
        <v>0.83</v>
      </c>
      <c r="AI271" s="3">
        <v>0</v>
      </c>
      <c r="AJ271" s="5">
        <v>0</v>
      </c>
      <c r="AT271" s="1" t="s">
        <v>65</v>
      </c>
      <c r="AU271" s="1" t="s">
        <v>66</v>
      </c>
      <c r="AV271" s="1" t="s">
        <v>330</v>
      </c>
      <c r="AW271" s="1" t="s">
        <v>331</v>
      </c>
      <c r="AX271" s="1" t="s">
        <v>332</v>
      </c>
      <c r="AY271" s="1" t="s">
        <v>333</v>
      </c>
      <c r="BB271" s="1" t="s">
        <v>71</v>
      </c>
      <c r="BC271" s="1" t="s">
        <v>72</v>
      </c>
    </row>
    <row r="272" spans="1:55" x14ac:dyDescent="0.25">
      <c r="A272" s="1">
        <v>2720</v>
      </c>
      <c r="B272" s="1" t="s">
        <v>55</v>
      </c>
      <c r="C272" s="1" t="s">
        <v>56</v>
      </c>
      <c r="D272" s="1" t="s">
        <v>57</v>
      </c>
      <c r="E272" s="1" t="s">
        <v>86</v>
      </c>
      <c r="F272" s="1" t="s">
        <v>87</v>
      </c>
      <c r="G272" s="1" t="s">
        <v>60</v>
      </c>
      <c r="H272" s="1" t="s">
        <v>61</v>
      </c>
      <c r="I272" s="2">
        <v>764.36</v>
      </c>
      <c r="L272" s="3">
        <v>0</v>
      </c>
      <c r="M272" s="3">
        <v>6</v>
      </c>
      <c r="N272" s="3">
        <v>6.61</v>
      </c>
      <c r="O272" s="4">
        <v>0</v>
      </c>
      <c r="P272" s="4">
        <v>4586.16</v>
      </c>
      <c r="Q272" s="4">
        <v>5052.42</v>
      </c>
      <c r="S272" s="1" t="s">
        <v>328</v>
      </c>
      <c r="T272" s="1" t="s">
        <v>329</v>
      </c>
      <c r="W272" s="1" t="s">
        <v>57</v>
      </c>
      <c r="Z272" s="1" t="s">
        <v>64</v>
      </c>
      <c r="AA272" s="5">
        <v>0</v>
      </c>
      <c r="AB272" s="5">
        <v>0</v>
      </c>
      <c r="AD272" s="1" t="s">
        <v>64</v>
      </c>
      <c r="AE272" s="4">
        <v>4586.16</v>
      </c>
      <c r="AF272" s="4">
        <v>0</v>
      </c>
      <c r="AG272" s="2">
        <v>0</v>
      </c>
      <c r="AH272" s="3">
        <v>6</v>
      </c>
      <c r="AI272" s="3">
        <v>0</v>
      </c>
      <c r="AJ272" s="5">
        <v>0</v>
      </c>
      <c r="AT272" s="1" t="s">
        <v>65</v>
      </c>
      <c r="AU272" s="1" t="s">
        <v>66</v>
      </c>
      <c r="AV272" s="1" t="s">
        <v>330</v>
      </c>
      <c r="AW272" s="1" t="s">
        <v>331</v>
      </c>
      <c r="AX272" s="1" t="s">
        <v>332</v>
      </c>
      <c r="AY272" s="1" t="s">
        <v>333</v>
      </c>
      <c r="BB272" s="1" t="s">
        <v>71</v>
      </c>
      <c r="BC272" s="1" t="s">
        <v>72</v>
      </c>
    </row>
    <row r="273" spans="1:55" x14ac:dyDescent="0.25">
      <c r="A273" s="1">
        <v>2730</v>
      </c>
      <c r="B273" s="1" t="s">
        <v>55</v>
      </c>
      <c r="C273" s="1" t="s">
        <v>56</v>
      </c>
      <c r="D273" s="1" t="s">
        <v>57</v>
      </c>
      <c r="E273" s="1" t="s">
        <v>334</v>
      </c>
      <c r="F273" s="1" t="s">
        <v>335</v>
      </c>
      <c r="G273" s="1" t="s">
        <v>60</v>
      </c>
      <c r="H273" s="1" t="s">
        <v>61</v>
      </c>
      <c r="I273" s="2">
        <v>123.69</v>
      </c>
      <c r="L273" s="3">
        <v>0</v>
      </c>
      <c r="M273" s="3">
        <v>2</v>
      </c>
      <c r="N273" s="3">
        <v>2.11</v>
      </c>
      <c r="O273" s="4">
        <v>0</v>
      </c>
      <c r="P273" s="4">
        <v>247.38</v>
      </c>
      <c r="Q273" s="4">
        <v>260.99</v>
      </c>
      <c r="S273" s="1" t="s">
        <v>328</v>
      </c>
      <c r="T273" s="1" t="s">
        <v>329</v>
      </c>
      <c r="W273" s="1" t="s">
        <v>57</v>
      </c>
      <c r="Z273" s="1" t="s">
        <v>64</v>
      </c>
      <c r="AA273" s="5">
        <v>0</v>
      </c>
      <c r="AB273" s="5">
        <v>0</v>
      </c>
      <c r="AD273" s="1" t="s">
        <v>64</v>
      </c>
      <c r="AE273" s="4">
        <v>247.38</v>
      </c>
      <c r="AF273" s="4">
        <v>0</v>
      </c>
      <c r="AG273" s="2">
        <v>0</v>
      </c>
      <c r="AH273" s="3">
        <v>2</v>
      </c>
      <c r="AI273" s="3">
        <v>0</v>
      </c>
      <c r="AJ273" s="5">
        <v>0</v>
      </c>
      <c r="AT273" s="1" t="s">
        <v>65</v>
      </c>
      <c r="AU273" s="1" t="s">
        <v>66</v>
      </c>
      <c r="AV273" s="1" t="s">
        <v>330</v>
      </c>
      <c r="AW273" s="1" t="s">
        <v>331</v>
      </c>
      <c r="AX273" s="1" t="s">
        <v>332</v>
      </c>
      <c r="AY273" s="1" t="s">
        <v>333</v>
      </c>
      <c r="BB273" s="1" t="s">
        <v>71</v>
      </c>
      <c r="BC273" s="1" t="s">
        <v>72</v>
      </c>
    </row>
    <row r="274" spans="1:55" x14ac:dyDescent="0.25">
      <c r="A274" s="1">
        <v>2740</v>
      </c>
      <c r="B274" s="1" t="s">
        <v>55</v>
      </c>
      <c r="C274" s="1" t="s">
        <v>56</v>
      </c>
      <c r="D274" s="1" t="s">
        <v>57</v>
      </c>
      <c r="E274" s="1" t="s">
        <v>336</v>
      </c>
      <c r="F274" s="1" t="s">
        <v>337</v>
      </c>
      <c r="G274" s="1" t="s">
        <v>110</v>
      </c>
      <c r="H274" s="1" t="s">
        <v>110</v>
      </c>
      <c r="I274" s="2">
        <v>240</v>
      </c>
      <c r="L274" s="3">
        <v>0</v>
      </c>
      <c r="M274" s="3">
        <v>219.99</v>
      </c>
      <c r="N274" s="3">
        <v>231.57</v>
      </c>
      <c r="O274" s="4">
        <v>0</v>
      </c>
      <c r="P274" s="4">
        <v>52797.599999999999</v>
      </c>
      <c r="Q274" s="4">
        <v>55576.800000000003</v>
      </c>
      <c r="S274" s="1" t="s">
        <v>328</v>
      </c>
      <c r="T274" s="1" t="s">
        <v>329</v>
      </c>
      <c r="W274" s="1" t="s">
        <v>57</v>
      </c>
      <c r="Z274" s="1" t="s">
        <v>64</v>
      </c>
      <c r="AA274" s="5">
        <v>0</v>
      </c>
      <c r="AB274" s="5">
        <v>0</v>
      </c>
      <c r="AD274" s="1" t="s">
        <v>64</v>
      </c>
      <c r="AE274" s="4">
        <v>52797.599999999999</v>
      </c>
      <c r="AF274" s="4">
        <v>0</v>
      </c>
      <c r="AG274" s="2">
        <v>0</v>
      </c>
      <c r="AH274" s="3">
        <v>219.99</v>
      </c>
      <c r="AI274" s="3">
        <v>0</v>
      </c>
      <c r="AJ274" s="5">
        <v>0</v>
      </c>
      <c r="AT274" s="1" t="s">
        <v>65</v>
      </c>
      <c r="AU274" s="1" t="s">
        <v>66</v>
      </c>
      <c r="AV274" s="1" t="s">
        <v>330</v>
      </c>
      <c r="AW274" s="1" t="s">
        <v>331</v>
      </c>
      <c r="AX274" s="1" t="s">
        <v>332</v>
      </c>
      <c r="AY274" s="1" t="s">
        <v>333</v>
      </c>
      <c r="BB274" s="1" t="s">
        <v>71</v>
      </c>
      <c r="BC274" s="1" t="s">
        <v>72</v>
      </c>
    </row>
    <row r="275" spans="1:55" x14ac:dyDescent="0.25">
      <c r="A275" s="1">
        <v>2750</v>
      </c>
      <c r="B275" s="1" t="s">
        <v>55</v>
      </c>
      <c r="C275" s="1" t="s">
        <v>56</v>
      </c>
      <c r="D275" s="1" t="s">
        <v>57</v>
      </c>
      <c r="E275" s="1" t="s">
        <v>98</v>
      </c>
      <c r="F275" s="1" t="s">
        <v>99</v>
      </c>
      <c r="G275" s="1" t="s">
        <v>100</v>
      </c>
      <c r="H275" s="1" t="s">
        <v>101</v>
      </c>
      <c r="I275" s="2">
        <v>28800</v>
      </c>
      <c r="L275" s="3">
        <v>0</v>
      </c>
      <c r="M275" s="3">
        <v>1.1200000000000001</v>
      </c>
      <c r="N275" s="3">
        <v>1.72</v>
      </c>
      <c r="O275" s="4">
        <v>0</v>
      </c>
      <c r="P275" s="4">
        <v>32256</v>
      </c>
      <c r="Q275" s="4">
        <v>49536</v>
      </c>
      <c r="S275" s="1" t="s">
        <v>328</v>
      </c>
      <c r="T275" s="1" t="s">
        <v>329</v>
      </c>
      <c r="W275" s="1" t="s">
        <v>57</v>
      </c>
      <c r="Z275" s="1" t="s">
        <v>64</v>
      </c>
      <c r="AA275" s="5">
        <v>0</v>
      </c>
      <c r="AB275" s="5">
        <v>0</v>
      </c>
      <c r="AD275" s="1" t="s">
        <v>64</v>
      </c>
      <c r="AE275" s="4">
        <v>32256</v>
      </c>
      <c r="AF275" s="4">
        <v>0</v>
      </c>
      <c r="AG275" s="2">
        <v>0</v>
      </c>
      <c r="AH275" s="3">
        <v>1.1200000000000001</v>
      </c>
      <c r="AI275" s="3">
        <v>0</v>
      </c>
      <c r="AJ275" s="5">
        <v>0</v>
      </c>
      <c r="AT275" s="1" t="s">
        <v>65</v>
      </c>
      <c r="AU275" s="1" t="s">
        <v>66</v>
      </c>
      <c r="AV275" s="1" t="s">
        <v>330</v>
      </c>
      <c r="AW275" s="1" t="s">
        <v>331</v>
      </c>
      <c r="AX275" s="1" t="s">
        <v>332</v>
      </c>
      <c r="AY275" s="1" t="s">
        <v>333</v>
      </c>
      <c r="BB275" s="1" t="s">
        <v>71</v>
      </c>
      <c r="BC275" s="1" t="s">
        <v>72</v>
      </c>
    </row>
    <row r="276" spans="1:55" x14ac:dyDescent="0.25">
      <c r="A276" s="1">
        <v>2760</v>
      </c>
      <c r="B276" s="1" t="s">
        <v>55</v>
      </c>
      <c r="C276" s="1" t="s">
        <v>56</v>
      </c>
      <c r="D276" s="1" t="s">
        <v>57</v>
      </c>
      <c r="E276" s="1" t="s">
        <v>106</v>
      </c>
      <c r="F276" s="1" t="s">
        <v>107</v>
      </c>
      <c r="G276" s="1" t="s">
        <v>104</v>
      </c>
      <c r="H276" s="1" t="s">
        <v>105</v>
      </c>
      <c r="I276" s="2">
        <v>1068.96</v>
      </c>
      <c r="L276" s="3">
        <v>0</v>
      </c>
      <c r="M276" s="3">
        <v>8</v>
      </c>
      <c r="N276" s="3">
        <v>6.7</v>
      </c>
      <c r="O276" s="4">
        <v>0</v>
      </c>
      <c r="P276" s="4">
        <v>8551.68</v>
      </c>
      <c r="Q276" s="4">
        <v>7162.03</v>
      </c>
      <c r="S276" s="1" t="s">
        <v>328</v>
      </c>
      <c r="T276" s="1" t="s">
        <v>329</v>
      </c>
      <c r="W276" s="1" t="s">
        <v>57</v>
      </c>
      <c r="Z276" s="1" t="s">
        <v>64</v>
      </c>
      <c r="AA276" s="5">
        <v>0</v>
      </c>
      <c r="AB276" s="5">
        <v>0</v>
      </c>
      <c r="AD276" s="1" t="s">
        <v>64</v>
      </c>
      <c r="AE276" s="4">
        <v>8551.68</v>
      </c>
      <c r="AF276" s="4">
        <v>0</v>
      </c>
      <c r="AG276" s="2">
        <v>0</v>
      </c>
      <c r="AH276" s="3">
        <v>8</v>
      </c>
      <c r="AI276" s="3">
        <v>0</v>
      </c>
      <c r="AJ276" s="5">
        <v>0</v>
      </c>
      <c r="AT276" s="1" t="s">
        <v>65</v>
      </c>
      <c r="AU276" s="1" t="s">
        <v>66</v>
      </c>
      <c r="AV276" s="1" t="s">
        <v>330</v>
      </c>
      <c r="AW276" s="1" t="s">
        <v>331</v>
      </c>
      <c r="AX276" s="1" t="s">
        <v>332</v>
      </c>
      <c r="AY276" s="1" t="s">
        <v>333</v>
      </c>
      <c r="BB276" s="1" t="s">
        <v>71</v>
      </c>
      <c r="BC276" s="1" t="s">
        <v>72</v>
      </c>
    </row>
    <row r="277" spans="1:55" x14ac:dyDescent="0.25">
      <c r="A277" s="1">
        <v>2770</v>
      </c>
      <c r="B277" s="1" t="s">
        <v>55</v>
      </c>
      <c r="C277" s="1" t="s">
        <v>56</v>
      </c>
      <c r="D277" s="1" t="s">
        <v>57</v>
      </c>
      <c r="E277" s="1" t="s">
        <v>624</v>
      </c>
      <c r="F277" s="1" t="s">
        <v>625</v>
      </c>
      <c r="G277" s="1" t="s">
        <v>623</v>
      </c>
      <c r="I277" s="2">
        <v>1</v>
      </c>
      <c r="L277" s="3">
        <v>0</v>
      </c>
      <c r="M277" s="3">
        <v>1.206</v>
      </c>
      <c r="N277" s="3">
        <v>1.3759999999999999</v>
      </c>
      <c r="O277" s="4">
        <v>0</v>
      </c>
      <c r="P277" s="4">
        <v>1.21</v>
      </c>
      <c r="Q277" s="4">
        <v>1.38</v>
      </c>
      <c r="S277" s="1" t="s">
        <v>396</v>
      </c>
      <c r="T277" s="1" t="s">
        <v>397</v>
      </c>
      <c r="W277" s="1" t="s">
        <v>57</v>
      </c>
      <c r="Z277" s="1" t="s">
        <v>64</v>
      </c>
      <c r="AA277" s="5">
        <v>0</v>
      </c>
      <c r="AB277" s="5">
        <v>0</v>
      </c>
      <c r="AD277" s="1" t="s">
        <v>64</v>
      </c>
      <c r="AE277" s="4">
        <v>1.21</v>
      </c>
      <c r="AF277" s="4">
        <v>0</v>
      </c>
      <c r="AG277" s="2">
        <v>0</v>
      </c>
      <c r="AH277" s="3">
        <v>1.206</v>
      </c>
      <c r="AI277" s="3">
        <v>0</v>
      </c>
      <c r="AJ277" s="5">
        <v>0</v>
      </c>
      <c r="AT277" s="1" t="s">
        <v>65</v>
      </c>
      <c r="AU277" s="1" t="s">
        <v>66</v>
      </c>
      <c r="AV277" s="1" t="s">
        <v>250</v>
      </c>
      <c r="AW277" s="1" t="s">
        <v>397</v>
      </c>
      <c r="AX277" s="1" t="s">
        <v>398</v>
      </c>
      <c r="AY277" s="1" t="s">
        <v>399</v>
      </c>
      <c r="BB277" s="1" t="s">
        <v>71</v>
      </c>
      <c r="BC277" s="1" t="s">
        <v>72</v>
      </c>
    </row>
    <row r="278" spans="1:55" x14ac:dyDescent="0.25">
      <c r="A278" s="1">
        <v>2780</v>
      </c>
      <c r="B278" s="1" t="s">
        <v>55</v>
      </c>
      <c r="C278" s="1" t="s">
        <v>56</v>
      </c>
      <c r="D278" s="1" t="s">
        <v>57</v>
      </c>
      <c r="E278" s="1" t="s">
        <v>626</v>
      </c>
      <c r="F278" s="1" t="s">
        <v>627</v>
      </c>
      <c r="G278" s="1" t="s">
        <v>182</v>
      </c>
      <c r="H278" s="1" t="s">
        <v>183</v>
      </c>
      <c r="I278" s="2">
        <v>1</v>
      </c>
      <c r="L278" s="3">
        <v>0</v>
      </c>
      <c r="M278" s="3">
        <v>12.532999999999999</v>
      </c>
      <c r="N278" s="3">
        <v>14.307</v>
      </c>
      <c r="O278" s="4">
        <v>0</v>
      </c>
      <c r="P278" s="4">
        <v>12.53</v>
      </c>
      <c r="Q278" s="4">
        <v>14.31</v>
      </c>
      <c r="S278" s="1" t="s">
        <v>396</v>
      </c>
      <c r="T278" s="1" t="s">
        <v>397</v>
      </c>
      <c r="W278" s="1" t="s">
        <v>57</v>
      </c>
      <c r="Z278" s="1" t="s">
        <v>64</v>
      </c>
      <c r="AA278" s="5">
        <v>0</v>
      </c>
      <c r="AB278" s="5">
        <v>0</v>
      </c>
      <c r="AD278" s="1" t="s">
        <v>64</v>
      </c>
      <c r="AE278" s="4">
        <v>12.53</v>
      </c>
      <c r="AF278" s="4">
        <v>0</v>
      </c>
      <c r="AG278" s="2">
        <v>0</v>
      </c>
      <c r="AH278" s="3">
        <v>12.532999999999999</v>
      </c>
      <c r="AI278" s="3">
        <v>0</v>
      </c>
      <c r="AJ278" s="5">
        <v>0</v>
      </c>
      <c r="AT278" s="1" t="s">
        <v>65</v>
      </c>
      <c r="AU278" s="1" t="s">
        <v>66</v>
      </c>
      <c r="AV278" s="1" t="s">
        <v>250</v>
      </c>
      <c r="AW278" s="1" t="s">
        <v>397</v>
      </c>
      <c r="AX278" s="1" t="s">
        <v>398</v>
      </c>
      <c r="AY278" s="1" t="s">
        <v>399</v>
      </c>
      <c r="BB278" s="1" t="s">
        <v>71</v>
      </c>
      <c r="BC278" s="1" t="s">
        <v>72</v>
      </c>
    </row>
    <row r="279" spans="1:55" x14ac:dyDescent="0.25">
      <c r="A279" s="1">
        <v>2790</v>
      </c>
      <c r="B279" s="1" t="s">
        <v>55</v>
      </c>
      <c r="C279" s="1" t="s">
        <v>56</v>
      </c>
      <c r="D279" s="1" t="s">
        <v>57</v>
      </c>
      <c r="E279" s="1" t="s">
        <v>628</v>
      </c>
      <c r="F279" s="1" t="s">
        <v>629</v>
      </c>
      <c r="G279" s="1" t="s">
        <v>182</v>
      </c>
      <c r="H279" s="1" t="s">
        <v>183</v>
      </c>
      <c r="I279" s="2">
        <v>1</v>
      </c>
      <c r="L279" s="3">
        <v>0</v>
      </c>
      <c r="M279" s="3">
        <v>6.9989999999999997</v>
      </c>
      <c r="N279" s="3">
        <v>7.9889999999999999</v>
      </c>
      <c r="O279" s="4">
        <v>0</v>
      </c>
      <c r="P279" s="4">
        <v>7</v>
      </c>
      <c r="Q279" s="4">
        <v>7.99</v>
      </c>
      <c r="S279" s="1" t="s">
        <v>396</v>
      </c>
      <c r="T279" s="1" t="s">
        <v>397</v>
      </c>
      <c r="W279" s="1" t="s">
        <v>57</v>
      </c>
      <c r="Z279" s="1" t="s">
        <v>64</v>
      </c>
      <c r="AA279" s="5">
        <v>0</v>
      </c>
      <c r="AB279" s="5">
        <v>0</v>
      </c>
      <c r="AD279" s="1" t="s">
        <v>64</v>
      </c>
      <c r="AE279" s="4">
        <v>7</v>
      </c>
      <c r="AF279" s="4">
        <v>0</v>
      </c>
      <c r="AG279" s="2">
        <v>0</v>
      </c>
      <c r="AH279" s="3">
        <v>6.9989999999999997</v>
      </c>
      <c r="AI279" s="3">
        <v>0</v>
      </c>
      <c r="AJ279" s="5">
        <v>0</v>
      </c>
      <c r="AT279" s="1" t="s">
        <v>65</v>
      </c>
      <c r="AU279" s="1" t="s">
        <v>66</v>
      </c>
      <c r="AV279" s="1" t="s">
        <v>250</v>
      </c>
      <c r="AW279" s="1" t="s">
        <v>397</v>
      </c>
      <c r="AX279" s="1" t="s">
        <v>398</v>
      </c>
      <c r="AY279" s="1" t="s">
        <v>399</v>
      </c>
      <c r="BB279" s="1" t="s">
        <v>71</v>
      </c>
      <c r="BC279" s="1" t="s">
        <v>72</v>
      </c>
    </row>
    <row r="280" spans="1:55" x14ac:dyDescent="0.25">
      <c r="A280" s="1">
        <v>2800</v>
      </c>
      <c r="B280" s="1" t="s">
        <v>55</v>
      </c>
      <c r="C280" s="1" t="s">
        <v>56</v>
      </c>
      <c r="D280" s="1" t="s">
        <v>57</v>
      </c>
      <c r="E280" s="1" t="s">
        <v>630</v>
      </c>
      <c r="F280" s="1" t="s">
        <v>631</v>
      </c>
      <c r="G280" s="1" t="s">
        <v>182</v>
      </c>
      <c r="H280" s="1" t="s">
        <v>183</v>
      </c>
      <c r="I280" s="2">
        <v>1</v>
      </c>
      <c r="L280" s="3">
        <v>0</v>
      </c>
      <c r="M280" s="3">
        <v>6693.6019999999999</v>
      </c>
      <c r="N280" s="3">
        <v>15345.26</v>
      </c>
      <c r="O280" s="4">
        <v>0</v>
      </c>
      <c r="P280" s="4">
        <v>6693.6</v>
      </c>
      <c r="Q280" s="4">
        <v>15345.26</v>
      </c>
      <c r="S280" s="1" t="s">
        <v>407</v>
      </c>
      <c r="T280" s="1" t="s">
        <v>408</v>
      </c>
      <c r="W280" s="1" t="s">
        <v>57</v>
      </c>
      <c r="Z280" s="1" t="s">
        <v>64</v>
      </c>
      <c r="AA280" s="5">
        <v>0</v>
      </c>
      <c r="AB280" s="5">
        <v>0</v>
      </c>
      <c r="AD280" s="1" t="s">
        <v>64</v>
      </c>
      <c r="AE280" s="4">
        <v>6693.6</v>
      </c>
      <c r="AF280" s="4">
        <v>0</v>
      </c>
      <c r="AG280" s="2">
        <v>0</v>
      </c>
      <c r="AH280" s="3">
        <v>6693.6019999999999</v>
      </c>
      <c r="AI280" s="3">
        <v>0</v>
      </c>
      <c r="AJ280" s="5">
        <v>0</v>
      </c>
      <c r="AT280" s="1" t="s">
        <v>65</v>
      </c>
      <c r="AU280" s="1" t="s">
        <v>66</v>
      </c>
      <c r="AV280" s="1" t="s">
        <v>407</v>
      </c>
      <c r="AW280" s="1" t="s">
        <v>411</v>
      </c>
      <c r="AX280" s="1" t="s">
        <v>412</v>
      </c>
      <c r="AY280" s="1" t="s">
        <v>413</v>
      </c>
      <c r="BB280" s="1" t="s">
        <v>71</v>
      </c>
      <c r="BC280" s="1" t="s">
        <v>72</v>
      </c>
    </row>
    <row r="281" spans="1:55" x14ac:dyDescent="0.25">
      <c r="A281" s="1">
        <v>2810</v>
      </c>
      <c r="B281" s="1" t="s">
        <v>55</v>
      </c>
      <c r="C281" s="1" t="s">
        <v>56</v>
      </c>
      <c r="D281" s="1" t="s">
        <v>57</v>
      </c>
      <c r="E281" s="1" t="s">
        <v>632</v>
      </c>
      <c r="F281" s="1" t="s">
        <v>633</v>
      </c>
      <c r="G281" s="1" t="s">
        <v>182</v>
      </c>
      <c r="H281" s="1" t="s">
        <v>183</v>
      </c>
      <c r="I281" s="2">
        <v>1</v>
      </c>
      <c r="L281" s="3">
        <v>0</v>
      </c>
      <c r="M281" s="3">
        <v>1748.7429999999999</v>
      </c>
      <c r="N281" s="3">
        <v>4009.04</v>
      </c>
      <c r="O281" s="4">
        <v>0</v>
      </c>
      <c r="P281" s="4">
        <v>1748.74</v>
      </c>
      <c r="Q281" s="4">
        <v>4009.04</v>
      </c>
      <c r="S281" s="1" t="s">
        <v>407</v>
      </c>
      <c r="T281" s="1" t="s">
        <v>408</v>
      </c>
      <c r="W281" s="1" t="s">
        <v>57</v>
      </c>
      <c r="Z281" s="1" t="s">
        <v>64</v>
      </c>
      <c r="AA281" s="5">
        <v>0</v>
      </c>
      <c r="AB281" s="5">
        <v>0</v>
      </c>
      <c r="AD281" s="1" t="s">
        <v>64</v>
      </c>
      <c r="AE281" s="4">
        <v>1748.74</v>
      </c>
      <c r="AF281" s="4">
        <v>0</v>
      </c>
      <c r="AG281" s="2">
        <v>0</v>
      </c>
      <c r="AH281" s="3">
        <v>1748.7429999999999</v>
      </c>
      <c r="AI281" s="3">
        <v>0</v>
      </c>
      <c r="AJ281" s="5">
        <v>0</v>
      </c>
      <c r="AT281" s="1" t="s">
        <v>65</v>
      </c>
      <c r="AU281" s="1" t="s">
        <v>66</v>
      </c>
      <c r="AV281" s="1" t="s">
        <v>407</v>
      </c>
      <c r="AW281" s="1" t="s">
        <v>411</v>
      </c>
      <c r="AX281" s="1" t="s">
        <v>412</v>
      </c>
      <c r="AY281" s="1" t="s">
        <v>413</v>
      </c>
      <c r="BB281" s="1" t="s">
        <v>71</v>
      </c>
      <c r="BC281" s="1" t="s">
        <v>72</v>
      </c>
    </row>
    <row r="282" spans="1:55" x14ac:dyDescent="0.25">
      <c r="A282" s="1">
        <v>2820</v>
      </c>
      <c r="B282" s="1" t="s">
        <v>55</v>
      </c>
      <c r="C282" s="1" t="s">
        <v>56</v>
      </c>
      <c r="D282" s="1" t="s">
        <v>57</v>
      </c>
      <c r="E282" s="1" t="s">
        <v>634</v>
      </c>
      <c r="F282" s="1" t="s">
        <v>635</v>
      </c>
      <c r="G282" s="1" t="s">
        <v>182</v>
      </c>
      <c r="H282" s="1" t="s">
        <v>183</v>
      </c>
      <c r="I282" s="2">
        <v>1</v>
      </c>
      <c r="L282" s="3">
        <v>0</v>
      </c>
      <c r="M282" s="3">
        <v>141.20699999999999</v>
      </c>
      <c r="N282" s="3">
        <v>323.72000000000003</v>
      </c>
      <c r="O282" s="4">
        <v>0</v>
      </c>
      <c r="P282" s="4">
        <v>141.21</v>
      </c>
      <c r="Q282" s="4">
        <v>323.72000000000003</v>
      </c>
      <c r="S282" s="1" t="s">
        <v>407</v>
      </c>
      <c r="T282" s="1" t="s">
        <v>408</v>
      </c>
      <c r="W282" s="1" t="s">
        <v>57</v>
      </c>
      <c r="Z282" s="1" t="s">
        <v>64</v>
      </c>
      <c r="AA282" s="5">
        <v>0</v>
      </c>
      <c r="AB282" s="5">
        <v>0</v>
      </c>
      <c r="AD282" s="1" t="s">
        <v>64</v>
      </c>
      <c r="AE282" s="4">
        <v>141.21</v>
      </c>
      <c r="AF282" s="4">
        <v>0</v>
      </c>
      <c r="AG282" s="2">
        <v>0</v>
      </c>
      <c r="AH282" s="3">
        <v>141.20699999999999</v>
      </c>
      <c r="AI282" s="3">
        <v>0</v>
      </c>
      <c r="AJ282" s="5">
        <v>0</v>
      </c>
      <c r="AT282" s="1" t="s">
        <v>65</v>
      </c>
      <c r="AU282" s="1" t="s">
        <v>66</v>
      </c>
      <c r="AV282" s="1" t="s">
        <v>407</v>
      </c>
      <c r="AW282" s="1" t="s">
        <v>411</v>
      </c>
      <c r="AX282" s="1" t="s">
        <v>412</v>
      </c>
      <c r="AY282" s="1" t="s">
        <v>413</v>
      </c>
      <c r="BB282" s="1" t="s">
        <v>71</v>
      </c>
      <c r="BC282" s="1" t="s">
        <v>72</v>
      </c>
    </row>
    <row r="283" spans="1:55" x14ac:dyDescent="0.25">
      <c r="A283" s="1">
        <v>2830</v>
      </c>
      <c r="B283" s="1" t="s">
        <v>55</v>
      </c>
      <c r="C283" s="1" t="s">
        <v>56</v>
      </c>
      <c r="D283" s="1" t="s">
        <v>57</v>
      </c>
      <c r="E283" s="1" t="s">
        <v>636</v>
      </c>
      <c r="F283" s="1" t="s">
        <v>637</v>
      </c>
      <c r="G283" s="1" t="s">
        <v>182</v>
      </c>
      <c r="H283" s="1" t="s">
        <v>183</v>
      </c>
      <c r="I283" s="2">
        <v>20</v>
      </c>
      <c r="L283" s="3">
        <v>0</v>
      </c>
      <c r="M283" s="3">
        <v>306.28699999999998</v>
      </c>
      <c r="N283" s="3">
        <v>702.17</v>
      </c>
      <c r="O283" s="4">
        <v>0</v>
      </c>
      <c r="P283" s="4">
        <v>6125.74</v>
      </c>
      <c r="Q283" s="4">
        <v>14043.4</v>
      </c>
      <c r="S283" s="1" t="s">
        <v>407</v>
      </c>
      <c r="T283" s="1" t="s">
        <v>408</v>
      </c>
      <c r="W283" s="1" t="s">
        <v>57</v>
      </c>
      <c r="Z283" s="1" t="s">
        <v>64</v>
      </c>
      <c r="AA283" s="5">
        <v>0</v>
      </c>
      <c r="AB283" s="5">
        <v>0</v>
      </c>
      <c r="AD283" s="1" t="s">
        <v>64</v>
      </c>
      <c r="AE283" s="4">
        <v>6125.74</v>
      </c>
      <c r="AF283" s="4">
        <v>0</v>
      </c>
      <c r="AG283" s="2">
        <v>0</v>
      </c>
      <c r="AH283" s="3">
        <v>306.28699999999998</v>
      </c>
      <c r="AI283" s="3">
        <v>0</v>
      </c>
      <c r="AJ283" s="5">
        <v>0</v>
      </c>
      <c r="AT283" s="1" t="s">
        <v>65</v>
      </c>
      <c r="AU283" s="1" t="s">
        <v>66</v>
      </c>
      <c r="AV283" s="1" t="s">
        <v>407</v>
      </c>
      <c r="AW283" s="1" t="s">
        <v>411</v>
      </c>
      <c r="AX283" s="1" t="s">
        <v>412</v>
      </c>
      <c r="AY283" s="1" t="s">
        <v>413</v>
      </c>
      <c r="BB283" s="1" t="s">
        <v>71</v>
      </c>
      <c r="BC283" s="1" t="s">
        <v>72</v>
      </c>
    </row>
    <row r="284" spans="1:55" x14ac:dyDescent="0.25">
      <c r="A284" s="1">
        <v>2840</v>
      </c>
      <c r="B284" s="1" t="s">
        <v>55</v>
      </c>
      <c r="C284" s="1" t="s">
        <v>56</v>
      </c>
      <c r="D284" s="1" t="s">
        <v>57</v>
      </c>
      <c r="E284" s="1" t="s">
        <v>638</v>
      </c>
      <c r="F284" s="1" t="s">
        <v>639</v>
      </c>
      <c r="G284" s="1" t="s">
        <v>182</v>
      </c>
      <c r="H284" s="1" t="s">
        <v>183</v>
      </c>
      <c r="I284" s="2">
        <v>220</v>
      </c>
      <c r="L284" s="3">
        <v>0</v>
      </c>
      <c r="M284" s="3">
        <v>161.83000000000001</v>
      </c>
      <c r="N284" s="3">
        <v>371</v>
      </c>
      <c r="O284" s="4">
        <v>0</v>
      </c>
      <c r="P284" s="4">
        <v>35602.6</v>
      </c>
      <c r="Q284" s="4">
        <v>81620</v>
      </c>
      <c r="S284" s="1" t="s">
        <v>407</v>
      </c>
      <c r="T284" s="1" t="s">
        <v>408</v>
      </c>
      <c r="W284" s="1" t="s">
        <v>57</v>
      </c>
      <c r="Z284" s="1" t="s">
        <v>64</v>
      </c>
      <c r="AA284" s="5">
        <v>0</v>
      </c>
      <c r="AB284" s="5">
        <v>0</v>
      </c>
      <c r="AD284" s="1" t="s">
        <v>64</v>
      </c>
      <c r="AE284" s="4">
        <v>35602.6</v>
      </c>
      <c r="AF284" s="4">
        <v>0</v>
      </c>
      <c r="AG284" s="2">
        <v>0</v>
      </c>
      <c r="AH284" s="3">
        <v>161.83000000000001</v>
      </c>
      <c r="AI284" s="3">
        <v>0</v>
      </c>
      <c r="AJ284" s="5">
        <v>0</v>
      </c>
      <c r="AT284" s="1" t="s">
        <v>65</v>
      </c>
      <c r="AU284" s="1" t="s">
        <v>66</v>
      </c>
      <c r="AV284" s="1" t="s">
        <v>407</v>
      </c>
      <c r="AW284" s="1" t="s">
        <v>411</v>
      </c>
      <c r="AX284" s="1" t="s">
        <v>412</v>
      </c>
      <c r="AY284" s="1" t="s">
        <v>413</v>
      </c>
      <c r="BB284" s="1" t="s">
        <v>71</v>
      </c>
      <c r="BC284" s="1" t="s">
        <v>72</v>
      </c>
    </row>
    <row r="285" spans="1:55" x14ac:dyDescent="0.25">
      <c r="A285" s="1">
        <v>2850</v>
      </c>
      <c r="B285" s="1" t="s">
        <v>55</v>
      </c>
      <c r="C285" s="1" t="s">
        <v>56</v>
      </c>
      <c r="D285" s="1" t="s">
        <v>57</v>
      </c>
      <c r="E285" s="1" t="s">
        <v>640</v>
      </c>
      <c r="F285" s="1" t="s">
        <v>641</v>
      </c>
      <c r="G285" s="1" t="s">
        <v>182</v>
      </c>
      <c r="H285" s="1" t="s">
        <v>183</v>
      </c>
      <c r="I285" s="2">
        <v>3</v>
      </c>
      <c r="L285" s="3">
        <v>0</v>
      </c>
      <c r="M285" s="3">
        <v>273.08699999999999</v>
      </c>
      <c r="N285" s="3">
        <v>626.05999999999995</v>
      </c>
      <c r="O285" s="4">
        <v>0</v>
      </c>
      <c r="P285" s="4">
        <v>819.26</v>
      </c>
      <c r="Q285" s="4">
        <v>1878.18</v>
      </c>
      <c r="S285" s="1" t="s">
        <v>407</v>
      </c>
      <c r="T285" s="1" t="s">
        <v>408</v>
      </c>
      <c r="W285" s="1" t="s">
        <v>57</v>
      </c>
      <c r="Z285" s="1" t="s">
        <v>64</v>
      </c>
      <c r="AA285" s="5">
        <v>0</v>
      </c>
      <c r="AB285" s="5">
        <v>0</v>
      </c>
      <c r="AD285" s="1" t="s">
        <v>64</v>
      </c>
      <c r="AE285" s="4">
        <v>819.26</v>
      </c>
      <c r="AF285" s="4">
        <v>0</v>
      </c>
      <c r="AG285" s="2">
        <v>0</v>
      </c>
      <c r="AH285" s="3">
        <v>273.08699999999999</v>
      </c>
      <c r="AI285" s="3">
        <v>0</v>
      </c>
      <c r="AJ285" s="5">
        <v>0</v>
      </c>
      <c r="AT285" s="1" t="s">
        <v>65</v>
      </c>
      <c r="AU285" s="1" t="s">
        <v>66</v>
      </c>
      <c r="AV285" s="1" t="s">
        <v>407</v>
      </c>
      <c r="AW285" s="1" t="s">
        <v>411</v>
      </c>
      <c r="AX285" s="1" t="s">
        <v>412</v>
      </c>
      <c r="AY285" s="1" t="s">
        <v>413</v>
      </c>
      <c r="BB285" s="1" t="s">
        <v>71</v>
      </c>
      <c r="BC285" s="1" t="s">
        <v>72</v>
      </c>
    </row>
    <row r="286" spans="1:55" x14ac:dyDescent="0.25">
      <c r="A286" s="1">
        <v>2860</v>
      </c>
      <c r="B286" s="1" t="s">
        <v>55</v>
      </c>
      <c r="C286" s="1" t="s">
        <v>56</v>
      </c>
      <c r="D286" s="1" t="s">
        <v>57</v>
      </c>
      <c r="E286" s="1" t="s">
        <v>642</v>
      </c>
      <c r="F286" s="1" t="s">
        <v>643</v>
      </c>
      <c r="G286" s="1" t="s">
        <v>182</v>
      </c>
      <c r="H286" s="1" t="s">
        <v>183</v>
      </c>
      <c r="I286" s="2">
        <v>33</v>
      </c>
      <c r="L286" s="3">
        <v>0</v>
      </c>
      <c r="M286" s="3">
        <v>155.65799999999999</v>
      </c>
      <c r="N286" s="3">
        <v>356.85</v>
      </c>
      <c r="O286" s="4">
        <v>0</v>
      </c>
      <c r="P286" s="4">
        <v>5136.71</v>
      </c>
      <c r="Q286" s="4">
        <v>11776.05</v>
      </c>
      <c r="S286" s="1" t="s">
        <v>407</v>
      </c>
      <c r="T286" s="1" t="s">
        <v>408</v>
      </c>
      <c r="W286" s="1" t="s">
        <v>57</v>
      </c>
      <c r="Z286" s="1" t="s">
        <v>64</v>
      </c>
      <c r="AA286" s="5">
        <v>0</v>
      </c>
      <c r="AB286" s="5">
        <v>0</v>
      </c>
      <c r="AD286" s="1" t="s">
        <v>64</v>
      </c>
      <c r="AE286" s="4">
        <v>5136.71</v>
      </c>
      <c r="AF286" s="4">
        <v>0</v>
      </c>
      <c r="AG286" s="2">
        <v>0</v>
      </c>
      <c r="AH286" s="3">
        <v>155.65799999999999</v>
      </c>
      <c r="AI286" s="3">
        <v>0</v>
      </c>
      <c r="AJ286" s="5">
        <v>0</v>
      </c>
      <c r="AT286" s="1" t="s">
        <v>65</v>
      </c>
      <c r="AU286" s="1" t="s">
        <v>66</v>
      </c>
      <c r="AV286" s="1" t="s">
        <v>407</v>
      </c>
      <c r="AW286" s="1" t="s">
        <v>411</v>
      </c>
      <c r="AX286" s="1" t="s">
        <v>412</v>
      </c>
      <c r="AY286" s="1" t="s">
        <v>413</v>
      </c>
      <c r="BB286" s="1" t="s">
        <v>71</v>
      </c>
      <c r="BC286" s="1" t="s">
        <v>72</v>
      </c>
    </row>
    <row r="287" spans="1:55" x14ac:dyDescent="0.25">
      <c r="A287" s="1">
        <v>2870</v>
      </c>
      <c r="B287" s="1" t="s">
        <v>55</v>
      </c>
      <c r="C287" s="1" t="s">
        <v>56</v>
      </c>
      <c r="D287" s="1" t="s">
        <v>57</v>
      </c>
      <c r="E287" s="1" t="s">
        <v>644</v>
      </c>
      <c r="F287" s="1" t="s">
        <v>645</v>
      </c>
      <c r="G287" s="1" t="s">
        <v>182</v>
      </c>
      <c r="H287" s="1" t="s">
        <v>183</v>
      </c>
      <c r="I287" s="2">
        <v>5</v>
      </c>
      <c r="L287" s="3">
        <v>0</v>
      </c>
      <c r="M287" s="3">
        <v>176.47300000000001</v>
      </c>
      <c r="N287" s="3">
        <v>404.57</v>
      </c>
      <c r="O287" s="4">
        <v>0</v>
      </c>
      <c r="P287" s="4">
        <v>882.37</v>
      </c>
      <c r="Q287" s="4">
        <v>2022.85</v>
      </c>
      <c r="S287" s="1" t="s">
        <v>407</v>
      </c>
      <c r="T287" s="1" t="s">
        <v>408</v>
      </c>
      <c r="W287" s="1" t="s">
        <v>57</v>
      </c>
      <c r="Z287" s="1" t="s">
        <v>64</v>
      </c>
      <c r="AA287" s="5">
        <v>0</v>
      </c>
      <c r="AB287" s="5">
        <v>0</v>
      </c>
      <c r="AD287" s="1" t="s">
        <v>64</v>
      </c>
      <c r="AE287" s="4">
        <v>882.37</v>
      </c>
      <c r="AF287" s="4">
        <v>0</v>
      </c>
      <c r="AG287" s="2">
        <v>0</v>
      </c>
      <c r="AH287" s="3">
        <v>176.47300000000001</v>
      </c>
      <c r="AI287" s="3">
        <v>0</v>
      </c>
      <c r="AJ287" s="5">
        <v>0</v>
      </c>
      <c r="AT287" s="1" t="s">
        <v>65</v>
      </c>
      <c r="AU287" s="1" t="s">
        <v>66</v>
      </c>
      <c r="AV287" s="1" t="s">
        <v>407</v>
      </c>
      <c r="AW287" s="1" t="s">
        <v>411</v>
      </c>
      <c r="AX287" s="1" t="s">
        <v>412</v>
      </c>
      <c r="AY287" s="1" t="s">
        <v>413</v>
      </c>
      <c r="BB287" s="1" t="s">
        <v>71</v>
      </c>
      <c r="BC287" s="1" t="s">
        <v>72</v>
      </c>
    </row>
    <row r="288" spans="1:55" x14ac:dyDescent="0.25">
      <c r="A288" s="1">
        <v>2880</v>
      </c>
      <c r="B288" s="1" t="s">
        <v>55</v>
      </c>
      <c r="C288" s="1" t="s">
        <v>56</v>
      </c>
      <c r="D288" s="1" t="s">
        <v>57</v>
      </c>
      <c r="E288" s="1" t="s">
        <v>646</v>
      </c>
      <c r="F288" s="1" t="s">
        <v>647</v>
      </c>
      <c r="G288" s="1" t="s">
        <v>182</v>
      </c>
      <c r="H288" s="1" t="s">
        <v>183</v>
      </c>
      <c r="I288" s="2">
        <v>55</v>
      </c>
      <c r="L288" s="3">
        <v>0</v>
      </c>
      <c r="M288" s="3">
        <v>59.043999999999997</v>
      </c>
      <c r="N288" s="3">
        <v>135.36000000000001</v>
      </c>
      <c r="O288" s="4">
        <v>0</v>
      </c>
      <c r="P288" s="4">
        <v>3247.42</v>
      </c>
      <c r="Q288" s="4">
        <v>7444.8</v>
      </c>
      <c r="S288" s="1" t="s">
        <v>407</v>
      </c>
      <c r="T288" s="1" t="s">
        <v>408</v>
      </c>
      <c r="W288" s="1" t="s">
        <v>57</v>
      </c>
      <c r="Z288" s="1" t="s">
        <v>64</v>
      </c>
      <c r="AA288" s="5">
        <v>0</v>
      </c>
      <c r="AB288" s="5">
        <v>0</v>
      </c>
      <c r="AD288" s="1" t="s">
        <v>64</v>
      </c>
      <c r="AE288" s="4">
        <v>3247.42</v>
      </c>
      <c r="AF288" s="4">
        <v>0</v>
      </c>
      <c r="AG288" s="2">
        <v>0</v>
      </c>
      <c r="AH288" s="3">
        <v>59.043999999999997</v>
      </c>
      <c r="AI288" s="3">
        <v>0</v>
      </c>
      <c r="AJ288" s="5">
        <v>0</v>
      </c>
      <c r="AT288" s="1" t="s">
        <v>65</v>
      </c>
      <c r="AU288" s="1" t="s">
        <v>66</v>
      </c>
      <c r="AV288" s="1" t="s">
        <v>407</v>
      </c>
      <c r="AW288" s="1" t="s">
        <v>411</v>
      </c>
      <c r="AX288" s="1" t="s">
        <v>412</v>
      </c>
      <c r="AY288" s="1" t="s">
        <v>413</v>
      </c>
      <c r="BB288" s="1" t="s">
        <v>71</v>
      </c>
      <c r="BC288" s="1" t="s">
        <v>72</v>
      </c>
    </row>
    <row r="289" spans="1:55" x14ac:dyDescent="0.25">
      <c r="A289" s="1">
        <v>2890</v>
      </c>
      <c r="B289" s="1" t="s">
        <v>55</v>
      </c>
      <c r="C289" s="1" t="s">
        <v>56</v>
      </c>
      <c r="D289" s="1" t="s">
        <v>57</v>
      </c>
      <c r="E289" s="1" t="s">
        <v>648</v>
      </c>
      <c r="F289" s="1" t="s">
        <v>649</v>
      </c>
      <c r="G289" s="1" t="s">
        <v>182</v>
      </c>
      <c r="H289" s="1" t="s">
        <v>183</v>
      </c>
      <c r="I289" s="2">
        <v>1</v>
      </c>
      <c r="L289" s="3">
        <v>0</v>
      </c>
      <c r="M289" s="3">
        <v>178.19200000000001</v>
      </c>
      <c r="N289" s="3">
        <v>408.51</v>
      </c>
      <c r="O289" s="4">
        <v>0</v>
      </c>
      <c r="P289" s="4">
        <v>178.19</v>
      </c>
      <c r="Q289" s="4">
        <v>408.51</v>
      </c>
      <c r="S289" s="1" t="s">
        <v>407</v>
      </c>
      <c r="T289" s="1" t="s">
        <v>408</v>
      </c>
      <c r="W289" s="1" t="s">
        <v>57</v>
      </c>
      <c r="Z289" s="1" t="s">
        <v>64</v>
      </c>
      <c r="AA289" s="5">
        <v>0</v>
      </c>
      <c r="AB289" s="5">
        <v>0</v>
      </c>
      <c r="AD289" s="1" t="s">
        <v>64</v>
      </c>
      <c r="AE289" s="4">
        <v>178.19</v>
      </c>
      <c r="AF289" s="4">
        <v>0</v>
      </c>
      <c r="AG289" s="2">
        <v>0</v>
      </c>
      <c r="AH289" s="3">
        <v>178.19200000000001</v>
      </c>
      <c r="AI289" s="3">
        <v>0</v>
      </c>
      <c r="AJ289" s="5">
        <v>0</v>
      </c>
      <c r="AT289" s="1" t="s">
        <v>65</v>
      </c>
      <c r="AU289" s="1" t="s">
        <v>66</v>
      </c>
      <c r="AV289" s="1" t="s">
        <v>407</v>
      </c>
      <c r="AW289" s="1" t="s">
        <v>411</v>
      </c>
      <c r="AX289" s="1" t="s">
        <v>412</v>
      </c>
      <c r="AY289" s="1" t="s">
        <v>413</v>
      </c>
      <c r="BB289" s="1" t="s">
        <v>71</v>
      </c>
      <c r="BC289" s="1" t="s">
        <v>72</v>
      </c>
    </row>
    <row r="290" spans="1:55" x14ac:dyDescent="0.25">
      <c r="A290" s="1">
        <v>2900</v>
      </c>
      <c r="B290" s="1" t="s">
        <v>55</v>
      </c>
      <c r="C290" s="1" t="s">
        <v>56</v>
      </c>
      <c r="D290" s="1" t="s">
        <v>57</v>
      </c>
      <c r="E290" s="1" t="s">
        <v>650</v>
      </c>
      <c r="F290" s="1" t="s">
        <v>651</v>
      </c>
      <c r="G290" s="1" t="s">
        <v>182</v>
      </c>
      <c r="H290" s="1" t="s">
        <v>183</v>
      </c>
      <c r="I290" s="2">
        <v>11</v>
      </c>
      <c r="L290" s="3">
        <v>0</v>
      </c>
      <c r="M290" s="3">
        <v>75.959999999999994</v>
      </c>
      <c r="N290" s="3">
        <v>174.14</v>
      </c>
      <c r="O290" s="4">
        <v>0</v>
      </c>
      <c r="P290" s="4">
        <v>835.56</v>
      </c>
      <c r="Q290" s="4">
        <v>1915.54</v>
      </c>
      <c r="S290" s="1" t="s">
        <v>407</v>
      </c>
      <c r="T290" s="1" t="s">
        <v>408</v>
      </c>
      <c r="W290" s="1" t="s">
        <v>57</v>
      </c>
      <c r="Z290" s="1" t="s">
        <v>64</v>
      </c>
      <c r="AA290" s="5">
        <v>0</v>
      </c>
      <c r="AB290" s="5">
        <v>0</v>
      </c>
      <c r="AD290" s="1" t="s">
        <v>64</v>
      </c>
      <c r="AE290" s="4">
        <v>835.56</v>
      </c>
      <c r="AF290" s="4">
        <v>0</v>
      </c>
      <c r="AG290" s="2">
        <v>0</v>
      </c>
      <c r="AH290" s="3">
        <v>75.959999999999994</v>
      </c>
      <c r="AI290" s="3">
        <v>0</v>
      </c>
      <c r="AJ290" s="5">
        <v>0</v>
      </c>
      <c r="AT290" s="1" t="s">
        <v>65</v>
      </c>
      <c r="AU290" s="1" t="s">
        <v>66</v>
      </c>
      <c r="AV290" s="1" t="s">
        <v>407</v>
      </c>
      <c r="AW290" s="1" t="s">
        <v>411</v>
      </c>
      <c r="AX290" s="1" t="s">
        <v>412</v>
      </c>
      <c r="AY290" s="1" t="s">
        <v>413</v>
      </c>
      <c r="BB290" s="1" t="s">
        <v>71</v>
      </c>
      <c r="BC290" s="1" t="s">
        <v>72</v>
      </c>
    </row>
    <row r="291" spans="1:55" x14ac:dyDescent="0.25">
      <c r="A291" s="1">
        <v>2910</v>
      </c>
      <c r="B291" s="1" t="s">
        <v>55</v>
      </c>
      <c r="C291" s="1" t="s">
        <v>56</v>
      </c>
      <c r="D291" s="1" t="s">
        <v>57</v>
      </c>
      <c r="E291" s="1" t="s">
        <v>652</v>
      </c>
      <c r="F291" s="1" t="s">
        <v>653</v>
      </c>
      <c r="G291" s="1" t="s">
        <v>60</v>
      </c>
      <c r="H291" s="1" t="s">
        <v>61</v>
      </c>
      <c r="I291" s="2">
        <v>147604.12</v>
      </c>
      <c r="M291" s="3">
        <v>0.5</v>
      </c>
      <c r="N291" s="3">
        <v>0.59</v>
      </c>
      <c r="O291" s="4">
        <v>0</v>
      </c>
      <c r="P291" s="4">
        <v>73802.06</v>
      </c>
      <c r="Q291" s="4">
        <v>87086.43</v>
      </c>
      <c r="S291" s="1" t="s">
        <v>166</v>
      </c>
      <c r="T291" s="1" t="s">
        <v>167</v>
      </c>
      <c r="W291" s="1" t="s">
        <v>57</v>
      </c>
      <c r="Z291" s="1" t="s">
        <v>64</v>
      </c>
      <c r="AA291" s="5">
        <v>0</v>
      </c>
      <c r="AB291" s="5">
        <v>0</v>
      </c>
      <c r="AD291" s="1" t="s">
        <v>64</v>
      </c>
      <c r="AE291" s="4">
        <v>73802.06</v>
      </c>
      <c r="AF291" s="4">
        <v>0</v>
      </c>
      <c r="AG291" s="2">
        <v>0</v>
      </c>
      <c r="AH291" s="3">
        <v>0.5</v>
      </c>
      <c r="AI291" s="3">
        <v>0</v>
      </c>
      <c r="AJ291" s="5">
        <v>0</v>
      </c>
      <c r="AT291" s="1" t="s">
        <v>65</v>
      </c>
      <c r="AU291" s="1" t="s">
        <v>66</v>
      </c>
      <c r="AV291" s="1" t="s">
        <v>168</v>
      </c>
      <c r="AW291" s="1" t="s">
        <v>169</v>
      </c>
      <c r="AX291" s="1" t="s">
        <v>164</v>
      </c>
      <c r="AY291" s="1" t="s">
        <v>165</v>
      </c>
      <c r="BB291" s="1" t="s">
        <v>71</v>
      </c>
      <c r="BC291" s="1" t="s">
        <v>72</v>
      </c>
    </row>
    <row r="292" spans="1:55" x14ac:dyDescent="0.25">
      <c r="A292" s="1">
        <v>2920</v>
      </c>
      <c r="B292" s="1" t="s">
        <v>55</v>
      </c>
      <c r="C292" s="1" t="s">
        <v>56</v>
      </c>
      <c r="D292" s="1" t="s">
        <v>57</v>
      </c>
      <c r="E292" s="1" t="s">
        <v>654</v>
      </c>
      <c r="F292" s="1" t="s">
        <v>655</v>
      </c>
      <c r="G292" s="1" t="s">
        <v>110</v>
      </c>
      <c r="H292" s="1" t="s">
        <v>110</v>
      </c>
      <c r="I292" s="2">
        <v>1935</v>
      </c>
      <c r="L292" s="3">
        <v>0</v>
      </c>
      <c r="M292" s="3">
        <v>5.4770000000000003</v>
      </c>
      <c r="N292" s="3">
        <v>6.2530000000000001</v>
      </c>
      <c r="O292" s="4">
        <v>0</v>
      </c>
      <c r="P292" s="4">
        <v>10598</v>
      </c>
      <c r="Q292" s="4">
        <v>12099.56</v>
      </c>
      <c r="S292" s="1" t="s">
        <v>166</v>
      </c>
      <c r="T292" s="1" t="s">
        <v>167</v>
      </c>
      <c r="W292" s="1" t="s">
        <v>57</v>
      </c>
      <c r="Z292" s="1" t="s">
        <v>64</v>
      </c>
      <c r="AA292" s="5">
        <v>0</v>
      </c>
      <c r="AB292" s="5">
        <v>0</v>
      </c>
      <c r="AD292" s="1" t="s">
        <v>64</v>
      </c>
      <c r="AE292" s="4">
        <v>10598</v>
      </c>
      <c r="AF292" s="4">
        <v>0</v>
      </c>
      <c r="AG292" s="2">
        <v>0</v>
      </c>
      <c r="AH292" s="3">
        <v>5.4770000000000003</v>
      </c>
      <c r="AI292" s="3">
        <v>0</v>
      </c>
      <c r="AJ292" s="5">
        <v>0</v>
      </c>
      <c r="AT292" s="1" t="s">
        <v>65</v>
      </c>
      <c r="AU292" s="1" t="s">
        <v>66</v>
      </c>
      <c r="AV292" s="1" t="s">
        <v>168</v>
      </c>
      <c r="AW292" s="1" t="s">
        <v>169</v>
      </c>
      <c r="AX292" s="1" t="s">
        <v>176</v>
      </c>
      <c r="AY292" s="1" t="s">
        <v>177</v>
      </c>
      <c r="BB292" s="1" t="s">
        <v>71</v>
      </c>
      <c r="BC292" s="1" t="s">
        <v>72</v>
      </c>
    </row>
    <row r="293" spans="1:55" x14ac:dyDescent="0.25">
      <c r="A293" s="1">
        <v>2930</v>
      </c>
      <c r="B293" s="1" t="s">
        <v>55</v>
      </c>
      <c r="C293" s="1" t="s">
        <v>56</v>
      </c>
      <c r="D293" s="1" t="s">
        <v>57</v>
      </c>
      <c r="E293" s="1" t="s">
        <v>656</v>
      </c>
      <c r="F293" s="1" t="s">
        <v>657</v>
      </c>
      <c r="G293" s="1" t="s">
        <v>110</v>
      </c>
      <c r="H293" s="1" t="s">
        <v>110</v>
      </c>
      <c r="I293" s="2">
        <v>148.80000000000001</v>
      </c>
      <c r="M293" s="3">
        <v>14.55</v>
      </c>
      <c r="N293" s="3">
        <v>16.61</v>
      </c>
      <c r="O293" s="4">
        <v>0</v>
      </c>
      <c r="P293" s="4">
        <v>2165.04</v>
      </c>
      <c r="Q293" s="4">
        <v>2471.5700000000002</v>
      </c>
      <c r="S293" s="1" t="s">
        <v>166</v>
      </c>
      <c r="T293" s="1" t="s">
        <v>167</v>
      </c>
      <c r="W293" s="1" t="s">
        <v>57</v>
      </c>
      <c r="Z293" s="1" t="s">
        <v>64</v>
      </c>
      <c r="AA293" s="5">
        <v>0</v>
      </c>
      <c r="AB293" s="5">
        <v>0</v>
      </c>
      <c r="AD293" s="1" t="s">
        <v>64</v>
      </c>
      <c r="AE293" s="4">
        <v>2165.04</v>
      </c>
      <c r="AF293" s="4">
        <v>0</v>
      </c>
      <c r="AG293" s="2">
        <v>0</v>
      </c>
      <c r="AH293" s="3">
        <v>14.55</v>
      </c>
      <c r="AI293" s="3">
        <v>0</v>
      </c>
      <c r="AJ293" s="5">
        <v>0</v>
      </c>
      <c r="AT293" s="1" t="s">
        <v>65</v>
      </c>
      <c r="AU293" s="1" t="s">
        <v>66</v>
      </c>
      <c r="AV293" s="1" t="s">
        <v>168</v>
      </c>
      <c r="AW293" s="1" t="s">
        <v>169</v>
      </c>
      <c r="AX293" s="1" t="s">
        <v>176</v>
      </c>
      <c r="AY293" s="1" t="s">
        <v>177</v>
      </c>
      <c r="BB293" s="1" t="s">
        <v>71</v>
      </c>
      <c r="BC293" s="1" t="s">
        <v>72</v>
      </c>
    </row>
    <row r="294" spans="1:55" x14ac:dyDescent="0.25">
      <c r="A294" s="1">
        <v>2940</v>
      </c>
      <c r="B294" s="1" t="s">
        <v>55</v>
      </c>
      <c r="C294" s="1" t="s">
        <v>56</v>
      </c>
      <c r="D294" s="1" t="s">
        <v>57</v>
      </c>
      <c r="E294" s="1" t="s">
        <v>658</v>
      </c>
      <c r="F294" s="1" t="s">
        <v>659</v>
      </c>
      <c r="G294" s="1" t="s">
        <v>182</v>
      </c>
      <c r="H294" s="1" t="s">
        <v>183</v>
      </c>
      <c r="I294" s="2">
        <v>10</v>
      </c>
      <c r="M294" s="3">
        <v>302.67</v>
      </c>
      <c r="N294" s="3">
        <v>229.61</v>
      </c>
      <c r="O294" s="4">
        <v>0</v>
      </c>
      <c r="P294" s="4">
        <v>3026.7</v>
      </c>
      <c r="Q294" s="4">
        <v>2296.1</v>
      </c>
      <c r="S294" s="1" t="s">
        <v>166</v>
      </c>
      <c r="T294" s="1" t="s">
        <v>167</v>
      </c>
      <c r="W294" s="1" t="s">
        <v>57</v>
      </c>
      <c r="Z294" s="1" t="s">
        <v>64</v>
      </c>
      <c r="AA294" s="5">
        <v>0</v>
      </c>
      <c r="AB294" s="5">
        <v>0</v>
      </c>
      <c r="AD294" s="1" t="s">
        <v>64</v>
      </c>
      <c r="AE294" s="4">
        <v>3026.7</v>
      </c>
      <c r="AF294" s="4">
        <v>0</v>
      </c>
      <c r="AG294" s="2">
        <v>0</v>
      </c>
      <c r="AH294" s="3">
        <v>302.67</v>
      </c>
      <c r="AI294" s="3">
        <v>0</v>
      </c>
      <c r="AJ294" s="5">
        <v>0</v>
      </c>
      <c r="AT294" s="1" t="s">
        <v>65</v>
      </c>
      <c r="AU294" s="1" t="s">
        <v>66</v>
      </c>
      <c r="AV294" s="1" t="s">
        <v>168</v>
      </c>
      <c r="AW294" s="1" t="s">
        <v>169</v>
      </c>
      <c r="AX294" s="1" t="s">
        <v>176</v>
      </c>
      <c r="AY294" s="1" t="s">
        <v>177</v>
      </c>
      <c r="BB294" s="1" t="s">
        <v>71</v>
      </c>
      <c r="BC294" s="1" t="s">
        <v>72</v>
      </c>
    </row>
  </sheetData>
  <autoFilter ref="A1:BC294" xr:uid="{00000000-0009-0000-0000-000000000000}"/>
  <pageMargins left="0.7" right="0.7" top="0.75" bottom="0.75" header="0.3" footer="0.3"/>
  <pageSetup fitToWidth="0" fitToHeight="0"/>
  <ignoredErrors>
    <ignoredError sqref="A1:BC29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BC7C-BCA6-4096-B3FC-FB00A15260FA}">
  <dimension ref="A1:N60"/>
  <sheetViews>
    <sheetView tabSelected="1" workbookViewId="0">
      <pane ySplit="3" topLeftCell="A7" activePane="bottomLeft" state="frozen"/>
      <selection pane="bottomLeft" activeCell="E32" sqref="E32"/>
    </sheetView>
  </sheetViews>
  <sheetFormatPr defaultRowHeight="15" x14ac:dyDescent="0.25"/>
  <cols>
    <col min="1" max="1" width="9.85546875" customWidth="1"/>
    <col min="2" max="2" width="30.42578125" customWidth="1"/>
    <col min="3" max="3" width="13.28515625" style="17" customWidth="1"/>
    <col min="4" max="5" width="17.140625" style="17" customWidth="1"/>
    <col min="6" max="6" width="15.28515625" style="17" customWidth="1"/>
    <col min="7" max="7" width="13.7109375" style="17" customWidth="1"/>
    <col min="8" max="9" width="15.5703125" style="17" customWidth="1"/>
    <col min="10" max="10" width="13.7109375" style="17" customWidth="1"/>
    <col min="11" max="12" width="18.140625" style="17" customWidth="1"/>
    <col min="13" max="13" width="17.140625" customWidth="1"/>
    <col min="14" max="14" width="14.85546875" customWidth="1"/>
  </cols>
  <sheetData>
    <row r="1" spans="1:14" ht="27.95" customHeight="1" x14ac:dyDescent="0.3">
      <c r="A1" s="31" t="s">
        <v>5438</v>
      </c>
      <c r="C1"/>
      <c r="D1"/>
      <c r="E1"/>
      <c r="F1"/>
      <c r="G1"/>
      <c r="H1"/>
      <c r="I1"/>
      <c r="J1"/>
      <c r="K1"/>
      <c r="L1"/>
    </row>
    <row r="2" spans="1:14" ht="20.100000000000001" customHeight="1" x14ac:dyDescent="0.25">
      <c r="C2"/>
      <c r="D2"/>
      <c r="E2"/>
      <c r="F2"/>
      <c r="G2"/>
      <c r="H2"/>
      <c r="I2"/>
      <c r="J2"/>
      <c r="K2"/>
      <c r="L2"/>
    </row>
    <row r="3" spans="1:14" ht="36" customHeight="1" x14ac:dyDescent="0.25">
      <c r="A3" s="32" t="s">
        <v>0</v>
      </c>
      <c r="B3" s="32" t="s">
        <v>4</v>
      </c>
      <c r="C3" s="32" t="s">
        <v>1219</v>
      </c>
      <c r="D3" s="32" t="s">
        <v>1230</v>
      </c>
      <c r="E3" s="32" t="s">
        <v>5439</v>
      </c>
      <c r="F3" s="32" t="s">
        <v>5440</v>
      </c>
      <c r="G3" s="32" t="s">
        <v>5441</v>
      </c>
      <c r="H3" s="32" t="s">
        <v>1224</v>
      </c>
      <c r="I3" s="32" t="s">
        <v>5442</v>
      </c>
      <c r="J3" s="32" t="s">
        <v>1225</v>
      </c>
      <c r="K3" s="32" t="s">
        <v>5443</v>
      </c>
      <c r="L3" s="32" t="s">
        <v>5444</v>
      </c>
      <c r="M3" s="32" t="s">
        <v>1221</v>
      </c>
      <c r="N3" s="32" t="s">
        <v>5445</v>
      </c>
    </row>
    <row r="4" spans="1:14" ht="30" customHeight="1" x14ac:dyDescent="0.25">
      <c r="A4" s="39">
        <v>10</v>
      </c>
      <c r="B4" s="39" t="s">
        <v>58</v>
      </c>
      <c r="C4" s="39" t="s">
        <v>61</v>
      </c>
      <c r="D4" s="40">
        <v>1807.01</v>
      </c>
      <c r="E4" s="40">
        <v>1807</v>
      </c>
      <c r="F4" s="40">
        <f>IF(E4&lt;&gt;"",E4-D4,"")</f>
        <v>-9.9999999999909051E-3</v>
      </c>
      <c r="G4" s="41">
        <f>IF(AND(E4&lt;&gt;"",D4&lt;&gt;0),F4/D4,"")</f>
        <v>-5.5340036856414212E-6</v>
      </c>
      <c r="H4" s="42">
        <v>6</v>
      </c>
      <c r="I4" s="42">
        <v>6</v>
      </c>
      <c r="J4" s="42" t="str">
        <f>IF(I4-H4&lt;&gt;0,I4-H4,"")</f>
        <v/>
      </c>
      <c r="K4" s="43">
        <v>10842.06</v>
      </c>
      <c r="L4" s="43">
        <f>IF(E4&lt;&gt;"",E4*I4,"")</f>
        <v>10842</v>
      </c>
      <c r="M4" s="43">
        <f>IF(L4&lt;&gt;"",L4-K4,"")</f>
        <v>-5.9999999999490683E-2</v>
      </c>
      <c r="N4" s="41">
        <f>IF(AND(L4&lt;&gt;"",K4&lt;&gt;0),M4/K4,"")</f>
        <v>-5.5340036855994787E-6</v>
      </c>
    </row>
    <row r="5" spans="1:14" x14ac:dyDescent="0.25">
      <c r="A5" s="44">
        <v>20</v>
      </c>
      <c r="B5" s="44" t="s">
        <v>73</v>
      </c>
      <c r="C5" s="44" t="s">
        <v>1222</v>
      </c>
      <c r="D5" s="45">
        <v>39168.75</v>
      </c>
      <c r="E5" s="45">
        <v>39168.75</v>
      </c>
      <c r="F5" s="45">
        <f>IF(E5&lt;&gt;"",E5-D5,"")</f>
        <v>0</v>
      </c>
      <c r="G5" s="46">
        <f>IF(AND(E5&lt;&gt;"",D5&lt;&gt;0),F5/D5,"")</f>
        <v>0</v>
      </c>
      <c r="H5" s="47">
        <v>0</v>
      </c>
      <c r="I5" s="47">
        <v>0</v>
      </c>
      <c r="J5" s="47" t="str">
        <f>IF(I5-H5&lt;&gt;0,I5-H5,"")</f>
        <v/>
      </c>
      <c r="K5" s="48">
        <v>0</v>
      </c>
      <c r="L5" s="48">
        <f>IF(E5&lt;&gt;"",E5*I5,"")</f>
        <v>0</v>
      </c>
      <c r="M5" s="48">
        <f>IF(L5&lt;&gt;"",L5-K5,"")</f>
        <v>0</v>
      </c>
      <c r="N5" s="46" t="str">
        <f>IF(AND(L5&lt;&gt;"",K5&lt;&gt;0),M5/K5,"")</f>
        <v/>
      </c>
    </row>
    <row r="6" spans="1:14" x14ac:dyDescent="0.25">
      <c r="A6" s="39">
        <v>30</v>
      </c>
      <c r="B6" s="39" t="s">
        <v>76</v>
      </c>
      <c r="C6" s="39" t="s">
        <v>61</v>
      </c>
      <c r="D6" s="40">
        <v>1425.87</v>
      </c>
      <c r="E6" s="40">
        <v>1426</v>
      </c>
      <c r="F6" s="40">
        <f>IF(E6&lt;&gt;"",E6-D6,"")</f>
        <v>0.13000000000010914</v>
      </c>
      <c r="G6" s="41">
        <f>IF(AND(E6&lt;&gt;"",D6&lt;&gt;0),F6/D6,"")</f>
        <v>9.1172407021754544E-5</v>
      </c>
      <c r="H6" s="42">
        <v>10.8</v>
      </c>
      <c r="I6" s="42">
        <v>10.8</v>
      </c>
      <c r="J6" s="42" t="str">
        <f>IF(I6-H6&lt;&gt;0,I6-H6,"")</f>
        <v/>
      </c>
      <c r="K6" s="43">
        <v>15399.4</v>
      </c>
      <c r="L6" s="43">
        <f>IF(E6&lt;&gt;"",E6*I6,"")</f>
        <v>15400.800000000001</v>
      </c>
      <c r="M6" s="43">
        <f>IF(L6&lt;&gt;"",L6-K6,"")</f>
        <v>1.4000000000014552</v>
      </c>
      <c r="N6" s="41">
        <f>IF(AND(L6&lt;&gt;"",K6&lt;&gt;0),M6/K6,"")</f>
        <v>9.0912632959820204E-5</v>
      </c>
    </row>
    <row r="7" spans="1:14" x14ac:dyDescent="0.25">
      <c r="A7" s="23">
        <v>40</v>
      </c>
      <c r="B7" s="23" t="s">
        <v>78</v>
      </c>
      <c r="C7" s="23" t="s">
        <v>61</v>
      </c>
      <c r="D7" s="24">
        <v>2145.7800000000002</v>
      </c>
      <c r="E7" s="24">
        <v>2146</v>
      </c>
      <c r="F7" s="24">
        <f>IF(E7&lt;&gt;"",E7-D7,"")</f>
        <v>0.21999999999979991</v>
      </c>
      <c r="G7" s="61">
        <f>IF(AND(E7&lt;&gt;"",D7&lt;&gt;0),F7/D7,"")</f>
        <v>1.0252682008397874E-4</v>
      </c>
      <c r="H7" s="62">
        <v>2.5</v>
      </c>
      <c r="I7" s="62">
        <v>1</v>
      </c>
      <c r="J7" s="62">
        <f>IF(I7-H7&lt;&gt;0,I7-H7,"")</f>
        <v>-1.5</v>
      </c>
      <c r="K7" s="63">
        <v>5364.45</v>
      </c>
      <c r="L7" s="63">
        <f>IF(E7&lt;&gt;"",E7*I7,"")</f>
        <v>2146</v>
      </c>
      <c r="M7" s="64">
        <f>IF(L7&lt;&gt;"",L7-K7,"")</f>
        <v>-3218.45</v>
      </c>
      <c r="N7" s="65">
        <f>IF(AND(L7&lt;&gt;"",K7&lt;&gt;0),M7/K7,"")</f>
        <v>-0.59995898927196634</v>
      </c>
    </row>
    <row r="8" spans="1:14" x14ac:dyDescent="0.25">
      <c r="A8" s="25">
        <v>50</v>
      </c>
      <c r="B8" s="25" t="s">
        <v>80</v>
      </c>
      <c r="C8" s="25" t="s">
        <v>61</v>
      </c>
      <c r="D8" s="26">
        <v>189.72</v>
      </c>
      <c r="E8" s="26">
        <v>190</v>
      </c>
      <c r="F8" s="26">
        <f>IF(E8&lt;&gt;"",E8-D8,"")</f>
        <v>0.28000000000000114</v>
      </c>
      <c r="G8" s="66">
        <f>IF(AND(E8&lt;&gt;"",D8&lt;&gt;0),F8/D8,"")</f>
        <v>1.4758591608686545E-3</v>
      </c>
      <c r="H8" s="67">
        <v>12.351000000000001</v>
      </c>
      <c r="I8" s="67">
        <v>12.3505</v>
      </c>
      <c r="J8" s="67">
        <f>IF(I8-H8&lt;&gt;0,I8-H8,"")</f>
        <v>-5.0000000000061107E-4</v>
      </c>
      <c r="K8" s="68">
        <v>2343.23</v>
      </c>
      <c r="L8" s="68">
        <f>IF(E8&lt;&gt;"",E8*I8,"")</f>
        <v>2346.5950000000003</v>
      </c>
      <c r="M8" s="69">
        <f>IF(L8&lt;&gt;"",L8-K8,"")</f>
        <v>3.3650000000002365</v>
      </c>
      <c r="N8" s="70">
        <f>IF(AND(L8&lt;&gt;"",K8&lt;&gt;0),M8/K8,"")</f>
        <v>1.4360519453917185E-3</v>
      </c>
    </row>
    <row r="9" spans="1:14" x14ac:dyDescent="0.25">
      <c r="A9" s="44">
        <v>60</v>
      </c>
      <c r="B9" s="44" t="s">
        <v>82</v>
      </c>
      <c r="C9" s="44" t="s">
        <v>61</v>
      </c>
      <c r="D9" s="45">
        <v>67.52</v>
      </c>
      <c r="E9" s="45">
        <v>68</v>
      </c>
      <c r="F9" s="45">
        <f>IF(E9&lt;&gt;"",E9-D9,"")</f>
        <v>0.48000000000000398</v>
      </c>
      <c r="G9" s="46">
        <f>IF(AND(E9&lt;&gt;"",D9&lt;&gt;0),F9/D9,"")</f>
        <v>7.1090047393365524E-3</v>
      </c>
      <c r="H9" s="47">
        <v>140</v>
      </c>
      <c r="I9" s="47">
        <v>140</v>
      </c>
      <c r="J9" s="47" t="str">
        <f>IF(I9-H9&lt;&gt;0,I9-H9,"")</f>
        <v/>
      </c>
      <c r="K9" s="48">
        <v>9452.7999999999993</v>
      </c>
      <c r="L9" s="48">
        <f>IF(E9&lt;&gt;"",E9*I9,"")</f>
        <v>9520</v>
      </c>
      <c r="M9" s="48">
        <f>IF(L9&lt;&gt;"",L9-K9,"")</f>
        <v>67.200000000000728</v>
      </c>
      <c r="N9" s="46">
        <f>IF(AND(L9&lt;&gt;"",K9&lt;&gt;0),M9/K9,"")</f>
        <v>7.1090047393365706E-3</v>
      </c>
    </row>
    <row r="10" spans="1:14" x14ac:dyDescent="0.25">
      <c r="A10" s="39">
        <v>70</v>
      </c>
      <c r="B10" s="39" t="s">
        <v>84</v>
      </c>
      <c r="C10" s="39" t="s">
        <v>61</v>
      </c>
      <c r="D10" s="40">
        <v>84.94</v>
      </c>
      <c r="E10" s="40">
        <v>84.94</v>
      </c>
      <c r="F10" s="40">
        <f>IF(E10&lt;&gt;"",E10-D10,"")</f>
        <v>0</v>
      </c>
      <c r="G10" s="41">
        <f>IF(AND(E10&lt;&gt;"",D10&lt;&gt;0),F10/D10,"")</f>
        <v>0</v>
      </c>
      <c r="H10" s="42">
        <v>23.84</v>
      </c>
      <c r="I10" s="42">
        <v>23.84</v>
      </c>
      <c r="J10" s="42" t="str">
        <f>IF(I10-H10&lt;&gt;0,I10-H10,"")</f>
        <v/>
      </c>
      <c r="K10" s="43">
        <v>2024.97</v>
      </c>
      <c r="L10" s="43">
        <f>IF(E10&lt;&gt;"",E10*I10,"")</f>
        <v>2024.9695999999999</v>
      </c>
      <c r="M10" s="43">
        <f>IF(L10&lt;&gt;"",L10-K10,"")</f>
        <v>-4.0000000012696546E-4</v>
      </c>
      <c r="N10" s="41">
        <f>IF(AND(L10&lt;&gt;"",K10&lt;&gt;0),M10/K10,"")</f>
        <v>-1.9753379068675854E-7</v>
      </c>
    </row>
    <row r="11" spans="1:14" x14ac:dyDescent="0.25">
      <c r="A11" s="44">
        <v>80</v>
      </c>
      <c r="B11" s="44" t="s">
        <v>86</v>
      </c>
      <c r="C11" s="44" t="s">
        <v>61</v>
      </c>
      <c r="D11" s="45">
        <v>322.24</v>
      </c>
      <c r="E11" s="45">
        <v>322.24</v>
      </c>
      <c r="F11" s="45">
        <f>IF(E11&lt;&gt;"",E11-D11,"")</f>
        <v>0</v>
      </c>
      <c r="G11" s="46">
        <f>IF(AND(E11&lt;&gt;"",D11&lt;&gt;0),F11/D11,"")</f>
        <v>0</v>
      </c>
      <c r="H11" s="47">
        <v>6</v>
      </c>
      <c r="I11" s="47">
        <v>6</v>
      </c>
      <c r="J11" s="47" t="str">
        <f>IF(I11-H11&lt;&gt;0,I11-H11,"")</f>
        <v/>
      </c>
      <c r="K11" s="48">
        <v>1933.44</v>
      </c>
      <c r="L11" s="48">
        <f>IF(E11&lt;&gt;"",E11*I11,"")</f>
        <v>1933.44</v>
      </c>
      <c r="M11" s="48">
        <f>IF(L11&lt;&gt;"",L11-K11,"")</f>
        <v>0</v>
      </c>
      <c r="N11" s="46">
        <f>IF(AND(L11&lt;&gt;"",K11&lt;&gt;0),M11/K11,"")</f>
        <v>0</v>
      </c>
    </row>
    <row r="12" spans="1:14" x14ac:dyDescent="0.25">
      <c r="A12" s="60">
        <v>90</v>
      </c>
      <c r="B12" s="55" t="s">
        <v>88</v>
      </c>
      <c r="C12" s="55" t="s">
        <v>61</v>
      </c>
      <c r="D12" s="56">
        <v>61.06</v>
      </c>
      <c r="E12" s="56">
        <v>61.06</v>
      </c>
      <c r="F12" s="56">
        <f>IF(E12&lt;&gt;"",E12-D12,"")</f>
        <v>0</v>
      </c>
      <c r="G12" s="57">
        <f>IF(AND(E12&lt;&gt;"",D12&lt;&gt;0),F12/D12,"")</f>
        <v>0</v>
      </c>
      <c r="H12" s="58">
        <v>135</v>
      </c>
      <c r="I12" s="58">
        <v>135</v>
      </c>
      <c r="J12" s="58" t="str">
        <f>IF(I12-H12&lt;&gt;0,I12-H12,"")</f>
        <v/>
      </c>
      <c r="K12" s="59">
        <v>8243.1</v>
      </c>
      <c r="L12" s="59">
        <f>IF(E12&lt;&gt;"",E12*I12,"")</f>
        <v>8243.1</v>
      </c>
      <c r="M12" s="59">
        <f>IF(L12&lt;&gt;"",L12-K12,"")</f>
        <v>0</v>
      </c>
      <c r="N12" s="57">
        <f>IF(AND(L12&lt;&gt;"",K12&lt;&gt;0),M12/K12,"")</f>
        <v>0</v>
      </c>
    </row>
    <row r="13" spans="1:14" x14ac:dyDescent="0.25">
      <c r="A13" s="60">
        <v>100</v>
      </c>
      <c r="B13" s="55" t="s">
        <v>90</v>
      </c>
      <c r="C13" s="55" t="s">
        <v>61</v>
      </c>
      <c r="D13" s="56">
        <v>223.23</v>
      </c>
      <c r="E13" s="56">
        <v>223.23</v>
      </c>
      <c r="F13" s="56">
        <f>IF(E13&lt;&gt;"",E13-D13,"")</f>
        <v>0</v>
      </c>
      <c r="G13" s="57">
        <f>IF(AND(E13&lt;&gt;"",D13&lt;&gt;0),F13/D13,"")</f>
        <v>0</v>
      </c>
      <c r="H13" s="58">
        <v>167</v>
      </c>
      <c r="I13" s="58">
        <v>167</v>
      </c>
      <c r="J13" s="58" t="str">
        <f>IF(I13-H13&lt;&gt;0,I13-H13,"")</f>
        <v/>
      </c>
      <c r="K13" s="59">
        <v>37279.410000000003</v>
      </c>
      <c r="L13" s="59">
        <f>IF(E13&lt;&gt;"",E13*I13,"")</f>
        <v>37279.409999999996</v>
      </c>
      <c r="M13" s="59">
        <f>IF(L13&lt;&gt;"",L13-K13,"")</f>
        <v>-7.2759576141834259E-12</v>
      </c>
      <c r="N13" s="57">
        <f>IF(AND(L13&lt;&gt;"",K13&lt;&gt;0),M13/K13,"")</f>
        <v>-1.9517362571412544E-16</v>
      </c>
    </row>
    <row r="14" spans="1:14" x14ac:dyDescent="0.25">
      <c r="A14" s="54">
        <v>110</v>
      </c>
      <c r="B14" s="54" t="s">
        <v>92</v>
      </c>
      <c r="C14" s="49" t="s">
        <v>61</v>
      </c>
      <c r="D14" s="50">
        <v>216.19</v>
      </c>
      <c r="E14" s="50">
        <v>216.19</v>
      </c>
      <c r="F14" s="50">
        <f>IF(E14&lt;&gt;"",E14-D14,"")</f>
        <v>0</v>
      </c>
      <c r="G14" s="51">
        <f>IF(AND(E14&lt;&gt;"",D14&lt;&gt;0),F14/D14,"")</f>
        <v>0</v>
      </c>
      <c r="H14" s="52">
        <v>163</v>
      </c>
      <c r="I14" s="52">
        <v>163</v>
      </c>
      <c r="J14" s="52" t="str">
        <f>IF(I14-H14&lt;&gt;0,I14-H14,"")</f>
        <v/>
      </c>
      <c r="K14" s="53">
        <v>35238.97</v>
      </c>
      <c r="L14" s="53">
        <f>IF(E14&lt;&gt;"",E14*I14,"")</f>
        <v>35238.97</v>
      </c>
      <c r="M14" s="53">
        <f>IF(L14&lt;&gt;"",L14-K14,"")</f>
        <v>0</v>
      </c>
      <c r="N14" s="51">
        <f>IF(AND(L14&lt;&gt;"",K14&lt;&gt;0),M14/K14,"")</f>
        <v>0</v>
      </c>
    </row>
    <row r="15" spans="1:14" x14ac:dyDescent="0.25">
      <c r="A15" s="44">
        <v>120</v>
      </c>
      <c r="B15" s="44" t="s">
        <v>5446</v>
      </c>
      <c r="C15" s="44" t="s">
        <v>97</v>
      </c>
      <c r="D15" s="45">
        <v>628.98</v>
      </c>
      <c r="E15" s="45"/>
      <c r="F15" s="45"/>
      <c r="G15" s="46"/>
      <c r="H15" s="47">
        <v>20.72</v>
      </c>
      <c r="I15" s="47">
        <v>20.72</v>
      </c>
      <c r="J15" s="47" t="str">
        <f>IF(I15-H15&lt;&gt;0,I15-H15,"")</f>
        <v/>
      </c>
      <c r="K15" s="48">
        <v>13032.47</v>
      </c>
      <c r="L15" s="48"/>
      <c r="M15" s="48"/>
      <c r="N15" s="46"/>
    </row>
    <row r="16" spans="1:14" x14ac:dyDescent="0.25">
      <c r="A16" s="39">
        <v>130</v>
      </c>
      <c r="B16" s="39" t="s">
        <v>5447</v>
      </c>
      <c r="C16" s="39" t="s">
        <v>97</v>
      </c>
      <c r="D16" s="40">
        <v>130.78</v>
      </c>
      <c r="E16" s="40"/>
      <c r="F16" s="40"/>
      <c r="G16" s="41"/>
      <c r="H16" s="42">
        <v>20.72</v>
      </c>
      <c r="I16" s="42">
        <v>20.72</v>
      </c>
      <c r="J16" s="42" t="str">
        <f>IF(I16-H16&lt;&gt;0,I16-H16,"")</f>
        <v/>
      </c>
      <c r="K16" s="43">
        <v>2709.76</v>
      </c>
      <c r="L16" s="43"/>
      <c r="M16" s="43"/>
      <c r="N16" s="41"/>
    </row>
    <row r="17" spans="1:14" x14ac:dyDescent="0.25">
      <c r="A17" s="44"/>
      <c r="B17" s="44" t="s">
        <v>5448</v>
      </c>
      <c r="C17" s="44" t="s">
        <v>97</v>
      </c>
      <c r="D17" s="45">
        <v>759.76</v>
      </c>
      <c r="E17" s="45">
        <v>859.13</v>
      </c>
      <c r="F17" s="45">
        <f>IF(E17&lt;&gt;"",E17-D17,"")</f>
        <v>99.37</v>
      </c>
      <c r="G17" s="46">
        <f>IF(AND(E17&lt;&gt;"",D17&lt;&gt;0),F17/D17,"")</f>
        <v>0.13079130251658419</v>
      </c>
      <c r="H17" s="47">
        <v>20.72</v>
      </c>
      <c r="I17" s="47">
        <v>20.72</v>
      </c>
      <c r="J17" s="47" t="str">
        <f>IF(I17-H17&lt;&gt;0,I17-H17,"")</f>
        <v/>
      </c>
      <c r="K17" s="48">
        <v>15742.23</v>
      </c>
      <c r="L17" s="48">
        <f>IF(E17&lt;&gt;"",E17*I17,"")</f>
        <v>17801.173599999998</v>
      </c>
      <c r="M17" s="48">
        <f>IF(L17&lt;&gt;"",L17-K17,"")</f>
        <v>2058.9435999999987</v>
      </c>
      <c r="N17" s="46">
        <f>IF(AND(L17&lt;&gt;"",K17&lt;&gt;0),M17/K17,"")</f>
        <v>0.13079110138779568</v>
      </c>
    </row>
    <row r="18" spans="1:14" x14ac:dyDescent="0.25">
      <c r="A18" s="39">
        <v>140</v>
      </c>
      <c r="B18" s="39" t="s">
        <v>98</v>
      </c>
      <c r="C18" s="39" t="s">
        <v>101</v>
      </c>
      <c r="D18" s="40">
        <v>88197.71</v>
      </c>
      <c r="E18" s="40">
        <v>88250</v>
      </c>
      <c r="F18" s="40">
        <f>IF(E18&lt;&gt;"",E18-D18,"")</f>
        <v>52.289999999993597</v>
      </c>
      <c r="G18" s="41">
        <f>IF(AND(E18&lt;&gt;"",D18&lt;&gt;0),F18/D18,"")</f>
        <v>5.9287253603289237E-4</v>
      </c>
      <c r="H18" s="42">
        <v>1.1200000000000001</v>
      </c>
      <c r="I18" s="42">
        <v>1.1200000000000001</v>
      </c>
      <c r="J18" s="42" t="str">
        <f>IF(I18-H18&lt;&gt;0,I18-H18,"")</f>
        <v/>
      </c>
      <c r="K18" s="43">
        <v>98781.440000000002</v>
      </c>
      <c r="L18" s="43">
        <f>IF(E18&lt;&gt;"",E18*I18,"")</f>
        <v>98840.000000000015</v>
      </c>
      <c r="M18" s="43">
        <f>IF(L18&lt;&gt;"",L18-K18,"")</f>
        <v>58.560000000012224</v>
      </c>
      <c r="N18" s="41">
        <f>IF(AND(L18&lt;&gt;"",K18&lt;&gt;0),M18/K18,"")</f>
        <v>5.9282391509996436E-4</v>
      </c>
    </row>
    <row r="19" spans="1:14" x14ac:dyDescent="0.25">
      <c r="A19" s="44">
        <v>150</v>
      </c>
      <c r="B19" s="44" t="s">
        <v>102</v>
      </c>
      <c r="C19" s="44" t="s">
        <v>105</v>
      </c>
      <c r="D19" s="45">
        <v>381.16</v>
      </c>
      <c r="E19" s="45">
        <v>381.16</v>
      </c>
      <c r="F19" s="45">
        <f>IF(E19&lt;&gt;"",E19-D19,"")</f>
        <v>0</v>
      </c>
      <c r="G19" s="46">
        <f>IF(AND(E19&lt;&gt;"",D19&lt;&gt;0),F19/D19,"")</f>
        <v>0</v>
      </c>
      <c r="H19" s="47">
        <v>20.5</v>
      </c>
      <c r="I19" s="47">
        <v>20.5</v>
      </c>
      <c r="J19" s="47" t="str">
        <f>IF(I19-H19&lt;&gt;0,I19-H19,"")</f>
        <v/>
      </c>
      <c r="K19" s="48">
        <v>7813.78</v>
      </c>
      <c r="L19" s="48">
        <f>IF(E19&lt;&gt;"",E19*I19,"")</f>
        <v>7813.7800000000007</v>
      </c>
      <c r="M19" s="48">
        <f>IF(L19&lt;&gt;"",L19-K19,"")</f>
        <v>9.0949470177292824E-13</v>
      </c>
      <c r="N19" s="46">
        <f>IF(AND(L19&lt;&gt;"",K19&lt;&gt;0),M19/K19,"")</f>
        <v>1.1639625146509477E-16</v>
      </c>
    </row>
    <row r="20" spans="1:14" x14ac:dyDescent="0.25">
      <c r="A20" s="39">
        <v>160</v>
      </c>
      <c r="B20" s="39" t="s">
        <v>106</v>
      </c>
      <c r="C20" s="39" t="s">
        <v>105</v>
      </c>
      <c r="D20" s="40">
        <v>3133.5</v>
      </c>
      <c r="E20" s="40">
        <v>3133.5</v>
      </c>
      <c r="F20" s="40">
        <f>IF(E20&lt;&gt;"",E20-D20,"")</f>
        <v>0</v>
      </c>
      <c r="G20" s="41">
        <f>IF(AND(E20&lt;&gt;"",D20&lt;&gt;0),F20/D20,"")</f>
        <v>0</v>
      </c>
      <c r="H20" s="42">
        <v>8</v>
      </c>
      <c r="I20" s="42">
        <v>8</v>
      </c>
      <c r="J20" s="42" t="str">
        <f>IF(I20-H20&lt;&gt;0,I20-H20,"")</f>
        <v/>
      </c>
      <c r="K20" s="43">
        <v>25068</v>
      </c>
      <c r="L20" s="43">
        <f>IF(E20&lt;&gt;"",E20*I20,"")</f>
        <v>25068</v>
      </c>
      <c r="M20" s="43">
        <f>IF(L20&lt;&gt;"",L20-K20,"")</f>
        <v>0</v>
      </c>
      <c r="N20" s="41">
        <f>IF(AND(L20&lt;&gt;"",K20&lt;&gt;0),M20/K20,"")</f>
        <v>0</v>
      </c>
    </row>
    <row r="21" spans="1:14" x14ac:dyDescent="0.25">
      <c r="A21" s="44">
        <v>170</v>
      </c>
      <c r="B21" s="44" t="s">
        <v>108</v>
      </c>
      <c r="C21" s="44" t="s">
        <v>110</v>
      </c>
      <c r="D21" s="45">
        <v>80</v>
      </c>
      <c r="E21" s="45">
        <v>80</v>
      </c>
      <c r="F21" s="45">
        <f>IF(E21&lt;&gt;"",E21-D21,"")</f>
        <v>0</v>
      </c>
      <c r="G21" s="46">
        <f>IF(AND(E21&lt;&gt;"",D21&lt;&gt;0),F21/D21,"")</f>
        <v>0</v>
      </c>
      <c r="H21" s="47">
        <v>216.72</v>
      </c>
      <c r="I21" s="47">
        <v>216.72</v>
      </c>
      <c r="J21" s="47" t="str">
        <f>IF(I21-H21&lt;&gt;0,I21-H21,"")</f>
        <v/>
      </c>
      <c r="K21" s="48">
        <v>17337.599999999999</v>
      </c>
      <c r="L21" s="48">
        <f>IF(E21&lt;&gt;"",E21*I21,"")</f>
        <v>17337.599999999999</v>
      </c>
      <c r="M21" s="48">
        <f>IF(L21&lt;&gt;"",L21-K21,"")</f>
        <v>0</v>
      </c>
      <c r="N21" s="46">
        <f>IF(AND(L21&lt;&gt;"",K21&lt;&gt;0),M21/K21,"")</f>
        <v>0</v>
      </c>
    </row>
    <row r="22" spans="1:14" x14ac:dyDescent="0.25">
      <c r="C22"/>
      <c r="D22" s="22"/>
      <c r="E22" s="22"/>
      <c r="F22" s="22"/>
      <c r="G22" s="34"/>
      <c r="H22" s="35"/>
      <c r="I22" s="35"/>
      <c r="J22" s="35"/>
      <c r="K22" s="36"/>
      <c r="L22" s="36"/>
      <c r="M22" s="36"/>
      <c r="N22" s="34"/>
    </row>
    <row r="23" spans="1:14" x14ac:dyDescent="0.25">
      <c r="A23" s="33" t="s">
        <v>1223</v>
      </c>
      <c r="B23" s="33"/>
      <c r="C23" s="33"/>
      <c r="D23" s="33"/>
      <c r="E23" s="33"/>
      <c r="F23" s="33"/>
      <c r="G23" s="33"/>
      <c r="H23" s="33"/>
      <c r="I23" s="33"/>
      <c r="J23" s="33"/>
      <c r="K23" s="37">
        <f>SUM(K4:K16)+SUM(K18:K21)</f>
        <v>292864.88</v>
      </c>
      <c r="L23" s="37">
        <f>SUM(L4:L21)</f>
        <v>291835.8382</v>
      </c>
      <c r="M23" s="37">
        <f>L23-K23</f>
        <v>-1029.0418000000063</v>
      </c>
      <c r="N23" s="37">
        <f>IF(K23&lt;&gt;0,M23/K23,"")</f>
        <v>-3.513708437829781E-3</v>
      </c>
    </row>
    <row r="24" spans="1:14" x14ac:dyDescent="0.25">
      <c r="C24"/>
      <c r="D24"/>
      <c r="E24"/>
      <c r="F24"/>
      <c r="G24"/>
      <c r="H24"/>
      <c r="I24"/>
      <c r="J24"/>
      <c r="K24"/>
      <c r="L24"/>
    </row>
    <row r="25" spans="1:14" x14ac:dyDescent="0.25">
      <c r="A25" s="71" t="s">
        <v>5456</v>
      </c>
      <c r="C25"/>
      <c r="D25"/>
      <c r="E25"/>
      <c r="F25"/>
      <c r="G25"/>
      <c r="H25"/>
      <c r="I25"/>
      <c r="J25"/>
      <c r="K25"/>
      <c r="L25"/>
    </row>
    <row r="26" spans="1:14" x14ac:dyDescent="0.25">
      <c r="A26" s="72" t="s">
        <v>5454</v>
      </c>
      <c r="B26" s="72" t="s">
        <v>5455</v>
      </c>
      <c r="C26" s="72" t="s">
        <v>5440</v>
      </c>
      <c r="D26" s="72" t="s">
        <v>1220</v>
      </c>
      <c r="E26" s="72" t="s">
        <v>5449</v>
      </c>
      <c r="F26" s="72" t="s">
        <v>5457</v>
      </c>
      <c r="G26"/>
      <c r="H26"/>
      <c r="I26"/>
      <c r="J26"/>
      <c r="K26"/>
      <c r="L26"/>
    </row>
    <row r="27" spans="1:14" x14ac:dyDescent="0.25">
      <c r="A27" s="27" t="s">
        <v>5458</v>
      </c>
      <c r="B27" s="27" t="s">
        <v>5459</v>
      </c>
      <c r="C27" s="27">
        <v>99.37</v>
      </c>
      <c r="D27" s="27">
        <v>20.72</v>
      </c>
      <c r="E27" s="74">
        <v>2058.94</v>
      </c>
      <c r="F27" s="75">
        <f>E27/-1029.04</f>
        <v>-2.0008357303894893</v>
      </c>
      <c r="G27"/>
      <c r="H27"/>
      <c r="I27"/>
      <c r="J27"/>
      <c r="K27"/>
      <c r="L27"/>
    </row>
    <row r="28" spans="1:14" x14ac:dyDescent="0.25">
      <c r="A28" s="76" t="s">
        <v>5460</v>
      </c>
      <c r="B28" s="76" t="s">
        <v>5461</v>
      </c>
      <c r="C28" s="76">
        <v>52.29</v>
      </c>
      <c r="D28" s="76">
        <v>1.1200000000000001</v>
      </c>
      <c r="E28" s="77">
        <v>58.56</v>
      </c>
      <c r="F28" s="78">
        <f>E28/-1029.04</f>
        <v>-5.690740884708078E-2</v>
      </c>
      <c r="G28"/>
      <c r="H28"/>
      <c r="I28"/>
      <c r="J28"/>
      <c r="K28"/>
      <c r="L28"/>
    </row>
    <row r="29" spans="1:14" x14ac:dyDescent="0.25">
      <c r="A29" s="76" t="s">
        <v>5462</v>
      </c>
      <c r="B29" s="76" t="s">
        <v>5463</v>
      </c>
      <c r="C29" s="76">
        <v>0.48</v>
      </c>
      <c r="D29" s="76">
        <v>140</v>
      </c>
      <c r="E29" s="77">
        <v>67.2</v>
      </c>
      <c r="F29" s="78">
        <f>E29/-1029.04</f>
        <v>-6.5303583922879577E-2</v>
      </c>
      <c r="G29"/>
      <c r="H29"/>
      <c r="I29"/>
      <c r="J29"/>
      <c r="K29"/>
      <c r="L29"/>
    </row>
    <row r="30" spans="1:14" x14ac:dyDescent="0.25">
      <c r="A30" s="76" t="s">
        <v>5464</v>
      </c>
      <c r="B30" s="76" t="s">
        <v>5465</v>
      </c>
      <c r="C30" s="76">
        <v>0.28000000000000003</v>
      </c>
      <c r="D30" s="76">
        <v>12.35</v>
      </c>
      <c r="E30" s="77">
        <v>3.37</v>
      </c>
      <c r="F30" s="78">
        <f>E30/-1029.04</f>
        <v>-3.2748969913705983E-3</v>
      </c>
      <c r="G30"/>
      <c r="H30"/>
      <c r="I30"/>
      <c r="J30"/>
      <c r="K30"/>
      <c r="L30"/>
    </row>
    <row r="31" spans="1:14" x14ac:dyDescent="0.25">
      <c r="A31" s="28" t="s">
        <v>5466</v>
      </c>
      <c r="B31" s="28" t="s">
        <v>5467</v>
      </c>
      <c r="C31" s="28">
        <v>0.22</v>
      </c>
      <c r="D31" s="28">
        <v>-1.5</v>
      </c>
      <c r="E31" s="73">
        <v>-3218.45</v>
      </c>
      <c r="F31" s="38">
        <f>E31/-1029.04</f>
        <v>3.1276238047111868</v>
      </c>
      <c r="G31"/>
      <c r="H31"/>
      <c r="I31"/>
      <c r="J31"/>
      <c r="K31"/>
      <c r="L31"/>
    </row>
    <row r="32" spans="1:14" x14ac:dyDescent="0.25">
      <c r="A32" s="76" t="s">
        <v>5468</v>
      </c>
      <c r="B32" s="76" t="s">
        <v>5469</v>
      </c>
      <c r="C32" s="76">
        <v>0.13</v>
      </c>
      <c r="D32" s="76">
        <v>10.8</v>
      </c>
      <c r="E32" s="77">
        <v>1.4</v>
      </c>
      <c r="F32" s="78">
        <f>E32/-1029.04</f>
        <v>-1.3604913317266578E-3</v>
      </c>
      <c r="G32"/>
      <c r="H32"/>
      <c r="I32"/>
      <c r="J32"/>
      <c r="K32"/>
      <c r="L32"/>
    </row>
    <row r="33" spans="1:12" x14ac:dyDescent="0.25">
      <c r="A33" s="76"/>
      <c r="B33" s="76" t="s">
        <v>5470</v>
      </c>
      <c r="C33" s="76"/>
      <c r="D33" s="76"/>
      <c r="E33" s="77">
        <v>0.83</v>
      </c>
      <c r="F33" s="78">
        <f>E33/-1029.04</f>
        <v>-8.0657700380937572E-4</v>
      </c>
      <c r="G33"/>
      <c r="H33"/>
      <c r="I33"/>
      <c r="J33"/>
      <c r="K33"/>
      <c r="L33"/>
    </row>
    <row r="34" spans="1:12" x14ac:dyDescent="0.25">
      <c r="A34" s="79"/>
      <c r="B34" s="79" t="s">
        <v>5471</v>
      </c>
      <c r="C34" s="79"/>
      <c r="D34" s="79"/>
      <c r="E34" s="80">
        <v>-1029.04</v>
      </c>
      <c r="F34" s="81">
        <v>1</v>
      </c>
      <c r="G34"/>
      <c r="H34"/>
      <c r="I34"/>
      <c r="J34"/>
      <c r="K34"/>
      <c r="L34"/>
    </row>
    <row r="35" spans="1:12" x14ac:dyDescent="0.25">
      <c r="C35"/>
      <c r="D35"/>
      <c r="E35"/>
      <c r="F35"/>
      <c r="G35"/>
      <c r="H35"/>
      <c r="I35"/>
      <c r="J35"/>
      <c r="K35"/>
      <c r="L35"/>
    </row>
    <row r="36" spans="1:12" x14ac:dyDescent="0.25">
      <c r="A36" s="82" t="s">
        <v>5472</v>
      </c>
      <c r="C36"/>
      <c r="D36"/>
      <c r="E36"/>
      <c r="F36"/>
      <c r="G36"/>
      <c r="H36"/>
      <c r="I36"/>
      <c r="J36"/>
      <c r="K36"/>
      <c r="L36"/>
    </row>
    <row r="37" spans="1:12" x14ac:dyDescent="0.25">
      <c r="C37"/>
      <c r="D37"/>
      <c r="E37"/>
      <c r="F37"/>
      <c r="G37"/>
      <c r="H37"/>
      <c r="I37"/>
      <c r="J37"/>
      <c r="K37"/>
      <c r="L37"/>
    </row>
    <row r="38" spans="1:12" x14ac:dyDescent="0.25">
      <c r="C38"/>
      <c r="D38"/>
      <c r="E38"/>
      <c r="F38"/>
      <c r="G38"/>
      <c r="H38"/>
      <c r="I38"/>
      <c r="J38"/>
      <c r="K38"/>
      <c r="L38"/>
    </row>
    <row r="39" spans="1:12" x14ac:dyDescent="0.25">
      <c r="C39"/>
      <c r="D39"/>
      <c r="E39"/>
      <c r="F39"/>
      <c r="G39"/>
      <c r="H39"/>
      <c r="I39"/>
      <c r="J39"/>
      <c r="K39"/>
      <c r="L39"/>
    </row>
    <row r="40" spans="1:12" x14ac:dyDescent="0.25">
      <c r="C40"/>
      <c r="D40"/>
      <c r="E40"/>
      <c r="F40"/>
      <c r="G40"/>
      <c r="H40"/>
      <c r="I40"/>
      <c r="J40"/>
      <c r="K40"/>
      <c r="L40"/>
    </row>
    <row r="41" spans="1:12" x14ac:dyDescent="0.25">
      <c r="C41"/>
      <c r="D41"/>
      <c r="E41"/>
      <c r="F41"/>
      <c r="G41"/>
      <c r="H41"/>
      <c r="I41"/>
      <c r="J41"/>
      <c r="K41"/>
      <c r="L41"/>
    </row>
    <row r="42" spans="1:12" x14ac:dyDescent="0.25">
      <c r="C42"/>
      <c r="D42"/>
      <c r="E42"/>
      <c r="F42"/>
      <c r="G42"/>
      <c r="H42"/>
      <c r="I42"/>
      <c r="J42"/>
      <c r="K42"/>
      <c r="L42"/>
    </row>
    <row r="43" spans="1:12" x14ac:dyDescent="0.25">
      <c r="C43"/>
      <c r="D43"/>
      <c r="E43"/>
      <c r="F43"/>
      <c r="G43"/>
      <c r="H43"/>
      <c r="I43"/>
      <c r="J43"/>
      <c r="K43"/>
      <c r="L43"/>
    </row>
    <row r="44" spans="1:12" x14ac:dyDescent="0.25">
      <c r="C44"/>
      <c r="D44"/>
      <c r="E44"/>
      <c r="F44"/>
      <c r="G44"/>
      <c r="H44"/>
      <c r="I44"/>
      <c r="J44"/>
      <c r="K44"/>
      <c r="L44"/>
    </row>
    <row r="45" spans="1:12" x14ac:dyDescent="0.25">
      <c r="C45"/>
      <c r="D45"/>
      <c r="E45"/>
      <c r="F45"/>
      <c r="G45"/>
      <c r="H45"/>
      <c r="I45"/>
      <c r="J45"/>
      <c r="K45"/>
      <c r="L45"/>
    </row>
    <row r="46" spans="1:12" x14ac:dyDescent="0.25">
      <c r="C46"/>
      <c r="D46"/>
      <c r="E46"/>
      <c r="F46"/>
      <c r="G46"/>
      <c r="H46"/>
      <c r="I46"/>
      <c r="J46"/>
      <c r="K46"/>
      <c r="L46"/>
    </row>
    <row r="47" spans="1:12" x14ac:dyDescent="0.25">
      <c r="C47"/>
      <c r="D47"/>
      <c r="E47"/>
      <c r="F47"/>
      <c r="G47"/>
      <c r="H47"/>
      <c r="I47"/>
      <c r="J47"/>
      <c r="K47"/>
      <c r="L47"/>
    </row>
    <row r="48" spans="1:12" x14ac:dyDescent="0.25">
      <c r="C48"/>
      <c r="D48"/>
      <c r="E48"/>
      <c r="F48"/>
      <c r="G48"/>
      <c r="H48"/>
      <c r="I48"/>
      <c r="J48"/>
      <c r="K48"/>
      <c r="L48"/>
    </row>
    <row r="49" spans="3:12" x14ac:dyDescent="0.25">
      <c r="C49"/>
      <c r="D49"/>
      <c r="E49"/>
      <c r="F49"/>
      <c r="G49"/>
      <c r="H49"/>
      <c r="I49"/>
      <c r="J49"/>
      <c r="K49"/>
      <c r="L49"/>
    </row>
    <row r="50" spans="3:12" x14ac:dyDescent="0.25">
      <c r="C50"/>
      <c r="D50"/>
      <c r="E50"/>
      <c r="F50"/>
      <c r="G50"/>
      <c r="H50"/>
      <c r="I50"/>
      <c r="J50"/>
      <c r="K50"/>
      <c r="L50"/>
    </row>
    <row r="51" spans="3:12" x14ac:dyDescent="0.25">
      <c r="C51"/>
      <c r="D51"/>
      <c r="E51"/>
      <c r="F51"/>
      <c r="G51"/>
      <c r="H51"/>
      <c r="I51"/>
      <c r="J51"/>
      <c r="K51"/>
      <c r="L51"/>
    </row>
    <row r="52" spans="3:12" x14ac:dyDescent="0.25">
      <c r="C52"/>
      <c r="D52"/>
      <c r="E52"/>
      <c r="F52"/>
      <c r="G52"/>
      <c r="H52"/>
      <c r="I52"/>
      <c r="J52"/>
      <c r="K52"/>
      <c r="L52"/>
    </row>
    <row r="53" spans="3:12" x14ac:dyDescent="0.25">
      <c r="C53"/>
      <c r="D53"/>
      <c r="E53"/>
      <c r="F53"/>
      <c r="G53"/>
      <c r="H53"/>
      <c r="I53"/>
      <c r="J53"/>
      <c r="K53"/>
      <c r="L53"/>
    </row>
    <row r="54" spans="3:12" x14ac:dyDescent="0.25">
      <c r="C54"/>
      <c r="D54"/>
      <c r="E54"/>
      <c r="F54"/>
      <c r="G54"/>
      <c r="H54"/>
      <c r="I54"/>
      <c r="J54"/>
      <c r="K54"/>
      <c r="L54"/>
    </row>
    <row r="55" spans="3:12" x14ac:dyDescent="0.25">
      <c r="C55"/>
      <c r="D55"/>
      <c r="E55"/>
      <c r="F55"/>
      <c r="G55"/>
      <c r="H55"/>
      <c r="I55"/>
      <c r="J55"/>
      <c r="K55"/>
      <c r="L55"/>
    </row>
    <row r="56" spans="3:12" x14ac:dyDescent="0.25">
      <c r="C56"/>
      <c r="D56"/>
      <c r="E56"/>
      <c r="F56"/>
      <c r="G56"/>
      <c r="H56"/>
      <c r="I56"/>
      <c r="J56"/>
      <c r="K56"/>
      <c r="L56"/>
    </row>
    <row r="57" spans="3:12" x14ac:dyDescent="0.25">
      <c r="C57"/>
      <c r="D57"/>
      <c r="E57"/>
      <c r="F57"/>
      <c r="G57"/>
      <c r="H57"/>
      <c r="I57"/>
      <c r="J57"/>
      <c r="K57"/>
      <c r="L57"/>
    </row>
    <row r="58" spans="3:12" x14ac:dyDescent="0.25">
      <c r="C58"/>
      <c r="D58"/>
      <c r="E58"/>
      <c r="F58"/>
      <c r="G58"/>
      <c r="H58"/>
      <c r="I58"/>
      <c r="J58"/>
      <c r="K58"/>
      <c r="L58"/>
    </row>
    <row r="59" spans="3:12" x14ac:dyDescent="0.25">
      <c r="C59"/>
      <c r="D59"/>
      <c r="E59"/>
      <c r="F59"/>
      <c r="G59"/>
      <c r="H59"/>
      <c r="I59"/>
      <c r="J59"/>
      <c r="K59"/>
      <c r="L59"/>
    </row>
    <row r="60" spans="3:12" x14ac:dyDescent="0.25">
      <c r="C60"/>
      <c r="D60"/>
      <c r="E60"/>
      <c r="F60"/>
      <c r="G60"/>
      <c r="H60"/>
      <c r="I60"/>
      <c r="J60"/>
      <c r="K60"/>
      <c r="L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B54C-DFAB-40C5-A091-4D3C26777A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97DA-D1CC-4D47-8748-4F6F6D393183}">
  <dimension ref="A1:E131"/>
  <sheetViews>
    <sheetView workbookViewId="0">
      <selection activeCell="L20" sqref="L20"/>
    </sheetView>
  </sheetViews>
  <sheetFormatPr defaultRowHeight="15" x14ac:dyDescent="0.25"/>
  <cols>
    <col min="1" max="1" width="22.42578125" bestFit="1" customWidth="1"/>
    <col min="2" max="2" width="171.140625" bestFit="1" customWidth="1"/>
  </cols>
  <sheetData>
    <row r="1" spans="1:5" x14ac:dyDescent="0.25">
      <c r="A1" t="s">
        <v>660</v>
      </c>
      <c r="B1" t="s">
        <v>661</v>
      </c>
      <c r="C1" t="s">
        <v>662</v>
      </c>
      <c r="D1" t="s">
        <v>663</v>
      </c>
      <c r="E1" t="s">
        <v>664</v>
      </c>
    </row>
    <row r="2" spans="1:5" x14ac:dyDescent="0.25">
      <c r="A2" t="s">
        <v>665</v>
      </c>
      <c r="B2" t="s">
        <v>666</v>
      </c>
      <c r="D2" t="s">
        <v>667</v>
      </c>
      <c r="E2" t="s">
        <v>667</v>
      </c>
    </row>
    <row r="3" spans="1:5" x14ac:dyDescent="0.25">
      <c r="A3" t="s">
        <v>668</v>
      </c>
      <c r="B3" t="s">
        <v>669</v>
      </c>
      <c r="D3" t="s">
        <v>667</v>
      </c>
    </row>
    <row r="4" spans="1:5" x14ac:dyDescent="0.25">
      <c r="A4" t="s">
        <v>670</v>
      </c>
      <c r="B4" t="s">
        <v>671</v>
      </c>
      <c r="D4" t="s">
        <v>672</v>
      </c>
    </row>
    <row r="5" spans="1:5" x14ac:dyDescent="0.25">
      <c r="A5" t="s">
        <v>673</v>
      </c>
      <c r="B5" t="s">
        <v>674</v>
      </c>
      <c r="D5" t="s">
        <v>675</v>
      </c>
    </row>
    <row r="6" spans="1:5" x14ac:dyDescent="0.25">
      <c r="A6" t="s">
        <v>676</v>
      </c>
      <c r="B6" t="s">
        <v>677</v>
      </c>
      <c r="D6" t="s">
        <v>667</v>
      </c>
    </row>
    <row r="7" spans="1:5" x14ac:dyDescent="0.25">
      <c r="A7" t="s">
        <v>678</v>
      </c>
      <c r="B7" t="s">
        <v>679</v>
      </c>
      <c r="D7" t="s">
        <v>667</v>
      </c>
    </row>
    <row r="8" spans="1:5" x14ac:dyDescent="0.25">
      <c r="A8" t="s">
        <v>680</v>
      </c>
      <c r="B8" t="s">
        <v>681</v>
      </c>
      <c r="D8" t="s">
        <v>667</v>
      </c>
    </row>
    <row r="9" spans="1:5" x14ac:dyDescent="0.25">
      <c r="A9" t="s">
        <v>682</v>
      </c>
      <c r="B9" t="s">
        <v>683</v>
      </c>
      <c r="D9" t="s">
        <v>684</v>
      </c>
    </row>
    <row r="10" spans="1:5" x14ac:dyDescent="0.25">
      <c r="A10" t="s">
        <v>685</v>
      </c>
      <c r="B10" t="s">
        <v>686</v>
      </c>
      <c r="C10" t="s">
        <v>687</v>
      </c>
      <c r="D10" t="s">
        <v>688</v>
      </c>
      <c r="E10" t="s">
        <v>689</v>
      </c>
    </row>
    <row r="11" spans="1:5" x14ac:dyDescent="0.25">
      <c r="A11" t="s">
        <v>690</v>
      </c>
      <c r="B11" t="s">
        <v>691</v>
      </c>
      <c r="C11" t="s">
        <v>687</v>
      </c>
      <c r="D11" t="s">
        <v>692</v>
      </c>
      <c r="E11" t="s">
        <v>689</v>
      </c>
    </row>
    <row r="12" spans="1:5" x14ac:dyDescent="0.25">
      <c r="A12" t="s">
        <v>693</v>
      </c>
      <c r="B12" t="s">
        <v>694</v>
      </c>
      <c r="C12" t="s">
        <v>687</v>
      </c>
      <c r="D12" t="s">
        <v>695</v>
      </c>
      <c r="E12" t="s">
        <v>689</v>
      </c>
    </row>
    <row r="13" spans="1:5" x14ac:dyDescent="0.25">
      <c r="A13" t="s">
        <v>696</v>
      </c>
      <c r="B13" t="s">
        <v>697</v>
      </c>
      <c r="C13" t="s">
        <v>687</v>
      </c>
      <c r="D13" t="s">
        <v>698</v>
      </c>
      <c r="E13" t="s">
        <v>689</v>
      </c>
    </row>
    <row r="14" spans="1:5" x14ac:dyDescent="0.25">
      <c r="A14" t="s">
        <v>699</v>
      </c>
      <c r="B14" t="s">
        <v>87</v>
      </c>
      <c r="D14" t="s">
        <v>700</v>
      </c>
      <c r="E14" t="s">
        <v>667</v>
      </c>
    </row>
    <row r="15" spans="1:5" x14ac:dyDescent="0.25">
      <c r="A15" t="s">
        <v>701</v>
      </c>
      <c r="B15" t="s">
        <v>335</v>
      </c>
      <c r="D15" t="s">
        <v>702</v>
      </c>
      <c r="E15" t="s">
        <v>667</v>
      </c>
    </row>
    <row r="16" spans="1:5" x14ac:dyDescent="0.25">
      <c r="A16" t="s">
        <v>703</v>
      </c>
      <c r="B16" t="s">
        <v>337</v>
      </c>
      <c r="D16" t="s">
        <v>704</v>
      </c>
      <c r="E16" t="s">
        <v>667</v>
      </c>
    </row>
    <row r="17" spans="1:5" x14ac:dyDescent="0.25">
      <c r="A17" t="s">
        <v>705</v>
      </c>
      <c r="B17" t="s">
        <v>89</v>
      </c>
      <c r="D17" t="s">
        <v>706</v>
      </c>
      <c r="E17" t="s">
        <v>667</v>
      </c>
    </row>
    <row r="18" spans="1:5" x14ac:dyDescent="0.25">
      <c r="A18" t="s">
        <v>707</v>
      </c>
      <c r="B18" t="s">
        <v>120</v>
      </c>
      <c r="D18" t="s">
        <v>708</v>
      </c>
      <c r="E18" t="s">
        <v>667</v>
      </c>
    </row>
    <row r="19" spans="1:5" x14ac:dyDescent="0.25">
      <c r="A19" t="s">
        <v>709</v>
      </c>
      <c r="B19" t="s">
        <v>91</v>
      </c>
      <c r="D19" t="s">
        <v>710</v>
      </c>
      <c r="E19" t="s">
        <v>667</v>
      </c>
    </row>
    <row r="20" spans="1:5" x14ac:dyDescent="0.25">
      <c r="A20" t="s">
        <v>711</v>
      </c>
      <c r="B20" t="s">
        <v>93</v>
      </c>
      <c r="D20" t="s">
        <v>712</v>
      </c>
      <c r="E20" t="s">
        <v>667</v>
      </c>
    </row>
    <row r="21" spans="1:5" x14ac:dyDescent="0.25">
      <c r="A21" t="s">
        <v>713</v>
      </c>
      <c r="B21" t="s">
        <v>341</v>
      </c>
      <c r="D21" t="s">
        <v>714</v>
      </c>
      <c r="E21" t="s">
        <v>667</v>
      </c>
    </row>
    <row r="22" spans="1:5" x14ac:dyDescent="0.25">
      <c r="A22" t="s">
        <v>715</v>
      </c>
      <c r="B22" t="s">
        <v>194</v>
      </c>
      <c r="D22" t="s">
        <v>714</v>
      </c>
      <c r="E22" t="s">
        <v>667</v>
      </c>
    </row>
    <row r="23" spans="1:5" x14ac:dyDescent="0.25">
      <c r="A23" t="s">
        <v>716</v>
      </c>
      <c r="B23" t="s">
        <v>202</v>
      </c>
      <c r="D23" t="s">
        <v>667</v>
      </c>
      <c r="E23" t="s">
        <v>667</v>
      </c>
    </row>
    <row r="24" spans="1:5" x14ac:dyDescent="0.25">
      <c r="A24" t="s">
        <v>717</v>
      </c>
      <c r="B24" t="s">
        <v>205</v>
      </c>
      <c r="D24" t="s">
        <v>667</v>
      </c>
      <c r="E24" t="s">
        <v>667</v>
      </c>
    </row>
    <row r="25" spans="1:5" x14ac:dyDescent="0.25">
      <c r="A25" t="s">
        <v>718</v>
      </c>
      <c r="B25" t="s">
        <v>95</v>
      </c>
      <c r="D25" t="s">
        <v>719</v>
      </c>
      <c r="E25" t="s">
        <v>667</v>
      </c>
    </row>
    <row r="26" spans="1:5" x14ac:dyDescent="0.25">
      <c r="A26" t="s">
        <v>720</v>
      </c>
      <c r="B26" t="s">
        <v>214</v>
      </c>
      <c r="D26" t="s">
        <v>721</v>
      </c>
      <c r="E26" t="s">
        <v>667</v>
      </c>
    </row>
    <row r="27" spans="1:5" x14ac:dyDescent="0.25">
      <c r="A27" t="s">
        <v>722</v>
      </c>
      <c r="B27" t="s">
        <v>345</v>
      </c>
      <c r="D27" t="s">
        <v>723</v>
      </c>
      <c r="E27" t="s">
        <v>667</v>
      </c>
    </row>
    <row r="28" spans="1:5" x14ac:dyDescent="0.25">
      <c r="A28" t="s">
        <v>724</v>
      </c>
      <c r="B28" t="s">
        <v>216</v>
      </c>
      <c r="D28" t="s">
        <v>725</v>
      </c>
      <c r="E28" t="s">
        <v>667</v>
      </c>
    </row>
    <row r="29" spans="1:5" x14ac:dyDescent="0.25">
      <c r="A29" t="s">
        <v>726</v>
      </c>
      <c r="B29" t="s">
        <v>218</v>
      </c>
      <c r="D29" t="s">
        <v>727</v>
      </c>
      <c r="E29" t="s">
        <v>667</v>
      </c>
    </row>
    <row r="30" spans="1:5" x14ac:dyDescent="0.25">
      <c r="A30" t="s">
        <v>728</v>
      </c>
      <c r="B30" t="s">
        <v>99</v>
      </c>
      <c r="D30" t="s">
        <v>729</v>
      </c>
      <c r="E30" t="s">
        <v>667</v>
      </c>
    </row>
    <row r="31" spans="1:5" x14ac:dyDescent="0.25">
      <c r="A31" t="s">
        <v>730</v>
      </c>
      <c r="B31" t="s">
        <v>122</v>
      </c>
      <c r="D31" t="s">
        <v>731</v>
      </c>
      <c r="E31" t="s">
        <v>667</v>
      </c>
    </row>
    <row r="32" spans="1:5" x14ac:dyDescent="0.25">
      <c r="A32" t="s">
        <v>732</v>
      </c>
      <c r="B32" t="s">
        <v>122</v>
      </c>
      <c r="D32" t="s">
        <v>731</v>
      </c>
      <c r="E32" t="s">
        <v>667</v>
      </c>
    </row>
    <row r="33" spans="1:5" x14ac:dyDescent="0.25">
      <c r="A33" t="s">
        <v>733</v>
      </c>
      <c r="B33" t="s">
        <v>247</v>
      </c>
      <c r="D33" t="s">
        <v>734</v>
      </c>
      <c r="E33" t="s">
        <v>667</v>
      </c>
    </row>
    <row r="34" spans="1:5" x14ac:dyDescent="0.25">
      <c r="A34" t="s">
        <v>735</v>
      </c>
      <c r="B34" t="s">
        <v>347</v>
      </c>
      <c r="D34" t="s">
        <v>736</v>
      </c>
      <c r="E34" t="s">
        <v>667</v>
      </c>
    </row>
    <row r="35" spans="1:5" x14ac:dyDescent="0.25">
      <c r="A35" t="s">
        <v>737</v>
      </c>
      <c r="B35" t="s">
        <v>352</v>
      </c>
      <c r="D35" t="s">
        <v>738</v>
      </c>
      <c r="E35" t="s">
        <v>667</v>
      </c>
    </row>
    <row r="36" spans="1:5" x14ac:dyDescent="0.25">
      <c r="A36" t="s">
        <v>739</v>
      </c>
      <c r="B36" t="s">
        <v>354</v>
      </c>
      <c r="D36" t="s">
        <v>740</v>
      </c>
      <c r="E36" t="s">
        <v>667</v>
      </c>
    </row>
    <row r="37" spans="1:5" x14ac:dyDescent="0.25">
      <c r="A37" t="s">
        <v>741</v>
      </c>
      <c r="B37" t="s">
        <v>356</v>
      </c>
      <c r="D37" t="s">
        <v>742</v>
      </c>
      <c r="E37" t="s">
        <v>667</v>
      </c>
    </row>
    <row r="38" spans="1:5" x14ac:dyDescent="0.25">
      <c r="A38" t="s">
        <v>743</v>
      </c>
      <c r="B38" t="s">
        <v>358</v>
      </c>
      <c r="D38" t="s">
        <v>744</v>
      </c>
      <c r="E38" t="s">
        <v>667</v>
      </c>
    </row>
    <row r="39" spans="1:5" x14ac:dyDescent="0.25">
      <c r="A39" t="s">
        <v>745</v>
      </c>
      <c r="B39" t="s">
        <v>360</v>
      </c>
      <c r="D39" t="s">
        <v>746</v>
      </c>
      <c r="E39" t="s">
        <v>667</v>
      </c>
    </row>
    <row r="40" spans="1:5" x14ac:dyDescent="0.25">
      <c r="A40" t="s">
        <v>747</v>
      </c>
      <c r="B40" t="s">
        <v>181</v>
      </c>
      <c r="C40" t="s">
        <v>183</v>
      </c>
      <c r="D40" t="s">
        <v>748</v>
      </c>
      <c r="E40" t="s">
        <v>749</v>
      </c>
    </row>
    <row r="41" spans="1:5" x14ac:dyDescent="0.25">
      <c r="A41" t="s">
        <v>750</v>
      </c>
      <c r="B41" t="s">
        <v>224</v>
      </c>
      <c r="D41" t="s">
        <v>751</v>
      </c>
      <c r="E41" t="s">
        <v>667</v>
      </c>
    </row>
    <row r="42" spans="1:5" x14ac:dyDescent="0.25">
      <c r="A42" t="s">
        <v>752</v>
      </c>
      <c r="B42" t="s">
        <v>224</v>
      </c>
      <c r="D42" t="s">
        <v>753</v>
      </c>
      <c r="E42" t="s">
        <v>667</v>
      </c>
    </row>
    <row r="43" spans="1:5" x14ac:dyDescent="0.25">
      <c r="A43" t="s">
        <v>754</v>
      </c>
      <c r="B43" t="s">
        <v>231</v>
      </c>
      <c r="D43" t="s">
        <v>755</v>
      </c>
      <c r="E43" t="s">
        <v>667</v>
      </c>
    </row>
    <row r="44" spans="1:5" x14ac:dyDescent="0.25">
      <c r="A44" t="s">
        <v>756</v>
      </c>
      <c r="B44" t="s">
        <v>233</v>
      </c>
      <c r="D44" t="s">
        <v>757</v>
      </c>
      <c r="E44" t="s">
        <v>667</v>
      </c>
    </row>
    <row r="45" spans="1:5" x14ac:dyDescent="0.25">
      <c r="A45" t="s">
        <v>758</v>
      </c>
      <c r="B45" t="s">
        <v>235</v>
      </c>
      <c r="D45" t="s">
        <v>759</v>
      </c>
      <c r="E45" t="s">
        <v>667</v>
      </c>
    </row>
    <row r="46" spans="1:5" x14ac:dyDescent="0.25">
      <c r="A46" t="s">
        <v>760</v>
      </c>
      <c r="B46" t="s">
        <v>239</v>
      </c>
      <c r="D46" t="s">
        <v>761</v>
      </c>
      <c r="E46" t="s">
        <v>667</v>
      </c>
    </row>
    <row r="47" spans="1:5" x14ac:dyDescent="0.25">
      <c r="A47" t="s">
        <v>762</v>
      </c>
      <c r="B47" t="s">
        <v>243</v>
      </c>
      <c r="D47" t="s">
        <v>667</v>
      </c>
      <c r="E47" t="s">
        <v>667</v>
      </c>
    </row>
    <row r="48" spans="1:5" x14ac:dyDescent="0.25">
      <c r="A48" t="s">
        <v>763</v>
      </c>
      <c r="B48" t="s">
        <v>245</v>
      </c>
      <c r="D48" t="s">
        <v>764</v>
      </c>
      <c r="E48" t="s">
        <v>667</v>
      </c>
    </row>
    <row r="49" spans="1:5" x14ac:dyDescent="0.25">
      <c r="A49" t="s">
        <v>765</v>
      </c>
      <c r="B49" t="s">
        <v>222</v>
      </c>
      <c r="D49" t="s">
        <v>766</v>
      </c>
      <c r="E49" t="s">
        <v>667</v>
      </c>
    </row>
    <row r="50" spans="1:5" x14ac:dyDescent="0.25">
      <c r="A50" t="s">
        <v>767</v>
      </c>
      <c r="B50" t="s">
        <v>295</v>
      </c>
      <c r="D50" t="s">
        <v>768</v>
      </c>
      <c r="E50" t="s">
        <v>667</v>
      </c>
    </row>
    <row r="51" spans="1:5" x14ac:dyDescent="0.25">
      <c r="A51" t="s">
        <v>769</v>
      </c>
      <c r="B51" t="s">
        <v>297</v>
      </c>
      <c r="D51" t="s">
        <v>768</v>
      </c>
      <c r="E51" t="s">
        <v>667</v>
      </c>
    </row>
    <row r="52" spans="1:5" x14ac:dyDescent="0.25">
      <c r="A52" t="s">
        <v>770</v>
      </c>
      <c r="B52" t="s">
        <v>299</v>
      </c>
      <c r="D52" t="s">
        <v>771</v>
      </c>
      <c r="E52" t="s">
        <v>667</v>
      </c>
    </row>
    <row r="53" spans="1:5" x14ac:dyDescent="0.25">
      <c r="A53" t="s">
        <v>772</v>
      </c>
      <c r="B53" t="s">
        <v>301</v>
      </c>
      <c r="D53" t="s">
        <v>773</v>
      </c>
      <c r="E53" t="s">
        <v>667</v>
      </c>
    </row>
    <row r="54" spans="1:5" x14ac:dyDescent="0.25">
      <c r="A54" t="s">
        <v>774</v>
      </c>
      <c r="B54" t="s">
        <v>303</v>
      </c>
      <c r="D54" t="s">
        <v>775</v>
      </c>
      <c r="E54" t="s">
        <v>667</v>
      </c>
    </row>
    <row r="55" spans="1:5" x14ac:dyDescent="0.25">
      <c r="A55" t="s">
        <v>776</v>
      </c>
      <c r="B55" t="s">
        <v>305</v>
      </c>
      <c r="D55" t="s">
        <v>777</v>
      </c>
      <c r="E55" t="s">
        <v>667</v>
      </c>
    </row>
    <row r="56" spans="1:5" x14ac:dyDescent="0.25">
      <c r="A56" t="s">
        <v>778</v>
      </c>
      <c r="B56" t="s">
        <v>305</v>
      </c>
      <c r="D56" t="s">
        <v>779</v>
      </c>
      <c r="E56" t="s">
        <v>667</v>
      </c>
    </row>
    <row r="57" spans="1:5" x14ac:dyDescent="0.25">
      <c r="A57" t="s">
        <v>780</v>
      </c>
      <c r="B57" t="s">
        <v>133</v>
      </c>
      <c r="D57" t="s">
        <v>781</v>
      </c>
      <c r="E57" t="s">
        <v>667</v>
      </c>
    </row>
    <row r="58" spans="1:5" x14ac:dyDescent="0.25">
      <c r="A58" t="s">
        <v>782</v>
      </c>
      <c r="B58" t="s">
        <v>207</v>
      </c>
      <c r="D58" t="s">
        <v>783</v>
      </c>
      <c r="E58" t="s">
        <v>667</v>
      </c>
    </row>
    <row r="59" spans="1:5" x14ac:dyDescent="0.25">
      <c r="A59" t="s">
        <v>784</v>
      </c>
      <c r="B59" t="s">
        <v>153</v>
      </c>
      <c r="D59" t="s">
        <v>785</v>
      </c>
      <c r="E59" t="s">
        <v>667</v>
      </c>
    </row>
    <row r="60" spans="1:5" x14ac:dyDescent="0.25">
      <c r="A60" t="s">
        <v>786</v>
      </c>
      <c r="B60" t="s">
        <v>253</v>
      </c>
      <c r="D60" t="s">
        <v>787</v>
      </c>
      <c r="E60" t="s">
        <v>667</v>
      </c>
    </row>
    <row r="61" spans="1:5" x14ac:dyDescent="0.25">
      <c r="A61" t="s">
        <v>788</v>
      </c>
      <c r="B61" t="s">
        <v>253</v>
      </c>
      <c r="D61" t="s">
        <v>789</v>
      </c>
      <c r="E61" t="s">
        <v>667</v>
      </c>
    </row>
    <row r="62" spans="1:5" x14ac:dyDescent="0.25">
      <c r="A62" t="s">
        <v>790</v>
      </c>
      <c r="B62" t="s">
        <v>260</v>
      </c>
      <c r="D62" t="s">
        <v>791</v>
      </c>
      <c r="E62" t="s">
        <v>667</v>
      </c>
    </row>
    <row r="63" spans="1:5" x14ac:dyDescent="0.25">
      <c r="A63" t="s">
        <v>792</v>
      </c>
      <c r="B63" t="s">
        <v>124</v>
      </c>
      <c r="D63" t="s">
        <v>793</v>
      </c>
      <c r="E63" t="s">
        <v>667</v>
      </c>
    </row>
    <row r="64" spans="1:5" x14ac:dyDescent="0.25">
      <c r="A64" t="s">
        <v>794</v>
      </c>
      <c r="B64" t="s">
        <v>161</v>
      </c>
      <c r="D64" t="s">
        <v>795</v>
      </c>
      <c r="E64" t="s">
        <v>667</v>
      </c>
    </row>
    <row r="65" spans="1:5" x14ac:dyDescent="0.25">
      <c r="A65" t="s">
        <v>796</v>
      </c>
      <c r="B65" t="s">
        <v>103</v>
      </c>
      <c r="C65" t="s">
        <v>797</v>
      </c>
      <c r="D65" t="s">
        <v>798</v>
      </c>
      <c r="E65" t="s">
        <v>799</v>
      </c>
    </row>
    <row r="66" spans="1:5" x14ac:dyDescent="0.25">
      <c r="A66" t="s">
        <v>800</v>
      </c>
      <c r="B66" t="s">
        <v>185</v>
      </c>
      <c r="C66" t="s">
        <v>797</v>
      </c>
      <c r="D66" t="s">
        <v>801</v>
      </c>
      <c r="E66" t="s">
        <v>799</v>
      </c>
    </row>
    <row r="67" spans="1:5" x14ac:dyDescent="0.25">
      <c r="A67" t="s">
        <v>802</v>
      </c>
      <c r="B67" t="s">
        <v>187</v>
      </c>
      <c r="D67" t="s">
        <v>803</v>
      </c>
      <c r="E67" t="s">
        <v>667</v>
      </c>
    </row>
    <row r="68" spans="1:5" x14ac:dyDescent="0.25">
      <c r="A68" t="s">
        <v>804</v>
      </c>
      <c r="B68" t="s">
        <v>163</v>
      </c>
      <c r="D68" t="s">
        <v>805</v>
      </c>
      <c r="E68" t="s">
        <v>667</v>
      </c>
    </row>
    <row r="69" spans="1:5" x14ac:dyDescent="0.25">
      <c r="A69" t="s">
        <v>806</v>
      </c>
      <c r="B69" t="s">
        <v>807</v>
      </c>
      <c r="C69" t="s">
        <v>797</v>
      </c>
      <c r="D69" t="s">
        <v>808</v>
      </c>
      <c r="E69" t="s">
        <v>799</v>
      </c>
    </row>
    <row r="70" spans="1:5" x14ac:dyDescent="0.25">
      <c r="A70" t="s">
        <v>809</v>
      </c>
      <c r="B70" t="s">
        <v>189</v>
      </c>
      <c r="C70" t="s">
        <v>797</v>
      </c>
      <c r="D70" t="s">
        <v>808</v>
      </c>
      <c r="E70" t="s">
        <v>799</v>
      </c>
    </row>
    <row r="71" spans="1:5" x14ac:dyDescent="0.25">
      <c r="A71" t="s">
        <v>810</v>
      </c>
      <c r="B71" t="s">
        <v>107</v>
      </c>
      <c r="D71" t="s">
        <v>811</v>
      </c>
      <c r="E71" t="s">
        <v>667</v>
      </c>
    </row>
    <row r="72" spans="1:5" x14ac:dyDescent="0.25">
      <c r="A72" t="s">
        <v>812</v>
      </c>
      <c r="B72" t="s">
        <v>107</v>
      </c>
      <c r="D72" t="s">
        <v>813</v>
      </c>
      <c r="E72" t="s">
        <v>667</v>
      </c>
    </row>
    <row r="73" spans="1:5" x14ac:dyDescent="0.25">
      <c r="A73" t="s">
        <v>814</v>
      </c>
      <c r="B73" t="s">
        <v>401</v>
      </c>
      <c r="D73" t="s">
        <v>815</v>
      </c>
      <c r="E73" t="s">
        <v>667</v>
      </c>
    </row>
    <row r="74" spans="1:5" x14ac:dyDescent="0.25">
      <c r="A74" t="s">
        <v>816</v>
      </c>
      <c r="B74" t="s">
        <v>403</v>
      </c>
      <c r="D74" t="s">
        <v>817</v>
      </c>
      <c r="E74" t="s">
        <v>667</v>
      </c>
    </row>
    <row r="75" spans="1:5" x14ac:dyDescent="0.25">
      <c r="A75" t="s">
        <v>818</v>
      </c>
      <c r="B75" t="s">
        <v>405</v>
      </c>
      <c r="D75" t="s">
        <v>817</v>
      </c>
      <c r="E75" t="s">
        <v>667</v>
      </c>
    </row>
    <row r="76" spans="1:5" x14ac:dyDescent="0.25">
      <c r="A76" t="s">
        <v>819</v>
      </c>
      <c r="B76" t="s">
        <v>405</v>
      </c>
      <c r="D76" t="s">
        <v>817</v>
      </c>
      <c r="E76" t="s">
        <v>667</v>
      </c>
    </row>
    <row r="77" spans="1:5" x14ac:dyDescent="0.25">
      <c r="A77" t="s">
        <v>820</v>
      </c>
      <c r="B77" t="s">
        <v>191</v>
      </c>
      <c r="C77" t="s">
        <v>687</v>
      </c>
      <c r="D77" t="s">
        <v>821</v>
      </c>
      <c r="E77" t="s">
        <v>689</v>
      </c>
    </row>
    <row r="78" spans="1:5" x14ac:dyDescent="0.25">
      <c r="A78" t="s">
        <v>822</v>
      </c>
      <c r="B78" t="s">
        <v>109</v>
      </c>
      <c r="D78" t="s">
        <v>823</v>
      </c>
      <c r="E78" t="s">
        <v>667</v>
      </c>
    </row>
    <row r="79" spans="1:5" x14ac:dyDescent="0.25">
      <c r="A79" t="s">
        <v>824</v>
      </c>
      <c r="B79" t="s">
        <v>109</v>
      </c>
      <c r="D79" t="s">
        <v>825</v>
      </c>
      <c r="E79" t="s">
        <v>667</v>
      </c>
    </row>
    <row r="80" spans="1:5" x14ac:dyDescent="0.25">
      <c r="A80" t="s">
        <v>826</v>
      </c>
      <c r="B80" t="s">
        <v>267</v>
      </c>
      <c r="D80" t="s">
        <v>827</v>
      </c>
      <c r="E80" t="s">
        <v>667</v>
      </c>
    </row>
    <row r="81" spans="1:5" x14ac:dyDescent="0.25">
      <c r="A81" t="s">
        <v>828</v>
      </c>
      <c r="B81" t="s">
        <v>269</v>
      </c>
      <c r="D81" t="s">
        <v>829</v>
      </c>
      <c r="E81" t="s">
        <v>667</v>
      </c>
    </row>
    <row r="82" spans="1:5" x14ac:dyDescent="0.25">
      <c r="A82" t="s">
        <v>830</v>
      </c>
      <c r="B82" t="s">
        <v>275</v>
      </c>
      <c r="D82" t="s">
        <v>831</v>
      </c>
      <c r="E82" t="s">
        <v>667</v>
      </c>
    </row>
    <row r="83" spans="1:5" x14ac:dyDescent="0.25">
      <c r="A83" t="s">
        <v>832</v>
      </c>
      <c r="B83" t="s">
        <v>279</v>
      </c>
      <c r="D83" t="s">
        <v>833</v>
      </c>
      <c r="E83" t="s">
        <v>667</v>
      </c>
    </row>
    <row r="84" spans="1:5" x14ac:dyDescent="0.25">
      <c r="A84" t="s">
        <v>834</v>
      </c>
      <c r="B84" t="s">
        <v>281</v>
      </c>
      <c r="D84" t="s">
        <v>833</v>
      </c>
      <c r="E84" t="s">
        <v>667</v>
      </c>
    </row>
    <row r="85" spans="1:5" x14ac:dyDescent="0.25">
      <c r="A85" t="s">
        <v>835</v>
      </c>
      <c r="B85" t="s">
        <v>283</v>
      </c>
      <c r="D85" t="s">
        <v>836</v>
      </c>
      <c r="E85" t="s">
        <v>667</v>
      </c>
    </row>
    <row r="86" spans="1:5" x14ac:dyDescent="0.25">
      <c r="A86" t="s">
        <v>837</v>
      </c>
      <c r="B86" t="s">
        <v>285</v>
      </c>
      <c r="D86" t="s">
        <v>838</v>
      </c>
      <c r="E86" t="s">
        <v>667</v>
      </c>
    </row>
    <row r="87" spans="1:5" x14ac:dyDescent="0.25">
      <c r="A87" t="s">
        <v>839</v>
      </c>
      <c r="B87" t="s">
        <v>285</v>
      </c>
      <c r="D87" t="s">
        <v>840</v>
      </c>
      <c r="E87" t="s">
        <v>667</v>
      </c>
    </row>
    <row r="88" spans="1:5" x14ac:dyDescent="0.25">
      <c r="A88" t="s">
        <v>841</v>
      </c>
      <c r="B88" t="s">
        <v>126</v>
      </c>
      <c r="D88" t="s">
        <v>842</v>
      </c>
      <c r="E88" t="s">
        <v>667</v>
      </c>
    </row>
    <row r="89" spans="1:5" x14ac:dyDescent="0.25">
      <c r="A89" t="s">
        <v>843</v>
      </c>
      <c r="B89" t="s">
        <v>325</v>
      </c>
      <c r="D89" t="s">
        <v>844</v>
      </c>
      <c r="E89" t="s">
        <v>667</v>
      </c>
    </row>
    <row r="90" spans="1:5" x14ac:dyDescent="0.25">
      <c r="A90" t="s">
        <v>845</v>
      </c>
      <c r="B90" t="s">
        <v>327</v>
      </c>
      <c r="D90" t="s">
        <v>846</v>
      </c>
      <c r="E90" t="s">
        <v>667</v>
      </c>
    </row>
    <row r="91" spans="1:5" x14ac:dyDescent="0.25">
      <c r="A91" t="s">
        <v>847</v>
      </c>
      <c r="B91" t="s">
        <v>365</v>
      </c>
      <c r="D91" t="s">
        <v>848</v>
      </c>
      <c r="E91" t="s">
        <v>667</v>
      </c>
    </row>
    <row r="92" spans="1:5" x14ac:dyDescent="0.25">
      <c r="A92" t="s">
        <v>849</v>
      </c>
      <c r="B92" t="s">
        <v>309</v>
      </c>
      <c r="D92" t="s">
        <v>850</v>
      </c>
      <c r="E92" t="s">
        <v>667</v>
      </c>
    </row>
    <row r="93" spans="1:5" x14ac:dyDescent="0.25">
      <c r="A93" t="s">
        <v>851</v>
      </c>
      <c r="B93" t="s">
        <v>375</v>
      </c>
      <c r="D93" t="s">
        <v>852</v>
      </c>
      <c r="E93" t="s">
        <v>667</v>
      </c>
    </row>
    <row r="94" spans="1:5" x14ac:dyDescent="0.25">
      <c r="A94" t="s">
        <v>853</v>
      </c>
      <c r="B94" t="s">
        <v>377</v>
      </c>
      <c r="D94" t="s">
        <v>854</v>
      </c>
      <c r="E94" t="s">
        <v>667</v>
      </c>
    </row>
    <row r="95" spans="1:5" x14ac:dyDescent="0.25">
      <c r="A95" t="s">
        <v>855</v>
      </c>
      <c r="B95" t="s">
        <v>379</v>
      </c>
      <c r="D95" t="s">
        <v>856</v>
      </c>
      <c r="E95" t="s">
        <v>667</v>
      </c>
    </row>
    <row r="96" spans="1:5" x14ac:dyDescent="0.25">
      <c r="A96" t="s">
        <v>857</v>
      </c>
      <c r="B96" t="s">
        <v>381</v>
      </c>
      <c r="D96" t="s">
        <v>858</v>
      </c>
      <c r="E96" t="s">
        <v>667</v>
      </c>
    </row>
    <row r="97" spans="1:5" x14ac:dyDescent="0.25">
      <c r="A97" t="s">
        <v>859</v>
      </c>
      <c r="B97" t="s">
        <v>383</v>
      </c>
      <c r="D97" t="s">
        <v>860</v>
      </c>
      <c r="E97" t="s">
        <v>667</v>
      </c>
    </row>
    <row r="98" spans="1:5" x14ac:dyDescent="0.25">
      <c r="A98" t="s">
        <v>861</v>
      </c>
      <c r="B98" t="s">
        <v>385</v>
      </c>
      <c r="D98" t="s">
        <v>862</v>
      </c>
      <c r="E98" t="s">
        <v>667</v>
      </c>
    </row>
    <row r="99" spans="1:5" x14ac:dyDescent="0.25">
      <c r="A99" t="s">
        <v>863</v>
      </c>
      <c r="B99" t="s">
        <v>387</v>
      </c>
      <c r="D99" t="s">
        <v>864</v>
      </c>
      <c r="E99" t="s">
        <v>667</v>
      </c>
    </row>
    <row r="100" spans="1:5" x14ac:dyDescent="0.25">
      <c r="A100" t="s">
        <v>865</v>
      </c>
      <c r="B100" t="s">
        <v>389</v>
      </c>
      <c r="D100" t="s">
        <v>866</v>
      </c>
      <c r="E100" t="s">
        <v>667</v>
      </c>
    </row>
    <row r="101" spans="1:5" x14ac:dyDescent="0.25">
      <c r="A101" t="s">
        <v>867</v>
      </c>
      <c r="B101" t="s">
        <v>391</v>
      </c>
      <c r="D101" t="s">
        <v>868</v>
      </c>
      <c r="E101" t="s">
        <v>667</v>
      </c>
    </row>
    <row r="102" spans="1:5" x14ac:dyDescent="0.25">
      <c r="A102" t="s">
        <v>869</v>
      </c>
      <c r="B102" t="s">
        <v>315</v>
      </c>
      <c r="D102" t="s">
        <v>738</v>
      </c>
      <c r="E102" t="s">
        <v>667</v>
      </c>
    </row>
    <row r="103" spans="1:5" x14ac:dyDescent="0.25">
      <c r="A103" t="s">
        <v>870</v>
      </c>
      <c r="B103" t="s">
        <v>317</v>
      </c>
      <c r="D103" t="s">
        <v>871</v>
      </c>
      <c r="E103" t="s">
        <v>667</v>
      </c>
    </row>
    <row r="104" spans="1:5" x14ac:dyDescent="0.25">
      <c r="A104" t="s">
        <v>872</v>
      </c>
      <c r="B104" t="s">
        <v>367</v>
      </c>
      <c r="D104" t="s">
        <v>873</v>
      </c>
      <c r="E104" t="s">
        <v>667</v>
      </c>
    </row>
    <row r="105" spans="1:5" x14ac:dyDescent="0.25">
      <c r="A105" t="s">
        <v>874</v>
      </c>
      <c r="B105" t="s">
        <v>77</v>
      </c>
      <c r="D105" t="s">
        <v>875</v>
      </c>
      <c r="E105" t="s">
        <v>667</v>
      </c>
    </row>
    <row r="106" spans="1:5" x14ac:dyDescent="0.25">
      <c r="A106" t="s">
        <v>876</v>
      </c>
      <c r="B106" t="s">
        <v>147</v>
      </c>
      <c r="C106" t="s">
        <v>877</v>
      </c>
      <c r="D106" t="s">
        <v>878</v>
      </c>
      <c r="E106" t="s">
        <v>879</v>
      </c>
    </row>
    <row r="107" spans="1:5" x14ac:dyDescent="0.25">
      <c r="A107" t="s">
        <v>880</v>
      </c>
      <c r="B107" t="s">
        <v>315</v>
      </c>
      <c r="C107" t="s">
        <v>881</v>
      </c>
      <c r="D107" t="s">
        <v>882</v>
      </c>
      <c r="E107" t="s">
        <v>883</v>
      </c>
    </row>
    <row r="108" spans="1:5" x14ac:dyDescent="0.25">
      <c r="A108" t="s">
        <v>884</v>
      </c>
      <c r="B108" t="s">
        <v>317</v>
      </c>
      <c r="C108" t="s">
        <v>881</v>
      </c>
      <c r="D108" t="s">
        <v>885</v>
      </c>
      <c r="E108" t="s">
        <v>883</v>
      </c>
    </row>
    <row r="109" spans="1:5" x14ac:dyDescent="0.25">
      <c r="A109" t="s">
        <v>886</v>
      </c>
      <c r="B109" t="s">
        <v>887</v>
      </c>
      <c r="C109" t="s">
        <v>877</v>
      </c>
      <c r="D109" t="s">
        <v>888</v>
      </c>
      <c r="E109" t="s">
        <v>879</v>
      </c>
    </row>
    <row r="110" spans="1:5" x14ac:dyDescent="0.25">
      <c r="A110" t="s">
        <v>889</v>
      </c>
      <c r="B110" t="s">
        <v>890</v>
      </c>
      <c r="C110" t="s">
        <v>687</v>
      </c>
      <c r="D110" t="s">
        <v>891</v>
      </c>
      <c r="E110" t="s">
        <v>689</v>
      </c>
    </row>
    <row r="111" spans="1:5" x14ac:dyDescent="0.25">
      <c r="A111" t="s">
        <v>892</v>
      </c>
      <c r="B111" t="s">
        <v>893</v>
      </c>
      <c r="C111" t="s">
        <v>894</v>
      </c>
      <c r="D111" t="s">
        <v>895</v>
      </c>
      <c r="E111" t="s">
        <v>895</v>
      </c>
    </row>
    <row r="112" spans="1:5" x14ac:dyDescent="0.25">
      <c r="A112" t="s">
        <v>896</v>
      </c>
      <c r="B112" t="s">
        <v>897</v>
      </c>
      <c r="C112" t="s">
        <v>877</v>
      </c>
      <c r="D112" t="s">
        <v>898</v>
      </c>
      <c r="E112" t="s">
        <v>879</v>
      </c>
    </row>
    <row r="113" spans="1:5" x14ac:dyDescent="0.25">
      <c r="A113" t="s">
        <v>899</v>
      </c>
      <c r="B113" t="s">
        <v>900</v>
      </c>
      <c r="C113" t="s">
        <v>901</v>
      </c>
      <c r="D113" t="s">
        <v>902</v>
      </c>
      <c r="E113" t="s">
        <v>903</v>
      </c>
    </row>
    <row r="114" spans="1:5" x14ac:dyDescent="0.25">
      <c r="A114" t="s">
        <v>904</v>
      </c>
      <c r="B114" t="s">
        <v>905</v>
      </c>
      <c r="C114" t="s">
        <v>906</v>
      </c>
      <c r="D114" t="s">
        <v>907</v>
      </c>
      <c r="E114" t="s">
        <v>908</v>
      </c>
    </row>
    <row r="115" spans="1:5" x14ac:dyDescent="0.25">
      <c r="A115" t="s">
        <v>909</v>
      </c>
      <c r="B115" t="s">
        <v>910</v>
      </c>
      <c r="C115" t="s">
        <v>881</v>
      </c>
      <c r="D115" t="s">
        <v>911</v>
      </c>
      <c r="E115" t="s">
        <v>883</v>
      </c>
    </row>
    <row r="116" spans="1:5" x14ac:dyDescent="0.25">
      <c r="A116" t="s">
        <v>912</v>
      </c>
      <c r="B116" t="s">
        <v>910</v>
      </c>
      <c r="D116" t="s">
        <v>913</v>
      </c>
      <c r="E116" t="s">
        <v>667</v>
      </c>
    </row>
    <row r="117" spans="1:5" x14ac:dyDescent="0.25">
      <c r="A117" t="s">
        <v>914</v>
      </c>
      <c r="B117" t="s">
        <v>59</v>
      </c>
      <c r="C117" t="s">
        <v>877</v>
      </c>
      <c r="D117" t="s">
        <v>915</v>
      </c>
      <c r="E117" t="s">
        <v>879</v>
      </c>
    </row>
    <row r="118" spans="1:5" x14ac:dyDescent="0.25">
      <c r="A118" t="s">
        <v>916</v>
      </c>
      <c r="B118" t="s">
        <v>74</v>
      </c>
      <c r="C118" t="s">
        <v>917</v>
      </c>
      <c r="D118" t="s">
        <v>918</v>
      </c>
      <c r="E118" t="s">
        <v>918</v>
      </c>
    </row>
    <row r="119" spans="1:5" x14ac:dyDescent="0.25">
      <c r="A119" t="s">
        <v>919</v>
      </c>
      <c r="B119" t="s">
        <v>77</v>
      </c>
      <c r="D119" t="s">
        <v>920</v>
      </c>
      <c r="E119" t="s">
        <v>667</v>
      </c>
    </row>
    <row r="120" spans="1:5" x14ac:dyDescent="0.25">
      <c r="A120" t="s">
        <v>921</v>
      </c>
      <c r="B120" t="s">
        <v>149</v>
      </c>
      <c r="C120" t="s">
        <v>877</v>
      </c>
      <c r="D120" t="s">
        <v>922</v>
      </c>
      <c r="E120" t="s">
        <v>879</v>
      </c>
    </row>
    <row r="121" spans="1:5" x14ac:dyDescent="0.25">
      <c r="A121" t="s">
        <v>923</v>
      </c>
      <c r="B121" t="s">
        <v>79</v>
      </c>
      <c r="C121" t="s">
        <v>877</v>
      </c>
      <c r="D121" t="s">
        <v>924</v>
      </c>
      <c r="E121" t="s">
        <v>879</v>
      </c>
    </row>
    <row r="122" spans="1:5" x14ac:dyDescent="0.25">
      <c r="A122" t="s">
        <v>925</v>
      </c>
      <c r="B122" t="s">
        <v>151</v>
      </c>
      <c r="D122" t="s">
        <v>926</v>
      </c>
      <c r="E122" t="s">
        <v>667</v>
      </c>
    </row>
    <row r="123" spans="1:5" x14ac:dyDescent="0.25">
      <c r="A123" t="s">
        <v>927</v>
      </c>
      <c r="B123" t="s">
        <v>81</v>
      </c>
      <c r="D123" t="s">
        <v>928</v>
      </c>
      <c r="E123" t="s">
        <v>667</v>
      </c>
    </row>
    <row r="124" spans="1:5" x14ac:dyDescent="0.25">
      <c r="A124" t="s">
        <v>929</v>
      </c>
      <c r="B124" t="s">
        <v>159</v>
      </c>
      <c r="D124" t="s">
        <v>930</v>
      </c>
      <c r="E124" t="s">
        <v>667</v>
      </c>
    </row>
    <row r="125" spans="1:5" x14ac:dyDescent="0.25">
      <c r="A125" t="s">
        <v>931</v>
      </c>
      <c r="B125" t="s">
        <v>83</v>
      </c>
      <c r="C125" t="s">
        <v>877</v>
      </c>
      <c r="D125" t="s">
        <v>932</v>
      </c>
      <c r="E125" t="s">
        <v>879</v>
      </c>
    </row>
    <row r="126" spans="1:5" x14ac:dyDescent="0.25">
      <c r="A126" t="s">
        <v>933</v>
      </c>
      <c r="B126" t="s">
        <v>173</v>
      </c>
      <c r="C126" t="s">
        <v>877</v>
      </c>
      <c r="D126" t="s">
        <v>934</v>
      </c>
      <c r="E126" t="s">
        <v>879</v>
      </c>
    </row>
    <row r="127" spans="1:5" x14ac:dyDescent="0.25">
      <c r="A127" t="s">
        <v>935</v>
      </c>
      <c r="B127" t="s">
        <v>85</v>
      </c>
      <c r="D127" t="s">
        <v>936</v>
      </c>
      <c r="E127" t="s">
        <v>667</v>
      </c>
    </row>
    <row r="128" spans="1:5" x14ac:dyDescent="0.25">
      <c r="A128" t="s">
        <v>937</v>
      </c>
      <c r="B128" t="s">
        <v>288</v>
      </c>
      <c r="D128" t="s">
        <v>938</v>
      </c>
      <c r="E128" t="s">
        <v>667</v>
      </c>
    </row>
    <row r="129" spans="1:5" x14ac:dyDescent="0.25">
      <c r="A129" t="s">
        <v>939</v>
      </c>
      <c r="B129" t="s">
        <v>175</v>
      </c>
      <c r="C129" t="s">
        <v>687</v>
      </c>
      <c r="D129" t="s">
        <v>940</v>
      </c>
      <c r="E129" t="s">
        <v>689</v>
      </c>
    </row>
    <row r="130" spans="1:5" x14ac:dyDescent="0.25">
      <c r="A130" t="s">
        <v>941</v>
      </c>
      <c r="B130" t="s">
        <v>179</v>
      </c>
      <c r="C130" t="s">
        <v>687</v>
      </c>
      <c r="D130" t="s">
        <v>942</v>
      </c>
      <c r="E130" t="s">
        <v>689</v>
      </c>
    </row>
    <row r="131" spans="1:5" x14ac:dyDescent="0.25">
      <c r="A131" t="s">
        <v>943</v>
      </c>
      <c r="B131" t="s">
        <v>319</v>
      </c>
      <c r="D131" t="s">
        <v>944</v>
      </c>
      <c r="E131" t="s">
        <v>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C815-E6DF-495D-B388-55A6C1CE28B6}">
  <dimension ref="A1:H128"/>
  <sheetViews>
    <sheetView workbookViewId="0">
      <pane ySplit="1" topLeftCell="A2" activePane="bottomLeft" state="frozen"/>
      <selection pane="bottomLeft" activeCell="A5" sqref="A5:A111"/>
    </sheetView>
  </sheetViews>
  <sheetFormatPr defaultRowHeight="15" x14ac:dyDescent="0.25"/>
  <cols>
    <col min="1" max="1" width="29.28515625" customWidth="1"/>
    <col min="2" max="2" width="50.5703125" customWidth="1"/>
    <col min="3" max="3" width="24" style="17" customWidth="1"/>
    <col min="4" max="4" width="32" style="17" customWidth="1"/>
    <col min="5" max="5" width="29.28515625" style="17" customWidth="1"/>
    <col min="6" max="6" width="16" style="17" hidden="1" customWidth="1"/>
    <col min="7" max="7" width="21.28515625" style="17" customWidth="1"/>
    <col min="8" max="8" width="32" hidden="1" customWidth="1"/>
  </cols>
  <sheetData>
    <row r="1" spans="1:8" ht="15.95" customHeight="1" x14ac:dyDescent="0.25">
      <c r="A1" s="8" t="s">
        <v>945</v>
      </c>
      <c r="B1" s="8" t="s">
        <v>946</v>
      </c>
      <c r="C1" s="8" t="s">
        <v>947</v>
      </c>
      <c r="D1" s="8" t="s">
        <v>948</v>
      </c>
      <c r="E1" s="8" t="s">
        <v>950</v>
      </c>
      <c r="F1" s="8" t="s">
        <v>951</v>
      </c>
      <c r="G1" s="8" t="s">
        <v>952</v>
      </c>
      <c r="H1" s="8" t="s">
        <v>949</v>
      </c>
    </row>
    <row r="2" spans="1:8" ht="15.95" customHeight="1" x14ac:dyDescent="0.25">
      <c r="A2" s="9" t="s">
        <v>953</v>
      </c>
      <c r="B2" s="9" t="s">
        <v>954</v>
      </c>
      <c r="C2" s="15">
        <v>6</v>
      </c>
      <c r="D2" s="15">
        <v>6</v>
      </c>
      <c r="E2" s="15">
        <v>0</v>
      </c>
      <c r="F2" s="18">
        <v>0</v>
      </c>
      <c r="G2" s="19" t="s">
        <v>955</v>
      </c>
      <c r="H2" s="10">
        <v>3.37</v>
      </c>
    </row>
    <row r="3" spans="1:8" ht="15.95" customHeight="1" x14ac:dyDescent="0.25">
      <c r="A3" s="11" t="s">
        <v>956</v>
      </c>
      <c r="B3" s="11" t="s">
        <v>957</v>
      </c>
      <c r="C3" s="16">
        <v>0</v>
      </c>
      <c r="D3" s="16">
        <v>0</v>
      </c>
      <c r="E3" s="16">
        <v>0</v>
      </c>
      <c r="F3" s="20"/>
      <c r="G3" s="21" t="s">
        <v>955</v>
      </c>
      <c r="H3" s="12">
        <v>0.23</v>
      </c>
    </row>
    <row r="4" spans="1:8" ht="15.95" customHeight="1" x14ac:dyDescent="0.25">
      <c r="A4" s="9" t="s">
        <v>958</v>
      </c>
      <c r="B4" s="9" t="s">
        <v>959</v>
      </c>
      <c r="C4" s="15">
        <v>2.5</v>
      </c>
      <c r="D4" s="15">
        <v>2.5</v>
      </c>
      <c r="E4" s="15">
        <v>0</v>
      </c>
      <c r="F4" s="18">
        <v>0</v>
      </c>
      <c r="G4" s="19" t="s">
        <v>955</v>
      </c>
      <c r="H4" s="10">
        <v>3.52</v>
      </c>
    </row>
    <row r="5" spans="1:8" ht="15.95" customHeight="1" x14ac:dyDescent="0.25">
      <c r="A5" s="11" t="s">
        <v>960</v>
      </c>
      <c r="B5" s="11" t="s">
        <v>961</v>
      </c>
      <c r="C5" s="16">
        <v>28.44</v>
      </c>
      <c r="D5" s="16">
        <v>10.8</v>
      </c>
      <c r="E5" s="16">
        <v>-17.64</v>
      </c>
      <c r="F5" s="20">
        <v>-163.33000000000001</v>
      </c>
      <c r="G5" s="21" t="s">
        <v>955</v>
      </c>
      <c r="H5" s="12">
        <v>13.28</v>
      </c>
    </row>
    <row r="6" spans="1:8" ht="15.95" customHeight="1" x14ac:dyDescent="0.25">
      <c r="A6" s="9" t="s">
        <v>962</v>
      </c>
      <c r="B6" s="9" t="s">
        <v>963</v>
      </c>
      <c r="C6" s="15">
        <v>22.5</v>
      </c>
      <c r="D6" s="15">
        <v>22.5</v>
      </c>
      <c r="E6" s="15">
        <v>0</v>
      </c>
      <c r="F6" s="18">
        <v>0</v>
      </c>
      <c r="G6" s="19" t="s">
        <v>955</v>
      </c>
      <c r="H6" s="10">
        <v>13.28</v>
      </c>
    </row>
    <row r="7" spans="1:8" ht="15.95" customHeight="1" x14ac:dyDescent="0.25">
      <c r="A7" s="11" t="s">
        <v>964</v>
      </c>
      <c r="B7" s="11" t="s">
        <v>965</v>
      </c>
      <c r="C7" s="16">
        <v>22</v>
      </c>
      <c r="D7" s="16">
        <v>22</v>
      </c>
      <c r="E7" s="16">
        <v>0</v>
      </c>
      <c r="F7" s="20">
        <v>0</v>
      </c>
      <c r="G7" s="21" t="s">
        <v>955</v>
      </c>
      <c r="H7" s="12">
        <v>20.34</v>
      </c>
    </row>
    <row r="8" spans="1:8" ht="15.95" customHeight="1" x14ac:dyDescent="0.25">
      <c r="A8" s="9" t="s">
        <v>966</v>
      </c>
      <c r="B8" s="9" t="s">
        <v>967</v>
      </c>
      <c r="C8" s="15">
        <v>1</v>
      </c>
      <c r="D8" s="15">
        <v>2.5</v>
      </c>
      <c r="E8" s="15">
        <v>1.5</v>
      </c>
      <c r="F8" s="18">
        <v>60</v>
      </c>
      <c r="G8" s="19" t="s">
        <v>955</v>
      </c>
      <c r="H8" s="10">
        <v>1.56</v>
      </c>
    </row>
    <row r="9" spans="1:8" ht="15.95" customHeight="1" x14ac:dyDescent="0.25">
      <c r="A9" s="11" t="s">
        <v>968</v>
      </c>
      <c r="B9" s="11" t="s">
        <v>969</v>
      </c>
      <c r="C9" s="16">
        <v>0.83</v>
      </c>
      <c r="D9" s="16">
        <v>0.83</v>
      </c>
      <c r="E9" s="16">
        <v>0</v>
      </c>
      <c r="F9" s="20">
        <v>0</v>
      </c>
      <c r="G9" s="21" t="s">
        <v>955</v>
      </c>
      <c r="H9" s="12">
        <v>0.53</v>
      </c>
    </row>
    <row r="10" spans="1:8" ht="15.95" customHeight="1" x14ac:dyDescent="0.25">
      <c r="A10" s="9" t="s">
        <v>970</v>
      </c>
      <c r="B10" s="9" t="s">
        <v>971</v>
      </c>
      <c r="C10" s="15">
        <v>12.35</v>
      </c>
      <c r="D10" s="15">
        <v>12.351000000000001</v>
      </c>
      <c r="E10" s="15">
        <v>1E-3</v>
      </c>
      <c r="F10" s="18">
        <v>0.01</v>
      </c>
      <c r="G10" s="19" t="s">
        <v>955</v>
      </c>
      <c r="H10" s="10">
        <v>14.53</v>
      </c>
    </row>
    <row r="11" spans="1:8" ht="15.95" customHeight="1" x14ac:dyDescent="0.25">
      <c r="A11" s="11" t="s">
        <v>972</v>
      </c>
      <c r="B11" s="11" t="s">
        <v>973</v>
      </c>
      <c r="C11" s="16">
        <v>8.3699999999999992</v>
      </c>
      <c r="D11" s="16">
        <v>8.3699999999999992</v>
      </c>
      <c r="E11" s="16">
        <v>0</v>
      </c>
      <c r="F11" s="20">
        <v>0</v>
      </c>
      <c r="G11" s="21" t="s">
        <v>955</v>
      </c>
      <c r="H11" s="12">
        <v>4.38</v>
      </c>
    </row>
    <row r="12" spans="1:8" ht="15.95" customHeight="1" x14ac:dyDescent="0.25">
      <c r="A12" s="9" t="s">
        <v>974</v>
      </c>
      <c r="B12" s="9" t="s">
        <v>975</v>
      </c>
      <c r="C12" s="15">
        <v>140</v>
      </c>
      <c r="D12" s="15">
        <v>140</v>
      </c>
      <c r="E12" s="15">
        <v>0</v>
      </c>
      <c r="F12" s="18">
        <v>0</v>
      </c>
      <c r="G12" s="19" t="s">
        <v>955</v>
      </c>
      <c r="H12" s="10">
        <v>177.27</v>
      </c>
    </row>
    <row r="13" spans="1:8" ht="15.95" customHeight="1" x14ac:dyDescent="0.25">
      <c r="A13" s="11" t="s">
        <v>976</v>
      </c>
      <c r="B13" s="11" t="s">
        <v>977</v>
      </c>
      <c r="C13" s="16">
        <v>141.46</v>
      </c>
      <c r="D13" s="16">
        <v>141.45500000000001</v>
      </c>
      <c r="E13" s="16">
        <v>-5.0000000000000001E-3</v>
      </c>
      <c r="F13" s="20">
        <v>0</v>
      </c>
      <c r="G13" s="21" t="s">
        <v>955</v>
      </c>
      <c r="H13" s="12">
        <v>99.22</v>
      </c>
    </row>
    <row r="14" spans="1:8" ht="15.95" customHeight="1" x14ac:dyDescent="0.25">
      <c r="A14" s="9" t="s">
        <v>978</v>
      </c>
      <c r="B14" s="9" t="s">
        <v>979</v>
      </c>
      <c r="C14" s="15">
        <v>23.84</v>
      </c>
      <c r="D14" s="15">
        <v>23.84</v>
      </c>
      <c r="E14" s="15">
        <v>0</v>
      </c>
      <c r="F14" s="18">
        <v>0</v>
      </c>
      <c r="G14" s="19" t="s">
        <v>955</v>
      </c>
      <c r="H14" s="10">
        <v>25.09</v>
      </c>
    </row>
    <row r="15" spans="1:8" ht="15.95" customHeight="1" x14ac:dyDescent="0.25">
      <c r="A15" s="11" t="s">
        <v>980</v>
      </c>
      <c r="B15" s="11" t="s">
        <v>981</v>
      </c>
      <c r="C15" s="16">
        <v>35.409999999999997</v>
      </c>
      <c r="D15" s="16">
        <v>34.5</v>
      </c>
      <c r="E15" s="16">
        <v>-0.91</v>
      </c>
      <c r="F15" s="20">
        <v>-2.64</v>
      </c>
      <c r="G15" s="21" t="s">
        <v>955</v>
      </c>
      <c r="H15" s="12">
        <v>32.71</v>
      </c>
    </row>
    <row r="16" spans="1:8" ht="15.95" customHeight="1" x14ac:dyDescent="0.25">
      <c r="A16" s="9" t="s">
        <v>982</v>
      </c>
      <c r="B16" s="9" t="s">
        <v>983</v>
      </c>
      <c r="C16" s="15">
        <v>25</v>
      </c>
      <c r="D16" s="15">
        <v>25</v>
      </c>
      <c r="E16" s="15">
        <v>0</v>
      </c>
      <c r="F16" s="18">
        <v>0</v>
      </c>
      <c r="G16" s="19" t="s">
        <v>955</v>
      </c>
      <c r="H16" s="10">
        <v>17.989999999999998</v>
      </c>
    </row>
    <row r="17" spans="1:8" ht="15.95" customHeight="1" x14ac:dyDescent="0.25">
      <c r="A17" s="11" t="s">
        <v>984</v>
      </c>
      <c r="B17" s="11" t="s">
        <v>985</v>
      </c>
      <c r="C17" s="16">
        <v>71.459999999999994</v>
      </c>
      <c r="D17" s="16">
        <v>71.459999999999994</v>
      </c>
      <c r="E17" s="16">
        <v>0</v>
      </c>
      <c r="F17" s="20">
        <v>0</v>
      </c>
      <c r="G17" s="21" t="s">
        <v>955</v>
      </c>
      <c r="H17" s="12">
        <v>71.47</v>
      </c>
    </row>
    <row r="18" spans="1:8" ht="15.95" customHeight="1" x14ac:dyDescent="0.25">
      <c r="A18" s="9" t="s">
        <v>986</v>
      </c>
      <c r="B18" s="9" t="s">
        <v>987</v>
      </c>
      <c r="C18" s="15">
        <v>50.04</v>
      </c>
      <c r="D18" s="15">
        <v>39.286999999999999</v>
      </c>
      <c r="E18" s="15">
        <v>-10.753</v>
      </c>
      <c r="F18" s="18">
        <v>-27.37</v>
      </c>
      <c r="G18" s="19" t="s">
        <v>955</v>
      </c>
      <c r="H18" s="10">
        <v>46.22</v>
      </c>
    </row>
    <row r="19" spans="1:8" ht="15.95" customHeight="1" x14ac:dyDescent="0.25">
      <c r="A19" s="11" t="s">
        <v>988</v>
      </c>
      <c r="B19" s="11" t="s">
        <v>989</v>
      </c>
      <c r="C19" s="16">
        <v>6</v>
      </c>
      <c r="D19" s="16">
        <v>6</v>
      </c>
      <c r="E19" s="16">
        <v>0</v>
      </c>
      <c r="F19" s="20">
        <v>0</v>
      </c>
      <c r="G19" s="21" t="s">
        <v>955</v>
      </c>
      <c r="H19" s="12">
        <v>6.61</v>
      </c>
    </row>
    <row r="20" spans="1:8" ht="15.95" customHeight="1" x14ac:dyDescent="0.25">
      <c r="A20" s="9" t="s">
        <v>990</v>
      </c>
      <c r="B20" s="9" t="s">
        <v>991</v>
      </c>
      <c r="C20" s="15">
        <v>2</v>
      </c>
      <c r="D20" s="15">
        <v>2</v>
      </c>
      <c r="E20" s="15">
        <v>0</v>
      </c>
      <c r="F20" s="18">
        <v>0</v>
      </c>
      <c r="G20" s="19" t="s">
        <v>955</v>
      </c>
      <c r="H20" s="10">
        <v>2.11</v>
      </c>
    </row>
    <row r="21" spans="1:8" ht="15.95" customHeight="1" x14ac:dyDescent="0.25">
      <c r="A21" s="11" t="s">
        <v>992</v>
      </c>
      <c r="B21" s="11" t="s">
        <v>993</v>
      </c>
      <c r="C21" s="16">
        <v>219.99</v>
      </c>
      <c r="D21" s="16">
        <v>219.99</v>
      </c>
      <c r="E21" s="16">
        <v>0</v>
      </c>
      <c r="F21" s="20">
        <v>0</v>
      </c>
      <c r="G21" s="21" t="s">
        <v>955</v>
      </c>
      <c r="H21" s="12">
        <v>231.57</v>
      </c>
    </row>
    <row r="22" spans="1:8" ht="15.95" customHeight="1" x14ac:dyDescent="0.25">
      <c r="A22" s="9" t="s">
        <v>994</v>
      </c>
      <c r="B22" s="9" t="s">
        <v>995</v>
      </c>
      <c r="C22" s="15">
        <v>135</v>
      </c>
      <c r="D22" s="15">
        <v>135</v>
      </c>
      <c r="E22" s="15">
        <v>0</v>
      </c>
      <c r="F22" s="18">
        <v>0</v>
      </c>
      <c r="G22" s="19" t="s">
        <v>955</v>
      </c>
      <c r="H22" s="10">
        <v>81.67</v>
      </c>
    </row>
    <row r="23" spans="1:8" ht="15.95" customHeight="1" x14ac:dyDescent="0.25">
      <c r="A23" s="11" t="s">
        <v>996</v>
      </c>
      <c r="B23" s="11" t="s">
        <v>997</v>
      </c>
      <c r="C23" s="16">
        <v>150</v>
      </c>
      <c r="D23" s="16">
        <v>150</v>
      </c>
      <c r="E23" s="16">
        <v>0</v>
      </c>
      <c r="F23" s="20">
        <v>0</v>
      </c>
      <c r="G23" s="21" t="s">
        <v>955</v>
      </c>
      <c r="H23" s="12">
        <v>122.71</v>
      </c>
    </row>
    <row r="24" spans="1:8" ht="15.95" customHeight="1" x14ac:dyDescent="0.25">
      <c r="A24" s="9" t="s">
        <v>998</v>
      </c>
      <c r="B24" s="9" t="s">
        <v>999</v>
      </c>
      <c r="C24" s="15">
        <v>167</v>
      </c>
      <c r="D24" s="15">
        <v>167</v>
      </c>
      <c r="E24" s="15">
        <v>0</v>
      </c>
      <c r="F24" s="18">
        <v>0</v>
      </c>
      <c r="G24" s="19" t="s">
        <v>955</v>
      </c>
      <c r="H24" s="10">
        <v>118.65</v>
      </c>
    </row>
    <row r="25" spans="1:8" ht="15.95" customHeight="1" x14ac:dyDescent="0.25">
      <c r="A25" s="11" t="s">
        <v>1000</v>
      </c>
      <c r="B25" s="11" t="s">
        <v>1001</v>
      </c>
      <c r="C25" s="16">
        <v>163</v>
      </c>
      <c r="D25" s="16">
        <v>163</v>
      </c>
      <c r="E25" s="16">
        <v>0</v>
      </c>
      <c r="F25" s="20">
        <v>0</v>
      </c>
      <c r="G25" s="21" t="s">
        <v>955</v>
      </c>
      <c r="H25" s="12">
        <v>122.71</v>
      </c>
    </row>
    <row r="26" spans="1:8" ht="15.95" customHeight="1" x14ac:dyDescent="0.25">
      <c r="A26" s="9" t="s">
        <v>1002</v>
      </c>
      <c r="B26" s="9" t="s">
        <v>1003</v>
      </c>
      <c r="C26" s="15">
        <v>220</v>
      </c>
      <c r="D26" s="15">
        <v>220</v>
      </c>
      <c r="E26" s="15">
        <v>0</v>
      </c>
      <c r="F26" s="18">
        <v>0</v>
      </c>
      <c r="G26" s="19" t="s">
        <v>955</v>
      </c>
      <c r="H26" s="10">
        <v>146.22</v>
      </c>
    </row>
    <row r="27" spans="1:8" ht="15.95" customHeight="1" x14ac:dyDescent="0.25">
      <c r="A27" s="11" t="s">
        <v>1004</v>
      </c>
      <c r="B27" s="11" t="s">
        <v>1005</v>
      </c>
      <c r="C27" s="16">
        <v>220</v>
      </c>
      <c r="D27" s="16">
        <v>220</v>
      </c>
      <c r="E27" s="16">
        <v>0</v>
      </c>
      <c r="F27" s="20">
        <v>0</v>
      </c>
      <c r="G27" s="21" t="s">
        <v>955</v>
      </c>
      <c r="H27" s="12">
        <v>154.07</v>
      </c>
    </row>
    <row r="28" spans="1:8" ht="15.95" customHeight="1" x14ac:dyDescent="0.25">
      <c r="A28" s="9" t="s">
        <v>1006</v>
      </c>
      <c r="B28" s="9" t="s">
        <v>1007</v>
      </c>
      <c r="C28" s="15">
        <v>775</v>
      </c>
      <c r="D28" s="15"/>
      <c r="E28" s="15"/>
      <c r="F28" s="18"/>
      <c r="G28" s="19" t="s">
        <v>1008</v>
      </c>
      <c r="H28" s="10"/>
    </row>
    <row r="29" spans="1:8" ht="15.95" customHeight="1" x14ac:dyDescent="0.25">
      <c r="A29" s="11" t="s">
        <v>1009</v>
      </c>
      <c r="B29" s="11" t="s">
        <v>1010</v>
      </c>
      <c r="C29" s="16">
        <v>0</v>
      </c>
      <c r="D29" s="16">
        <v>0</v>
      </c>
      <c r="E29" s="16">
        <v>0</v>
      </c>
      <c r="F29" s="20"/>
      <c r="G29" s="21" t="s">
        <v>955</v>
      </c>
      <c r="H29" s="12">
        <v>9.1999999999999998E-2</v>
      </c>
    </row>
    <row r="30" spans="1:8" ht="15.95" customHeight="1" x14ac:dyDescent="0.25">
      <c r="A30" s="9" t="s">
        <v>1011</v>
      </c>
      <c r="B30" s="9" t="s">
        <v>1012</v>
      </c>
      <c r="C30" s="15">
        <v>0</v>
      </c>
      <c r="D30" s="15">
        <v>0</v>
      </c>
      <c r="E30" s="15">
        <v>0</v>
      </c>
      <c r="F30" s="18"/>
      <c r="G30" s="19" t="s">
        <v>955</v>
      </c>
      <c r="H30" s="10">
        <v>9.1999999999999998E-2</v>
      </c>
    </row>
    <row r="31" spans="1:8" ht="15.95" customHeight="1" x14ac:dyDescent="0.25">
      <c r="A31" s="11" t="s">
        <v>1013</v>
      </c>
      <c r="B31" s="11" t="s">
        <v>1014</v>
      </c>
      <c r="C31" s="16">
        <v>23.43</v>
      </c>
      <c r="D31" s="16">
        <v>20.72</v>
      </c>
      <c r="E31" s="16">
        <v>-2.71</v>
      </c>
      <c r="F31" s="20">
        <v>-13.08</v>
      </c>
      <c r="G31" s="21" t="s">
        <v>955</v>
      </c>
      <c r="H31" s="12">
        <v>20.72</v>
      </c>
    </row>
    <row r="32" spans="1:8" ht="15.95" customHeight="1" x14ac:dyDescent="0.25">
      <c r="A32" s="9" t="s">
        <v>1015</v>
      </c>
      <c r="B32" s="9" t="s">
        <v>1016</v>
      </c>
      <c r="C32" s="15">
        <v>13.52</v>
      </c>
      <c r="D32" s="15">
        <v>13.523999999999999</v>
      </c>
      <c r="E32" s="15">
        <v>4.0000000000000001E-3</v>
      </c>
      <c r="F32" s="18">
        <v>0.03</v>
      </c>
      <c r="G32" s="19" t="s">
        <v>955</v>
      </c>
      <c r="H32" s="10">
        <v>15.91</v>
      </c>
    </row>
    <row r="33" spans="1:8" ht="15.95" customHeight="1" x14ac:dyDescent="0.25">
      <c r="A33" s="11" t="s">
        <v>1017</v>
      </c>
      <c r="B33" s="11" t="s">
        <v>1018</v>
      </c>
      <c r="C33" s="16">
        <v>21.94</v>
      </c>
      <c r="D33" s="16">
        <v>0.219</v>
      </c>
      <c r="E33" s="16">
        <v>-21.721</v>
      </c>
      <c r="F33" s="20">
        <v>-9918.26</v>
      </c>
      <c r="G33" s="21" t="s">
        <v>955</v>
      </c>
      <c r="H33" s="12">
        <v>0.23100000000000001</v>
      </c>
    </row>
    <row r="34" spans="1:8" ht="15.95" customHeight="1" x14ac:dyDescent="0.25">
      <c r="A34" s="9" t="s">
        <v>1019</v>
      </c>
      <c r="B34" s="9" t="s">
        <v>1020</v>
      </c>
      <c r="C34" s="15">
        <v>62.15</v>
      </c>
      <c r="D34" s="15">
        <v>62.15</v>
      </c>
      <c r="E34" s="15">
        <v>0</v>
      </c>
      <c r="F34" s="18">
        <v>0</v>
      </c>
      <c r="G34" s="19" t="s">
        <v>955</v>
      </c>
      <c r="H34" s="10">
        <v>49.61</v>
      </c>
    </row>
    <row r="35" spans="1:8" ht="15.95" customHeight="1" x14ac:dyDescent="0.25">
      <c r="A35" s="11" t="s">
        <v>1021</v>
      </c>
      <c r="B35" s="11" t="s">
        <v>1022</v>
      </c>
      <c r="C35" s="16">
        <v>2.77</v>
      </c>
      <c r="D35" s="16">
        <v>2.77</v>
      </c>
      <c r="E35" s="16">
        <v>0</v>
      </c>
      <c r="F35" s="20">
        <v>0</v>
      </c>
      <c r="G35" s="21" t="s">
        <v>955</v>
      </c>
      <c r="H35" s="12">
        <v>4.1500000000000004</v>
      </c>
    </row>
    <row r="36" spans="1:8" ht="15.95" customHeight="1" x14ac:dyDescent="0.25">
      <c r="A36" s="9" t="s">
        <v>1023</v>
      </c>
      <c r="B36" s="9" t="s">
        <v>1024</v>
      </c>
      <c r="C36" s="15">
        <v>1.1200000000000001</v>
      </c>
      <c r="D36" s="15">
        <v>1.1200000000000001</v>
      </c>
      <c r="E36" s="15">
        <v>0</v>
      </c>
      <c r="F36" s="18">
        <v>0</v>
      </c>
      <c r="G36" s="19" t="s">
        <v>955</v>
      </c>
      <c r="H36" s="10">
        <v>1.72</v>
      </c>
    </row>
    <row r="37" spans="1:8" ht="15.95" customHeight="1" x14ac:dyDescent="0.25">
      <c r="A37" s="11" t="s">
        <v>1025</v>
      </c>
      <c r="B37" s="11" t="s">
        <v>1026</v>
      </c>
      <c r="C37" s="16">
        <v>1.03</v>
      </c>
      <c r="D37" s="16">
        <v>1.03</v>
      </c>
      <c r="E37" s="16">
        <v>0</v>
      </c>
      <c r="F37" s="20">
        <v>0</v>
      </c>
      <c r="G37" s="21" t="s">
        <v>955</v>
      </c>
      <c r="H37" s="12">
        <v>2.19</v>
      </c>
    </row>
    <row r="38" spans="1:8" ht="15.95" customHeight="1" x14ac:dyDescent="0.25">
      <c r="A38" s="9" t="s">
        <v>1027</v>
      </c>
      <c r="B38" s="9" t="s">
        <v>1028</v>
      </c>
      <c r="C38" s="15">
        <v>1.03</v>
      </c>
      <c r="D38" s="15">
        <v>1.03</v>
      </c>
      <c r="E38" s="15">
        <v>0</v>
      </c>
      <c r="F38" s="18">
        <v>0</v>
      </c>
      <c r="G38" s="19" t="s">
        <v>955</v>
      </c>
      <c r="H38" s="10">
        <v>8.99</v>
      </c>
    </row>
    <row r="39" spans="1:8" ht="15.95" customHeight="1" x14ac:dyDescent="0.25">
      <c r="A39" s="11" t="s">
        <v>1029</v>
      </c>
      <c r="B39" s="11" t="s">
        <v>1030</v>
      </c>
      <c r="C39" s="16">
        <v>24.47</v>
      </c>
      <c r="D39" s="16">
        <v>24.47</v>
      </c>
      <c r="E39" s="16">
        <v>0</v>
      </c>
      <c r="F39" s="20">
        <v>0</v>
      </c>
      <c r="G39" s="21" t="s">
        <v>955</v>
      </c>
      <c r="H39" s="12">
        <v>24.87</v>
      </c>
    </row>
    <row r="40" spans="1:8" ht="15.95" customHeight="1" x14ac:dyDescent="0.25">
      <c r="A40" s="9" t="s">
        <v>1031</v>
      </c>
      <c r="B40" s="9" t="s">
        <v>1032</v>
      </c>
      <c r="C40" s="15">
        <v>1.39</v>
      </c>
      <c r="D40" s="15">
        <v>1.39</v>
      </c>
      <c r="E40" s="15">
        <v>0</v>
      </c>
      <c r="F40" s="18">
        <v>0</v>
      </c>
      <c r="G40" s="19" t="s">
        <v>955</v>
      </c>
      <c r="H40" s="10">
        <v>1.46</v>
      </c>
    </row>
    <row r="41" spans="1:8" ht="15.95" customHeight="1" x14ac:dyDescent="0.25">
      <c r="A41" s="11" t="s">
        <v>1033</v>
      </c>
      <c r="B41" s="11" t="s">
        <v>1034</v>
      </c>
      <c r="C41" s="16">
        <v>1.84</v>
      </c>
      <c r="D41" s="16">
        <v>1.84</v>
      </c>
      <c r="E41" s="16">
        <v>0</v>
      </c>
      <c r="F41" s="20">
        <v>0</v>
      </c>
      <c r="G41" s="21" t="s">
        <v>955</v>
      </c>
      <c r="H41" s="12">
        <v>1.94</v>
      </c>
    </row>
    <row r="42" spans="1:8" ht="15.95" customHeight="1" x14ac:dyDescent="0.25">
      <c r="A42" s="9" t="s">
        <v>1035</v>
      </c>
      <c r="B42" s="9" t="s">
        <v>1036</v>
      </c>
      <c r="C42" s="15">
        <v>2.0099999999999998</v>
      </c>
      <c r="D42" s="15">
        <v>2.0099999999999998</v>
      </c>
      <c r="E42" s="15">
        <v>0</v>
      </c>
      <c r="F42" s="18">
        <v>0</v>
      </c>
      <c r="G42" s="19" t="s">
        <v>955</v>
      </c>
      <c r="H42" s="10">
        <v>2.12</v>
      </c>
    </row>
    <row r="43" spans="1:8" ht="15.95" customHeight="1" x14ac:dyDescent="0.25">
      <c r="A43" s="11" t="s">
        <v>1037</v>
      </c>
      <c r="B43" s="11" t="s">
        <v>1038</v>
      </c>
      <c r="C43" s="16">
        <v>0</v>
      </c>
      <c r="D43" s="16"/>
      <c r="E43" s="16"/>
      <c r="F43" s="20"/>
      <c r="G43" s="21" t="s">
        <v>1008</v>
      </c>
      <c r="H43" s="12"/>
    </row>
    <row r="44" spans="1:8" ht="15.95" customHeight="1" x14ac:dyDescent="0.25">
      <c r="A44" s="9" t="s">
        <v>1039</v>
      </c>
      <c r="B44" s="9" t="s">
        <v>1040</v>
      </c>
      <c r="C44" s="15">
        <v>61.42</v>
      </c>
      <c r="D44" s="15">
        <v>0.61399999999999999</v>
      </c>
      <c r="E44" s="15">
        <v>-60.805999999999997</v>
      </c>
      <c r="F44" s="18">
        <v>-9903.26</v>
      </c>
      <c r="G44" s="19" t="s">
        <v>955</v>
      </c>
      <c r="H44" s="10">
        <v>0.64700000000000002</v>
      </c>
    </row>
    <row r="45" spans="1:8" ht="15.95" customHeight="1" x14ac:dyDescent="0.25">
      <c r="A45" s="11" t="s">
        <v>1041</v>
      </c>
      <c r="B45" s="11" t="s">
        <v>1042</v>
      </c>
      <c r="C45" s="16">
        <v>4.3899999999999997</v>
      </c>
      <c r="D45" s="16">
        <v>4.3999999999999997E-2</v>
      </c>
      <c r="E45" s="16">
        <v>-4.3460000000000001</v>
      </c>
      <c r="F45" s="20">
        <v>-9877.27</v>
      </c>
      <c r="G45" s="21" t="s">
        <v>955</v>
      </c>
      <c r="H45" s="12">
        <v>4.5999999999999999E-2</v>
      </c>
    </row>
    <row r="46" spans="1:8" ht="15.95" customHeight="1" x14ac:dyDescent="0.25">
      <c r="A46" s="9" t="s">
        <v>1043</v>
      </c>
      <c r="B46" s="9" t="s">
        <v>1044</v>
      </c>
      <c r="C46" s="15">
        <v>13.16</v>
      </c>
      <c r="D46" s="15">
        <v>0.13200000000000001</v>
      </c>
      <c r="E46" s="15">
        <v>-13.028</v>
      </c>
      <c r="F46" s="18">
        <v>-9869.7000000000007</v>
      </c>
      <c r="G46" s="19" t="s">
        <v>955</v>
      </c>
      <c r="H46" s="10">
        <v>0.13900000000000001</v>
      </c>
    </row>
    <row r="47" spans="1:8" ht="15.95" customHeight="1" x14ac:dyDescent="0.25">
      <c r="A47" s="11" t="s">
        <v>1045</v>
      </c>
      <c r="B47" s="11" t="s">
        <v>1046</v>
      </c>
      <c r="C47" s="16">
        <v>0</v>
      </c>
      <c r="D47" s="16"/>
      <c r="E47" s="16"/>
      <c r="F47" s="20"/>
      <c r="G47" s="21" t="s">
        <v>1008</v>
      </c>
      <c r="H47" s="12"/>
    </row>
    <row r="48" spans="1:8" ht="15.95" customHeight="1" x14ac:dyDescent="0.25">
      <c r="A48" s="9" t="s">
        <v>1047</v>
      </c>
      <c r="B48" s="9" t="s">
        <v>1048</v>
      </c>
      <c r="C48" s="15">
        <v>42.88</v>
      </c>
      <c r="D48" s="15"/>
      <c r="E48" s="15"/>
      <c r="F48" s="18"/>
      <c r="G48" s="19" t="s">
        <v>1008</v>
      </c>
      <c r="H48" s="10"/>
    </row>
    <row r="49" spans="1:8" ht="15.95" customHeight="1" x14ac:dyDescent="0.25">
      <c r="A49" s="11" t="s">
        <v>1049</v>
      </c>
      <c r="B49" s="11" t="s">
        <v>1050</v>
      </c>
      <c r="C49" s="16">
        <v>48.49</v>
      </c>
      <c r="D49" s="16"/>
      <c r="E49" s="16"/>
      <c r="F49" s="20"/>
      <c r="G49" s="21" t="s">
        <v>1008</v>
      </c>
      <c r="H49" s="12"/>
    </row>
    <row r="50" spans="1:8" ht="15.95" customHeight="1" x14ac:dyDescent="0.25">
      <c r="A50" s="9" t="s">
        <v>1051</v>
      </c>
      <c r="B50" s="9" t="s">
        <v>1052</v>
      </c>
      <c r="C50" s="15">
        <v>72.900000000000006</v>
      </c>
      <c r="D50" s="15">
        <v>72.905000000000001</v>
      </c>
      <c r="E50" s="15">
        <v>5.0000000000000001E-3</v>
      </c>
      <c r="F50" s="18">
        <v>0.01</v>
      </c>
      <c r="G50" s="19" t="s">
        <v>955</v>
      </c>
      <c r="H50" s="10">
        <v>85.77</v>
      </c>
    </row>
    <row r="51" spans="1:8" ht="15.95" customHeight="1" x14ac:dyDescent="0.25">
      <c r="A51" s="11" t="s">
        <v>1053</v>
      </c>
      <c r="B51" s="11" t="s">
        <v>1054</v>
      </c>
      <c r="C51" s="16">
        <v>3.64</v>
      </c>
      <c r="D51" s="16">
        <v>3.6379999999999999</v>
      </c>
      <c r="E51" s="16">
        <v>-2E-3</v>
      </c>
      <c r="F51" s="20">
        <v>-0.05</v>
      </c>
      <c r="G51" s="21" t="s">
        <v>955</v>
      </c>
      <c r="H51" s="12">
        <v>4.28</v>
      </c>
    </row>
    <row r="52" spans="1:8" ht="15.95" customHeight="1" x14ac:dyDescent="0.25">
      <c r="A52" s="9" t="s">
        <v>1055</v>
      </c>
      <c r="B52" s="9" t="s">
        <v>1056</v>
      </c>
      <c r="C52" s="15">
        <v>9.23</v>
      </c>
      <c r="D52" s="15">
        <v>9.23</v>
      </c>
      <c r="E52" s="15">
        <v>0</v>
      </c>
      <c r="F52" s="18">
        <v>0</v>
      </c>
      <c r="G52" s="19" t="s">
        <v>955</v>
      </c>
      <c r="H52" s="10">
        <v>9.7200000000000006</v>
      </c>
    </row>
    <row r="53" spans="1:8" ht="15.95" customHeight="1" x14ac:dyDescent="0.25">
      <c r="A53" s="11" t="s">
        <v>1057</v>
      </c>
      <c r="B53" s="11" t="s">
        <v>1058</v>
      </c>
      <c r="C53" s="16">
        <v>348.58</v>
      </c>
      <c r="D53" s="16">
        <v>348.577</v>
      </c>
      <c r="E53" s="16">
        <v>-3.0000000000000001E-3</v>
      </c>
      <c r="F53" s="20">
        <v>0</v>
      </c>
      <c r="G53" s="21" t="s">
        <v>955</v>
      </c>
      <c r="H53" s="12">
        <v>410.09</v>
      </c>
    </row>
    <row r="54" spans="1:8" ht="15.95" customHeight="1" x14ac:dyDescent="0.25">
      <c r="A54" s="9" t="s">
        <v>1059</v>
      </c>
      <c r="B54" s="9" t="s">
        <v>1060</v>
      </c>
      <c r="C54" s="15">
        <v>69.41</v>
      </c>
      <c r="D54" s="15">
        <v>69.41</v>
      </c>
      <c r="E54" s="15">
        <v>0</v>
      </c>
      <c r="F54" s="18">
        <v>0</v>
      </c>
      <c r="G54" s="19" t="s">
        <v>955</v>
      </c>
      <c r="H54" s="10">
        <v>113.11</v>
      </c>
    </row>
    <row r="55" spans="1:8" ht="15.95" customHeight="1" x14ac:dyDescent="0.25">
      <c r="A55" s="11" t="s">
        <v>1061</v>
      </c>
      <c r="B55" s="11" t="s">
        <v>1062</v>
      </c>
      <c r="C55" s="16">
        <v>1109.3499999999999</v>
      </c>
      <c r="D55" s="16">
        <v>1109.3499999999999</v>
      </c>
      <c r="E55" s="16">
        <v>0</v>
      </c>
      <c r="F55" s="20">
        <v>0</v>
      </c>
      <c r="G55" s="21" t="s">
        <v>955</v>
      </c>
      <c r="H55" s="12">
        <v>1167.74</v>
      </c>
    </row>
    <row r="56" spans="1:8" ht="15.95" customHeight="1" x14ac:dyDescent="0.25">
      <c r="A56" s="9" t="s">
        <v>1063</v>
      </c>
      <c r="B56" s="9" t="s">
        <v>1064</v>
      </c>
      <c r="C56" s="15">
        <v>1468.74</v>
      </c>
      <c r="D56" s="15"/>
      <c r="E56" s="15"/>
      <c r="F56" s="18"/>
      <c r="G56" s="19" t="s">
        <v>1008</v>
      </c>
      <c r="H56" s="10"/>
    </row>
    <row r="57" spans="1:8" ht="15.95" customHeight="1" x14ac:dyDescent="0.25">
      <c r="A57" s="11" t="s">
        <v>1065</v>
      </c>
      <c r="B57" s="11" t="s">
        <v>1066</v>
      </c>
      <c r="C57" s="16">
        <v>1784.57</v>
      </c>
      <c r="D57" s="16">
        <v>1784.57</v>
      </c>
      <c r="E57" s="16">
        <v>0</v>
      </c>
      <c r="F57" s="20">
        <v>0</v>
      </c>
      <c r="G57" s="21" t="s">
        <v>955</v>
      </c>
      <c r="H57" s="12">
        <v>3927.13</v>
      </c>
    </row>
    <row r="58" spans="1:8" ht="15.95" customHeight="1" x14ac:dyDescent="0.25">
      <c r="A58" s="9" t="s">
        <v>1067</v>
      </c>
      <c r="B58" s="9" t="s">
        <v>1068</v>
      </c>
      <c r="C58" s="15">
        <v>0</v>
      </c>
      <c r="D58" s="15">
        <v>0</v>
      </c>
      <c r="E58" s="15">
        <v>0</v>
      </c>
      <c r="F58" s="18"/>
      <c r="G58" s="19" t="s">
        <v>955</v>
      </c>
      <c r="H58" s="10">
        <v>0.185</v>
      </c>
    </row>
    <row r="59" spans="1:8" ht="15.95" customHeight="1" x14ac:dyDescent="0.25">
      <c r="A59" s="11" t="s">
        <v>1069</v>
      </c>
      <c r="B59" s="11" t="s">
        <v>1070</v>
      </c>
      <c r="C59" s="16">
        <v>263.44</v>
      </c>
      <c r="D59" s="16"/>
      <c r="E59" s="16"/>
      <c r="F59" s="20"/>
      <c r="G59" s="21" t="s">
        <v>1008</v>
      </c>
      <c r="H59" s="12"/>
    </row>
    <row r="60" spans="1:8" ht="15.95" customHeight="1" x14ac:dyDescent="0.25">
      <c r="A60" s="9" t="s">
        <v>1071</v>
      </c>
      <c r="B60" s="9" t="s">
        <v>1072</v>
      </c>
      <c r="C60" s="15">
        <v>592.84</v>
      </c>
      <c r="D60" s="15">
        <v>592.84</v>
      </c>
      <c r="E60" s="15">
        <v>0</v>
      </c>
      <c r="F60" s="18">
        <v>0</v>
      </c>
      <c r="G60" s="19" t="s">
        <v>955</v>
      </c>
      <c r="H60" s="10">
        <v>624.04</v>
      </c>
    </row>
    <row r="61" spans="1:8" ht="15.95" customHeight="1" x14ac:dyDescent="0.25">
      <c r="A61" s="11" t="s">
        <v>1073</v>
      </c>
      <c r="B61" s="11" t="s">
        <v>1074</v>
      </c>
      <c r="C61" s="16">
        <v>48.5</v>
      </c>
      <c r="D61" s="16">
        <v>48.5</v>
      </c>
      <c r="E61" s="16">
        <v>0</v>
      </c>
      <c r="F61" s="20">
        <v>0</v>
      </c>
      <c r="G61" s="21" t="s">
        <v>955</v>
      </c>
      <c r="H61" s="12">
        <v>104.83</v>
      </c>
    </row>
    <row r="62" spans="1:8" ht="15.95" customHeight="1" x14ac:dyDescent="0.25">
      <c r="A62" s="9" t="s">
        <v>1075</v>
      </c>
      <c r="B62" s="9" t="s">
        <v>1076</v>
      </c>
      <c r="C62" s="15">
        <v>0</v>
      </c>
      <c r="D62" s="15"/>
      <c r="E62" s="15"/>
      <c r="F62" s="18"/>
      <c r="G62" s="19" t="s">
        <v>1008</v>
      </c>
      <c r="H62" s="10"/>
    </row>
    <row r="63" spans="1:8" ht="15.95" customHeight="1" x14ac:dyDescent="0.25">
      <c r="A63" s="11" t="s">
        <v>1077</v>
      </c>
      <c r="B63" s="11" t="s">
        <v>1078</v>
      </c>
      <c r="C63" s="16">
        <v>0.14000000000000001</v>
      </c>
      <c r="D63" s="16"/>
      <c r="E63" s="16"/>
      <c r="F63" s="20"/>
      <c r="G63" s="21" t="s">
        <v>1008</v>
      </c>
      <c r="H63" s="12"/>
    </row>
    <row r="64" spans="1:8" ht="15.95" customHeight="1" x14ac:dyDescent="0.25">
      <c r="A64" s="9" t="s">
        <v>1079</v>
      </c>
      <c r="B64" s="9" t="s">
        <v>1080</v>
      </c>
      <c r="C64" s="15">
        <v>2.16</v>
      </c>
      <c r="D64" s="15">
        <v>2.16</v>
      </c>
      <c r="E64" s="15">
        <v>0</v>
      </c>
      <c r="F64" s="18">
        <v>0</v>
      </c>
      <c r="G64" s="19" t="s">
        <v>955</v>
      </c>
      <c r="H64" s="10">
        <v>5.87</v>
      </c>
    </row>
    <row r="65" spans="1:8" ht="15.95" customHeight="1" x14ac:dyDescent="0.25">
      <c r="A65" s="11" t="s">
        <v>1081</v>
      </c>
      <c r="B65" s="11" t="s">
        <v>1082</v>
      </c>
      <c r="C65" s="16">
        <v>2.16</v>
      </c>
      <c r="D65" s="16">
        <v>2.16</v>
      </c>
      <c r="E65" s="16">
        <v>0</v>
      </c>
      <c r="F65" s="20">
        <v>0</v>
      </c>
      <c r="G65" s="21" t="s">
        <v>955</v>
      </c>
      <c r="H65" s="12">
        <v>3.19</v>
      </c>
    </row>
    <row r="66" spans="1:8" ht="15.95" customHeight="1" x14ac:dyDescent="0.25">
      <c r="A66" s="9" t="s">
        <v>1083</v>
      </c>
      <c r="B66" s="9" t="s">
        <v>1084</v>
      </c>
      <c r="C66" s="15">
        <v>6.5</v>
      </c>
      <c r="D66" s="15">
        <v>6.5</v>
      </c>
      <c r="E66" s="15">
        <v>0</v>
      </c>
      <c r="F66" s="18">
        <v>0</v>
      </c>
      <c r="G66" s="19" t="s">
        <v>955</v>
      </c>
      <c r="H66" s="10">
        <v>10.7</v>
      </c>
    </row>
    <row r="67" spans="1:8" ht="15.95" customHeight="1" x14ac:dyDescent="0.25">
      <c r="A67" s="11" t="s">
        <v>1085</v>
      </c>
      <c r="B67" s="11" t="s">
        <v>1086</v>
      </c>
      <c r="C67" s="16">
        <v>3.5</v>
      </c>
      <c r="D67" s="16">
        <v>3.5</v>
      </c>
      <c r="E67" s="16">
        <v>0</v>
      </c>
      <c r="F67" s="20">
        <v>0</v>
      </c>
      <c r="G67" s="21" t="s">
        <v>955</v>
      </c>
      <c r="H67" s="12">
        <v>26.45</v>
      </c>
    </row>
    <row r="68" spans="1:8" ht="15.95" customHeight="1" x14ac:dyDescent="0.25">
      <c r="A68" s="9" t="s">
        <v>1087</v>
      </c>
      <c r="B68" s="9" t="s">
        <v>1088</v>
      </c>
      <c r="C68" s="15">
        <v>27.85</v>
      </c>
      <c r="D68" s="15">
        <v>27.85</v>
      </c>
      <c r="E68" s="15">
        <v>0</v>
      </c>
      <c r="F68" s="18">
        <v>0</v>
      </c>
      <c r="G68" s="19" t="s">
        <v>955</v>
      </c>
      <c r="H68" s="10">
        <v>29.32</v>
      </c>
    </row>
    <row r="69" spans="1:8" ht="15.95" customHeight="1" x14ac:dyDescent="0.25">
      <c r="A69" s="11" t="s">
        <v>1089</v>
      </c>
      <c r="B69" s="11" t="s">
        <v>1090</v>
      </c>
      <c r="C69" s="16">
        <v>50.5</v>
      </c>
      <c r="D69" s="16">
        <v>50.5</v>
      </c>
      <c r="E69" s="16">
        <v>0</v>
      </c>
      <c r="F69" s="20">
        <v>0</v>
      </c>
      <c r="G69" s="21" t="s">
        <v>955</v>
      </c>
      <c r="H69" s="12">
        <v>66.19</v>
      </c>
    </row>
    <row r="70" spans="1:8" ht="15.95" customHeight="1" x14ac:dyDescent="0.25">
      <c r="A70" s="9" t="s">
        <v>1091</v>
      </c>
      <c r="B70" s="9" t="s">
        <v>1092</v>
      </c>
      <c r="C70" s="15">
        <v>23</v>
      </c>
      <c r="D70" s="15">
        <v>23</v>
      </c>
      <c r="E70" s="15">
        <v>0</v>
      </c>
      <c r="F70" s="18">
        <v>0</v>
      </c>
      <c r="G70" s="19" t="s">
        <v>955</v>
      </c>
      <c r="H70" s="10">
        <v>29.29</v>
      </c>
    </row>
    <row r="71" spans="1:8" ht="15.95" customHeight="1" x14ac:dyDescent="0.25">
      <c r="A71" s="11" t="s">
        <v>1093</v>
      </c>
      <c r="B71" s="11" t="s">
        <v>1094</v>
      </c>
      <c r="C71" s="16">
        <v>0.97</v>
      </c>
      <c r="D71" s="16">
        <v>0.97</v>
      </c>
      <c r="E71" s="16">
        <v>0</v>
      </c>
      <c r="F71" s="20">
        <v>0</v>
      </c>
      <c r="G71" s="21" t="s">
        <v>955</v>
      </c>
      <c r="H71" s="12">
        <v>0.97</v>
      </c>
    </row>
    <row r="72" spans="1:8" ht="15.95" customHeight="1" x14ac:dyDescent="0.25">
      <c r="A72" s="9" t="s">
        <v>1095</v>
      </c>
      <c r="B72" s="9" t="s">
        <v>1096</v>
      </c>
      <c r="C72" s="15">
        <v>3.02</v>
      </c>
      <c r="D72" s="15"/>
      <c r="E72" s="15"/>
      <c r="F72" s="18"/>
      <c r="G72" s="19" t="s">
        <v>1008</v>
      </c>
      <c r="H72" s="10"/>
    </row>
    <row r="73" spans="1:8" ht="15.95" customHeight="1" x14ac:dyDescent="0.25">
      <c r="A73" s="11" t="s">
        <v>1097</v>
      </c>
      <c r="B73" s="11" t="s">
        <v>1098</v>
      </c>
      <c r="C73" s="16">
        <v>11.57</v>
      </c>
      <c r="D73" s="16"/>
      <c r="E73" s="16"/>
      <c r="F73" s="20"/>
      <c r="G73" s="21" t="s">
        <v>1008</v>
      </c>
      <c r="H73" s="12"/>
    </row>
    <row r="74" spans="1:8" ht="15.95" customHeight="1" x14ac:dyDescent="0.25">
      <c r="A74" s="9" t="s">
        <v>1099</v>
      </c>
      <c r="B74" s="9" t="s">
        <v>1100</v>
      </c>
      <c r="C74" s="15">
        <v>0</v>
      </c>
      <c r="D74" s="15"/>
      <c r="E74" s="15"/>
      <c r="F74" s="18"/>
      <c r="G74" s="19" t="s">
        <v>1008</v>
      </c>
      <c r="H74" s="10"/>
    </row>
    <row r="75" spans="1:8" ht="15.95" customHeight="1" x14ac:dyDescent="0.25">
      <c r="A75" s="11" t="s">
        <v>1101</v>
      </c>
      <c r="B75" s="11" t="s">
        <v>1102</v>
      </c>
      <c r="C75" s="16">
        <v>0.25</v>
      </c>
      <c r="D75" s="16">
        <v>0.19600000000000001</v>
      </c>
      <c r="E75" s="16">
        <v>-5.3999999999999999E-2</v>
      </c>
      <c r="F75" s="20">
        <v>-27.55</v>
      </c>
      <c r="G75" s="21" t="s">
        <v>955</v>
      </c>
      <c r="H75" s="12">
        <v>0.23</v>
      </c>
    </row>
    <row r="76" spans="1:8" ht="15.95" customHeight="1" x14ac:dyDescent="0.25">
      <c r="A76" s="9" t="s">
        <v>1103</v>
      </c>
      <c r="B76" s="9" t="s">
        <v>1104</v>
      </c>
      <c r="C76" s="15">
        <v>27.5</v>
      </c>
      <c r="D76" s="15">
        <v>27.5</v>
      </c>
      <c r="E76" s="15">
        <v>0</v>
      </c>
      <c r="F76" s="18">
        <v>0</v>
      </c>
      <c r="G76" s="19" t="s">
        <v>955</v>
      </c>
      <c r="H76" s="10">
        <v>29.16</v>
      </c>
    </row>
    <row r="77" spans="1:8" ht="15.95" customHeight="1" x14ac:dyDescent="0.25">
      <c r="A77" s="11" t="s">
        <v>1105</v>
      </c>
      <c r="B77" s="11" t="s">
        <v>1106</v>
      </c>
      <c r="C77" s="16">
        <v>163.46</v>
      </c>
      <c r="D77" s="16"/>
      <c r="E77" s="16"/>
      <c r="F77" s="20"/>
      <c r="G77" s="21" t="s">
        <v>1008</v>
      </c>
      <c r="H77" s="12"/>
    </row>
    <row r="78" spans="1:8" ht="15.95" customHeight="1" x14ac:dyDescent="0.25">
      <c r="A78" s="9" t="s">
        <v>1107</v>
      </c>
      <c r="B78" s="9" t="s">
        <v>1108</v>
      </c>
      <c r="C78" s="15">
        <v>216.25</v>
      </c>
      <c r="D78" s="15">
        <v>216.255</v>
      </c>
      <c r="E78" s="15">
        <v>5.0000000000000001E-3</v>
      </c>
      <c r="F78" s="18">
        <v>0</v>
      </c>
      <c r="G78" s="19" t="s">
        <v>955</v>
      </c>
      <c r="H78" s="10">
        <v>194.21</v>
      </c>
    </row>
    <row r="79" spans="1:8" ht="15.95" customHeight="1" x14ac:dyDescent="0.25">
      <c r="A79" s="11" t="s">
        <v>1109</v>
      </c>
      <c r="B79" s="11" t="s">
        <v>1110</v>
      </c>
      <c r="C79" s="16">
        <v>228.47</v>
      </c>
      <c r="D79" s="16">
        <v>228.47499999999999</v>
      </c>
      <c r="E79" s="16">
        <v>5.0000000000000001E-3</v>
      </c>
      <c r="F79" s="20">
        <v>0</v>
      </c>
      <c r="G79" s="21" t="s">
        <v>955</v>
      </c>
      <c r="H79" s="12">
        <v>213.46</v>
      </c>
    </row>
    <row r="80" spans="1:8" ht="15.95" customHeight="1" x14ac:dyDescent="0.25">
      <c r="A80" s="9" t="s">
        <v>1111</v>
      </c>
      <c r="B80" s="9" t="s">
        <v>1112</v>
      </c>
      <c r="C80" s="15">
        <v>1.1399999999999999</v>
      </c>
      <c r="D80" s="15">
        <v>1.1399999999999999</v>
      </c>
      <c r="E80" s="15">
        <v>0</v>
      </c>
      <c r="F80" s="18">
        <v>0</v>
      </c>
      <c r="G80" s="19" t="s">
        <v>955</v>
      </c>
      <c r="H80" s="10">
        <v>1.59</v>
      </c>
    </row>
    <row r="81" spans="1:8" ht="15.95" customHeight="1" x14ac:dyDescent="0.25">
      <c r="A81" s="11" t="s">
        <v>1113</v>
      </c>
      <c r="B81" s="11" t="s">
        <v>1114</v>
      </c>
      <c r="C81" s="16">
        <v>38.799999999999997</v>
      </c>
      <c r="D81" s="16">
        <v>38.799999999999997</v>
      </c>
      <c r="E81" s="16">
        <v>0</v>
      </c>
      <c r="F81" s="20">
        <v>0</v>
      </c>
      <c r="G81" s="21" t="s">
        <v>955</v>
      </c>
      <c r="H81" s="12">
        <v>28.18</v>
      </c>
    </row>
    <row r="82" spans="1:8" ht="15.95" customHeight="1" x14ac:dyDescent="0.25">
      <c r="A82" s="9" t="s">
        <v>1115</v>
      </c>
      <c r="B82" s="9" t="s">
        <v>1116</v>
      </c>
      <c r="C82" s="15">
        <v>2.76</v>
      </c>
      <c r="D82" s="15">
        <v>2.76</v>
      </c>
      <c r="E82" s="15">
        <v>0</v>
      </c>
      <c r="F82" s="18">
        <v>0</v>
      </c>
      <c r="G82" s="19" t="s">
        <v>955</v>
      </c>
      <c r="H82" s="10">
        <v>2.9</v>
      </c>
    </row>
    <row r="83" spans="1:8" ht="15.95" customHeight="1" x14ac:dyDescent="0.25">
      <c r="A83" s="11" t="s">
        <v>1117</v>
      </c>
      <c r="B83" s="11" t="s">
        <v>1118</v>
      </c>
      <c r="C83" s="16">
        <v>20.5</v>
      </c>
      <c r="D83" s="16">
        <v>20.5</v>
      </c>
      <c r="E83" s="16">
        <v>0</v>
      </c>
      <c r="F83" s="20">
        <v>0</v>
      </c>
      <c r="G83" s="21" t="s">
        <v>955</v>
      </c>
      <c r="H83" s="12">
        <v>22.96</v>
      </c>
    </row>
    <row r="84" spans="1:8" ht="15.95" customHeight="1" x14ac:dyDescent="0.25">
      <c r="A84" s="9" t="s">
        <v>1119</v>
      </c>
      <c r="B84" s="9" t="s">
        <v>1120</v>
      </c>
      <c r="C84" s="15">
        <v>350</v>
      </c>
      <c r="D84" s="15">
        <v>350</v>
      </c>
      <c r="E84" s="15">
        <v>0</v>
      </c>
      <c r="F84" s="18">
        <v>0</v>
      </c>
      <c r="G84" s="19" t="s">
        <v>955</v>
      </c>
      <c r="H84" s="10">
        <v>68.88</v>
      </c>
    </row>
    <row r="85" spans="1:8" ht="15.95" customHeight="1" x14ac:dyDescent="0.25">
      <c r="A85" s="11" t="s">
        <v>1121</v>
      </c>
      <c r="B85" s="11" t="s">
        <v>1122</v>
      </c>
      <c r="C85" s="16">
        <v>32.72</v>
      </c>
      <c r="D85" s="16">
        <v>32.72</v>
      </c>
      <c r="E85" s="16">
        <v>0</v>
      </c>
      <c r="F85" s="20">
        <v>0</v>
      </c>
      <c r="G85" s="21" t="s">
        <v>955</v>
      </c>
      <c r="H85" s="12">
        <v>34.44</v>
      </c>
    </row>
    <row r="86" spans="1:8" ht="15.95" customHeight="1" x14ac:dyDescent="0.25">
      <c r="A86" s="9" t="s">
        <v>1123</v>
      </c>
      <c r="B86" s="9" t="s">
        <v>1124</v>
      </c>
      <c r="C86" s="15">
        <v>10</v>
      </c>
      <c r="D86" s="15">
        <v>10</v>
      </c>
      <c r="E86" s="15">
        <v>0</v>
      </c>
      <c r="F86" s="18">
        <v>0</v>
      </c>
      <c r="G86" s="19" t="s">
        <v>955</v>
      </c>
      <c r="H86" s="10">
        <v>11.48</v>
      </c>
    </row>
    <row r="87" spans="1:8" ht="15.95" customHeight="1" x14ac:dyDescent="0.25">
      <c r="A87" s="11" t="s">
        <v>1125</v>
      </c>
      <c r="B87" s="11" t="s">
        <v>1126</v>
      </c>
      <c r="C87" s="16">
        <v>10</v>
      </c>
      <c r="D87" s="16">
        <v>10</v>
      </c>
      <c r="E87" s="16">
        <v>0</v>
      </c>
      <c r="F87" s="20">
        <v>0</v>
      </c>
      <c r="G87" s="21" t="s">
        <v>955</v>
      </c>
      <c r="H87" s="12">
        <v>45.92</v>
      </c>
    </row>
    <row r="88" spans="1:8" ht="15.95" customHeight="1" x14ac:dyDescent="0.25">
      <c r="A88" s="9" t="s">
        <v>1127</v>
      </c>
      <c r="B88" s="9" t="s">
        <v>1128</v>
      </c>
      <c r="C88" s="15">
        <v>10</v>
      </c>
      <c r="D88" s="15">
        <v>10</v>
      </c>
      <c r="E88" s="15">
        <v>0</v>
      </c>
      <c r="F88" s="18">
        <v>0</v>
      </c>
      <c r="G88" s="19" t="s">
        <v>955</v>
      </c>
      <c r="H88" s="10">
        <v>68.88</v>
      </c>
    </row>
    <row r="89" spans="1:8" ht="15.95" customHeight="1" x14ac:dyDescent="0.25">
      <c r="A89" s="11" t="s">
        <v>1129</v>
      </c>
      <c r="B89" s="11" t="s">
        <v>1130</v>
      </c>
      <c r="C89" s="16">
        <v>8</v>
      </c>
      <c r="D89" s="16">
        <v>8</v>
      </c>
      <c r="E89" s="16">
        <v>0</v>
      </c>
      <c r="F89" s="20">
        <v>0</v>
      </c>
      <c r="G89" s="21" t="s">
        <v>955</v>
      </c>
      <c r="H89" s="12">
        <v>6.7</v>
      </c>
    </row>
    <row r="90" spans="1:8" ht="15.95" customHeight="1" x14ac:dyDescent="0.25">
      <c r="A90" s="9" t="s">
        <v>1131</v>
      </c>
      <c r="B90" s="9" t="s">
        <v>1132</v>
      </c>
      <c r="C90" s="15">
        <v>2.5</v>
      </c>
      <c r="D90" s="15"/>
      <c r="E90" s="15"/>
      <c r="F90" s="18"/>
      <c r="G90" s="19" t="s">
        <v>1008</v>
      </c>
      <c r="H90" s="10"/>
    </row>
    <row r="91" spans="1:8" ht="15.95" customHeight="1" x14ac:dyDescent="0.25">
      <c r="A91" s="11" t="s">
        <v>1133</v>
      </c>
      <c r="B91" s="11" t="s">
        <v>1134</v>
      </c>
      <c r="C91" s="16">
        <v>5.46</v>
      </c>
      <c r="D91" s="16"/>
      <c r="E91" s="16"/>
      <c r="F91" s="20"/>
      <c r="G91" s="21" t="s">
        <v>1008</v>
      </c>
      <c r="H91" s="12"/>
    </row>
    <row r="92" spans="1:8" ht="15.95" customHeight="1" x14ac:dyDescent="0.25">
      <c r="A92" s="9" t="s">
        <v>1135</v>
      </c>
      <c r="B92" s="9" t="s">
        <v>1136</v>
      </c>
      <c r="C92" s="15">
        <v>5.46</v>
      </c>
      <c r="D92" s="15"/>
      <c r="E92" s="15"/>
      <c r="F92" s="18"/>
      <c r="G92" s="19" t="s">
        <v>1008</v>
      </c>
      <c r="H92" s="10"/>
    </row>
    <row r="93" spans="1:8" ht="15.95" customHeight="1" x14ac:dyDescent="0.25">
      <c r="A93" s="11" t="s">
        <v>1137</v>
      </c>
      <c r="B93" s="11" t="s">
        <v>1138</v>
      </c>
      <c r="C93" s="16">
        <v>5.46</v>
      </c>
      <c r="D93" s="16"/>
      <c r="E93" s="16"/>
      <c r="F93" s="20"/>
      <c r="G93" s="21" t="s">
        <v>1008</v>
      </c>
      <c r="H93" s="12"/>
    </row>
    <row r="94" spans="1:8" ht="15.95" customHeight="1" x14ac:dyDescent="0.25">
      <c r="A94" s="9" t="s">
        <v>1139</v>
      </c>
      <c r="B94" s="9" t="s">
        <v>1140</v>
      </c>
      <c r="C94" s="15">
        <v>5.93</v>
      </c>
      <c r="D94" s="15">
        <v>5.93</v>
      </c>
      <c r="E94" s="15">
        <v>0</v>
      </c>
      <c r="F94" s="18">
        <v>0</v>
      </c>
      <c r="G94" s="19" t="s">
        <v>955</v>
      </c>
      <c r="H94" s="10">
        <v>6.24</v>
      </c>
    </row>
    <row r="95" spans="1:8" ht="15.95" customHeight="1" x14ac:dyDescent="0.25">
      <c r="A95" s="11" t="s">
        <v>1141</v>
      </c>
      <c r="B95" s="11" t="s">
        <v>1142</v>
      </c>
      <c r="C95" s="16">
        <v>216.72</v>
      </c>
      <c r="D95" s="16">
        <v>216.72</v>
      </c>
      <c r="E95" s="16">
        <v>0</v>
      </c>
      <c r="F95" s="20">
        <v>0</v>
      </c>
      <c r="G95" s="21" t="s">
        <v>955</v>
      </c>
      <c r="H95" s="12">
        <v>228.13</v>
      </c>
    </row>
    <row r="96" spans="1:8" ht="15.95" customHeight="1" x14ac:dyDescent="0.25">
      <c r="A96" s="9" t="s">
        <v>1143</v>
      </c>
      <c r="B96" s="9" t="s">
        <v>1144</v>
      </c>
      <c r="C96" s="15">
        <v>109.85</v>
      </c>
      <c r="D96" s="15"/>
      <c r="E96" s="15"/>
      <c r="F96" s="18"/>
      <c r="G96" s="19" t="s">
        <v>1008</v>
      </c>
      <c r="H96" s="10"/>
    </row>
    <row r="97" spans="1:8" ht="15.95" customHeight="1" x14ac:dyDescent="0.25">
      <c r="A97" s="11" t="s">
        <v>1145</v>
      </c>
      <c r="B97" s="11" t="s">
        <v>1146</v>
      </c>
      <c r="C97" s="16">
        <v>165</v>
      </c>
      <c r="D97" s="16">
        <v>165</v>
      </c>
      <c r="E97" s="16">
        <v>0</v>
      </c>
      <c r="F97" s="20">
        <v>0</v>
      </c>
      <c r="G97" s="21" t="s">
        <v>955</v>
      </c>
      <c r="H97" s="12">
        <v>376.73</v>
      </c>
    </row>
    <row r="98" spans="1:8" ht="15.95" customHeight="1" x14ac:dyDescent="0.25">
      <c r="A98" s="9" t="s">
        <v>1147</v>
      </c>
      <c r="B98" s="9" t="s">
        <v>1148</v>
      </c>
      <c r="C98" s="15">
        <v>1200.33</v>
      </c>
      <c r="D98" s="15">
        <v>1200.33</v>
      </c>
      <c r="E98" s="15">
        <v>0</v>
      </c>
      <c r="F98" s="18">
        <v>0</v>
      </c>
      <c r="G98" s="19" t="s">
        <v>955</v>
      </c>
      <c r="H98" s="10">
        <v>1263.51</v>
      </c>
    </row>
    <row r="99" spans="1:8" ht="15.95" customHeight="1" x14ac:dyDescent="0.25">
      <c r="A99" s="11" t="s">
        <v>1149</v>
      </c>
      <c r="B99" s="11" t="s">
        <v>1150</v>
      </c>
      <c r="C99" s="16">
        <v>143.27000000000001</v>
      </c>
      <c r="D99" s="16"/>
      <c r="E99" s="16"/>
      <c r="F99" s="20"/>
      <c r="G99" s="21" t="s">
        <v>1008</v>
      </c>
      <c r="H99" s="12"/>
    </row>
    <row r="100" spans="1:8" ht="15.95" customHeight="1" x14ac:dyDescent="0.25">
      <c r="A100" s="9" t="s">
        <v>1151</v>
      </c>
      <c r="B100" s="9" t="s">
        <v>1152</v>
      </c>
      <c r="C100" s="15">
        <v>0.41</v>
      </c>
      <c r="D100" s="15"/>
      <c r="E100" s="15"/>
      <c r="F100" s="18"/>
      <c r="G100" s="19" t="s">
        <v>1008</v>
      </c>
      <c r="H100" s="10"/>
    </row>
    <row r="101" spans="1:8" ht="15.95" customHeight="1" x14ac:dyDescent="0.25">
      <c r="A101" s="11" t="s">
        <v>1153</v>
      </c>
      <c r="B101" s="11" t="s">
        <v>1154</v>
      </c>
      <c r="C101" s="16">
        <v>0.45</v>
      </c>
      <c r="D101" s="16">
        <v>0.45</v>
      </c>
      <c r="E101" s="16">
        <v>0</v>
      </c>
      <c r="F101" s="20">
        <v>0</v>
      </c>
      <c r="G101" s="21" t="s">
        <v>955</v>
      </c>
      <c r="H101" s="12">
        <v>0.49</v>
      </c>
    </row>
    <row r="102" spans="1:8" ht="15.95" customHeight="1" x14ac:dyDescent="0.25">
      <c r="A102" s="9" t="s">
        <v>1155</v>
      </c>
      <c r="B102" s="9" t="s">
        <v>1156</v>
      </c>
      <c r="C102" s="15">
        <v>64.599999999999994</v>
      </c>
      <c r="D102" s="15">
        <v>64.599999999999994</v>
      </c>
      <c r="E102" s="15">
        <v>0</v>
      </c>
      <c r="F102" s="18">
        <v>0</v>
      </c>
      <c r="G102" s="19" t="s">
        <v>955</v>
      </c>
      <c r="H102" s="10">
        <v>74.3</v>
      </c>
    </row>
    <row r="103" spans="1:8" ht="15.95" customHeight="1" x14ac:dyDescent="0.25">
      <c r="A103" s="11" t="s">
        <v>1157</v>
      </c>
      <c r="B103" s="11" t="s">
        <v>1158</v>
      </c>
      <c r="C103" s="16">
        <v>43.2</v>
      </c>
      <c r="D103" s="16">
        <v>43.2</v>
      </c>
      <c r="E103" s="16">
        <v>0</v>
      </c>
      <c r="F103" s="20">
        <v>0</v>
      </c>
      <c r="G103" s="21" t="s">
        <v>955</v>
      </c>
      <c r="H103" s="12">
        <v>71.569999999999993</v>
      </c>
    </row>
    <row r="104" spans="1:8" ht="15.95" customHeight="1" x14ac:dyDescent="0.25">
      <c r="A104" s="9" t="s">
        <v>1159</v>
      </c>
      <c r="B104" s="9" t="s">
        <v>1160</v>
      </c>
      <c r="C104" s="15">
        <v>43.2</v>
      </c>
      <c r="D104" s="15">
        <v>43.2</v>
      </c>
      <c r="E104" s="15">
        <v>0</v>
      </c>
      <c r="F104" s="18">
        <v>0</v>
      </c>
      <c r="G104" s="19" t="s">
        <v>955</v>
      </c>
      <c r="H104" s="10">
        <v>57.62</v>
      </c>
    </row>
    <row r="105" spans="1:8" ht="15.95" customHeight="1" x14ac:dyDescent="0.25">
      <c r="A105" s="11" t="s">
        <v>1161</v>
      </c>
      <c r="B105" s="11" t="s">
        <v>1162</v>
      </c>
      <c r="C105" s="16">
        <v>212</v>
      </c>
      <c r="D105" s="16">
        <v>212</v>
      </c>
      <c r="E105" s="16">
        <v>0</v>
      </c>
      <c r="F105" s="20">
        <v>0</v>
      </c>
      <c r="G105" s="21" t="s">
        <v>955</v>
      </c>
      <c r="H105" s="12">
        <v>267.72000000000003</v>
      </c>
    </row>
    <row r="106" spans="1:8" ht="15.95" customHeight="1" x14ac:dyDescent="0.25">
      <c r="A106" s="9" t="s">
        <v>1163</v>
      </c>
      <c r="B106" s="9" t="s">
        <v>1164</v>
      </c>
      <c r="C106" s="15">
        <v>6.49</v>
      </c>
      <c r="D106" s="15">
        <v>6.49</v>
      </c>
      <c r="E106" s="15">
        <v>0</v>
      </c>
      <c r="F106" s="18">
        <v>0</v>
      </c>
      <c r="G106" s="19" t="s">
        <v>955</v>
      </c>
      <c r="H106" s="10">
        <v>8.51</v>
      </c>
    </row>
    <row r="107" spans="1:8" ht="15.95" customHeight="1" x14ac:dyDescent="0.25">
      <c r="A107" s="11" t="s">
        <v>1165</v>
      </c>
      <c r="B107" s="11" t="s">
        <v>1166</v>
      </c>
      <c r="C107" s="16">
        <v>10.81</v>
      </c>
      <c r="D107" s="16">
        <v>10.81</v>
      </c>
      <c r="E107" s="16">
        <v>0</v>
      </c>
      <c r="F107" s="20">
        <v>0</v>
      </c>
      <c r="G107" s="21" t="s">
        <v>955</v>
      </c>
      <c r="H107" s="12">
        <v>14.17</v>
      </c>
    </row>
    <row r="108" spans="1:8" ht="15.95" customHeight="1" x14ac:dyDescent="0.25">
      <c r="A108" s="9" t="s">
        <v>1167</v>
      </c>
      <c r="B108" s="9" t="s">
        <v>1168</v>
      </c>
      <c r="C108" s="15">
        <v>3.09</v>
      </c>
      <c r="D108" s="15">
        <v>3.09</v>
      </c>
      <c r="E108" s="15">
        <v>0</v>
      </c>
      <c r="F108" s="18">
        <v>0</v>
      </c>
      <c r="G108" s="19" t="s">
        <v>955</v>
      </c>
      <c r="H108" s="10">
        <v>3.84</v>
      </c>
    </row>
    <row r="109" spans="1:8" ht="15.95" customHeight="1" x14ac:dyDescent="0.25">
      <c r="A109" s="11" t="s">
        <v>1169</v>
      </c>
      <c r="B109" s="11" t="s">
        <v>1170</v>
      </c>
      <c r="C109" s="16">
        <v>97.77</v>
      </c>
      <c r="D109" s="16">
        <v>97.766999999999996</v>
      </c>
      <c r="E109" s="16">
        <v>-3.0000000000000001E-3</v>
      </c>
      <c r="F109" s="20">
        <v>0</v>
      </c>
      <c r="G109" s="21" t="s">
        <v>955</v>
      </c>
      <c r="H109" s="12">
        <v>115.02</v>
      </c>
    </row>
    <row r="110" spans="1:8" ht="15.95" customHeight="1" x14ac:dyDescent="0.25">
      <c r="A110" s="9" t="s">
        <v>1171</v>
      </c>
      <c r="B110" s="9" t="s">
        <v>1172</v>
      </c>
      <c r="C110" s="15">
        <v>14.65</v>
      </c>
      <c r="D110" s="15">
        <v>14.646000000000001</v>
      </c>
      <c r="E110" s="15">
        <v>-4.0000000000000001E-3</v>
      </c>
      <c r="F110" s="18">
        <v>-0.03</v>
      </c>
      <c r="G110" s="19" t="s">
        <v>955</v>
      </c>
      <c r="H110" s="10">
        <v>17.23</v>
      </c>
    </row>
    <row r="111" spans="1:8" ht="15.95" customHeight="1" x14ac:dyDescent="0.25">
      <c r="A111" s="11" t="s">
        <v>1173</v>
      </c>
      <c r="B111" s="11" t="s">
        <v>1174</v>
      </c>
      <c r="C111" s="16">
        <v>56.9</v>
      </c>
      <c r="D111" s="16">
        <v>56.895000000000003</v>
      </c>
      <c r="E111" s="16">
        <v>-5.0000000000000001E-3</v>
      </c>
      <c r="F111" s="20">
        <v>-0.01</v>
      </c>
      <c r="G111" s="21" t="s">
        <v>955</v>
      </c>
      <c r="H111" s="12">
        <v>73.89</v>
      </c>
    </row>
    <row r="112" spans="1:8" ht="15.95" customHeight="1" x14ac:dyDescent="0.25">
      <c r="A112" s="9" t="s">
        <v>1175</v>
      </c>
      <c r="B112" s="9" t="s">
        <v>1176</v>
      </c>
      <c r="C112" s="15">
        <v>68.900000000000006</v>
      </c>
      <c r="D112" s="15"/>
      <c r="E112" s="15"/>
      <c r="F112" s="18"/>
      <c r="G112" s="19" t="s">
        <v>1008</v>
      </c>
      <c r="H112" s="10"/>
    </row>
    <row r="113" spans="1:8" ht="15.95" customHeight="1" x14ac:dyDescent="0.25">
      <c r="A113" s="11" t="s">
        <v>1177</v>
      </c>
      <c r="B113" s="11" t="s">
        <v>1178</v>
      </c>
      <c r="C113" s="16">
        <v>9</v>
      </c>
      <c r="D113" s="16">
        <v>9</v>
      </c>
      <c r="E113" s="16">
        <v>0</v>
      </c>
      <c r="F113" s="20">
        <v>0</v>
      </c>
      <c r="G113" s="21" t="s">
        <v>955</v>
      </c>
      <c r="H113" s="12">
        <v>13.95</v>
      </c>
    </row>
    <row r="114" spans="1:8" ht="15.95" customHeight="1" x14ac:dyDescent="0.25">
      <c r="A114" s="9" t="s">
        <v>1179</v>
      </c>
      <c r="B114" s="9" t="s">
        <v>1180</v>
      </c>
      <c r="C114" s="15">
        <v>32.17</v>
      </c>
      <c r="D114" s="15"/>
      <c r="E114" s="15"/>
      <c r="F114" s="18"/>
      <c r="G114" s="19" t="s">
        <v>1008</v>
      </c>
      <c r="H114" s="10"/>
    </row>
    <row r="115" spans="1:8" ht="15.95" customHeight="1" x14ac:dyDescent="0.25">
      <c r="A115" s="11" t="s">
        <v>1181</v>
      </c>
      <c r="B115" s="11" t="s">
        <v>1182</v>
      </c>
      <c r="C115" s="16">
        <v>60.33</v>
      </c>
      <c r="D115" s="16">
        <v>60.33</v>
      </c>
      <c r="E115" s="16">
        <v>0</v>
      </c>
      <c r="F115" s="20">
        <v>0</v>
      </c>
      <c r="G115" s="21" t="s">
        <v>955</v>
      </c>
      <c r="H115" s="12">
        <v>63.51</v>
      </c>
    </row>
    <row r="116" spans="1:8" ht="15.95" customHeight="1" x14ac:dyDescent="0.25">
      <c r="A116" s="9" t="s">
        <v>1183</v>
      </c>
      <c r="B116" s="9" t="s">
        <v>1184</v>
      </c>
      <c r="C116" s="15">
        <v>39.340000000000003</v>
      </c>
      <c r="D116" s="15">
        <v>39.340000000000003</v>
      </c>
      <c r="E116" s="15">
        <v>0</v>
      </c>
      <c r="F116" s="18">
        <v>0</v>
      </c>
      <c r="G116" s="19" t="s">
        <v>955</v>
      </c>
      <c r="H116" s="10">
        <v>41.41</v>
      </c>
    </row>
    <row r="117" spans="1:8" ht="15.95" customHeight="1" x14ac:dyDescent="0.25">
      <c r="A117" s="11" t="s">
        <v>1185</v>
      </c>
      <c r="B117" s="11" t="s">
        <v>1186</v>
      </c>
      <c r="C117" s="16">
        <v>176.47</v>
      </c>
      <c r="D117" s="16">
        <v>176.47</v>
      </c>
      <c r="E117" s="16">
        <v>0</v>
      </c>
      <c r="F117" s="20">
        <v>0</v>
      </c>
      <c r="G117" s="21" t="s">
        <v>955</v>
      </c>
      <c r="H117" s="12">
        <v>185.76</v>
      </c>
    </row>
    <row r="118" spans="1:8" ht="15.95" customHeight="1" x14ac:dyDescent="0.25">
      <c r="A118" s="9" t="s">
        <v>1187</v>
      </c>
      <c r="B118" s="9" t="s">
        <v>1188</v>
      </c>
      <c r="C118" s="15">
        <v>4.29</v>
      </c>
      <c r="D118" s="15">
        <v>4.29</v>
      </c>
      <c r="E118" s="15">
        <v>0</v>
      </c>
      <c r="F118" s="18">
        <v>0</v>
      </c>
      <c r="G118" s="19" t="s">
        <v>955</v>
      </c>
      <c r="H118" s="10">
        <v>4.5199999999999996</v>
      </c>
    </row>
    <row r="119" spans="1:8" ht="15.95" customHeight="1" x14ac:dyDescent="0.25">
      <c r="A119" s="11" t="s">
        <v>1189</v>
      </c>
      <c r="B119" s="11" t="s">
        <v>1190</v>
      </c>
      <c r="C119" s="16">
        <v>280.18</v>
      </c>
      <c r="D119" s="16">
        <v>280.18</v>
      </c>
      <c r="E119" s="16">
        <v>0</v>
      </c>
      <c r="F119" s="20">
        <v>0</v>
      </c>
      <c r="G119" s="21" t="s">
        <v>955</v>
      </c>
      <c r="H119" s="12">
        <v>294.93</v>
      </c>
    </row>
    <row r="120" spans="1:8" ht="15.95" customHeight="1" x14ac:dyDescent="0.25">
      <c r="A120" s="9" t="s">
        <v>1191</v>
      </c>
      <c r="B120" s="9" t="s">
        <v>1192</v>
      </c>
      <c r="C120" s="15">
        <v>440.11</v>
      </c>
      <c r="D120" s="15">
        <v>440.11</v>
      </c>
      <c r="E120" s="15">
        <v>0</v>
      </c>
      <c r="F120" s="18">
        <v>0</v>
      </c>
      <c r="G120" s="19" t="s">
        <v>955</v>
      </c>
      <c r="H120" s="10">
        <v>463.27</v>
      </c>
    </row>
    <row r="121" spans="1:8" ht="15.95" customHeight="1" x14ac:dyDescent="0.25">
      <c r="A121" s="11" t="s">
        <v>1193</v>
      </c>
      <c r="B121" s="11" t="s">
        <v>1194</v>
      </c>
      <c r="C121" s="16">
        <v>11.22</v>
      </c>
      <c r="D121" s="16">
        <v>11.22</v>
      </c>
      <c r="E121" s="16">
        <v>0</v>
      </c>
      <c r="F121" s="20">
        <v>0</v>
      </c>
      <c r="G121" s="21" t="s">
        <v>955</v>
      </c>
      <c r="H121" s="12">
        <v>11.81</v>
      </c>
    </row>
    <row r="122" spans="1:8" ht="15.95" customHeight="1" x14ac:dyDescent="0.25">
      <c r="A122" s="9" t="s">
        <v>1195</v>
      </c>
      <c r="B122" s="9" t="s">
        <v>1196</v>
      </c>
      <c r="C122" s="15">
        <v>115.29</v>
      </c>
      <c r="D122" s="15">
        <v>115.29</v>
      </c>
      <c r="E122" s="15">
        <v>0</v>
      </c>
      <c r="F122" s="18">
        <v>0</v>
      </c>
      <c r="G122" s="19" t="s">
        <v>955</v>
      </c>
      <c r="H122" s="10">
        <v>121.36</v>
      </c>
    </row>
    <row r="123" spans="1:8" ht="15.95" customHeight="1" x14ac:dyDescent="0.25">
      <c r="A123" s="11" t="s">
        <v>1197</v>
      </c>
      <c r="B123" s="11" t="s">
        <v>1198</v>
      </c>
      <c r="C123" s="16">
        <v>35.4</v>
      </c>
      <c r="D123" s="16">
        <v>35.4</v>
      </c>
      <c r="E123" s="16">
        <v>0</v>
      </c>
      <c r="F123" s="20">
        <v>0</v>
      </c>
      <c r="G123" s="21" t="s">
        <v>955</v>
      </c>
      <c r="H123" s="12">
        <v>37.26</v>
      </c>
    </row>
    <row r="124" spans="1:8" ht="15.95" customHeight="1" x14ac:dyDescent="0.25">
      <c r="A124" s="9" t="s">
        <v>1199</v>
      </c>
      <c r="B124" s="9" t="s">
        <v>1200</v>
      </c>
      <c r="C124" s="15">
        <v>1.84</v>
      </c>
      <c r="D124" s="15">
        <v>1.84</v>
      </c>
      <c r="E124" s="15">
        <v>0</v>
      </c>
      <c r="F124" s="18">
        <v>0</v>
      </c>
      <c r="G124" s="19" t="s">
        <v>955</v>
      </c>
      <c r="H124" s="10">
        <v>1.94</v>
      </c>
    </row>
    <row r="125" spans="1:8" ht="15.95" customHeight="1" x14ac:dyDescent="0.25">
      <c r="A125" s="11" t="s">
        <v>1201</v>
      </c>
      <c r="B125" s="11" t="s">
        <v>1202</v>
      </c>
      <c r="C125" s="16">
        <v>0.22</v>
      </c>
      <c r="D125" s="16">
        <v>0.22</v>
      </c>
      <c r="E125" s="16">
        <v>0</v>
      </c>
      <c r="F125" s="20">
        <v>0</v>
      </c>
      <c r="G125" s="21" t="s">
        <v>955</v>
      </c>
      <c r="H125" s="12">
        <v>0.23</v>
      </c>
    </row>
    <row r="126" spans="1:8" ht="15.95" customHeight="1" x14ac:dyDescent="0.25">
      <c r="A126" s="9" t="s">
        <v>1203</v>
      </c>
      <c r="B126" s="9" t="s">
        <v>1204</v>
      </c>
      <c r="C126" s="15">
        <v>1.36</v>
      </c>
      <c r="D126" s="15"/>
      <c r="E126" s="15"/>
      <c r="F126" s="18"/>
      <c r="G126" s="19" t="s">
        <v>1008</v>
      </c>
      <c r="H126" s="10"/>
    </row>
    <row r="127" spans="1:8" ht="15.95" customHeight="1" x14ac:dyDescent="0.25">
      <c r="A127" s="11" t="s">
        <v>1205</v>
      </c>
      <c r="B127" s="11" t="s">
        <v>1206</v>
      </c>
      <c r="C127" s="16">
        <v>0.16</v>
      </c>
      <c r="D127" s="16"/>
      <c r="E127" s="16"/>
      <c r="F127" s="20"/>
      <c r="G127" s="21" t="s">
        <v>1008</v>
      </c>
      <c r="H127" s="12"/>
    </row>
    <row r="128" spans="1:8" ht="15.95" customHeight="1" x14ac:dyDescent="0.25">
      <c r="A128" s="9" t="s">
        <v>1207</v>
      </c>
      <c r="B128" s="9" t="s">
        <v>1208</v>
      </c>
      <c r="C128" s="15">
        <v>8.33</v>
      </c>
      <c r="D128" s="15">
        <v>8.33</v>
      </c>
      <c r="E128" s="15">
        <v>0</v>
      </c>
      <c r="F128" s="18">
        <v>0</v>
      </c>
      <c r="G128" s="19" t="s">
        <v>955</v>
      </c>
      <c r="H128" s="10">
        <v>8.77</v>
      </c>
    </row>
  </sheetData>
  <autoFilter ref="A1:G129" xr:uid="{FA45C815-E6DF-495D-B388-55A6C1CE28B6}"/>
  <conditionalFormatting sqref="F2:F128">
    <cfRule type="cellIs" dxfId="5" priority="1" operator="lessThan">
      <formula>0</formula>
    </cfRule>
  </conditionalFormatting>
  <conditionalFormatting sqref="F2:F128">
    <cfRule type="cellIs" dxfId="4" priority="2" operator="greaterThan">
      <formula>0</formula>
    </cfRule>
  </conditionalFormatting>
  <conditionalFormatting sqref="H2:H128">
    <cfRule type="containsText" dxfId="3" priority="3" operator="containsText" text="No">
      <formula>NOT(ISERROR(SEARCH("No",H2)))</formula>
    </cfRule>
  </conditionalFormatting>
  <conditionalFormatting sqref="E2:E128">
    <cfRule type="cellIs" dxfId="2" priority="4" operator="lessThan">
      <formula>0</formula>
    </cfRule>
  </conditionalFormatting>
  <conditionalFormatting sqref="E2:E128">
    <cfRule type="cellIs" dxfId="1" priority="5" operator="greaterThan">
      <formula>0</formula>
    </cfRule>
  </conditionalFormatting>
  <conditionalFormatting sqref="G2:G128">
    <cfRule type="containsText" dxfId="0" priority="6" operator="containsText" text="No">
      <formula>NOT(ISERROR(SEARCH("No",G2)))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EBBA-62AA-4245-9E46-4A2DFEFA1C9C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E4EF-C108-44F3-A145-23CCB0296379}">
  <dimension ref="A1:CH3509"/>
  <sheetViews>
    <sheetView workbookViewId="0">
      <selection sqref="A1:CH3509"/>
    </sheetView>
  </sheetViews>
  <sheetFormatPr defaultRowHeight="15" x14ac:dyDescent="0.25"/>
  <sheetData>
    <row r="1" spans="1:12" x14ac:dyDescent="0.25">
      <c r="A1" t="s">
        <v>5433</v>
      </c>
      <c r="B1" t="s">
        <v>5432</v>
      </c>
      <c r="C1" s="14">
        <v>46126</v>
      </c>
      <c r="D1" t="s">
        <v>5431</v>
      </c>
      <c r="E1" t="s">
        <v>1259</v>
      </c>
      <c r="F1" t="s">
        <v>5430</v>
      </c>
      <c r="G1" t="s">
        <v>5429</v>
      </c>
      <c r="H1" t="s">
        <v>5428</v>
      </c>
      <c r="I1" t="s">
        <v>5395</v>
      </c>
    </row>
    <row r="2" spans="1:12" x14ac:dyDescent="0.25">
      <c r="A2" t="s">
        <v>1258</v>
      </c>
      <c r="B2" t="s">
        <v>5427</v>
      </c>
    </row>
    <row r="3" spans="1:12" x14ac:dyDescent="0.25">
      <c r="A3" t="s">
        <v>1256</v>
      </c>
      <c r="B3" t="s">
        <v>4737</v>
      </c>
      <c r="C3" t="s">
        <v>5426</v>
      </c>
      <c r="D3" t="s">
        <v>5425</v>
      </c>
      <c r="E3" t="s">
        <v>5424</v>
      </c>
      <c r="F3" t="s">
        <v>5423</v>
      </c>
      <c r="G3" t="s">
        <v>5422</v>
      </c>
      <c r="H3" t="s">
        <v>5421</v>
      </c>
      <c r="I3" t="s">
        <v>5420</v>
      </c>
      <c r="J3" t="s">
        <v>5419</v>
      </c>
      <c r="K3" t="s">
        <v>5418</v>
      </c>
      <c r="L3" t="s">
        <v>5417</v>
      </c>
    </row>
    <row r="4" spans="1:12" x14ac:dyDescent="0.25">
      <c r="A4" t="s">
        <v>1248</v>
      </c>
      <c r="B4">
        <v>1</v>
      </c>
      <c r="C4">
        <v>2</v>
      </c>
      <c r="D4" t="s">
        <v>5414</v>
      </c>
      <c r="E4" t="s">
        <v>5217</v>
      </c>
      <c r="F4" t="s">
        <v>5367</v>
      </c>
      <c r="G4" t="s">
        <v>5366</v>
      </c>
      <c r="H4" t="s">
        <v>5365</v>
      </c>
      <c r="I4" t="s">
        <v>5416</v>
      </c>
      <c r="J4" t="s">
        <v>5415</v>
      </c>
      <c r="K4">
        <v>3</v>
      </c>
      <c r="L4">
        <v>1</v>
      </c>
    </row>
    <row r="5" spans="1:12" x14ac:dyDescent="0.25">
      <c r="A5" t="s">
        <v>1248</v>
      </c>
      <c r="B5">
        <v>10</v>
      </c>
      <c r="C5">
        <v>2</v>
      </c>
      <c r="D5" t="s">
        <v>5414</v>
      </c>
      <c r="E5" t="s">
        <v>5217</v>
      </c>
      <c r="F5" t="s">
        <v>5367</v>
      </c>
      <c r="G5" t="s">
        <v>5366</v>
      </c>
      <c r="H5" t="s">
        <v>5365</v>
      </c>
      <c r="I5" t="s">
        <v>5413</v>
      </c>
      <c r="J5" t="s">
        <v>5412</v>
      </c>
      <c r="K5">
        <v>3</v>
      </c>
      <c r="L5" s="29">
        <v>3077</v>
      </c>
    </row>
    <row r="6" spans="1:12" x14ac:dyDescent="0.25">
      <c r="A6" t="s">
        <v>1248</v>
      </c>
      <c r="B6">
        <v>11</v>
      </c>
      <c r="C6">
        <v>2</v>
      </c>
      <c r="D6" t="s">
        <v>5411</v>
      </c>
      <c r="E6" t="s">
        <v>5217</v>
      </c>
      <c r="F6" t="s">
        <v>5367</v>
      </c>
      <c r="G6" t="s">
        <v>5366</v>
      </c>
      <c r="H6" t="s">
        <v>5365</v>
      </c>
      <c r="I6" t="s">
        <v>5410</v>
      </c>
      <c r="J6" t="s">
        <v>5409</v>
      </c>
      <c r="K6">
        <v>3</v>
      </c>
      <c r="L6" s="29">
        <v>1208</v>
      </c>
    </row>
    <row r="7" spans="1:12" x14ac:dyDescent="0.25">
      <c r="A7" t="s">
        <v>1248</v>
      </c>
      <c r="B7">
        <v>13</v>
      </c>
      <c r="C7">
        <v>2</v>
      </c>
      <c r="D7" t="s">
        <v>5408</v>
      </c>
      <c r="E7" t="s">
        <v>5217</v>
      </c>
      <c r="F7" t="s">
        <v>5367</v>
      </c>
      <c r="G7" t="s">
        <v>5366</v>
      </c>
      <c r="H7" t="s">
        <v>5365</v>
      </c>
      <c r="I7" t="s">
        <v>5407</v>
      </c>
      <c r="J7" t="s">
        <v>5406</v>
      </c>
      <c r="K7">
        <v>3</v>
      </c>
      <c r="L7" s="29">
        <v>2014</v>
      </c>
    </row>
    <row r="8" spans="1:12" x14ac:dyDescent="0.25">
      <c r="A8" t="s">
        <v>1248</v>
      </c>
      <c r="B8">
        <v>14</v>
      </c>
      <c r="C8">
        <v>2</v>
      </c>
      <c r="D8" t="s">
        <v>5405</v>
      </c>
      <c r="E8" t="s">
        <v>5217</v>
      </c>
      <c r="F8" t="s">
        <v>5367</v>
      </c>
      <c r="G8" t="s">
        <v>5366</v>
      </c>
      <c r="H8" t="s">
        <v>5365</v>
      </c>
      <c r="I8" t="s">
        <v>5404</v>
      </c>
      <c r="J8" t="s">
        <v>5403</v>
      </c>
      <c r="K8">
        <v>3</v>
      </c>
      <c r="L8" t="s">
        <v>5402</v>
      </c>
    </row>
    <row r="9" spans="1:12" x14ac:dyDescent="0.25">
      <c r="A9" t="s">
        <v>1248</v>
      </c>
      <c r="B9">
        <v>15</v>
      </c>
      <c r="C9">
        <v>2</v>
      </c>
      <c r="D9" t="s">
        <v>5401</v>
      </c>
      <c r="E9" t="s">
        <v>5217</v>
      </c>
      <c r="F9" t="s">
        <v>5367</v>
      </c>
      <c r="G9" t="s">
        <v>5366</v>
      </c>
      <c r="H9" t="s">
        <v>5365</v>
      </c>
      <c r="I9" t="s">
        <v>5400</v>
      </c>
      <c r="J9" t="s">
        <v>182</v>
      </c>
      <c r="K9">
        <v>3</v>
      </c>
      <c r="L9" s="29">
        <v>110573</v>
      </c>
    </row>
    <row r="10" spans="1:12" x14ac:dyDescent="0.25">
      <c r="A10" t="s">
        <v>1248</v>
      </c>
      <c r="B10">
        <v>16</v>
      </c>
      <c r="C10">
        <v>2</v>
      </c>
      <c r="D10" t="s">
        <v>1266</v>
      </c>
      <c r="E10" t="s">
        <v>5217</v>
      </c>
      <c r="F10" t="s">
        <v>5367</v>
      </c>
      <c r="G10" t="s">
        <v>5366</v>
      </c>
      <c r="H10" t="s">
        <v>5365</v>
      </c>
      <c r="I10" t="s">
        <v>5399</v>
      </c>
      <c r="J10" t="s">
        <v>5398</v>
      </c>
      <c r="K10">
        <v>3</v>
      </c>
      <c r="L10" s="29">
        <v>7694</v>
      </c>
    </row>
    <row r="11" spans="1:12" x14ac:dyDescent="0.25">
      <c r="A11" t="s">
        <v>1248</v>
      </c>
      <c r="B11">
        <v>17</v>
      </c>
      <c r="C11">
        <v>2</v>
      </c>
      <c r="D11" t="s">
        <v>5397</v>
      </c>
      <c r="E11" t="s">
        <v>5217</v>
      </c>
      <c r="F11" t="s">
        <v>5367</v>
      </c>
      <c r="G11" t="s">
        <v>5366</v>
      </c>
      <c r="H11" t="s">
        <v>5365</v>
      </c>
      <c r="I11" t="s">
        <v>5396</v>
      </c>
      <c r="J11" t="s">
        <v>5395</v>
      </c>
      <c r="K11">
        <v>3</v>
      </c>
      <c r="L11" t="s">
        <v>5394</v>
      </c>
    </row>
    <row r="12" spans="1:12" x14ac:dyDescent="0.25">
      <c r="A12" t="s">
        <v>1248</v>
      </c>
      <c r="B12">
        <v>20</v>
      </c>
      <c r="C12">
        <v>2</v>
      </c>
      <c r="D12" t="s">
        <v>5393</v>
      </c>
      <c r="E12" t="s">
        <v>5217</v>
      </c>
      <c r="F12" t="s">
        <v>5367</v>
      </c>
      <c r="G12" t="s">
        <v>5366</v>
      </c>
      <c r="H12" t="s">
        <v>5365</v>
      </c>
      <c r="I12" t="s">
        <v>5392</v>
      </c>
      <c r="J12" t="s">
        <v>5391</v>
      </c>
      <c r="K12">
        <v>3</v>
      </c>
      <c r="L12" s="29">
        <v>781967</v>
      </c>
    </row>
    <row r="13" spans="1:12" x14ac:dyDescent="0.25">
      <c r="A13" t="s">
        <v>1248</v>
      </c>
      <c r="B13">
        <v>21</v>
      </c>
      <c r="C13">
        <v>2</v>
      </c>
      <c r="D13" t="s">
        <v>5390</v>
      </c>
      <c r="E13" t="s">
        <v>5217</v>
      </c>
      <c r="F13" t="s">
        <v>5367</v>
      </c>
      <c r="G13" t="s">
        <v>5366</v>
      </c>
      <c r="H13" t="s">
        <v>5365</v>
      </c>
      <c r="I13" t="s">
        <v>5389</v>
      </c>
      <c r="J13" t="s">
        <v>5388</v>
      </c>
      <c r="K13">
        <v>3</v>
      </c>
      <c r="L13" t="s">
        <v>5387</v>
      </c>
    </row>
    <row r="14" spans="1:12" x14ac:dyDescent="0.25">
      <c r="A14" t="s">
        <v>1248</v>
      </c>
      <c r="B14">
        <v>23</v>
      </c>
      <c r="C14">
        <v>2</v>
      </c>
      <c r="D14" t="s">
        <v>5386</v>
      </c>
      <c r="E14" t="s">
        <v>5217</v>
      </c>
      <c r="F14" t="s">
        <v>5367</v>
      </c>
      <c r="G14" t="s">
        <v>5366</v>
      </c>
      <c r="H14" t="s">
        <v>5365</v>
      </c>
      <c r="I14" t="s">
        <v>5385</v>
      </c>
      <c r="J14" t="s">
        <v>5384</v>
      </c>
      <c r="K14">
        <v>3</v>
      </c>
      <c r="L14" s="29">
        <v>120167</v>
      </c>
    </row>
    <row r="15" spans="1:12" x14ac:dyDescent="0.25">
      <c r="A15" t="s">
        <v>1248</v>
      </c>
      <c r="B15">
        <v>24</v>
      </c>
      <c r="C15">
        <v>2</v>
      </c>
      <c r="D15" t="s">
        <v>5383</v>
      </c>
      <c r="E15" t="s">
        <v>5217</v>
      </c>
      <c r="F15" t="s">
        <v>5367</v>
      </c>
      <c r="G15" t="s">
        <v>5366</v>
      </c>
      <c r="H15" t="s">
        <v>5365</v>
      </c>
      <c r="I15" t="s">
        <v>5382</v>
      </c>
      <c r="J15" t="s">
        <v>5381</v>
      </c>
      <c r="K15">
        <v>3</v>
      </c>
      <c r="L15" s="29">
        <v>924743</v>
      </c>
    </row>
    <row r="16" spans="1:12" x14ac:dyDescent="0.25">
      <c r="A16" t="s">
        <v>1248</v>
      </c>
      <c r="B16">
        <v>25</v>
      </c>
      <c r="C16">
        <v>2</v>
      </c>
      <c r="D16" t="s">
        <v>5380</v>
      </c>
      <c r="E16" t="s">
        <v>5217</v>
      </c>
      <c r="F16" t="s">
        <v>5367</v>
      </c>
      <c r="G16" t="s">
        <v>5366</v>
      </c>
      <c r="H16" t="s">
        <v>5365</v>
      </c>
      <c r="I16" t="s">
        <v>5379</v>
      </c>
      <c r="J16" t="s">
        <v>5378</v>
      </c>
      <c r="K16">
        <v>3</v>
      </c>
      <c r="L16" s="29">
        <v>107938</v>
      </c>
    </row>
    <row r="17" spans="1:12" x14ac:dyDescent="0.25">
      <c r="A17" t="s">
        <v>1248</v>
      </c>
      <c r="B17">
        <v>26</v>
      </c>
      <c r="C17">
        <v>2</v>
      </c>
      <c r="D17" t="s">
        <v>5377</v>
      </c>
      <c r="E17" t="s">
        <v>5217</v>
      </c>
      <c r="F17" t="s">
        <v>5367</v>
      </c>
      <c r="G17" t="s">
        <v>5366</v>
      </c>
      <c r="H17" t="s">
        <v>5365</v>
      </c>
      <c r="I17" t="s">
        <v>5376</v>
      </c>
      <c r="J17" t="s">
        <v>5375</v>
      </c>
      <c r="K17">
        <v>3</v>
      </c>
      <c r="L17" s="29">
        <v>258085</v>
      </c>
    </row>
    <row r="18" spans="1:12" x14ac:dyDescent="0.25">
      <c r="A18" t="s">
        <v>1248</v>
      </c>
      <c r="B18">
        <v>28</v>
      </c>
      <c r="C18">
        <v>2</v>
      </c>
      <c r="D18" t="s">
        <v>5374</v>
      </c>
      <c r="E18" t="s">
        <v>5217</v>
      </c>
      <c r="F18" t="s">
        <v>5367</v>
      </c>
      <c r="G18" t="s">
        <v>5366</v>
      </c>
      <c r="H18" t="s">
        <v>5365</v>
      </c>
      <c r="I18" t="s">
        <v>5373</v>
      </c>
      <c r="J18" t="s">
        <v>5372</v>
      </c>
      <c r="K18">
        <v>3</v>
      </c>
      <c r="L18" s="29">
        <v>680579</v>
      </c>
    </row>
    <row r="19" spans="1:12" x14ac:dyDescent="0.25">
      <c r="A19" t="s">
        <v>1248</v>
      </c>
      <c r="B19">
        <v>29</v>
      </c>
      <c r="C19">
        <v>2</v>
      </c>
      <c r="D19" t="s">
        <v>5371</v>
      </c>
      <c r="E19" t="s">
        <v>5217</v>
      </c>
      <c r="F19" t="s">
        <v>5367</v>
      </c>
      <c r="G19" t="s">
        <v>5366</v>
      </c>
      <c r="H19" t="s">
        <v>5365</v>
      </c>
      <c r="I19" t="s">
        <v>5370</v>
      </c>
      <c r="J19" t="s">
        <v>5369</v>
      </c>
      <c r="K19">
        <v>3</v>
      </c>
      <c r="L19" s="29">
        <v>121864</v>
      </c>
    </row>
    <row r="20" spans="1:12" x14ac:dyDescent="0.25">
      <c r="A20" t="s">
        <v>1248</v>
      </c>
      <c r="B20">
        <v>30</v>
      </c>
      <c r="C20">
        <v>2</v>
      </c>
      <c r="D20" t="s">
        <v>5368</v>
      </c>
      <c r="E20" t="s">
        <v>5217</v>
      </c>
      <c r="F20" t="s">
        <v>5367</v>
      </c>
      <c r="G20" t="s">
        <v>5366</v>
      </c>
      <c r="H20" t="s">
        <v>5365</v>
      </c>
      <c r="I20" t="s">
        <v>5364</v>
      </c>
      <c r="J20" t="s">
        <v>5363</v>
      </c>
      <c r="K20">
        <v>3</v>
      </c>
      <c r="L20" s="29">
        <v>396384</v>
      </c>
    </row>
    <row r="21" spans="1:12" x14ac:dyDescent="0.25">
      <c r="A21" t="s">
        <v>1258</v>
      </c>
      <c r="B21" t="s">
        <v>5362</v>
      </c>
    </row>
    <row r="22" spans="1:12" x14ac:dyDescent="0.25">
      <c r="A22" t="s">
        <v>1256</v>
      </c>
      <c r="B22" t="s">
        <v>5241</v>
      </c>
      <c r="C22" t="s">
        <v>5361</v>
      </c>
      <c r="D22" t="s">
        <v>5210</v>
      </c>
    </row>
    <row r="23" spans="1:12" x14ac:dyDescent="0.25">
      <c r="A23" t="s">
        <v>1248</v>
      </c>
      <c r="B23">
        <v>1</v>
      </c>
      <c r="C23" t="s">
        <v>5360</v>
      </c>
      <c r="D23" t="s">
        <v>1266</v>
      </c>
    </row>
    <row r="24" spans="1:12" x14ac:dyDescent="0.25">
      <c r="A24" t="s">
        <v>1258</v>
      </c>
      <c r="B24" t="s">
        <v>5359</v>
      </c>
    </row>
    <row r="25" spans="1:12" x14ac:dyDescent="0.25">
      <c r="A25" t="s">
        <v>1256</v>
      </c>
      <c r="B25" t="s">
        <v>5358</v>
      </c>
      <c r="C25" t="s">
        <v>4618</v>
      </c>
      <c r="D25" t="s">
        <v>5357</v>
      </c>
      <c r="E25" t="s">
        <v>5356</v>
      </c>
    </row>
    <row r="26" spans="1:12" x14ac:dyDescent="0.25">
      <c r="A26" t="s">
        <v>1248</v>
      </c>
      <c r="B26">
        <v>11</v>
      </c>
      <c r="C26">
        <v>20005</v>
      </c>
      <c r="D26" t="s">
        <v>5355</v>
      </c>
      <c r="E26" t="s">
        <v>5354</v>
      </c>
    </row>
    <row r="27" spans="1:12" x14ac:dyDescent="0.25">
      <c r="A27" t="s">
        <v>1248</v>
      </c>
      <c r="B27">
        <v>12</v>
      </c>
      <c r="C27">
        <v>4</v>
      </c>
      <c r="D27" t="s">
        <v>5353</v>
      </c>
      <c r="E27" t="s">
        <v>5352</v>
      </c>
    </row>
    <row r="28" spans="1:12" x14ac:dyDescent="0.25">
      <c r="A28" t="s">
        <v>1248</v>
      </c>
      <c r="B28">
        <v>13</v>
      </c>
      <c r="C28">
        <v>3</v>
      </c>
      <c r="D28" t="s">
        <v>5351</v>
      </c>
      <c r="E28" t="s">
        <v>5350</v>
      </c>
    </row>
    <row r="29" spans="1:12" x14ac:dyDescent="0.25">
      <c r="A29" t="s">
        <v>1248</v>
      </c>
      <c r="B29">
        <v>100</v>
      </c>
      <c r="C29">
        <v>20004</v>
      </c>
      <c r="D29" t="s">
        <v>5349</v>
      </c>
      <c r="E29" t="s">
        <v>5348</v>
      </c>
    </row>
    <row r="30" spans="1:12" x14ac:dyDescent="0.25">
      <c r="A30" t="s">
        <v>1248</v>
      </c>
      <c r="B30">
        <v>105</v>
      </c>
      <c r="C30">
        <v>1</v>
      </c>
      <c r="D30" t="s">
        <v>5347</v>
      </c>
      <c r="E30" t="s">
        <v>5346</v>
      </c>
    </row>
    <row r="31" spans="1:12" x14ac:dyDescent="0.25">
      <c r="A31" t="s">
        <v>1248</v>
      </c>
      <c r="B31">
        <v>106</v>
      </c>
      <c r="C31">
        <v>2</v>
      </c>
      <c r="D31" t="s">
        <v>5345</v>
      </c>
      <c r="E31" t="s">
        <v>5344</v>
      </c>
    </row>
    <row r="32" spans="1:12" x14ac:dyDescent="0.25">
      <c r="A32" t="s">
        <v>1248</v>
      </c>
      <c r="B32">
        <v>107</v>
      </c>
      <c r="C32">
        <v>10004</v>
      </c>
      <c r="D32" t="s">
        <v>5343</v>
      </c>
      <c r="E32" t="s">
        <v>5342</v>
      </c>
    </row>
    <row r="33" spans="1:10" x14ac:dyDescent="0.25">
      <c r="A33" t="s">
        <v>1258</v>
      </c>
      <c r="B33" t="s">
        <v>5341</v>
      </c>
    </row>
    <row r="34" spans="1:10" x14ac:dyDescent="0.25">
      <c r="A34" t="s">
        <v>1256</v>
      </c>
      <c r="B34" t="s">
        <v>5151</v>
      </c>
      <c r="C34" t="s">
        <v>5340</v>
      </c>
      <c r="D34" t="s">
        <v>3101</v>
      </c>
      <c r="E34" t="s">
        <v>4618</v>
      </c>
      <c r="F34" t="s">
        <v>5339</v>
      </c>
      <c r="G34" t="s">
        <v>5338</v>
      </c>
    </row>
    <row r="35" spans="1:10" x14ac:dyDescent="0.25">
      <c r="A35" t="s">
        <v>1248</v>
      </c>
      <c r="B35">
        <v>565</v>
      </c>
      <c r="E35">
        <v>0</v>
      </c>
      <c r="F35" t="s">
        <v>5337</v>
      </c>
      <c r="G35" t="s">
        <v>5336</v>
      </c>
    </row>
    <row r="36" spans="1:10" x14ac:dyDescent="0.25">
      <c r="A36" t="s">
        <v>1258</v>
      </c>
      <c r="B36" t="s">
        <v>5335</v>
      </c>
    </row>
    <row r="37" spans="1:10" x14ac:dyDescent="0.25">
      <c r="A37" t="s">
        <v>1256</v>
      </c>
      <c r="B37" t="s">
        <v>1255</v>
      </c>
      <c r="C37" t="s">
        <v>5334</v>
      </c>
      <c r="D37" t="s">
        <v>5333</v>
      </c>
      <c r="E37" t="s">
        <v>5332</v>
      </c>
      <c r="F37" t="s">
        <v>5331</v>
      </c>
      <c r="G37" t="s">
        <v>5330</v>
      </c>
      <c r="H37" t="s">
        <v>5329</v>
      </c>
      <c r="I37" t="s">
        <v>5328</v>
      </c>
      <c r="J37" t="s">
        <v>4615</v>
      </c>
    </row>
    <row r="38" spans="1:10" x14ac:dyDescent="0.25">
      <c r="A38" t="s">
        <v>1248</v>
      </c>
      <c r="B38">
        <v>182</v>
      </c>
      <c r="C38" t="s">
        <v>4602</v>
      </c>
      <c r="D38" t="s">
        <v>5327</v>
      </c>
      <c r="E38" t="s">
        <v>5326</v>
      </c>
      <c r="F38" t="s">
        <v>5323</v>
      </c>
      <c r="G38" t="s">
        <v>1265</v>
      </c>
    </row>
    <row r="39" spans="1:10" x14ac:dyDescent="0.25">
      <c r="A39" t="s">
        <v>1248</v>
      </c>
      <c r="B39">
        <v>207</v>
      </c>
      <c r="C39" t="s">
        <v>4602</v>
      </c>
      <c r="D39" t="s">
        <v>5325</v>
      </c>
      <c r="E39" t="s">
        <v>5324</v>
      </c>
      <c r="F39" t="s">
        <v>5323</v>
      </c>
      <c r="G39" t="s">
        <v>1265</v>
      </c>
    </row>
    <row r="40" spans="1:10" x14ac:dyDescent="0.25">
      <c r="A40" t="s">
        <v>1248</v>
      </c>
      <c r="B40">
        <v>262</v>
      </c>
      <c r="C40" t="s">
        <v>4602</v>
      </c>
      <c r="D40" t="s">
        <v>5322</v>
      </c>
      <c r="E40" t="s">
        <v>5321</v>
      </c>
      <c r="F40" t="s">
        <v>5312</v>
      </c>
      <c r="G40" t="s">
        <v>1265</v>
      </c>
    </row>
    <row r="41" spans="1:10" x14ac:dyDescent="0.25">
      <c r="A41" t="s">
        <v>1248</v>
      </c>
      <c r="B41">
        <v>263</v>
      </c>
      <c r="C41" t="s">
        <v>4602</v>
      </c>
      <c r="D41" t="s">
        <v>5320</v>
      </c>
      <c r="E41" t="s">
        <v>5319</v>
      </c>
      <c r="F41" t="s">
        <v>5312</v>
      </c>
      <c r="G41" t="s">
        <v>1265</v>
      </c>
    </row>
    <row r="42" spans="1:10" x14ac:dyDescent="0.25">
      <c r="A42" t="s">
        <v>1248</v>
      </c>
      <c r="B42">
        <v>266</v>
      </c>
      <c r="C42" t="s">
        <v>5295</v>
      </c>
      <c r="D42" t="s">
        <v>5318</v>
      </c>
      <c r="E42" t="s">
        <v>5317</v>
      </c>
      <c r="F42" t="s">
        <v>5312</v>
      </c>
      <c r="G42" t="s">
        <v>1265</v>
      </c>
    </row>
    <row r="43" spans="1:10" x14ac:dyDescent="0.25">
      <c r="A43" t="s">
        <v>1248</v>
      </c>
      <c r="B43">
        <v>267</v>
      </c>
      <c r="C43" t="s">
        <v>5295</v>
      </c>
      <c r="D43" t="s">
        <v>5316</v>
      </c>
      <c r="E43" t="s">
        <v>5315</v>
      </c>
      <c r="F43" t="s">
        <v>5312</v>
      </c>
      <c r="G43" t="s">
        <v>1265</v>
      </c>
    </row>
    <row r="44" spans="1:10" x14ac:dyDescent="0.25">
      <c r="A44" t="s">
        <v>1248</v>
      </c>
      <c r="B44">
        <v>268</v>
      </c>
      <c r="C44" t="s">
        <v>5295</v>
      </c>
      <c r="D44" t="s">
        <v>5314</v>
      </c>
      <c r="E44" t="s">
        <v>5313</v>
      </c>
      <c r="F44" t="s">
        <v>5312</v>
      </c>
      <c r="G44" t="s">
        <v>1265</v>
      </c>
    </row>
    <row r="45" spans="1:10" x14ac:dyDescent="0.25">
      <c r="A45" t="s">
        <v>1258</v>
      </c>
      <c r="B45" t="s">
        <v>5311</v>
      </c>
    </row>
    <row r="46" spans="1:10" x14ac:dyDescent="0.25">
      <c r="A46" t="s">
        <v>1256</v>
      </c>
      <c r="B46" t="s">
        <v>4736</v>
      </c>
      <c r="C46" t="s">
        <v>4618</v>
      </c>
      <c r="D46" t="s">
        <v>5310</v>
      </c>
      <c r="E46" t="s">
        <v>5309</v>
      </c>
    </row>
    <row r="47" spans="1:10" x14ac:dyDescent="0.25">
      <c r="A47" t="s">
        <v>1248</v>
      </c>
      <c r="B47">
        <v>100</v>
      </c>
      <c r="C47">
        <v>10</v>
      </c>
      <c r="D47" t="s">
        <v>5308</v>
      </c>
      <c r="E47" t="s">
        <v>877</v>
      </c>
    </row>
    <row r="48" spans="1:10" x14ac:dyDescent="0.25">
      <c r="A48" t="s">
        <v>1248</v>
      </c>
      <c r="B48">
        <v>101</v>
      </c>
      <c r="C48">
        <v>20</v>
      </c>
      <c r="D48" t="s">
        <v>75</v>
      </c>
      <c r="E48" t="s">
        <v>917</v>
      </c>
    </row>
    <row r="49" spans="1:86" x14ac:dyDescent="0.25">
      <c r="A49" t="s">
        <v>1248</v>
      </c>
      <c r="B49">
        <v>103</v>
      </c>
      <c r="C49">
        <v>40</v>
      </c>
      <c r="D49" t="s">
        <v>5307</v>
      </c>
      <c r="E49" t="s">
        <v>687</v>
      </c>
    </row>
    <row r="50" spans="1:86" x14ac:dyDescent="0.25">
      <c r="A50" t="s">
        <v>1248</v>
      </c>
      <c r="B50">
        <v>104</v>
      </c>
      <c r="C50">
        <v>50</v>
      </c>
      <c r="D50" t="s">
        <v>5306</v>
      </c>
      <c r="E50" t="s">
        <v>183</v>
      </c>
    </row>
    <row r="51" spans="1:86" x14ac:dyDescent="0.25">
      <c r="A51" t="s">
        <v>1248</v>
      </c>
      <c r="B51">
        <v>111</v>
      </c>
      <c r="C51">
        <v>120</v>
      </c>
      <c r="D51" t="s">
        <v>104</v>
      </c>
      <c r="E51" t="s">
        <v>797</v>
      </c>
    </row>
    <row r="52" spans="1:86" x14ac:dyDescent="0.25">
      <c r="A52" t="s">
        <v>1258</v>
      </c>
      <c r="B52" t="s">
        <v>5305</v>
      </c>
    </row>
    <row r="53" spans="1:86" x14ac:dyDescent="0.25">
      <c r="A53" t="s">
        <v>1256</v>
      </c>
      <c r="B53" t="s">
        <v>3132</v>
      </c>
      <c r="C53" t="s">
        <v>5304</v>
      </c>
      <c r="D53" t="s">
        <v>5303</v>
      </c>
      <c r="E53" t="s">
        <v>5302</v>
      </c>
      <c r="F53" t="s">
        <v>5301</v>
      </c>
      <c r="G53" t="s">
        <v>5300</v>
      </c>
    </row>
    <row r="54" spans="1:86" x14ac:dyDescent="0.25">
      <c r="A54" t="s">
        <v>1248</v>
      </c>
      <c r="B54">
        <v>745</v>
      </c>
      <c r="C54">
        <v>746</v>
      </c>
      <c r="D54">
        <v>0</v>
      </c>
      <c r="E54" t="s">
        <v>5299</v>
      </c>
      <c r="F54" t="s">
        <v>5298</v>
      </c>
    </row>
    <row r="55" spans="1:86" x14ac:dyDescent="0.25">
      <c r="A55" t="s">
        <v>1248</v>
      </c>
      <c r="B55">
        <v>746</v>
      </c>
      <c r="D55">
        <v>0</v>
      </c>
      <c r="E55" t="s">
        <v>5297</v>
      </c>
      <c r="F55" t="s">
        <v>5296</v>
      </c>
    </row>
    <row r="56" spans="1:86" x14ac:dyDescent="0.25">
      <c r="A56" t="s">
        <v>1258</v>
      </c>
      <c r="B56" t="s">
        <v>5295</v>
      </c>
    </row>
    <row r="57" spans="1:86" x14ac:dyDescent="0.25">
      <c r="A57" t="s">
        <v>1256</v>
      </c>
      <c r="B57" t="s">
        <v>1253</v>
      </c>
      <c r="C57" t="s">
        <v>5294</v>
      </c>
      <c r="D57" t="s">
        <v>5293</v>
      </c>
      <c r="E57" t="s">
        <v>5292</v>
      </c>
      <c r="F57" t="s">
        <v>5291</v>
      </c>
      <c r="G57" t="s">
        <v>5290</v>
      </c>
      <c r="H57" t="s">
        <v>5289</v>
      </c>
      <c r="I57" t="s">
        <v>5288</v>
      </c>
      <c r="J57" t="s">
        <v>5287</v>
      </c>
      <c r="K57" t="s">
        <v>5286</v>
      </c>
      <c r="L57" t="s">
        <v>5285</v>
      </c>
      <c r="M57" t="s">
        <v>5284</v>
      </c>
      <c r="N57" t="s">
        <v>5283</v>
      </c>
      <c r="O57" t="s">
        <v>3132</v>
      </c>
      <c r="P57" t="s">
        <v>5282</v>
      </c>
      <c r="Q57" t="s">
        <v>5281</v>
      </c>
      <c r="R57" t="s">
        <v>5280</v>
      </c>
      <c r="S57" t="s">
        <v>4600</v>
      </c>
      <c r="T57" t="s">
        <v>5279</v>
      </c>
      <c r="U57" t="s">
        <v>5278</v>
      </c>
      <c r="V57" t="s">
        <v>5277</v>
      </c>
      <c r="W57" t="s">
        <v>5276</v>
      </c>
      <c r="X57" t="s">
        <v>5275</v>
      </c>
      <c r="Y57" t="s">
        <v>5274</v>
      </c>
      <c r="Z57" t="s">
        <v>4730</v>
      </c>
      <c r="AA57" t="s">
        <v>5273</v>
      </c>
      <c r="AB57" t="s">
        <v>5272</v>
      </c>
      <c r="AC57" t="s">
        <v>5271</v>
      </c>
      <c r="AD57" t="s">
        <v>5270</v>
      </c>
      <c r="AE57" t="s">
        <v>5269</v>
      </c>
      <c r="AF57" t="s">
        <v>5268</v>
      </c>
      <c r="AG57" t="s">
        <v>5267</v>
      </c>
      <c r="AH57" t="s">
        <v>5266</v>
      </c>
      <c r="AI57" t="s">
        <v>5265</v>
      </c>
      <c r="AJ57" t="s">
        <v>5264</v>
      </c>
      <c r="AK57" t="s">
        <v>5263</v>
      </c>
      <c r="AL57" t="s">
        <v>3101</v>
      </c>
      <c r="AM57" t="s">
        <v>5262</v>
      </c>
      <c r="AN57" t="s">
        <v>5261</v>
      </c>
      <c r="AO57" t="s">
        <v>5260</v>
      </c>
      <c r="AP57" t="s">
        <v>5259</v>
      </c>
      <c r="AQ57" t="s">
        <v>5258</v>
      </c>
      <c r="AR57" t="s">
        <v>5257</v>
      </c>
      <c r="AS57" t="s">
        <v>5256</v>
      </c>
      <c r="AT57" t="s">
        <v>5255</v>
      </c>
      <c r="AU57" t="s">
        <v>5254</v>
      </c>
      <c r="AV57" t="s">
        <v>5253</v>
      </c>
      <c r="AW57" t="s">
        <v>5252</v>
      </c>
      <c r="AX57" t="s">
        <v>5251</v>
      </c>
      <c r="AY57" t="s">
        <v>5250</v>
      </c>
      <c r="AZ57" t="s">
        <v>5249</v>
      </c>
      <c r="BA57" t="s">
        <v>5248</v>
      </c>
      <c r="BB57" t="s">
        <v>5247</v>
      </c>
      <c r="BC57" t="s">
        <v>5246</v>
      </c>
      <c r="BD57" t="s">
        <v>5245</v>
      </c>
      <c r="BE57" t="s">
        <v>5244</v>
      </c>
      <c r="BF57" t="s">
        <v>5243</v>
      </c>
      <c r="BG57" t="s">
        <v>5242</v>
      </c>
      <c r="BH57" t="s">
        <v>5241</v>
      </c>
      <c r="BI57" t="s">
        <v>5240</v>
      </c>
      <c r="BJ57" t="s">
        <v>5239</v>
      </c>
      <c r="BK57" t="s">
        <v>5238</v>
      </c>
      <c r="BL57" t="s">
        <v>5237</v>
      </c>
      <c r="BM57" t="s">
        <v>5236</v>
      </c>
      <c r="BN57" t="s">
        <v>4553</v>
      </c>
      <c r="BO57" t="s">
        <v>5235</v>
      </c>
      <c r="BP57" t="s">
        <v>5234</v>
      </c>
      <c r="BQ57" t="s">
        <v>5233</v>
      </c>
      <c r="BR57" t="s">
        <v>5232</v>
      </c>
      <c r="BS57" t="s">
        <v>5231</v>
      </c>
      <c r="BT57" t="s">
        <v>5230</v>
      </c>
      <c r="BU57" t="s">
        <v>4554</v>
      </c>
      <c r="BV57" t="s">
        <v>5229</v>
      </c>
      <c r="BW57" t="s">
        <v>4615</v>
      </c>
      <c r="BX57" t="s">
        <v>5228</v>
      </c>
      <c r="BY57" t="s">
        <v>5227</v>
      </c>
      <c r="BZ57" t="s">
        <v>5226</v>
      </c>
      <c r="CA57" t="s">
        <v>5225</v>
      </c>
      <c r="CB57" t="s">
        <v>5224</v>
      </c>
      <c r="CC57" t="s">
        <v>5223</v>
      </c>
      <c r="CD57" t="s">
        <v>5222</v>
      </c>
      <c r="CE57" t="s">
        <v>5221</v>
      </c>
      <c r="CF57" t="s">
        <v>5220</v>
      </c>
      <c r="CG57" t="s">
        <v>5219</v>
      </c>
      <c r="CH57" t="s">
        <v>5218</v>
      </c>
    </row>
    <row r="58" spans="1:86" x14ac:dyDescent="0.25">
      <c r="A58" t="s">
        <v>1248</v>
      </c>
      <c r="B58">
        <v>405</v>
      </c>
      <c r="C58">
        <v>1</v>
      </c>
      <c r="D58" t="s">
        <v>1266</v>
      </c>
      <c r="E58" t="s">
        <v>1266</v>
      </c>
      <c r="F58" t="s">
        <v>1266</v>
      </c>
      <c r="G58" t="s">
        <v>1265</v>
      </c>
      <c r="H58" t="s">
        <v>1266</v>
      </c>
      <c r="I58" t="s">
        <v>1266</v>
      </c>
      <c r="J58" t="s">
        <v>1265</v>
      </c>
      <c r="K58" t="s">
        <v>1266</v>
      </c>
      <c r="L58" t="s">
        <v>5217</v>
      </c>
      <c r="M58" t="s">
        <v>3177</v>
      </c>
      <c r="N58" t="s">
        <v>5132</v>
      </c>
      <c r="O58">
        <v>745</v>
      </c>
      <c r="S58">
        <v>1117</v>
      </c>
      <c r="U58">
        <v>1000</v>
      </c>
      <c r="V58">
        <v>10</v>
      </c>
      <c r="W58">
        <v>10</v>
      </c>
      <c r="X58">
        <v>0</v>
      </c>
      <c r="Y58">
        <v>500</v>
      </c>
      <c r="AA58">
        <v>0</v>
      </c>
      <c r="AB58" t="s">
        <v>1262</v>
      </c>
      <c r="AC58" s="30">
        <v>45614.333333333336</v>
      </c>
      <c r="AD58" s="30">
        <v>45614.291666666664</v>
      </c>
      <c r="AF58" s="30">
        <v>46519.708333333336</v>
      </c>
      <c r="AG58" s="30">
        <v>45953.652083333334</v>
      </c>
      <c r="AJ58" t="s">
        <v>3175</v>
      </c>
      <c r="AK58" t="s">
        <v>425</v>
      </c>
      <c r="AL58" t="s">
        <v>5216</v>
      </c>
      <c r="AM58" t="s">
        <v>4622</v>
      </c>
      <c r="AN58" t="s">
        <v>2716</v>
      </c>
      <c r="AQ58" t="s">
        <v>1263</v>
      </c>
      <c r="AR58" t="s">
        <v>1266</v>
      </c>
      <c r="AS58" t="s">
        <v>1266</v>
      </c>
      <c r="AT58" t="s">
        <v>3176</v>
      </c>
      <c r="AU58" t="s">
        <v>1265</v>
      </c>
      <c r="AV58" t="s">
        <v>5215</v>
      </c>
      <c r="AW58" t="s">
        <v>1266</v>
      </c>
      <c r="AX58" t="s">
        <v>1266</v>
      </c>
      <c r="AY58" t="s">
        <v>1266</v>
      </c>
      <c r="AZ58" t="s">
        <v>1266</v>
      </c>
      <c r="BA58" t="s">
        <v>1265</v>
      </c>
      <c r="BB58" t="s">
        <v>1265</v>
      </c>
      <c r="BC58" t="s">
        <v>5213</v>
      </c>
      <c r="BH58">
        <v>1</v>
      </c>
      <c r="BI58" s="30">
        <v>46126.704861111109</v>
      </c>
      <c r="BL58" t="s">
        <v>4764</v>
      </c>
      <c r="BM58" t="s">
        <v>5214</v>
      </c>
      <c r="BN58" t="s">
        <v>1265</v>
      </c>
      <c r="BO58" t="s">
        <v>1265</v>
      </c>
      <c r="BP58" t="s">
        <v>1266</v>
      </c>
      <c r="BQ58" t="s">
        <v>5213</v>
      </c>
      <c r="BS58">
        <v>50</v>
      </c>
      <c r="BV58">
        <v>7</v>
      </c>
      <c r="BW58" t="s">
        <v>1266</v>
      </c>
      <c r="CA58" t="s">
        <v>1265</v>
      </c>
      <c r="CB58" t="s">
        <v>5212</v>
      </c>
      <c r="CC58">
        <v>4</v>
      </c>
    </row>
    <row r="59" spans="1:86" x14ac:dyDescent="0.25">
      <c r="A59" t="s">
        <v>1258</v>
      </c>
      <c r="B59" t="s">
        <v>5211</v>
      </c>
    </row>
    <row r="60" spans="1:86" x14ac:dyDescent="0.25">
      <c r="A60" t="s">
        <v>1256</v>
      </c>
      <c r="B60" t="s">
        <v>4600</v>
      </c>
      <c r="C60" t="s">
        <v>5210</v>
      </c>
      <c r="D60" t="s">
        <v>5209</v>
      </c>
      <c r="E60" t="s">
        <v>1253</v>
      </c>
      <c r="F60" t="s">
        <v>5208</v>
      </c>
      <c r="G60" t="s">
        <v>5207</v>
      </c>
      <c r="H60" t="s">
        <v>5206</v>
      </c>
      <c r="I60" t="s">
        <v>5205</v>
      </c>
      <c r="J60" t="s">
        <v>5204</v>
      </c>
      <c r="K60" t="s">
        <v>5203</v>
      </c>
      <c r="L60" t="s">
        <v>5202</v>
      </c>
      <c r="M60" t="s">
        <v>5201</v>
      </c>
      <c r="N60" t="s">
        <v>5200</v>
      </c>
    </row>
    <row r="61" spans="1:86" x14ac:dyDescent="0.25">
      <c r="A61" t="s">
        <v>1248</v>
      </c>
      <c r="B61">
        <v>597</v>
      </c>
      <c r="C61" t="s">
        <v>1265</v>
      </c>
      <c r="D61" t="s">
        <v>5199</v>
      </c>
      <c r="G61" s="30">
        <v>46035</v>
      </c>
      <c r="H61" t="s">
        <v>5183</v>
      </c>
      <c r="I61">
        <v>8</v>
      </c>
      <c r="J61">
        <v>40</v>
      </c>
      <c r="K61">
        <v>172</v>
      </c>
      <c r="L61">
        <v>2000</v>
      </c>
      <c r="M61" t="s">
        <v>1265</v>
      </c>
      <c r="N61" t="s">
        <v>5198</v>
      </c>
    </row>
    <row r="62" spans="1:86" x14ac:dyDescent="0.25">
      <c r="A62" t="s">
        <v>1248</v>
      </c>
      <c r="B62">
        <v>638</v>
      </c>
      <c r="C62" t="s">
        <v>1265</v>
      </c>
      <c r="D62" t="s">
        <v>5197</v>
      </c>
      <c r="G62" s="30">
        <v>36669.676388888889</v>
      </c>
      <c r="H62" t="s">
        <v>5183</v>
      </c>
      <c r="I62">
        <v>8</v>
      </c>
      <c r="J62">
        <v>40</v>
      </c>
      <c r="K62">
        <v>172</v>
      </c>
      <c r="L62">
        <v>2000</v>
      </c>
      <c r="M62" t="s">
        <v>1265</v>
      </c>
      <c r="N62" t="s">
        <v>5196</v>
      </c>
    </row>
    <row r="63" spans="1:86" x14ac:dyDescent="0.25">
      <c r="A63" t="s">
        <v>1248</v>
      </c>
      <c r="B63">
        <v>791</v>
      </c>
      <c r="C63" t="s">
        <v>1265</v>
      </c>
      <c r="D63" t="s">
        <v>5195</v>
      </c>
      <c r="E63">
        <v>405</v>
      </c>
      <c r="F63">
        <v>638</v>
      </c>
      <c r="H63" t="s">
        <v>5188</v>
      </c>
      <c r="I63">
        <v>8</v>
      </c>
      <c r="J63">
        <v>40</v>
      </c>
      <c r="K63">
        <v>172</v>
      </c>
      <c r="L63">
        <v>2000</v>
      </c>
      <c r="M63" t="s">
        <v>1265</v>
      </c>
      <c r="N63" t="s">
        <v>5194</v>
      </c>
    </row>
    <row r="64" spans="1:86" x14ac:dyDescent="0.25">
      <c r="A64" t="s">
        <v>1248</v>
      </c>
      <c r="B64">
        <v>792</v>
      </c>
      <c r="C64" t="s">
        <v>1265</v>
      </c>
      <c r="D64" t="s">
        <v>5193</v>
      </c>
      <c r="E64">
        <v>405</v>
      </c>
      <c r="F64">
        <v>638</v>
      </c>
      <c r="H64" t="s">
        <v>5188</v>
      </c>
      <c r="I64">
        <v>8</v>
      </c>
      <c r="J64">
        <v>40</v>
      </c>
      <c r="K64">
        <v>172</v>
      </c>
      <c r="L64">
        <v>2000</v>
      </c>
      <c r="M64" t="s">
        <v>1265</v>
      </c>
      <c r="N64" t="s">
        <v>5192</v>
      </c>
    </row>
    <row r="65" spans="1:27" x14ac:dyDescent="0.25">
      <c r="A65" t="s">
        <v>1248</v>
      </c>
      <c r="B65">
        <v>793</v>
      </c>
      <c r="C65" t="s">
        <v>1265</v>
      </c>
      <c r="D65" t="s">
        <v>5191</v>
      </c>
      <c r="E65">
        <v>405</v>
      </c>
      <c r="F65">
        <v>638</v>
      </c>
      <c r="H65" t="s">
        <v>5188</v>
      </c>
      <c r="I65">
        <v>8</v>
      </c>
      <c r="J65">
        <v>40</v>
      </c>
      <c r="K65">
        <v>172</v>
      </c>
      <c r="L65">
        <v>2000</v>
      </c>
      <c r="M65" t="s">
        <v>1265</v>
      </c>
      <c r="N65" t="s">
        <v>5190</v>
      </c>
    </row>
    <row r="66" spans="1:27" x14ac:dyDescent="0.25">
      <c r="A66" t="s">
        <v>1248</v>
      </c>
      <c r="B66">
        <v>794</v>
      </c>
      <c r="C66" t="s">
        <v>1265</v>
      </c>
      <c r="D66" t="s">
        <v>5189</v>
      </c>
      <c r="E66">
        <v>405</v>
      </c>
      <c r="F66">
        <v>638</v>
      </c>
      <c r="H66" t="s">
        <v>5188</v>
      </c>
      <c r="I66">
        <v>24</v>
      </c>
      <c r="J66">
        <v>168</v>
      </c>
      <c r="K66">
        <v>744</v>
      </c>
      <c r="L66">
        <v>8784</v>
      </c>
      <c r="M66" t="s">
        <v>1265</v>
      </c>
      <c r="N66" t="s">
        <v>5187</v>
      </c>
    </row>
    <row r="67" spans="1:27" x14ac:dyDescent="0.25">
      <c r="A67" t="s">
        <v>1248</v>
      </c>
      <c r="B67">
        <v>1116</v>
      </c>
      <c r="C67" t="s">
        <v>1266</v>
      </c>
      <c r="D67" t="s">
        <v>5186</v>
      </c>
      <c r="G67" s="30">
        <v>46035</v>
      </c>
      <c r="H67" t="s">
        <v>5183</v>
      </c>
      <c r="I67">
        <v>8</v>
      </c>
      <c r="J67">
        <v>40</v>
      </c>
      <c r="K67">
        <v>172</v>
      </c>
      <c r="L67">
        <v>2000</v>
      </c>
      <c r="M67" t="s">
        <v>1265</v>
      </c>
      <c r="N67" t="s">
        <v>5185</v>
      </c>
    </row>
    <row r="68" spans="1:27" x14ac:dyDescent="0.25">
      <c r="A68" t="s">
        <v>1248</v>
      </c>
      <c r="B68">
        <v>1117</v>
      </c>
      <c r="C68" t="s">
        <v>1265</v>
      </c>
      <c r="D68" t="s">
        <v>5184</v>
      </c>
      <c r="G68" s="30">
        <v>46070</v>
      </c>
      <c r="H68" t="s">
        <v>5183</v>
      </c>
      <c r="I68">
        <v>8</v>
      </c>
      <c r="J68">
        <v>40</v>
      </c>
      <c r="K68">
        <v>172</v>
      </c>
      <c r="L68">
        <v>2000</v>
      </c>
      <c r="M68" t="s">
        <v>1265</v>
      </c>
      <c r="N68" t="s">
        <v>5182</v>
      </c>
    </row>
    <row r="69" spans="1:27" x14ac:dyDescent="0.25">
      <c r="A69" t="s">
        <v>1258</v>
      </c>
      <c r="B69" t="s">
        <v>5181</v>
      </c>
    </row>
    <row r="70" spans="1:27" x14ac:dyDescent="0.25">
      <c r="A70" t="s">
        <v>1256</v>
      </c>
      <c r="B70" t="s">
        <v>5180</v>
      </c>
      <c r="C70" t="s">
        <v>1253</v>
      </c>
      <c r="D70" t="s">
        <v>5179</v>
      </c>
      <c r="E70" t="s">
        <v>5178</v>
      </c>
      <c r="F70" t="s">
        <v>5177</v>
      </c>
      <c r="G70" t="s">
        <v>5176</v>
      </c>
      <c r="H70" t="s">
        <v>5175</v>
      </c>
      <c r="I70" t="s">
        <v>5174</v>
      </c>
      <c r="J70" t="s">
        <v>5173</v>
      </c>
      <c r="K70" t="s">
        <v>5172</v>
      </c>
      <c r="L70" t="s">
        <v>5171</v>
      </c>
      <c r="M70" t="s">
        <v>5170</v>
      </c>
      <c r="N70" t="s">
        <v>5169</v>
      </c>
      <c r="O70" t="s">
        <v>5168</v>
      </c>
      <c r="P70" t="s">
        <v>5167</v>
      </c>
      <c r="Q70" t="s">
        <v>5166</v>
      </c>
      <c r="R70" t="s">
        <v>5165</v>
      </c>
      <c r="S70" t="s">
        <v>5164</v>
      </c>
      <c r="T70" t="s">
        <v>5163</v>
      </c>
      <c r="U70" t="s">
        <v>5162</v>
      </c>
      <c r="V70" t="s">
        <v>5161</v>
      </c>
      <c r="W70" t="s">
        <v>5160</v>
      </c>
      <c r="X70" t="s">
        <v>5159</v>
      </c>
      <c r="Y70" t="s">
        <v>5158</v>
      </c>
      <c r="Z70" t="s">
        <v>5157</v>
      </c>
    </row>
    <row r="71" spans="1:27" x14ac:dyDescent="0.25">
      <c r="A71" t="s">
        <v>1248</v>
      </c>
      <c r="B71">
        <v>1</v>
      </c>
      <c r="C71">
        <v>405</v>
      </c>
      <c r="D71" t="s">
        <v>5156</v>
      </c>
      <c r="E71" t="s">
        <v>1265</v>
      </c>
      <c r="F71" t="s">
        <v>1266</v>
      </c>
      <c r="G71" t="s">
        <v>1266</v>
      </c>
      <c r="H71" t="s">
        <v>1265</v>
      </c>
      <c r="I71" t="s">
        <v>5155</v>
      </c>
      <c r="J71" t="s">
        <v>5154</v>
      </c>
      <c r="K71" t="s">
        <v>1266</v>
      </c>
      <c r="L71" t="s">
        <v>1265</v>
      </c>
      <c r="M71">
        <v>0</v>
      </c>
      <c r="N71" t="s">
        <v>1265</v>
      </c>
      <c r="O71">
        <v>5</v>
      </c>
      <c r="P71">
        <v>25</v>
      </c>
      <c r="Q71" t="s">
        <v>1265</v>
      </c>
      <c r="R71" t="s">
        <v>1266</v>
      </c>
      <c r="S71" t="s">
        <v>1266</v>
      </c>
      <c r="T71" t="s">
        <v>1266</v>
      </c>
      <c r="U71" t="s">
        <v>1265</v>
      </c>
      <c r="V71" t="s">
        <v>1266</v>
      </c>
      <c r="W71">
        <v>10</v>
      </c>
      <c r="X71" t="s">
        <v>1266</v>
      </c>
      <c r="Z71" t="s">
        <v>5153</v>
      </c>
    </row>
    <row r="72" spans="1:27" x14ac:dyDescent="0.25">
      <c r="A72" t="s">
        <v>1258</v>
      </c>
      <c r="B72" t="s">
        <v>5152</v>
      </c>
    </row>
    <row r="73" spans="1:27" x14ac:dyDescent="0.25">
      <c r="A73" t="s">
        <v>1256</v>
      </c>
      <c r="B73" t="s">
        <v>4601</v>
      </c>
      <c r="C73" t="s">
        <v>1253</v>
      </c>
      <c r="D73" t="s">
        <v>5151</v>
      </c>
      <c r="E73" t="s">
        <v>4618</v>
      </c>
      <c r="F73" t="s">
        <v>4597</v>
      </c>
      <c r="G73" t="s">
        <v>5150</v>
      </c>
      <c r="H73" t="s">
        <v>5149</v>
      </c>
      <c r="I73" t="s">
        <v>4592</v>
      </c>
      <c r="J73" t="s">
        <v>5148</v>
      </c>
      <c r="K73" t="s">
        <v>5147</v>
      </c>
      <c r="L73" t="s">
        <v>5146</v>
      </c>
      <c r="M73" t="s">
        <v>5145</v>
      </c>
      <c r="N73" t="s">
        <v>5144</v>
      </c>
      <c r="O73" t="s">
        <v>5143</v>
      </c>
      <c r="P73" t="s">
        <v>5142</v>
      </c>
      <c r="Q73" t="s">
        <v>5141</v>
      </c>
      <c r="R73" t="s">
        <v>5140</v>
      </c>
      <c r="S73" t="s">
        <v>5139</v>
      </c>
      <c r="T73" t="s">
        <v>5138</v>
      </c>
      <c r="U73" t="s">
        <v>5137</v>
      </c>
      <c r="V73" t="s">
        <v>5136</v>
      </c>
      <c r="W73" t="s">
        <v>5135</v>
      </c>
      <c r="X73" t="s">
        <v>5134</v>
      </c>
      <c r="Y73" t="s">
        <v>3101</v>
      </c>
      <c r="Z73" t="s">
        <v>4568</v>
      </c>
      <c r="AA73" t="s">
        <v>5133</v>
      </c>
    </row>
    <row r="74" spans="1:27" x14ac:dyDescent="0.25">
      <c r="A74" t="s">
        <v>1248</v>
      </c>
      <c r="B74">
        <v>16368</v>
      </c>
      <c r="C74">
        <v>405</v>
      </c>
      <c r="D74">
        <v>565</v>
      </c>
      <c r="E74">
        <v>100</v>
      </c>
      <c r="F74">
        <v>1</v>
      </c>
      <c r="G74" t="s">
        <v>1266</v>
      </c>
      <c r="H74" t="s">
        <v>1265</v>
      </c>
      <c r="I74" t="s">
        <v>4759</v>
      </c>
      <c r="J74" t="s">
        <v>5132</v>
      </c>
      <c r="K74" t="s">
        <v>5131</v>
      </c>
      <c r="M74">
        <v>52760</v>
      </c>
      <c r="N74">
        <v>6</v>
      </c>
      <c r="O74" t="s">
        <v>2726</v>
      </c>
      <c r="P74" t="s">
        <v>1262</v>
      </c>
      <c r="Q74" t="s">
        <v>1262</v>
      </c>
      <c r="W74" t="s">
        <v>4757</v>
      </c>
      <c r="X74" t="s">
        <v>4756</v>
      </c>
      <c r="Y74" t="s">
        <v>5130</v>
      </c>
    </row>
    <row r="75" spans="1:27" x14ac:dyDescent="0.25">
      <c r="A75" t="s">
        <v>1248</v>
      </c>
      <c r="B75">
        <v>16371</v>
      </c>
      <c r="C75">
        <v>405</v>
      </c>
      <c r="D75">
        <v>565</v>
      </c>
      <c r="E75">
        <v>1</v>
      </c>
      <c r="F75">
        <v>1</v>
      </c>
      <c r="G75" t="s">
        <v>1265</v>
      </c>
      <c r="H75" t="s">
        <v>1265</v>
      </c>
      <c r="I75" t="s">
        <v>4759</v>
      </c>
      <c r="J75">
        <v>1</v>
      </c>
      <c r="K75" t="s">
        <v>5129</v>
      </c>
      <c r="M75">
        <v>16368</v>
      </c>
      <c r="N75">
        <v>6</v>
      </c>
      <c r="O75" t="s">
        <v>2726</v>
      </c>
      <c r="P75" t="s">
        <v>1262</v>
      </c>
      <c r="Q75" t="s">
        <v>1262</v>
      </c>
      <c r="W75" t="s">
        <v>4757</v>
      </c>
      <c r="X75" t="s">
        <v>4756</v>
      </c>
      <c r="Y75" t="s">
        <v>5128</v>
      </c>
    </row>
    <row r="76" spans="1:27" x14ac:dyDescent="0.25">
      <c r="A76" t="s">
        <v>1248</v>
      </c>
      <c r="B76">
        <v>16372</v>
      </c>
      <c r="C76">
        <v>405</v>
      </c>
      <c r="D76">
        <v>565</v>
      </c>
      <c r="E76">
        <v>14</v>
      </c>
      <c r="F76">
        <v>1</v>
      </c>
      <c r="G76" t="s">
        <v>1265</v>
      </c>
      <c r="H76" t="s">
        <v>1265</v>
      </c>
      <c r="I76" t="s">
        <v>4759</v>
      </c>
      <c r="J76">
        <v>1</v>
      </c>
      <c r="K76" t="s">
        <v>5127</v>
      </c>
      <c r="M76">
        <v>16371</v>
      </c>
      <c r="N76">
        <v>6</v>
      </c>
      <c r="O76" t="s">
        <v>2726</v>
      </c>
      <c r="P76" t="s">
        <v>1262</v>
      </c>
      <c r="Q76" t="s">
        <v>1262</v>
      </c>
      <c r="W76" t="s">
        <v>4757</v>
      </c>
      <c r="X76" t="s">
        <v>4756</v>
      </c>
      <c r="Y76" t="s">
        <v>5126</v>
      </c>
    </row>
    <row r="77" spans="1:27" x14ac:dyDescent="0.25">
      <c r="A77" t="s">
        <v>1248</v>
      </c>
      <c r="B77">
        <v>16374</v>
      </c>
      <c r="C77">
        <v>405</v>
      </c>
      <c r="D77">
        <v>565</v>
      </c>
      <c r="E77">
        <v>110</v>
      </c>
      <c r="F77">
        <v>1</v>
      </c>
      <c r="G77" t="s">
        <v>1265</v>
      </c>
      <c r="H77" t="s">
        <v>1265</v>
      </c>
      <c r="I77" t="s">
        <v>4759</v>
      </c>
      <c r="J77">
        <v>4</v>
      </c>
      <c r="K77" t="s">
        <v>5125</v>
      </c>
      <c r="M77">
        <v>16368</v>
      </c>
      <c r="N77">
        <v>6</v>
      </c>
      <c r="O77" t="s">
        <v>2726</v>
      </c>
      <c r="P77" t="s">
        <v>1262</v>
      </c>
      <c r="Q77" t="s">
        <v>1262</v>
      </c>
      <c r="W77" t="s">
        <v>4757</v>
      </c>
      <c r="X77" t="s">
        <v>4756</v>
      </c>
      <c r="Y77" t="s">
        <v>5124</v>
      </c>
    </row>
    <row r="78" spans="1:27" x14ac:dyDescent="0.25">
      <c r="A78" t="s">
        <v>1248</v>
      </c>
      <c r="B78">
        <v>16375</v>
      </c>
      <c r="C78">
        <v>405</v>
      </c>
      <c r="D78">
        <v>565</v>
      </c>
      <c r="E78">
        <v>0</v>
      </c>
      <c r="F78">
        <v>1</v>
      </c>
      <c r="G78" t="s">
        <v>1265</v>
      </c>
      <c r="H78" t="s">
        <v>1265</v>
      </c>
      <c r="I78" t="s">
        <v>4759</v>
      </c>
      <c r="J78">
        <v>8</v>
      </c>
      <c r="K78" t="s">
        <v>5123</v>
      </c>
      <c r="M78">
        <v>16378</v>
      </c>
      <c r="N78">
        <v>6</v>
      </c>
      <c r="O78" t="s">
        <v>2726</v>
      </c>
      <c r="P78" t="s">
        <v>1262</v>
      </c>
      <c r="Q78" t="s">
        <v>1262</v>
      </c>
      <c r="W78" t="s">
        <v>4757</v>
      </c>
      <c r="X78" t="s">
        <v>4756</v>
      </c>
      <c r="Y78" t="s">
        <v>5122</v>
      </c>
    </row>
    <row r="79" spans="1:27" x14ac:dyDescent="0.25">
      <c r="A79" t="s">
        <v>1248</v>
      </c>
      <c r="B79">
        <v>16378</v>
      </c>
      <c r="C79">
        <v>405</v>
      </c>
      <c r="D79">
        <v>565</v>
      </c>
      <c r="E79">
        <v>1</v>
      </c>
      <c r="F79">
        <v>1</v>
      </c>
      <c r="G79" t="s">
        <v>1265</v>
      </c>
      <c r="H79" t="s">
        <v>1265</v>
      </c>
      <c r="I79" t="s">
        <v>4759</v>
      </c>
      <c r="J79">
        <v>1</v>
      </c>
      <c r="K79" t="s">
        <v>5121</v>
      </c>
      <c r="M79">
        <v>32366</v>
      </c>
      <c r="N79">
        <v>6</v>
      </c>
      <c r="O79" t="s">
        <v>2726</v>
      </c>
      <c r="P79" t="s">
        <v>1262</v>
      </c>
      <c r="Q79" t="s">
        <v>1262</v>
      </c>
      <c r="W79" t="s">
        <v>4757</v>
      </c>
      <c r="X79" t="s">
        <v>4756</v>
      </c>
      <c r="Y79" t="s">
        <v>5120</v>
      </c>
    </row>
    <row r="80" spans="1:27" x14ac:dyDescent="0.25">
      <c r="A80" t="s">
        <v>1248</v>
      </c>
      <c r="B80">
        <v>16379</v>
      </c>
      <c r="C80">
        <v>405</v>
      </c>
      <c r="D80">
        <v>565</v>
      </c>
      <c r="E80">
        <v>0</v>
      </c>
      <c r="F80">
        <v>1</v>
      </c>
      <c r="G80" t="s">
        <v>1265</v>
      </c>
      <c r="H80" t="s">
        <v>1265</v>
      </c>
      <c r="I80" t="s">
        <v>4759</v>
      </c>
      <c r="J80">
        <v>5</v>
      </c>
      <c r="K80" t="s">
        <v>5119</v>
      </c>
      <c r="M80">
        <v>32366</v>
      </c>
      <c r="N80">
        <v>6</v>
      </c>
      <c r="O80" t="s">
        <v>2726</v>
      </c>
      <c r="P80" t="s">
        <v>1262</v>
      </c>
      <c r="Q80" t="s">
        <v>1262</v>
      </c>
      <c r="W80" t="s">
        <v>4757</v>
      </c>
      <c r="X80" t="s">
        <v>4756</v>
      </c>
      <c r="Y80" t="s">
        <v>5118</v>
      </c>
    </row>
    <row r="81" spans="1:25" x14ac:dyDescent="0.25">
      <c r="A81" t="s">
        <v>1248</v>
      </c>
      <c r="B81">
        <v>16380</v>
      </c>
      <c r="C81">
        <v>405</v>
      </c>
      <c r="D81">
        <v>565</v>
      </c>
      <c r="E81">
        <v>905</v>
      </c>
      <c r="F81">
        <v>1</v>
      </c>
      <c r="G81" t="s">
        <v>1265</v>
      </c>
      <c r="H81" t="s">
        <v>1265</v>
      </c>
      <c r="I81" t="s">
        <v>4759</v>
      </c>
      <c r="J81">
        <v>2</v>
      </c>
      <c r="K81" t="s">
        <v>5117</v>
      </c>
      <c r="M81">
        <v>19577</v>
      </c>
      <c r="N81">
        <v>6</v>
      </c>
      <c r="O81" t="s">
        <v>2726</v>
      </c>
      <c r="P81" t="s">
        <v>1262</v>
      </c>
      <c r="Q81" t="s">
        <v>1262</v>
      </c>
      <c r="W81" t="s">
        <v>4757</v>
      </c>
      <c r="X81" t="s">
        <v>4756</v>
      </c>
      <c r="Y81" t="s">
        <v>5116</v>
      </c>
    </row>
    <row r="82" spans="1:25" x14ac:dyDescent="0.25">
      <c r="A82" t="s">
        <v>1248</v>
      </c>
      <c r="B82">
        <v>16381</v>
      </c>
      <c r="C82">
        <v>405</v>
      </c>
      <c r="D82">
        <v>565</v>
      </c>
      <c r="E82">
        <v>1</v>
      </c>
      <c r="F82">
        <v>1</v>
      </c>
      <c r="G82" t="s">
        <v>1265</v>
      </c>
      <c r="H82" t="s">
        <v>1265</v>
      </c>
      <c r="I82" t="s">
        <v>4759</v>
      </c>
      <c r="J82">
        <v>3</v>
      </c>
      <c r="K82" t="s">
        <v>5115</v>
      </c>
      <c r="M82">
        <v>16378</v>
      </c>
      <c r="N82">
        <v>6</v>
      </c>
      <c r="O82" t="s">
        <v>2726</v>
      </c>
      <c r="P82" t="s">
        <v>1262</v>
      </c>
      <c r="Q82" t="s">
        <v>1262</v>
      </c>
      <c r="W82" t="s">
        <v>4757</v>
      </c>
      <c r="X82" t="s">
        <v>4756</v>
      </c>
      <c r="Y82" t="s">
        <v>5114</v>
      </c>
    </row>
    <row r="83" spans="1:25" x14ac:dyDescent="0.25">
      <c r="A83" t="s">
        <v>1248</v>
      </c>
      <c r="B83">
        <v>16382</v>
      </c>
      <c r="C83">
        <v>405</v>
      </c>
      <c r="D83">
        <v>565</v>
      </c>
      <c r="E83">
        <v>1</v>
      </c>
      <c r="F83">
        <v>1</v>
      </c>
      <c r="G83" t="s">
        <v>1265</v>
      </c>
      <c r="H83" t="s">
        <v>1265</v>
      </c>
      <c r="I83" t="s">
        <v>4759</v>
      </c>
      <c r="J83">
        <v>1</v>
      </c>
      <c r="K83" t="s">
        <v>5113</v>
      </c>
      <c r="M83">
        <v>32357</v>
      </c>
      <c r="N83">
        <v>6</v>
      </c>
      <c r="O83" t="s">
        <v>2726</v>
      </c>
      <c r="P83" t="s">
        <v>1262</v>
      </c>
      <c r="Q83" t="s">
        <v>1262</v>
      </c>
      <c r="W83" t="s">
        <v>4757</v>
      </c>
      <c r="X83" t="s">
        <v>4756</v>
      </c>
      <c r="Y83" t="s">
        <v>5112</v>
      </c>
    </row>
    <row r="84" spans="1:25" x14ac:dyDescent="0.25">
      <c r="A84" t="s">
        <v>1248</v>
      </c>
      <c r="B84">
        <v>16386</v>
      </c>
      <c r="C84">
        <v>405</v>
      </c>
      <c r="D84">
        <v>565</v>
      </c>
      <c r="E84">
        <v>1</v>
      </c>
      <c r="F84">
        <v>1</v>
      </c>
      <c r="G84" t="s">
        <v>1265</v>
      </c>
      <c r="H84" t="s">
        <v>1265</v>
      </c>
      <c r="I84" t="s">
        <v>4759</v>
      </c>
      <c r="J84">
        <v>1</v>
      </c>
      <c r="K84" t="s">
        <v>5111</v>
      </c>
      <c r="M84">
        <v>16379</v>
      </c>
      <c r="N84">
        <v>6</v>
      </c>
      <c r="O84" t="s">
        <v>2726</v>
      </c>
      <c r="P84" t="s">
        <v>1262</v>
      </c>
      <c r="Q84" t="s">
        <v>1262</v>
      </c>
      <c r="W84" t="s">
        <v>4757</v>
      </c>
      <c r="X84" t="s">
        <v>4756</v>
      </c>
      <c r="Y84" t="s">
        <v>5110</v>
      </c>
    </row>
    <row r="85" spans="1:25" x14ac:dyDescent="0.25">
      <c r="A85" t="s">
        <v>1248</v>
      </c>
      <c r="B85">
        <v>16387</v>
      </c>
      <c r="C85">
        <v>405</v>
      </c>
      <c r="D85">
        <v>565</v>
      </c>
      <c r="E85">
        <v>1</v>
      </c>
      <c r="F85">
        <v>1</v>
      </c>
      <c r="G85" t="s">
        <v>1265</v>
      </c>
      <c r="H85" t="s">
        <v>1265</v>
      </c>
      <c r="I85" t="s">
        <v>4759</v>
      </c>
      <c r="J85">
        <v>2</v>
      </c>
      <c r="K85" t="s">
        <v>5109</v>
      </c>
      <c r="M85">
        <v>16379</v>
      </c>
      <c r="N85">
        <v>6</v>
      </c>
      <c r="O85" t="s">
        <v>2726</v>
      </c>
      <c r="P85" t="s">
        <v>1262</v>
      </c>
      <c r="Q85" t="s">
        <v>1262</v>
      </c>
      <c r="W85" t="s">
        <v>4757</v>
      </c>
      <c r="X85" t="s">
        <v>4756</v>
      </c>
      <c r="Y85" t="s">
        <v>5108</v>
      </c>
    </row>
    <row r="86" spans="1:25" x14ac:dyDescent="0.25">
      <c r="A86" t="s">
        <v>1248</v>
      </c>
      <c r="B86">
        <v>16388</v>
      </c>
      <c r="C86">
        <v>405</v>
      </c>
      <c r="D86">
        <v>565</v>
      </c>
      <c r="E86">
        <v>1</v>
      </c>
      <c r="F86">
        <v>1</v>
      </c>
      <c r="G86" t="s">
        <v>1265</v>
      </c>
      <c r="H86" t="s">
        <v>1265</v>
      </c>
      <c r="I86" t="s">
        <v>4759</v>
      </c>
      <c r="J86">
        <v>3</v>
      </c>
      <c r="K86" t="s">
        <v>5107</v>
      </c>
      <c r="M86">
        <v>16379</v>
      </c>
      <c r="N86">
        <v>6</v>
      </c>
      <c r="O86" t="s">
        <v>2726</v>
      </c>
      <c r="P86" t="s">
        <v>1262</v>
      </c>
      <c r="Q86" t="s">
        <v>1262</v>
      </c>
      <c r="W86" t="s">
        <v>4757</v>
      </c>
      <c r="X86" t="s">
        <v>4756</v>
      </c>
      <c r="Y86" t="s">
        <v>5106</v>
      </c>
    </row>
    <row r="87" spans="1:25" x14ac:dyDescent="0.25">
      <c r="A87" t="s">
        <v>1248</v>
      </c>
      <c r="B87">
        <v>16389</v>
      </c>
      <c r="C87">
        <v>405</v>
      </c>
      <c r="D87">
        <v>565</v>
      </c>
      <c r="E87">
        <v>1</v>
      </c>
      <c r="F87">
        <v>1</v>
      </c>
      <c r="G87" t="s">
        <v>1265</v>
      </c>
      <c r="H87" t="s">
        <v>1265</v>
      </c>
      <c r="I87" t="s">
        <v>4759</v>
      </c>
      <c r="J87">
        <v>4</v>
      </c>
      <c r="K87" t="s">
        <v>5105</v>
      </c>
      <c r="M87">
        <v>16379</v>
      </c>
      <c r="N87">
        <v>6</v>
      </c>
      <c r="O87" t="s">
        <v>2726</v>
      </c>
      <c r="P87" t="s">
        <v>1262</v>
      </c>
      <c r="Q87" t="s">
        <v>1262</v>
      </c>
      <c r="W87" t="s">
        <v>4757</v>
      </c>
      <c r="X87" t="s">
        <v>4756</v>
      </c>
      <c r="Y87" t="s">
        <v>5104</v>
      </c>
    </row>
    <row r="88" spans="1:25" x14ac:dyDescent="0.25">
      <c r="A88" t="s">
        <v>1248</v>
      </c>
      <c r="B88">
        <v>16390</v>
      </c>
      <c r="C88">
        <v>405</v>
      </c>
      <c r="D88">
        <v>565</v>
      </c>
      <c r="E88">
        <v>101</v>
      </c>
      <c r="F88">
        <v>1</v>
      </c>
      <c r="G88" t="s">
        <v>1265</v>
      </c>
      <c r="H88" t="s">
        <v>1265</v>
      </c>
      <c r="I88" t="s">
        <v>4759</v>
      </c>
      <c r="J88">
        <v>2</v>
      </c>
      <c r="K88" t="s">
        <v>5103</v>
      </c>
      <c r="M88">
        <v>16382</v>
      </c>
      <c r="N88">
        <v>6</v>
      </c>
      <c r="O88" t="s">
        <v>2726</v>
      </c>
      <c r="P88" t="s">
        <v>1262</v>
      </c>
      <c r="Q88" t="s">
        <v>1262</v>
      </c>
      <c r="W88" t="s">
        <v>4757</v>
      </c>
      <c r="X88" t="s">
        <v>4756</v>
      </c>
      <c r="Y88" t="s">
        <v>5102</v>
      </c>
    </row>
    <row r="89" spans="1:25" x14ac:dyDescent="0.25">
      <c r="A89" t="s">
        <v>1248</v>
      </c>
      <c r="B89">
        <v>16391</v>
      </c>
      <c r="C89">
        <v>405</v>
      </c>
      <c r="D89">
        <v>565</v>
      </c>
      <c r="E89">
        <v>1</v>
      </c>
      <c r="F89">
        <v>1</v>
      </c>
      <c r="G89" t="s">
        <v>1265</v>
      </c>
      <c r="H89" t="s">
        <v>1265</v>
      </c>
      <c r="I89" t="s">
        <v>4759</v>
      </c>
      <c r="J89">
        <v>1</v>
      </c>
      <c r="K89" t="s">
        <v>5101</v>
      </c>
      <c r="M89">
        <v>16382</v>
      </c>
      <c r="N89">
        <v>6</v>
      </c>
      <c r="O89" t="s">
        <v>2726</v>
      </c>
      <c r="P89" t="s">
        <v>1262</v>
      </c>
      <c r="Q89" t="s">
        <v>1262</v>
      </c>
      <c r="W89" t="s">
        <v>4757</v>
      </c>
      <c r="X89" t="s">
        <v>4756</v>
      </c>
      <c r="Y89" t="s">
        <v>5100</v>
      </c>
    </row>
    <row r="90" spans="1:25" x14ac:dyDescent="0.25">
      <c r="A90" t="s">
        <v>1248</v>
      </c>
      <c r="B90">
        <v>16399</v>
      </c>
      <c r="C90">
        <v>405</v>
      </c>
      <c r="D90">
        <v>565</v>
      </c>
      <c r="E90">
        <v>1</v>
      </c>
      <c r="F90">
        <v>1</v>
      </c>
      <c r="G90" t="s">
        <v>1265</v>
      </c>
      <c r="H90" t="s">
        <v>1265</v>
      </c>
      <c r="I90" t="s">
        <v>4759</v>
      </c>
      <c r="J90">
        <v>4</v>
      </c>
      <c r="K90" t="s">
        <v>5099</v>
      </c>
      <c r="M90">
        <v>16390</v>
      </c>
      <c r="N90">
        <v>6</v>
      </c>
      <c r="O90" t="s">
        <v>2726</v>
      </c>
      <c r="P90" t="s">
        <v>1262</v>
      </c>
      <c r="Q90" t="s">
        <v>1262</v>
      </c>
      <c r="W90" t="s">
        <v>4757</v>
      </c>
      <c r="X90" t="s">
        <v>4756</v>
      </c>
      <c r="Y90" t="s">
        <v>5098</v>
      </c>
    </row>
    <row r="91" spans="1:25" x14ac:dyDescent="0.25">
      <c r="A91" t="s">
        <v>1248</v>
      </c>
      <c r="B91">
        <v>16400</v>
      </c>
      <c r="C91">
        <v>405</v>
      </c>
      <c r="D91">
        <v>565</v>
      </c>
      <c r="E91">
        <v>1</v>
      </c>
      <c r="F91">
        <v>1</v>
      </c>
      <c r="G91" t="s">
        <v>1265</v>
      </c>
      <c r="H91" t="s">
        <v>1265</v>
      </c>
      <c r="I91" t="s">
        <v>4759</v>
      </c>
      <c r="J91">
        <v>4</v>
      </c>
      <c r="K91" t="s">
        <v>5097</v>
      </c>
      <c r="M91">
        <v>16391</v>
      </c>
      <c r="N91">
        <v>6</v>
      </c>
      <c r="O91" t="s">
        <v>2726</v>
      </c>
      <c r="P91" t="s">
        <v>1262</v>
      </c>
      <c r="Q91" t="s">
        <v>1262</v>
      </c>
      <c r="W91" t="s">
        <v>4757</v>
      </c>
      <c r="X91" t="s">
        <v>4756</v>
      </c>
      <c r="Y91" t="s">
        <v>5096</v>
      </c>
    </row>
    <row r="92" spans="1:25" x14ac:dyDescent="0.25">
      <c r="A92" t="s">
        <v>1248</v>
      </c>
      <c r="B92">
        <v>16401</v>
      </c>
      <c r="C92">
        <v>405</v>
      </c>
      <c r="D92">
        <v>565</v>
      </c>
      <c r="E92">
        <v>101</v>
      </c>
      <c r="F92">
        <v>1</v>
      </c>
      <c r="G92" t="s">
        <v>1265</v>
      </c>
      <c r="H92" t="s">
        <v>1265</v>
      </c>
      <c r="I92" t="s">
        <v>4759</v>
      </c>
      <c r="J92">
        <v>2</v>
      </c>
      <c r="K92" t="s">
        <v>5095</v>
      </c>
      <c r="M92">
        <v>32364</v>
      </c>
      <c r="N92">
        <v>6</v>
      </c>
      <c r="O92" t="s">
        <v>2726</v>
      </c>
      <c r="P92" t="s">
        <v>1262</v>
      </c>
      <c r="Q92" t="s">
        <v>1262</v>
      </c>
      <c r="W92" t="s">
        <v>4757</v>
      </c>
      <c r="X92" t="s">
        <v>4756</v>
      </c>
      <c r="Y92" t="s">
        <v>5094</v>
      </c>
    </row>
    <row r="93" spans="1:25" x14ac:dyDescent="0.25">
      <c r="A93" t="s">
        <v>1248</v>
      </c>
      <c r="B93">
        <v>16402</v>
      </c>
      <c r="C93">
        <v>405</v>
      </c>
      <c r="D93">
        <v>565</v>
      </c>
      <c r="E93">
        <v>1</v>
      </c>
      <c r="F93">
        <v>1</v>
      </c>
      <c r="G93" t="s">
        <v>1265</v>
      </c>
      <c r="H93" t="s">
        <v>1265</v>
      </c>
      <c r="I93" t="s">
        <v>4759</v>
      </c>
      <c r="J93">
        <v>2</v>
      </c>
      <c r="K93" t="s">
        <v>5093</v>
      </c>
      <c r="M93">
        <v>32358</v>
      </c>
      <c r="N93">
        <v>6</v>
      </c>
      <c r="O93" t="s">
        <v>2726</v>
      </c>
      <c r="P93" t="s">
        <v>1262</v>
      </c>
      <c r="Q93" t="s">
        <v>1262</v>
      </c>
      <c r="W93" t="s">
        <v>4757</v>
      </c>
      <c r="X93" t="s">
        <v>4756</v>
      </c>
      <c r="Y93" t="s">
        <v>5092</v>
      </c>
    </row>
    <row r="94" spans="1:25" x14ac:dyDescent="0.25">
      <c r="A94" t="s">
        <v>1248</v>
      </c>
      <c r="B94">
        <v>16403</v>
      </c>
      <c r="C94">
        <v>405</v>
      </c>
      <c r="D94">
        <v>565</v>
      </c>
      <c r="E94">
        <v>201</v>
      </c>
      <c r="F94">
        <v>1</v>
      </c>
      <c r="G94" t="s">
        <v>1265</v>
      </c>
      <c r="H94" t="s">
        <v>1265</v>
      </c>
      <c r="I94" t="s">
        <v>4759</v>
      </c>
      <c r="J94">
        <v>4</v>
      </c>
      <c r="K94" t="s">
        <v>5091</v>
      </c>
      <c r="M94">
        <v>32358</v>
      </c>
      <c r="N94">
        <v>6</v>
      </c>
      <c r="O94" t="s">
        <v>2726</v>
      </c>
      <c r="P94" t="s">
        <v>1262</v>
      </c>
      <c r="Q94" t="s">
        <v>1262</v>
      </c>
      <c r="W94" t="s">
        <v>4757</v>
      </c>
      <c r="X94" t="s">
        <v>4756</v>
      </c>
      <c r="Y94" t="s">
        <v>5090</v>
      </c>
    </row>
    <row r="95" spans="1:25" x14ac:dyDescent="0.25">
      <c r="A95" t="s">
        <v>1248</v>
      </c>
      <c r="B95">
        <v>16404</v>
      </c>
      <c r="C95">
        <v>405</v>
      </c>
      <c r="D95">
        <v>565</v>
      </c>
      <c r="E95">
        <v>100</v>
      </c>
      <c r="F95">
        <v>1</v>
      </c>
      <c r="G95" t="s">
        <v>1265</v>
      </c>
      <c r="H95" t="s">
        <v>1265</v>
      </c>
      <c r="I95" t="s">
        <v>4759</v>
      </c>
      <c r="J95">
        <v>1</v>
      </c>
      <c r="K95" t="s">
        <v>5089</v>
      </c>
      <c r="M95">
        <v>32364</v>
      </c>
      <c r="N95">
        <v>6</v>
      </c>
      <c r="O95" t="s">
        <v>2726</v>
      </c>
      <c r="P95" t="s">
        <v>1262</v>
      </c>
      <c r="Q95" t="s">
        <v>1262</v>
      </c>
      <c r="W95" t="s">
        <v>4757</v>
      </c>
      <c r="X95" t="s">
        <v>4756</v>
      </c>
      <c r="Y95" t="s">
        <v>5088</v>
      </c>
    </row>
    <row r="96" spans="1:25" x14ac:dyDescent="0.25">
      <c r="A96" t="s">
        <v>1248</v>
      </c>
      <c r="B96">
        <v>16405</v>
      </c>
      <c r="C96">
        <v>405</v>
      </c>
      <c r="D96">
        <v>565</v>
      </c>
      <c r="E96">
        <v>0</v>
      </c>
      <c r="F96">
        <v>1</v>
      </c>
      <c r="G96" t="s">
        <v>1265</v>
      </c>
      <c r="H96" t="s">
        <v>1265</v>
      </c>
      <c r="I96" t="s">
        <v>4759</v>
      </c>
      <c r="J96">
        <v>1</v>
      </c>
      <c r="K96" t="s">
        <v>5087</v>
      </c>
      <c r="M96">
        <v>32358</v>
      </c>
      <c r="N96">
        <v>6</v>
      </c>
      <c r="O96" t="s">
        <v>2726</v>
      </c>
      <c r="P96" t="s">
        <v>1262</v>
      </c>
      <c r="Q96" t="s">
        <v>1262</v>
      </c>
      <c r="W96" t="s">
        <v>4757</v>
      </c>
      <c r="X96" t="s">
        <v>4756</v>
      </c>
      <c r="Y96" t="s">
        <v>5086</v>
      </c>
    </row>
    <row r="97" spans="1:25" x14ac:dyDescent="0.25">
      <c r="A97" t="s">
        <v>1248</v>
      </c>
      <c r="B97">
        <v>16406</v>
      </c>
      <c r="C97">
        <v>405</v>
      </c>
      <c r="D97">
        <v>565</v>
      </c>
      <c r="E97">
        <v>101</v>
      </c>
      <c r="F97">
        <v>1</v>
      </c>
      <c r="G97" t="s">
        <v>1265</v>
      </c>
      <c r="H97" t="s">
        <v>1265</v>
      </c>
      <c r="I97" t="s">
        <v>4759</v>
      </c>
      <c r="J97">
        <v>3</v>
      </c>
      <c r="K97" t="s">
        <v>5085</v>
      </c>
      <c r="M97">
        <v>32358</v>
      </c>
      <c r="N97">
        <v>6</v>
      </c>
      <c r="O97" t="s">
        <v>2726</v>
      </c>
      <c r="P97" t="s">
        <v>1262</v>
      </c>
      <c r="Q97" t="s">
        <v>1262</v>
      </c>
      <c r="W97" t="s">
        <v>4757</v>
      </c>
      <c r="X97" t="s">
        <v>4756</v>
      </c>
      <c r="Y97" t="s">
        <v>5084</v>
      </c>
    </row>
    <row r="98" spans="1:25" x14ac:dyDescent="0.25">
      <c r="A98" t="s">
        <v>1248</v>
      </c>
      <c r="B98">
        <v>16452</v>
      </c>
      <c r="C98">
        <v>405</v>
      </c>
      <c r="D98">
        <v>565</v>
      </c>
      <c r="E98">
        <v>112</v>
      </c>
      <c r="F98">
        <v>1</v>
      </c>
      <c r="G98" t="s">
        <v>1265</v>
      </c>
      <c r="H98" t="s">
        <v>1265</v>
      </c>
      <c r="I98" t="s">
        <v>4759</v>
      </c>
      <c r="J98">
        <v>3</v>
      </c>
      <c r="K98" t="s">
        <v>5083</v>
      </c>
      <c r="M98">
        <v>16368</v>
      </c>
      <c r="N98">
        <v>6</v>
      </c>
      <c r="O98" t="s">
        <v>2726</v>
      </c>
      <c r="P98" t="s">
        <v>1262</v>
      </c>
      <c r="Q98" t="s">
        <v>1262</v>
      </c>
      <c r="W98" t="s">
        <v>4757</v>
      </c>
      <c r="X98" t="s">
        <v>4756</v>
      </c>
      <c r="Y98" t="s">
        <v>5082</v>
      </c>
    </row>
    <row r="99" spans="1:25" x14ac:dyDescent="0.25">
      <c r="A99" t="s">
        <v>1248</v>
      </c>
      <c r="B99">
        <v>19577</v>
      </c>
      <c r="C99">
        <v>405</v>
      </c>
      <c r="D99">
        <v>565</v>
      </c>
      <c r="E99">
        <v>108</v>
      </c>
      <c r="F99">
        <v>1</v>
      </c>
      <c r="G99" t="s">
        <v>1265</v>
      </c>
      <c r="H99" t="s">
        <v>1265</v>
      </c>
      <c r="I99" t="s">
        <v>4759</v>
      </c>
      <c r="J99">
        <v>2</v>
      </c>
      <c r="K99" t="s">
        <v>5081</v>
      </c>
      <c r="M99">
        <v>16368</v>
      </c>
      <c r="N99">
        <v>6</v>
      </c>
      <c r="O99" t="s">
        <v>2726</v>
      </c>
      <c r="P99" t="s">
        <v>1262</v>
      </c>
      <c r="Q99" t="s">
        <v>1262</v>
      </c>
      <c r="W99" t="s">
        <v>4757</v>
      </c>
      <c r="X99" t="s">
        <v>4756</v>
      </c>
      <c r="Y99" t="s">
        <v>5080</v>
      </c>
    </row>
    <row r="100" spans="1:25" x14ac:dyDescent="0.25">
      <c r="A100" t="s">
        <v>1248</v>
      </c>
      <c r="B100">
        <v>32252</v>
      </c>
      <c r="C100">
        <v>405</v>
      </c>
      <c r="D100">
        <v>565</v>
      </c>
      <c r="E100">
        <v>1</v>
      </c>
      <c r="F100">
        <v>1</v>
      </c>
      <c r="G100" t="s">
        <v>1265</v>
      </c>
      <c r="H100" t="s">
        <v>1265</v>
      </c>
      <c r="I100" t="s">
        <v>4759</v>
      </c>
      <c r="J100" t="s">
        <v>425</v>
      </c>
      <c r="K100" t="s">
        <v>5079</v>
      </c>
      <c r="M100">
        <v>16452</v>
      </c>
      <c r="N100">
        <v>6</v>
      </c>
      <c r="O100" t="s">
        <v>2726</v>
      </c>
      <c r="P100" t="s">
        <v>1262</v>
      </c>
      <c r="Q100" t="s">
        <v>1262</v>
      </c>
      <c r="W100" t="s">
        <v>4757</v>
      </c>
      <c r="X100" t="s">
        <v>4756</v>
      </c>
      <c r="Y100" t="s">
        <v>5078</v>
      </c>
    </row>
    <row r="101" spans="1:25" x14ac:dyDescent="0.25">
      <c r="A101" t="s">
        <v>1248</v>
      </c>
      <c r="B101">
        <v>32253</v>
      </c>
      <c r="C101">
        <v>405</v>
      </c>
      <c r="D101">
        <v>565</v>
      </c>
      <c r="E101">
        <v>1</v>
      </c>
      <c r="F101">
        <v>1</v>
      </c>
      <c r="G101" t="s">
        <v>1265</v>
      </c>
      <c r="H101" t="s">
        <v>1265</v>
      </c>
      <c r="I101" t="s">
        <v>4759</v>
      </c>
      <c r="J101">
        <v>1</v>
      </c>
      <c r="K101" t="s">
        <v>421</v>
      </c>
      <c r="M101">
        <v>32252</v>
      </c>
      <c r="N101">
        <v>6</v>
      </c>
      <c r="O101" t="s">
        <v>2726</v>
      </c>
      <c r="P101" t="s">
        <v>1262</v>
      </c>
      <c r="Q101" t="s">
        <v>1262</v>
      </c>
      <c r="W101" t="s">
        <v>4757</v>
      </c>
      <c r="X101" t="s">
        <v>4756</v>
      </c>
      <c r="Y101" t="s">
        <v>5077</v>
      </c>
    </row>
    <row r="102" spans="1:25" x14ac:dyDescent="0.25">
      <c r="A102" t="s">
        <v>1248</v>
      </c>
      <c r="B102">
        <v>32254</v>
      </c>
      <c r="C102">
        <v>405</v>
      </c>
      <c r="D102">
        <v>565</v>
      </c>
      <c r="E102">
        <v>101</v>
      </c>
      <c r="F102">
        <v>1</v>
      </c>
      <c r="G102" t="s">
        <v>1265</v>
      </c>
      <c r="H102" t="s">
        <v>1265</v>
      </c>
      <c r="I102" t="s">
        <v>4759</v>
      </c>
      <c r="J102">
        <v>2</v>
      </c>
      <c r="K102" t="s">
        <v>432</v>
      </c>
      <c r="M102">
        <v>32252</v>
      </c>
      <c r="N102">
        <v>6</v>
      </c>
      <c r="O102" t="s">
        <v>2726</v>
      </c>
      <c r="P102" t="s">
        <v>1262</v>
      </c>
      <c r="Q102" t="s">
        <v>1262</v>
      </c>
      <c r="W102" t="s">
        <v>4757</v>
      </c>
      <c r="X102" t="s">
        <v>4756</v>
      </c>
      <c r="Y102" t="s">
        <v>5076</v>
      </c>
    </row>
    <row r="103" spans="1:25" x14ac:dyDescent="0.25">
      <c r="A103" t="s">
        <v>1248</v>
      </c>
      <c r="B103">
        <v>32255</v>
      </c>
      <c r="C103">
        <v>405</v>
      </c>
      <c r="D103">
        <v>565</v>
      </c>
      <c r="E103">
        <v>201</v>
      </c>
      <c r="F103">
        <v>1</v>
      </c>
      <c r="G103" t="s">
        <v>1265</v>
      </c>
      <c r="H103" t="s">
        <v>1265</v>
      </c>
      <c r="I103" t="s">
        <v>4759</v>
      </c>
      <c r="J103">
        <v>3</v>
      </c>
      <c r="K103" t="s">
        <v>436</v>
      </c>
      <c r="M103">
        <v>32252</v>
      </c>
      <c r="N103">
        <v>6</v>
      </c>
      <c r="O103" t="s">
        <v>2726</v>
      </c>
      <c r="P103" t="s">
        <v>1262</v>
      </c>
      <c r="Q103" t="s">
        <v>1262</v>
      </c>
      <c r="W103" t="s">
        <v>4757</v>
      </c>
      <c r="X103" t="s">
        <v>4756</v>
      </c>
      <c r="Y103" t="s">
        <v>5075</v>
      </c>
    </row>
    <row r="104" spans="1:25" x14ac:dyDescent="0.25">
      <c r="A104" t="s">
        <v>1248</v>
      </c>
      <c r="B104">
        <v>32256</v>
      </c>
      <c r="C104">
        <v>405</v>
      </c>
      <c r="D104">
        <v>565</v>
      </c>
      <c r="E104">
        <v>301</v>
      </c>
      <c r="F104">
        <v>1</v>
      </c>
      <c r="G104" t="s">
        <v>1265</v>
      </c>
      <c r="H104" t="s">
        <v>1265</v>
      </c>
      <c r="I104" t="s">
        <v>4759</v>
      </c>
      <c r="J104">
        <v>4</v>
      </c>
      <c r="K104" t="s">
        <v>440</v>
      </c>
      <c r="M104">
        <v>32252</v>
      </c>
      <c r="N104">
        <v>6</v>
      </c>
      <c r="O104" t="s">
        <v>2726</v>
      </c>
      <c r="P104" t="s">
        <v>1262</v>
      </c>
      <c r="Q104" t="s">
        <v>1262</v>
      </c>
      <c r="W104" t="s">
        <v>4757</v>
      </c>
      <c r="X104" t="s">
        <v>4756</v>
      </c>
      <c r="Y104" t="s">
        <v>5074</v>
      </c>
    </row>
    <row r="105" spans="1:25" x14ac:dyDescent="0.25">
      <c r="A105" t="s">
        <v>1248</v>
      </c>
      <c r="B105">
        <v>32257</v>
      </c>
      <c r="C105">
        <v>405</v>
      </c>
      <c r="D105">
        <v>565</v>
      </c>
      <c r="E105">
        <v>401</v>
      </c>
      <c r="F105">
        <v>1</v>
      </c>
      <c r="G105" t="s">
        <v>1265</v>
      </c>
      <c r="H105" t="s">
        <v>1265</v>
      </c>
      <c r="I105" t="s">
        <v>4759</v>
      </c>
      <c r="J105">
        <v>5</v>
      </c>
      <c r="K105" t="s">
        <v>444</v>
      </c>
      <c r="M105">
        <v>32252</v>
      </c>
      <c r="N105">
        <v>6</v>
      </c>
      <c r="O105" t="s">
        <v>2726</v>
      </c>
      <c r="P105" t="s">
        <v>1262</v>
      </c>
      <c r="Q105" t="s">
        <v>1262</v>
      </c>
      <c r="W105" t="s">
        <v>4757</v>
      </c>
      <c r="X105" t="s">
        <v>4756</v>
      </c>
      <c r="Y105" t="s">
        <v>5073</v>
      </c>
    </row>
    <row r="106" spans="1:25" x14ac:dyDescent="0.25">
      <c r="A106" t="s">
        <v>1248</v>
      </c>
      <c r="B106">
        <v>32258</v>
      </c>
      <c r="C106">
        <v>405</v>
      </c>
      <c r="D106">
        <v>565</v>
      </c>
      <c r="E106">
        <v>501</v>
      </c>
      <c r="F106">
        <v>1</v>
      </c>
      <c r="G106" t="s">
        <v>1265</v>
      </c>
      <c r="H106" t="s">
        <v>1265</v>
      </c>
      <c r="I106" t="s">
        <v>4759</v>
      </c>
      <c r="J106">
        <v>6</v>
      </c>
      <c r="K106" t="s">
        <v>448</v>
      </c>
      <c r="M106">
        <v>32252</v>
      </c>
      <c r="N106">
        <v>6</v>
      </c>
      <c r="O106" t="s">
        <v>2726</v>
      </c>
      <c r="P106" t="s">
        <v>1262</v>
      </c>
      <c r="Q106" t="s">
        <v>1262</v>
      </c>
      <c r="W106" t="s">
        <v>4757</v>
      </c>
      <c r="X106" t="s">
        <v>4756</v>
      </c>
      <c r="Y106" t="s">
        <v>5072</v>
      </c>
    </row>
    <row r="107" spans="1:25" x14ac:dyDescent="0.25">
      <c r="A107" t="s">
        <v>1248</v>
      </c>
      <c r="B107">
        <v>32259</v>
      </c>
      <c r="C107">
        <v>405</v>
      </c>
      <c r="D107">
        <v>565</v>
      </c>
      <c r="E107">
        <v>601</v>
      </c>
      <c r="F107">
        <v>1</v>
      </c>
      <c r="G107" t="s">
        <v>1265</v>
      </c>
      <c r="H107" t="s">
        <v>1265</v>
      </c>
      <c r="I107" t="s">
        <v>4759</v>
      </c>
      <c r="J107">
        <v>7</v>
      </c>
      <c r="K107" t="s">
        <v>451</v>
      </c>
      <c r="M107">
        <v>32252</v>
      </c>
      <c r="N107">
        <v>6</v>
      </c>
      <c r="O107" t="s">
        <v>2726</v>
      </c>
      <c r="P107" t="s">
        <v>1262</v>
      </c>
      <c r="Q107" t="s">
        <v>1262</v>
      </c>
      <c r="W107" t="s">
        <v>4757</v>
      </c>
      <c r="X107" t="s">
        <v>4756</v>
      </c>
      <c r="Y107" t="s">
        <v>5071</v>
      </c>
    </row>
    <row r="108" spans="1:25" x14ac:dyDescent="0.25">
      <c r="A108" t="s">
        <v>1248</v>
      </c>
      <c r="B108">
        <v>32260</v>
      </c>
      <c r="C108">
        <v>405</v>
      </c>
      <c r="D108">
        <v>565</v>
      </c>
      <c r="E108">
        <v>2</v>
      </c>
      <c r="F108">
        <v>1</v>
      </c>
      <c r="G108" t="s">
        <v>1265</v>
      </c>
      <c r="H108" t="s">
        <v>1265</v>
      </c>
      <c r="I108" t="s">
        <v>4759</v>
      </c>
      <c r="J108" t="s">
        <v>459</v>
      </c>
      <c r="K108" t="s">
        <v>5070</v>
      </c>
      <c r="M108">
        <v>16452</v>
      </c>
      <c r="N108">
        <v>6</v>
      </c>
      <c r="O108" t="s">
        <v>2726</v>
      </c>
      <c r="P108" t="s">
        <v>1262</v>
      </c>
      <c r="Q108" t="s">
        <v>1262</v>
      </c>
      <c r="W108" t="s">
        <v>4757</v>
      </c>
      <c r="X108" t="s">
        <v>4756</v>
      </c>
      <c r="Y108" t="s">
        <v>5069</v>
      </c>
    </row>
    <row r="109" spans="1:25" x14ac:dyDescent="0.25">
      <c r="A109" t="s">
        <v>1248</v>
      </c>
      <c r="B109">
        <v>32261</v>
      </c>
      <c r="C109">
        <v>405</v>
      </c>
      <c r="D109">
        <v>565</v>
      </c>
      <c r="E109">
        <v>0</v>
      </c>
      <c r="F109">
        <v>1</v>
      </c>
      <c r="G109" t="s">
        <v>1265</v>
      </c>
      <c r="H109" t="s">
        <v>1265</v>
      </c>
      <c r="I109" t="s">
        <v>4759</v>
      </c>
      <c r="J109">
        <v>1</v>
      </c>
      <c r="K109" t="s">
        <v>455</v>
      </c>
      <c r="M109">
        <v>32260</v>
      </c>
      <c r="N109">
        <v>6</v>
      </c>
      <c r="O109" t="s">
        <v>2726</v>
      </c>
      <c r="P109" t="s">
        <v>1262</v>
      </c>
      <c r="Q109" t="s">
        <v>1262</v>
      </c>
      <c r="W109" t="s">
        <v>4757</v>
      </c>
      <c r="X109" t="s">
        <v>4756</v>
      </c>
      <c r="Y109" t="s">
        <v>5068</v>
      </c>
    </row>
    <row r="110" spans="1:25" x14ac:dyDescent="0.25">
      <c r="A110" t="s">
        <v>1248</v>
      </c>
      <c r="B110">
        <v>32262</v>
      </c>
      <c r="C110">
        <v>405</v>
      </c>
      <c r="D110">
        <v>565</v>
      </c>
      <c r="E110">
        <v>1</v>
      </c>
      <c r="F110">
        <v>1</v>
      </c>
      <c r="G110" t="s">
        <v>1265</v>
      </c>
      <c r="H110" t="s">
        <v>1265</v>
      </c>
      <c r="I110" t="s">
        <v>4759</v>
      </c>
      <c r="J110">
        <v>2</v>
      </c>
      <c r="K110" t="s">
        <v>463</v>
      </c>
      <c r="M110">
        <v>32260</v>
      </c>
      <c r="N110">
        <v>6</v>
      </c>
      <c r="O110" t="s">
        <v>2726</v>
      </c>
      <c r="P110" t="s">
        <v>1262</v>
      </c>
      <c r="Q110" t="s">
        <v>1262</v>
      </c>
      <c r="W110" t="s">
        <v>4757</v>
      </c>
      <c r="X110" t="s">
        <v>4756</v>
      </c>
      <c r="Y110" t="s">
        <v>5067</v>
      </c>
    </row>
    <row r="111" spans="1:25" x14ac:dyDescent="0.25">
      <c r="A111" t="s">
        <v>1248</v>
      </c>
      <c r="B111">
        <v>32263</v>
      </c>
      <c r="C111">
        <v>405</v>
      </c>
      <c r="D111">
        <v>565</v>
      </c>
      <c r="E111">
        <v>101</v>
      </c>
      <c r="F111">
        <v>1</v>
      </c>
      <c r="G111" t="s">
        <v>1265</v>
      </c>
      <c r="H111" t="s">
        <v>1265</v>
      </c>
      <c r="I111" t="s">
        <v>4759</v>
      </c>
      <c r="J111">
        <v>3</v>
      </c>
      <c r="K111" t="s">
        <v>467</v>
      </c>
      <c r="M111">
        <v>32260</v>
      </c>
      <c r="N111">
        <v>6</v>
      </c>
      <c r="O111" t="s">
        <v>2726</v>
      </c>
      <c r="P111" t="s">
        <v>1262</v>
      </c>
      <c r="Q111" t="s">
        <v>1262</v>
      </c>
      <c r="W111" t="s">
        <v>4757</v>
      </c>
      <c r="X111" t="s">
        <v>4756</v>
      </c>
      <c r="Y111" t="s">
        <v>5066</v>
      </c>
    </row>
    <row r="112" spans="1:25" x14ac:dyDescent="0.25">
      <c r="A112" t="s">
        <v>1248</v>
      </c>
      <c r="B112">
        <v>32264</v>
      </c>
      <c r="C112">
        <v>405</v>
      </c>
      <c r="D112">
        <v>565</v>
      </c>
      <c r="E112">
        <v>201</v>
      </c>
      <c r="F112">
        <v>1</v>
      </c>
      <c r="G112" t="s">
        <v>1265</v>
      </c>
      <c r="H112" t="s">
        <v>1265</v>
      </c>
      <c r="I112" t="s">
        <v>4759</v>
      </c>
      <c r="J112">
        <v>4</v>
      </c>
      <c r="K112" t="s">
        <v>470</v>
      </c>
      <c r="M112">
        <v>32260</v>
      </c>
      <c r="N112">
        <v>6</v>
      </c>
      <c r="O112" t="s">
        <v>2726</v>
      </c>
      <c r="P112" t="s">
        <v>1262</v>
      </c>
      <c r="Q112" t="s">
        <v>1262</v>
      </c>
      <c r="W112" t="s">
        <v>4757</v>
      </c>
      <c r="X112" t="s">
        <v>4756</v>
      </c>
      <c r="Y112" t="s">
        <v>5065</v>
      </c>
    </row>
    <row r="113" spans="1:25" x14ac:dyDescent="0.25">
      <c r="A113" t="s">
        <v>1248</v>
      </c>
      <c r="B113">
        <v>32265</v>
      </c>
      <c r="C113">
        <v>405</v>
      </c>
      <c r="D113">
        <v>565</v>
      </c>
      <c r="E113">
        <v>301</v>
      </c>
      <c r="F113">
        <v>1</v>
      </c>
      <c r="G113" t="s">
        <v>1265</v>
      </c>
      <c r="H113" t="s">
        <v>1265</v>
      </c>
      <c r="I113" t="s">
        <v>4759</v>
      </c>
      <c r="J113">
        <v>5</v>
      </c>
      <c r="K113" t="s">
        <v>473</v>
      </c>
      <c r="M113">
        <v>32260</v>
      </c>
      <c r="N113">
        <v>6</v>
      </c>
      <c r="O113" t="s">
        <v>2726</v>
      </c>
      <c r="P113" t="s">
        <v>1262</v>
      </c>
      <c r="Q113" t="s">
        <v>1262</v>
      </c>
      <c r="W113" t="s">
        <v>4757</v>
      </c>
      <c r="X113" t="s">
        <v>4756</v>
      </c>
      <c r="Y113" t="s">
        <v>5064</v>
      </c>
    </row>
    <row r="114" spans="1:25" x14ac:dyDescent="0.25">
      <c r="A114" t="s">
        <v>1248</v>
      </c>
      <c r="B114">
        <v>32266</v>
      </c>
      <c r="C114">
        <v>405</v>
      </c>
      <c r="D114">
        <v>565</v>
      </c>
      <c r="E114">
        <v>401</v>
      </c>
      <c r="F114">
        <v>1</v>
      </c>
      <c r="G114" t="s">
        <v>1265</v>
      </c>
      <c r="H114" t="s">
        <v>1265</v>
      </c>
      <c r="I114" t="s">
        <v>4759</v>
      </c>
      <c r="J114">
        <v>6</v>
      </c>
      <c r="K114" t="s">
        <v>477</v>
      </c>
      <c r="M114">
        <v>32260</v>
      </c>
      <c r="N114">
        <v>6</v>
      </c>
      <c r="O114" t="s">
        <v>2726</v>
      </c>
      <c r="P114" t="s">
        <v>1262</v>
      </c>
      <c r="Q114" t="s">
        <v>1262</v>
      </c>
      <c r="W114" t="s">
        <v>4757</v>
      </c>
      <c r="X114" t="s">
        <v>4756</v>
      </c>
      <c r="Y114" t="s">
        <v>5063</v>
      </c>
    </row>
    <row r="115" spans="1:25" x14ac:dyDescent="0.25">
      <c r="A115" t="s">
        <v>1248</v>
      </c>
      <c r="B115">
        <v>32267</v>
      </c>
      <c r="C115">
        <v>405</v>
      </c>
      <c r="D115">
        <v>565</v>
      </c>
      <c r="E115">
        <v>501</v>
      </c>
      <c r="F115">
        <v>1</v>
      </c>
      <c r="G115" t="s">
        <v>1265</v>
      </c>
      <c r="H115" t="s">
        <v>1265</v>
      </c>
      <c r="I115" t="s">
        <v>4759</v>
      </c>
      <c r="J115">
        <v>7</v>
      </c>
      <c r="K115" t="s">
        <v>480</v>
      </c>
      <c r="M115">
        <v>32260</v>
      </c>
      <c r="N115">
        <v>6</v>
      </c>
      <c r="O115" t="s">
        <v>2726</v>
      </c>
      <c r="P115" t="s">
        <v>1262</v>
      </c>
      <c r="Q115" t="s">
        <v>1262</v>
      </c>
      <c r="W115" t="s">
        <v>4757</v>
      </c>
      <c r="X115" t="s">
        <v>4756</v>
      </c>
      <c r="Y115" t="s">
        <v>5062</v>
      </c>
    </row>
    <row r="116" spans="1:25" x14ac:dyDescent="0.25">
      <c r="A116" t="s">
        <v>1248</v>
      </c>
      <c r="B116">
        <v>32268</v>
      </c>
      <c r="C116">
        <v>405</v>
      </c>
      <c r="D116">
        <v>565</v>
      </c>
      <c r="E116">
        <v>601</v>
      </c>
      <c r="F116">
        <v>1</v>
      </c>
      <c r="G116" t="s">
        <v>1265</v>
      </c>
      <c r="H116" t="s">
        <v>1265</v>
      </c>
      <c r="I116" t="s">
        <v>4759</v>
      </c>
      <c r="J116">
        <v>8</v>
      </c>
      <c r="K116" t="s">
        <v>484</v>
      </c>
      <c r="M116">
        <v>32260</v>
      </c>
      <c r="N116">
        <v>6</v>
      </c>
      <c r="O116" t="s">
        <v>2726</v>
      </c>
      <c r="P116" t="s">
        <v>1262</v>
      </c>
      <c r="Q116" t="s">
        <v>1262</v>
      </c>
      <c r="W116" t="s">
        <v>4757</v>
      </c>
      <c r="X116" t="s">
        <v>4756</v>
      </c>
      <c r="Y116" t="s">
        <v>5061</v>
      </c>
    </row>
    <row r="117" spans="1:25" x14ac:dyDescent="0.25">
      <c r="A117" t="s">
        <v>1248</v>
      </c>
      <c r="B117">
        <v>32269</v>
      </c>
      <c r="C117">
        <v>405</v>
      </c>
      <c r="D117">
        <v>565</v>
      </c>
      <c r="E117">
        <v>701</v>
      </c>
      <c r="F117">
        <v>1</v>
      </c>
      <c r="G117" t="s">
        <v>1265</v>
      </c>
      <c r="H117" t="s">
        <v>1265</v>
      </c>
      <c r="I117" t="s">
        <v>4759</v>
      </c>
      <c r="J117">
        <v>9</v>
      </c>
      <c r="K117" t="s">
        <v>5060</v>
      </c>
      <c r="M117">
        <v>32260</v>
      </c>
      <c r="N117">
        <v>6</v>
      </c>
      <c r="O117" t="s">
        <v>2726</v>
      </c>
      <c r="P117" t="s">
        <v>1262</v>
      </c>
      <c r="Q117" t="s">
        <v>1262</v>
      </c>
      <c r="W117" t="s">
        <v>4757</v>
      </c>
      <c r="X117" t="s">
        <v>4756</v>
      </c>
      <c r="Y117" t="s">
        <v>5059</v>
      </c>
    </row>
    <row r="118" spans="1:25" x14ac:dyDescent="0.25">
      <c r="A118" t="s">
        <v>1248</v>
      </c>
      <c r="B118">
        <v>32271</v>
      </c>
      <c r="C118">
        <v>405</v>
      </c>
      <c r="D118">
        <v>565</v>
      </c>
      <c r="E118">
        <v>3</v>
      </c>
      <c r="F118">
        <v>1</v>
      </c>
      <c r="G118" t="s">
        <v>1265</v>
      </c>
      <c r="H118" t="s">
        <v>1265</v>
      </c>
      <c r="I118" t="s">
        <v>4759</v>
      </c>
      <c r="J118" t="s">
        <v>491</v>
      </c>
      <c r="K118" t="s">
        <v>5058</v>
      </c>
      <c r="M118">
        <v>16452</v>
      </c>
      <c r="N118">
        <v>6</v>
      </c>
      <c r="O118" t="s">
        <v>2726</v>
      </c>
      <c r="P118" t="s">
        <v>1262</v>
      </c>
      <c r="Q118" t="s">
        <v>1262</v>
      </c>
      <c r="W118" t="s">
        <v>4757</v>
      </c>
      <c r="X118" t="s">
        <v>4756</v>
      </c>
      <c r="Y118" t="s">
        <v>5057</v>
      </c>
    </row>
    <row r="119" spans="1:25" x14ac:dyDescent="0.25">
      <c r="A119" t="s">
        <v>1248</v>
      </c>
      <c r="B119">
        <v>32272</v>
      </c>
      <c r="C119">
        <v>405</v>
      </c>
      <c r="D119">
        <v>565</v>
      </c>
      <c r="E119">
        <v>1</v>
      </c>
      <c r="F119">
        <v>1</v>
      </c>
      <c r="G119" t="s">
        <v>1265</v>
      </c>
      <c r="H119" t="s">
        <v>1265</v>
      </c>
      <c r="I119" t="s">
        <v>4759</v>
      </c>
      <c r="J119">
        <v>1</v>
      </c>
      <c r="K119" t="s">
        <v>487</v>
      </c>
      <c r="M119">
        <v>32271</v>
      </c>
      <c r="N119">
        <v>6</v>
      </c>
      <c r="O119" t="s">
        <v>2726</v>
      </c>
      <c r="P119" t="s">
        <v>1262</v>
      </c>
      <c r="Q119" t="s">
        <v>1262</v>
      </c>
      <c r="W119" t="s">
        <v>4757</v>
      </c>
      <c r="X119" t="s">
        <v>4756</v>
      </c>
      <c r="Y119" t="s">
        <v>5056</v>
      </c>
    </row>
    <row r="120" spans="1:25" x14ac:dyDescent="0.25">
      <c r="A120" t="s">
        <v>1248</v>
      </c>
      <c r="B120">
        <v>32273</v>
      </c>
      <c r="C120">
        <v>405</v>
      </c>
      <c r="D120">
        <v>565</v>
      </c>
      <c r="E120">
        <v>101</v>
      </c>
      <c r="F120">
        <v>1</v>
      </c>
      <c r="G120" t="s">
        <v>1265</v>
      </c>
      <c r="H120" t="s">
        <v>1265</v>
      </c>
      <c r="I120" t="s">
        <v>4759</v>
      </c>
      <c r="J120">
        <v>2</v>
      </c>
      <c r="K120" t="s">
        <v>495</v>
      </c>
      <c r="M120">
        <v>32271</v>
      </c>
      <c r="N120">
        <v>6</v>
      </c>
      <c r="O120" t="s">
        <v>2726</v>
      </c>
      <c r="P120" t="s">
        <v>1262</v>
      </c>
      <c r="Q120" t="s">
        <v>1262</v>
      </c>
      <c r="W120" t="s">
        <v>4757</v>
      </c>
      <c r="X120" t="s">
        <v>4756</v>
      </c>
      <c r="Y120" t="s">
        <v>5055</v>
      </c>
    </row>
    <row r="121" spans="1:25" x14ac:dyDescent="0.25">
      <c r="A121" t="s">
        <v>1248</v>
      </c>
      <c r="B121">
        <v>32274</v>
      </c>
      <c r="C121">
        <v>405</v>
      </c>
      <c r="D121">
        <v>565</v>
      </c>
      <c r="E121">
        <v>201</v>
      </c>
      <c r="F121">
        <v>1</v>
      </c>
      <c r="G121" t="s">
        <v>1265</v>
      </c>
      <c r="H121" t="s">
        <v>1265</v>
      </c>
      <c r="I121" t="s">
        <v>4759</v>
      </c>
      <c r="J121">
        <v>3</v>
      </c>
      <c r="K121" t="s">
        <v>499</v>
      </c>
      <c r="M121">
        <v>32271</v>
      </c>
      <c r="N121">
        <v>6</v>
      </c>
      <c r="O121" t="s">
        <v>2726</v>
      </c>
      <c r="P121" t="s">
        <v>1262</v>
      </c>
      <c r="Q121" t="s">
        <v>1262</v>
      </c>
      <c r="W121" t="s">
        <v>4757</v>
      </c>
      <c r="X121" t="s">
        <v>4756</v>
      </c>
      <c r="Y121" t="s">
        <v>5054</v>
      </c>
    </row>
    <row r="122" spans="1:25" x14ac:dyDescent="0.25">
      <c r="A122" t="s">
        <v>1248</v>
      </c>
      <c r="B122">
        <v>32275</v>
      </c>
      <c r="C122">
        <v>405</v>
      </c>
      <c r="D122">
        <v>565</v>
      </c>
      <c r="E122">
        <v>301</v>
      </c>
      <c r="F122">
        <v>1</v>
      </c>
      <c r="G122" t="s">
        <v>1265</v>
      </c>
      <c r="H122" t="s">
        <v>1265</v>
      </c>
      <c r="I122" t="s">
        <v>4759</v>
      </c>
      <c r="J122">
        <v>4</v>
      </c>
      <c r="K122" t="s">
        <v>502</v>
      </c>
      <c r="M122">
        <v>32271</v>
      </c>
      <c r="N122">
        <v>6</v>
      </c>
      <c r="O122" t="s">
        <v>2726</v>
      </c>
      <c r="P122" t="s">
        <v>1262</v>
      </c>
      <c r="Q122" t="s">
        <v>1262</v>
      </c>
      <c r="W122" t="s">
        <v>4757</v>
      </c>
      <c r="X122" t="s">
        <v>4756</v>
      </c>
      <c r="Y122" t="s">
        <v>5053</v>
      </c>
    </row>
    <row r="123" spans="1:25" x14ac:dyDescent="0.25">
      <c r="A123" t="s">
        <v>1248</v>
      </c>
      <c r="B123">
        <v>32276</v>
      </c>
      <c r="C123">
        <v>405</v>
      </c>
      <c r="D123">
        <v>565</v>
      </c>
      <c r="E123">
        <v>401</v>
      </c>
      <c r="F123">
        <v>1</v>
      </c>
      <c r="G123" t="s">
        <v>1265</v>
      </c>
      <c r="H123" t="s">
        <v>1265</v>
      </c>
      <c r="I123" t="s">
        <v>4759</v>
      </c>
      <c r="J123">
        <v>5</v>
      </c>
      <c r="K123" t="s">
        <v>505</v>
      </c>
      <c r="M123">
        <v>32271</v>
      </c>
      <c r="N123">
        <v>6</v>
      </c>
      <c r="O123" t="s">
        <v>2726</v>
      </c>
      <c r="P123" t="s">
        <v>1262</v>
      </c>
      <c r="Q123" t="s">
        <v>1262</v>
      </c>
      <c r="W123" t="s">
        <v>4757</v>
      </c>
      <c r="X123" t="s">
        <v>4756</v>
      </c>
      <c r="Y123" t="s">
        <v>5052</v>
      </c>
    </row>
    <row r="124" spans="1:25" x14ac:dyDescent="0.25">
      <c r="A124" t="s">
        <v>1248</v>
      </c>
      <c r="B124">
        <v>32277</v>
      </c>
      <c r="C124">
        <v>405</v>
      </c>
      <c r="D124">
        <v>565</v>
      </c>
      <c r="E124">
        <v>501</v>
      </c>
      <c r="F124">
        <v>1</v>
      </c>
      <c r="G124" t="s">
        <v>1265</v>
      </c>
      <c r="H124" t="s">
        <v>1265</v>
      </c>
      <c r="I124" t="s">
        <v>4759</v>
      </c>
      <c r="J124">
        <v>6</v>
      </c>
      <c r="K124" t="s">
        <v>508</v>
      </c>
      <c r="M124">
        <v>32271</v>
      </c>
      <c r="N124">
        <v>6</v>
      </c>
      <c r="O124" t="s">
        <v>2726</v>
      </c>
      <c r="P124" t="s">
        <v>1262</v>
      </c>
      <c r="Q124" t="s">
        <v>1262</v>
      </c>
      <c r="W124" t="s">
        <v>4757</v>
      </c>
      <c r="X124" t="s">
        <v>4756</v>
      </c>
      <c r="Y124" t="s">
        <v>5051</v>
      </c>
    </row>
    <row r="125" spans="1:25" x14ac:dyDescent="0.25">
      <c r="A125" t="s">
        <v>1248</v>
      </c>
      <c r="B125">
        <v>32278</v>
      </c>
      <c r="C125">
        <v>405</v>
      </c>
      <c r="D125">
        <v>565</v>
      </c>
      <c r="E125">
        <v>601</v>
      </c>
      <c r="F125">
        <v>1</v>
      </c>
      <c r="G125" t="s">
        <v>1265</v>
      </c>
      <c r="H125" t="s">
        <v>1265</v>
      </c>
      <c r="I125" t="s">
        <v>4759</v>
      </c>
      <c r="J125">
        <v>7</v>
      </c>
      <c r="K125" t="s">
        <v>512</v>
      </c>
      <c r="M125">
        <v>32271</v>
      </c>
      <c r="N125">
        <v>6</v>
      </c>
      <c r="O125" t="s">
        <v>2726</v>
      </c>
      <c r="P125" t="s">
        <v>1262</v>
      </c>
      <c r="Q125" t="s">
        <v>1262</v>
      </c>
      <c r="W125" t="s">
        <v>4757</v>
      </c>
      <c r="X125" t="s">
        <v>4756</v>
      </c>
      <c r="Y125" t="s">
        <v>5050</v>
      </c>
    </row>
    <row r="126" spans="1:25" x14ac:dyDescent="0.25">
      <c r="A126" t="s">
        <v>1248</v>
      </c>
      <c r="B126">
        <v>32280</v>
      </c>
      <c r="C126">
        <v>405</v>
      </c>
      <c r="D126">
        <v>565</v>
      </c>
      <c r="E126">
        <v>4</v>
      </c>
      <c r="F126">
        <v>1</v>
      </c>
      <c r="G126" t="s">
        <v>1265</v>
      </c>
      <c r="H126" t="s">
        <v>1265</v>
      </c>
      <c r="I126" t="s">
        <v>4759</v>
      </c>
      <c r="J126" t="s">
        <v>519</v>
      </c>
      <c r="K126" t="s">
        <v>5049</v>
      </c>
      <c r="M126">
        <v>16452</v>
      </c>
      <c r="N126">
        <v>6</v>
      </c>
      <c r="O126" t="s">
        <v>2726</v>
      </c>
      <c r="P126" t="s">
        <v>1262</v>
      </c>
      <c r="Q126" t="s">
        <v>1262</v>
      </c>
      <c r="W126" t="s">
        <v>4757</v>
      </c>
      <c r="X126" t="s">
        <v>4756</v>
      </c>
      <c r="Y126" t="s">
        <v>5048</v>
      </c>
    </row>
    <row r="127" spans="1:25" x14ac:dyDescent="0.25">
      <c r="A127" t="s">
        <v>1248</v>
      </c>
      <c r="B127">
        <v>32281</v>
      </c>
      <c r="C127">
        <v>405</v>
      </c>
      <c r="D127">
        <v>565</v>
      </c>
      <c r="E127">
        <v>5</v>
      </c>
      <c r="F127">
        <v>1</v>
      </c>
      <c r="G127" t="s">
        <v>1265</v>
      </c>
      <c r="H127" t="s">
        <v>1265</v>
      </c>
      <c r="I127" t="s">
        <v>4759</v>
      </c>
      <c r="J127" t="s">
        <v>526</v>
      </c>
      <c r="K127" t="s">
        <v>5047</v>
      </c>
      <c r="M127">
        <v>16452</v>
      </c>
      <c r="N127">
        <v>6</v>
      </c>
      <c r="O127" t="s">
        <v>2726</v>
      </c>
      <c r="P127" t="s">
        <v>1262</v>
      </c>
      <c r="Q127" t="s">
        <v>1262</v>
      </c>
      <c r="W127" t="s">
        <v>4757</v>
      </c>
      <c r="X127" t="s">
        <v>4756</v>
      </c>
      <c r="Y127" t="s">
        <v>5046</v>
      </c>
    </row>
    <row r="128" spans="1:25" x14ac:dyDescent="0.25">
      <c r="A128" t="s">
        <v>1248</v>
      </c>
      <c r="B128">
        <v>32282</v>
      </c>
      <c r="C128">
        <v>405</v>
      </c>
      <c r="D128">
        <v>565</v>
      </c>
      <c r="E128">
        <v>7</v>
      </c>
      <c r="F128">
        <v>1</v>
      </c>
      <c r="G128" t="s">
        <v>1265</v>
      </c>
      <c r="H128" t="s">
        <v>1265</v>
      </c>
      <c r="I128" t="s">
        <v>4759</v>
      </c>
      <c r="J128" t="s">
        <v>536</v>
      </c>
      <c r="K128" t="s">
        <v>5045</v>
      </c>
      <c r="M128">
        <v>16452</v>
      </c>
      <c r="N128">
        <v>6</v>
      </c>
      <c r="O128" t="s">
        <v>2726</v>
      </c>
      <c r="P128" t="s">
        <v>1262</v>
      </c>
      <c r="Q128" t="s">
        <v>1262</v>
      </c>
      <c r="W128" t="s">
        <v>4757</v>
      </c>
      <c r="X128" t="s">
        <v>4756</v>
      </c>
      <c r="Y128" t="s">
        <v>5044</v>
      </c>
    </row>
    <row r="129" spans="1:25" x14ac:dyDescent="0.25">
      <c r="A129" t="s">
        <v>1248</v>
      </c>
      <c r="B129">
        <v>32283</v>
      </c>
      <c r="C129">
        <v>405</v>
      </c>
      <c r="D129">
        <v>565</v>
      </c>
      <c r="E129">
        <v>26</v>
      </c>
      <c r="F129">
        <v>1</v>
      </c>
      <c r="G129" t="s">
        <v>1265</v>
      </c>
      <c r="H129" t="s">
        <v>1265</v>
      </c>
      <c r="I129" t="s">
        <v>4759</v>
      </c>
      <c r="J129" t="s">
        <v>564</v>
      </c>
      <c r="K129" t="s">
        <v>5043</v>
      </c>
      <c r="M129">
        <v>16452</v>
      </c>
      <c r="N129">
        <v>6</v>
      </c>
      <c r="O129" t="s">
        <v>2726</v>
      </c>
      <c r="P129" t="s">
        <v>1262</v>
      </c>
      <c r="Q129" t="s">
        <v>1262</v>
      </c>
      <c r="W129" t="s">
        <v>4757</v>
      </c>
      <c r="X129" t="s">
        <v>4756</v>
      </c>
      <c r="Y129" t="s">
        <v>5042</v>
      </c>
    </row>
    <row r="130" spans="1:25" x14ac:dyDescent="0.25">
      <c r="A130" t="s">
        <v>1248</v>
      </c>
      <c r="B130">
        <v>32284</v>
      </c>
      <c r="C130">
        <v>405</v>
      </c>
      <c r="D130">
        <v>565</v>
      </c>
      <c r="E130">
        <v>29</v>
      </c>
      <c r="F130">
        <v>1</v>
      </c>
      <c r="G130" t="s">
        <v>1265</v>
      </c>
      <c r="H130" t="s">
        <v>1265</v>
      </c>
      <c r="I130" t="s">
        <v>4759</v>
      </c>
      <c r="J130" t="s">
        <v>615</v>
      </c>
      <c r="K130" t="s">
        <v>5041</v>
      </c>
      <c r="M130">
        <v>16452</v>
      </c>
      <c r="N130">
        <v>6</v>
      </c>
      <c r="O130" t="s">
        <v>2726</v>
      </c>
      <c r="P130" t="s">
        <v>1262</v>
      </c>
      <c r="Q130" t="s">
        <v>1262</v>
      </c>
      <c r="W130" t="s">
        <v>4757</v>
      </c>
      <c r="X130" t="s">
        <v>4756</v>
      </c>
      <c r="Y130" t="s">
        <v>5040</v>
      </c>
    </row>
    <row r="131" spans="1:25" x14ac:dyDescent="0.25">
      <c r="A131" t="s">
        <v>1248</v>
      </c>
      <c r="B131">
        <v>32285</v>
      </c>
      <c r="C131">
        <v>405</v>
      </c>
      <c r="D131">
        <v>565</v>
      </c>
      <c r="E131">
        <v>31</v>
      </c>
      <c r="F131">
        <v>1</v>
      </c>
      <c r="G131" t="s">
        <v>1265</v>
      </c>
      <c r="H131" t="s">
        <v>1265</v>
      </c>
      <c r="I131" t="s">
        <v>4759</v>
      </c>
      <c r="J131" t="s">
        <v>5039</v>
      </c>
      <c r="K131" t="s">
        <v>5038</v>
      </c>
      <c r="M131">
        <v>16452</v>
      </c>
      <c r="N131">
        <v>6</v>
      </c>
      <c r="O131" t="s">
        <v>2726</v>
      </c>
      <c r="P131" t="s">
        <v>1262</v>
      </c>
      <c r="Q131" t="s">
        <v>1262</v>
      </c>
      <c r="W131" t="s">
        <v>4757</v>
      </c>
      <c r="X131" t="s">
        <v>4756</v>
      </c>
      <c r="Y131" t="s">
        <v>5037</v>
      </c>
    </row>
    <row r="132" spans="1:25" x14ac:dyDescent="0.25">
      <c r="A132" t="s">
        <v>1248</v>
      </c>
      <c r="B132">
        <v>32286</v>
      </c>
      <c r="C132">
        <v>405</v>
      </c>
      <c r="D132">
        <v>565</v>
      </c>
      <c r="E132">
        <v>33</v>
      </c>
      <c r="F132">
        <v>1</v>
      </c>
      <c r="G132" t="s">
        <v>1265</v>
      </c>
      <c r="H132" t="s">
        <v>1265</v>
      </c>
      <c r="I132" t="s">
        <v>4759</v>
      </c>
      <c r="J132" t="s">
        <v>5036</v>
      </c>
      <c r="K132" t="s">
        <v>5035</v>
      </c>
      <c r="M132">
        <v>16452</v>
      </c>
      <c r="N132">
        <v>6</v>
      </c>
      <c r="O132" t="s">
        <v>2726</v>
      </c>
      <c r="P132" t="s">
        <v>1262</v>
      </c>
      <c r="Q132" t="s">
        <v>1262</v>
      </c>
      <c r="W132" t="s">
        <v>4757</v>
      </c>
      <c r="X132" t="s">
        <v>4756</v>
      </c>
      <c r="Y132" t="s">
        <v>5034</v>
      </c>
    </row>
    <row r="133" spans="1:25" x14ac:dyDescent="0.25">
      <c r="A133" t="s">
        <v>1248</v>
      </c>
      <c r="B133">
        <v>32287</v>
      </c>
      <c r="C133">
        <v>405</v>
      </c>
      <c r="D133">
        <v>565</v>
      </c>
      <c r="E133">
        <v>35</v>
      </c>
      <c r="F133">
        <v>1</v>
      </c>
      <c r="G133" t="s">
        <v>1265</v>
      </c>
      <c r="H133" t="s">
        <v>1265</v>
      </c>
      <c r="I133" t="s">
        <v>4759</v>
      </c>
      <c r="J133" t="s">
        <v>5033</v>
      </c>
      <c r="K133" t="s">
        <v>5032</v>
      </c>
      <c r="M133">
        <v>16452</v>
      </c>
      <c r="N133">
        <v>6</v>
      </c>
      <c r="O133" t="s">
        <v>2726</v>
      </c>
      <c r="P133" t="s">
        <v>1262</v>
      </c>
      <c r="Q133" t="s">
        <v>1262</v>
      </c>
      <c r="W133" t="s">
        <v>4757</v>
      </c>
      <c r="X133" t="s">
        <v>4756</v>
      </c>
      <c r="Y133" t="s">
        <v>5031</v>
      </c>
    </row>
    <row r="134" spans="1:25" x14ac:dyDescent="0.25">
      <c r="A134" t="s">
        <v>1248</v>
      </c>
      <c r="B134">
        <v>32288</v>
      </c>
      <c r="C134">
        <v>405</v>
      </c>
      <c r="D134">
        <v>565</v>
      </c>
      <c r="E134">
        <v>1</v>
      </c>
      <c r="F134">
        <v>1</v>
      </c>
      <c r="G134" t="s">
        <v>1265</v>
      </c>
      <c r="H134" t="s">
        <v>1265</v>
      </c>
      <c r="I134" t="s">
        <v>4759</v>
      </c>
      <c r="J134">
        <v>1</v>
      </c>
      <c r="K134" t="s">
        <v>5030</v>
      </c>
      <c r="M134">
        <v>32280</v>
      </c>
      <c r="N134">
        <v>6</v>
      </c>
      <c r="O134" t="s">
        <v>2726</v>
      </c>
      <c r="P134" t="s">
        <v>1262</v>
      </c>
      <c r="Q134" t="s">
        <v>1262</v>
      </c>
      <c r="W134" t="s">
        <v>4757</v>
      </c>
      <c r="X134" t="s">
        <v>4756</v>
      </c>
      <c r="Y134" t="s">
        <v>5029</v>
      </c>
    </row>
    <row r="135" spans="1:25" x14ac:dyDescent="0.25">
      <c r="A135" t="s">
        <v>1248</v>
      </c>
      <c r="B135">
        <v>32289</v>
      </c>
      <c r="C135">
        <v>405</v>
      </c>
      <c r="D135">
        <v>565</v>
      </c>
      <c r="E135">
        <v>101</v>
      </c>
      <c r="F135">
        <v>1</v>
      </c>
      <c r="G135" t="s">
        <v>1265</v>
      </c>
      <c r="H135" t="s">
        <v>1265</v>
      </c>
      <c r="I135" t="s">
        <v>4759</v>
      </c>
      <c r="J135">
        <v>2</v>
      </c>
      <c r="K135" t="s">
        <v>5028</v>
      </c>
      <c r="M135">
        <v>32280</v>
      </c>
      <c r="N135">
        <v>6</v>
      </c>
      <c r="O135" t="s">
        <v>2726</v>
      </c>
      <c r="P135" t="s">
        <v>1262</v>
      </c>
      <c r="Q135" t="s">
        <v>1262</v>
      </c>
      <c r="W135" t="s">
        <v>4757</v>
      </c>
      <c r="X135" t="s">
        <v>4756</v>
      </c>
      <c r="Y135" t="s">
        <v>5027</v>
      </c>
    </row>
    <row r="136" spans="1:25" x14ac:dyDescent="0.25">
      <c r="A136" t="s">
        <v>1248</v>
      </c>
      <c r="B136">
        <v>32290</v>
      </c>
      <c r="C136">
        <v>405</v>
      </c>
      <c r="D136">
        <v>565</v>
      </c>
      <c r="E136">
        <v>201</v>
      </c>
      <c r="F136">
        <v>1</v>
      </c>
      <c r="G136" t="s">
        <v>1265</v>
      </c>
      <c r="H136" t="s">
        <v>1265</v>
      </c>
      <c r="I136" t="s">
        <v>4759</v>
      </c>
      <c r="J136">
        <v>3</v>
      </c>
      <c r="K136" t="s">
        <v>5026</v>
      </c>
      <c r="M136">
        <v>32280</v>
      </c>
      <c r="N136">
        <v>6</v>
      </c>
      <c r="O136" t="s">
        <v>2726</v>
      </c>
      <c r="P136" t="s">
        <v>1262</v>
      </c>
      <c r="Q136" t="s">
        <v>1262</v>
      </c>
      <c r="W136" t="s">
        <v>4757</v>
      </c>
      <c r="X136" t="s">
        <v>4756</v>
      </c>
      <c r="Y136" t="s">
        <v>5025</v>
      </c>
    </row>
    <row r="137" spans="1:25" x14ac:dyDescent="0.25">
      <c r="A137" t="s">
        <v>1248</v>
      </c>
      <c r="B137">
        <v>32291</v>
      </c>
      <c r="C137">
        <v>405</v>
      </c>
      <c r="D137">
        <v>565</v>
      </c>
      <c r="E137">
        <v>301</v>
      </c>
      <c r="F137">
        <v>1</v>
      </c>
      <c r="G137" t="s">
        <v>1265</v>
      </c>
      <c r="H137" t="s">
        <v>1265</v>
      </c>
      <c r="I137" t="s">
        <v>4759</v>
      </c>
      <c r="J137">
        <v>4</v>
      </c>
      <c r="K137" t="s">
        <v>5024</v>
      </c>
      <c r="M137">
        <v>32280</v>
      </c>
      <c r="N137">
        <v>6</v>
      </c>
      <c r="O137" t="s">
        <v>2726</v>
      </c>
      <c r="P137" t="s">
        <v>1262</v>
      </c>
      <c r="Q137" t="s">
        <v>1262</v>
      </c>
      <c r="W137" t="s">
        <v>4757</v>
      </c>
      <c r="X137" t="s">
        <v>4756</v>
      </c>
      <c r="Y137" t="s">
        <v>5023</v>
      </c>
    </row>
    <row r="138" spans="1:25" x14ac:dyDescent="0.25">
      <c r="A138" t="s">
        <v>1248</v>
      </c>
      <c r="B138">
        <v>32292</v>
      </c>
      <c r="C138">
        <v>405</v>
      </c>
      <c r="D138">
        <v>565</v>
      </c>
      <c r="E138">
        <v>401</v>
      </c>
      <c r="F138">
        <v>1</v>
      </c>
      <c r="G138" t="s">
        <v>1265</v>
      </c>
      <c r="H138" t="s">
        <v>1265</v>
      </c>
      <c r="I138" t="s">
        <v>4759</v>
      </c>
      <c r="J138">
        <v>5</v>
      </c>
      <c r="K138" t="s">
        <v>5022</v>
      </c>
      <c r="M138">
        <v>32280</v>
      </c>
      <c r="N138">
        <v>6</v>
      </c>
      <c r="O138" t="s">
        <v>2726</v>
      </c>
      <c r="P138" t="s">
        <v>1262</v>
      </c>
      <c r="Q138" t="s">
        <v>1262</v>
      </c>
      <c r="W138" t="s">
        <v>4757</v>
      </c>
      <c r="X138" t="s">
        <v>4756</v>
      </c>
      <c r="Y138" t="s">
        <v>5021</v>
      </c>
    </row>
    <row r="139" spans="1:25" x14ac:dyDescent="0.25">
      <c r="A139" t="s">
        <v>1248</v>
      </c>
      <c r="B139">
        <v>32293</v>
      </c>
      <c r="C139">
        <v>405</v>
      </c>
      <c r="D139">
        <v>565</v>
      </c>
      <c r="E139">
        <v>501</v>
      </c>
      <c r="F139">
        <v>1</v>
      </c>
      <c r="G139" t="s">
        <v>1265</v>
      </c>
      <c r="H139" t="s">
        <v>1265</v>
      </c>
      <c r="I139" t="s">
        <v>4759</v>
      </c>
      <c r="J139">
        <v>6</v>
      </c>
      <c r="K139" t="s">
        <v>5020</v>
      </c>
      <c r="M139">
        <v>32280</v>
      </c>
      <c r="N139">
        <v>6</v>
      </c>
      <c r="O139" t="s">
        <v>2726</v>
      </c>
      <c r="P139" t="s">
        <v>1262</v>
      </c>
      <c r="Q139" t="s">
        <v>1262</v>
      </c>
      <c r="W139" t="s">
        <v>4757</v>
      </c>
      <c r="X139" t="s">
        <v>4756</v>
      </c>
      <c r="Y139" t="s">
        <v>5019</v>
      </c>
    </row>
    <row r="140" spans="1:25" x14ac:dyDescent="0.25">
      <c r="A140" t="s">
        <v>1248</v>
      </c>
      <c r="B140">
        <v>32294</v>
      </c>
      <c r="C140">
        <v>405</v>
      </c>
      <c r="D140">
        <v>565</v>
      </c>
      <c r="E140">
        <v>601</v>
      </c>
      <c r="F140">
        <v>1</v>
      </c>
      <c r="G140" t="s">
        <v>1265</v>
      </c>
      <c r="H140" t="s">
        <v>1265</v>
      </c>
      <c r="I140" t="s">
        <v>4759</v>
      </c>
      <c r="J140">
        <v>7</v>
      </c>
      <c r="K140" t="s">
        <v>5018</v>
      </c>
      <c r="M140">
        <v>32280</v>
      </c>
      <c r="N140">
        <v>6</v>
      </c>
      <c r="O140" t="s">
        <v>2726</v>
      </c>
      <c r="P140" t="s">
        <v>1262</v>
      </c>
      <c r="Q140" t="s">
        <v>1262</v>
      </c>
      <c r="W140" t="s">
        <v>4757</v>
      </c>
      <c r="X140" t="s">
        <v>4756</v>
      </c>
      <c r="Y140" t="s">
        <v>5017</v>
      </c>
    </row>
    <row r="141" spans="1:25" x14ac:dyDescent="0.25">
      <c r="A141" t="s">
        <v>1248</v>
      </c>
      <c r="B141">
        <v>32295</v>
      </c>
      <c r="C141">
        <v>405</v>
      </c>
      <c r="D141">
        <v>565</v>
      </c>
      <c r="E141">
        <v>701</v>
      </c>
      <c r="F141">
        <v>1</v>
      </c>
      <c r="G141" t="s">
        <v>1265</v>
      </c>
      <c r="H141" t="s">
        <v>1265</v>
      </c>
      <c r="I141" t="s">
        <v>4759</v>
      </c>
      <c r="J141">
        <v>8</v>
      </c>
      <c r="K141" t="s">
        <v>5016</v>
      </c>
      <c r="M141">
        <v>32280</v>
      </c>
      <c r="N141">
        <v>6</v>
      </c>
      <c r="O141" t="s">
        <v>2726</v>
      </c>
      <c r="P141" t="s">
        <v>1262</v>
      </c>
      <c r="Q141" t="s">
        <v>1262</v>
      </c>
      <c r="W141" t="s">
        <v>4757</v>
      </c>
      <c r="X141" t="s">
        <v>4756</v>
      </c>
      <c r="Y141" t="s">
        <v>5015</v>
      </c>
    </row>
    <row r="142" spans="1:25" x14ac:dyDescent="0.25">
      <c r="A142" t="s">
        <v>1248</v>
      </c>
      <c r="B142">
        <v>32296</v>
      </c>
      <c r="C142">
        <v>405</v>
      </c>
      <c r="D142">
        <v>565</v>
      </c>
      <c r="E142">
        <v>801</v>
      </c>
      <c r="F142">
        <v>1</v>
      </c>
      <c r="G142" t="s">
        <v>1265</v>
      </c>
      <c r="H142" t="s">
        <v>1265</v>
      </c>
      <c r="I142" t="s">
        <v>4759</v>
      </c>
      <c r="J142">
        <v>9</v>
      </c>
      <c r="K142" t="s">
        <v>5014</v>
      </c>
      <c r="M142">
        <v>32280</v>
      </c>
      <c r="N142">
        <v>6</v>
      </c>
      <c r="O142" t="s">
        <v>2726</v>
      </c>
      <c r="P142" t="s">
        <v>1262</v>
      </c>
      <c r="Q142" t="s">
        <v>1262</v>
      </c>
      <c r="W142" t="s">
        <v>4757</v>
      </c>
      <c r="X142" t="s">
        <v>4756</v>
      </c>
      <c r="Y142" t="s">
        <v>5013</v>
      </c>
    </row>
    <row r="143" spans="1:25" x14ac:dyDescent="0.25">
      <c r="A143" t="s">
        <v>1248</v>
      </c>
      <c r="B143">
        <v>32297</v>
      </c>
      <c r="C143">
        <v>405</v>
      </c>
      <c r="D143">
        <v>565</v>
      </c>
      <c r="E143">
        <v>901</v>
      </c>
      <c r="F143">
        <v>1</v>
      </c>
      <c r="G143" t="s">
        <v>1265</v>
      </c>
      <c r="H143" t="s">
        <v>1265</v>
      </c>
      <c r="I143" t="s">
        <v>4759</v>
      </c>
      <c r="J143">
        <v>10</v>
      </c>
      <c r="K143" t="s">
        <v>5012</v>
      </c>
      <c r="M143">
        <v>32280</v>
      </c>
      <c r="N143">
        <v>6</v>
      </c>
      <c r="O143" t="s">
        <v>2726</v>
      </c>
      <c r="P143" t="s">
        <v>1262</v>
      </c>
      <c r="Q143" t="s">
        <v>1262</v>
      </c>
      <c r="W143" t="s">
        <v>4757</v>
      </c>
      <c r="X143" t="s">
        <v>4756</v>
      </c>
      <c r="Y143" t="s">
        <v>5011</v>
      </c>
    </row>
    <row r="144" spans="1:25" x14ac:dyDescent="0.25">
      <c r="A144" t="s">
        <v>1248</v>
      </c>
      <c r="B144">
        <v>32298</v>
      </c>
      <c r="C144">
        <v>405</v>
      </c>
      <c r="D144">
        <v>565</v>
      </c>
      <c r="E144">
        <v>1001</v>
      </c>
      <c r="F144">
        <v>1</v>
      </c>
      <c r="G144" t="s">
        <v>1265</v>
      </c>
      <c r="H144" t="s">
        <v>1265</v>
      </c>
      <c r="I144" t="s">
        <v>4759</v>
      </c>
      <c r="J144">
        <v>11</v>
      </c>
      <c r="K144" t="s">
        <v>5010</v>
      </c>
      <c r="M144">
        <v>32280</v>
      </c>
      <c r="N144">
        <v>6</v>
      </c>
      <c r="O144" t="s">
        <v>2726</v>
      </c>
      <c r="P144" t="s">
        <v>1262</v>
      </c>
      <c r="Q144" t="s">
        <v>1262</v>
      </c>
      <c r="W144" t="s">
        <v>4757</v>
      </c>
      <c r="X144" t="s">
        <v>4756</v>
      </c>
      <c r="Y144" t="s">
        <v>5009</v>
      </c>
    </row>
    <row r="145" spans="1:25" x14ac:dyDescent="0.25">
      <c r="A145" t="s">
        <v>1248</v>
      </c>
      <c r="B145">
        <v>32299</v>
      </c>
      <c r="C145">
        <v>405</v>
      </c>
      <c r="D145">
        <v>565</v>
      </c>
      <c r="E145">
        <v>1101</v>
      </c>
      <c r="F145">
        <v>1</v>
      </c>
      <c r="G145" t="s">
        <v>1265</v>
      </c>
      <c r="H145" t="s">
        <v>1265</v>
      </c>
      <c r="I145" t="s">
        <v>4759</v>
      </c>
      <c r="J145">
        <v>12</v>
      </c>
      <c r="K145" t="s">
        <v>5008</v>
      </c>
      <c r="M145">
        <v>32280</v>
      </c>
      <c r="N145">
        <v>6</v>
      </c>
      <c r="O145" t="s">
        <v>2726</v>
      </c>
      <c r="P145" t="s">
        <v>1262</v>
      </c>
      <c r="Q145" t="s">
        <v>1262</v>
      </c>
      <c r="W145" t="s">
        <v>4757</v>
      </c>
      <c r="X145" t="s">
        <v>4756</v>
      </c>
      <c r="Y145" t="s">
        <v>5007</v>
      </c>
    </row>
    <row r="146" spans="1:25" x14ac:dyDescent="0.25">
      <c r="A146" t="s">
        <v>1248</v>
      </c>
      <c r="B146">
        <v>32300</v>
      </c>
      <c r="C146">
        <v>405</v>
      </c>
      <c r="D146">
        <v>565</v>
      </c>
      <c r="E146">
        <v>1201</v>
      </c>
      <c r="F146">
        <v>1</v>
      </c>
      <c r="G146" t="s">
        <v>1265</v>
      </c>
      <c r="H146" t="s">
        <v>1265</v>
      </c>
      <c r="I146" t="s">
        <v>4759</v>
      </c>
      <c r="J146">
        <v>13</v>
      </c>
      <c r="K146" t="s">
        <v>5006</v>
      </c>
      <c r="M146">
        <v>32280</v>
      </c>
      <c r="N146">
        <v>6</v>
      </c>
      <c r="O146" t="s">
        <v>2726</v>
      </c>
      <c r="P146" t="s">
        <v>1262</v>
      </c>
      <c r="Q146" t="s">
        <v>1262</v>
      </c>
      <c r="W146" t="s">
        <v>4757</v>
      </c>
      <c r="X146" t="s">
        <v>4756</v>
      </c>
      <c r="Y146" t="s">
        <v>5005</v>
      </c>
    </row>
    <row r="147" spans="1:25" x14ac:dyDescent="0.25">
      <c r="A147" t="s">
        <v>1248</v>
      </c>
      <c r="B147">
        <v>32301</v>
      </c>
      <c r="C147">
        <v>405</v>
      </c>
      <c r="D147">
        <v>565</v>
      </c>
      <c r="E147">
        <v>1301</v>
      </c>
      <c r="F147">
        <v>1</v>
      </c>
      <c r="G147" t="s">
        <v>1265</v>
      </c>
      <c r="H147" t="s">
        <v>1265</v>
      </c>
      <c r="I147" t="s">
        <v>4759</v>
      </c>
      <c r="J147">
        <v>14</v>
      </c>
      <c r="K147" t="s">
        <v>5004</v>
      </c>
      <c r="M147">
        <v>32280</v>
      </c>
      <c r="N147">
        <v>6</v>
      </c>
      <c r="O147" t="s">
        <v>2726</v>
      </c>
      <c r="P147" t="s">
        <v>1262</v>
      </c>
      <c r="Q147" t="s">
        <v>1262</v>
      </c>
      <c r="W147" t="s">
        <v>4757</v>
      </c>
      <c r="X147" t="s">
        <v>4756</v>
      </c>
      <c r="Y147" t="s">
        <v>5003</v>
      </c>
    </row>
    <row r="148" spans="1:25" x14ac:dyDescent="0.25">
      <c r="A148" t="s">
        <v>1248</v>
      </c>
      <c r="B148">
        <v>32302</v>
      </c>
      <c r="C148">
        <v>405</v>
      </c>
      <c r="D148">
        <v>565</v>
      </c>
      <c r="E148">
        <v>1401</v>
      </c>
      <c r="F148">
        <v>1</v>
      </c>
      <c r="G148" t="s">
        <v>1265</v>
      </c>
      <c r="H148" t="s">
        <v>1265</v>
      </c>
      <c r="I148" t="s">
        <v>4759</v>
      </c>
      <c r="J148">
        <v>15</v>
      </c>
      <c r="K148" t="s">
        <v>516</v>
      </c>
      <c r="M148">
        <v>32280</v>
      </c>
      <c r="N148">
        <v>6</v>
      </c>
      <c r="O148" t="s">
        <v>2726</v>
      </c>
      <c r="P148" t="s">
        <v>1262</v>
      </c>
      <c r="Q148" t="s">
        <v>1262</v>
      </c>
      <c r="W148" t="s">
        <v>4757</v>
      </c>
      <c r="X148" t="s">
        <v>4756</v>
      </c>
      <c r="Y148" t="s">
        <v>5002</v>
      </c>
    </row>
    <row r="149" spans="1:25" x14ac:dyDescent="0.25">
      <c r="A149" t="s">
        <v>1248</v>
      </c>
      <c r="B149">
        <v>32303</v>
      </c>
      <c r="C149">
        <v>405</v>
      </c>
      <c r="D149">
        <v>565</v>
      </c>
      <c r="E149">
        <v>1501</v>
      </c>
      <c r="F149">
        <v>1</v>
      </c>
      <c r="G149" t="s">
        <v>1265</v>
      </c>
      <c r="H149" t="s">
        <v>1265</v>
      </c>
      <c r="I149" t="s">
        <v>4759</v>
      </c>
      <c r="J149">
        <v>16</v>
      </c>
      <c r="K149" t="s">
        <v>5001</v>
      </c>
      <c r="M149">
        <v>32280</v>
      </c>
      <c r="N149">
        <v>6</v>
      </c>
      <c r="O149" t="s">
        <v>2726</v>
      </c>
      <c r="P149" t="s">
        <v>1262</v>
      </c>
      <c r="Q149" t="s">
        <v>1262</v>
      </c>
      <c r="W149" t="s">
        <v>4757</v>
      </c>
      <c r="X149" t="s">
        <v>4756</v>
      </c>
      <c r="Y149" t="s">
        <v>5000</v>
      </c>
    </row>
    <row r="150" spans="1:25" x14ac:dyDescent="0.25">
      <c r="A150" t="s">
        <v>1248</v>
      </c>
      <c r="B150">
        <v>32304</v>
      </c>
      <c r="C150">
        <v>405</v>
      </c>
      <c r="D150">
        <v>565</v>
      </c>
      <c r="E150">
        <v>1601</v>
      </c>
      <c r="F150">
        <v>1</v>
      </c>
      <c r="G150" t="s">
        <v>1265</v>
      </c>
      <c r="H150" t="s">
        <v>1265</v>
      </c>
      <c r="I150" t="s">
        <v>4759</v>
      </c>
      <c r="J150">
        <v>17</v>
      </c>
      <c r="K150" t="s">
        <v>4999</v>
      </c>
      <c r="M150">
        <v>32280</v>
      </c>
      <c r="N150">
        <v>6</v>
      </c>
      <c r="O150" t="s">
        <v>2726</v>
      </c>
      <c r="P150" t="s">
        <v>1262</v>
      </c>
      <c r="Q150" t="s">
        <v>1262</v>
      </c>
      <c r="W150" t="s">
        <v>4757</v>
      </c>
      <c r="X150" t="s">
        <v>4756</v>
      </c>
      <c r="Y150" t="s">
        <v>4998</v>
      </c>
    </row>
    <row r="151" spans="1:25" x14ac:dyDescent="0.25">
      <c r="A151" t="s">
        <v>1248</v>
      </c>
      <c r="B151">
        <v>32305</v>
      </c>
      <c r="C151">
        <v>405</v>
      </c>
      <c r="D151">
        <v>565</v>
      </c>
      <c r="E151">
        <v>1701</v>
      </c>
      <c r="F151">
        <v>1</v>
      </c>
      <c r="G151" t="s">
        <v>1265</v>
      </c>
      <c r="H151" t="s">
        <v>1265</v>
      </c>
      <c r="I151" t="s">
        <v>4759</v>
      </c>
      <c r="J151">
        <v>18</v>
      </c>
      <c r="K151" t="s">
        <v>4997</v>
      </c>
      <c r="M151">
        <v>32280</v>
      </c>
      <c r="N151">
        <v>6</v>
      </c>
      <c r="O151" t="s">
        <v>2726</v>
      </c>
      <c r="P151" t="s">
        <v>1262</v>
      </c>
      <c r="Q151" t="s">
        <v>1262</v>
      </c>
      <c r="W151" t="s">
        <v>4757</v>
      </c>
      <c r="X151" t="s">
        <v>4756</v>
      </c>
      <c r="Y151" t="s">
        <v>4996</v>
      </c>
    </row>
    <row r="152" spans="1:25" x14ac:dyDescent="0.25">
      <c r="A152" t="s">
        <v>1248</v>
      </c>
      <c r="B152">
        <v>32306</v>
      </c>
      <c r="C152">
        <v>405</v>
      </c>
      <c r="D152">
        <v>565</v>
      </c>
      <c r="E152">
        <v>1801</v>
      </c>
      <c r="F152">
        <v>1</v>
      </c>
      <c r="G152" t="s">
        <v>1265</v>
      </c>
      <c r="H152" t="s">
        <v>1265</v>
      </c>
      <c r="I152" t="s">
        <v>4759</v>
      </c>
      <c r="J152">
        <v>19</v>
      </c>
      <c r="K152" t="s">
        <v>4995</v>
      </c>
      <c r="M152">
        <v>32280</v>
      </c>
      <c r="N152">
        <v>6</v>
      </c>
      <c r="O152" t="s">
        <v>2726</v>
      </c>
      <c r="P152" t="s">
        <v>1262</v>
      </c>
      <c r="Q152" t="s">
        <v>1262</v>
      </c>
      <c r="W152" t="s">
        <v>4757</v>
      </c>
      <c r="X152" t="s">
        <v>4756</v>
      </c>
      <c r="Y152" t="s">
        <v>4994</v>
      </c>
    </row>
    <row r="153" spans="1:25" x14ac:dyDescent="0.25">
      <c r="A153" t="s">
        <v>1248</v>
      </c>
      <c r="B153">
        <v>32309</v>
      </c>
      <c r="C153">
        <v>405</v>
      </c>
      <c r="D153">
        <v>565</v>
      </c>
      <c r="E153">
        <v>1</v>
      </c>
      <c r="F153">
        <v>1</v>
      </c>
      <c r="G153" t="s">
        <v>1265</v>
      </c>
      <c r="H153" t="s">
        <v>1265</v>
      </c>
      <c r="I153" t="s">
        <v>4759</v>
      </c>
      <c r="J153">
        <v>1</v>
      </c>
      <c r="K153" t="s">
        <v>523</v>
      </c>
      <c r="M153">
        <v>32281</v>
      </c>
      <c r="N153">
        <v>6</v>
      </c>
      <c r="O153" t="s">
        <v>2726</v>
      </c>
      <c r="P153" t="s">
        <v>1262</v>
      </c>
      <c r="Q153" t="s">
        <v>1262</v>
      </c>
      <c r="W153" t="s">
        <v>4757</v>
      </c>
      <c r="X153" t="s">
        <v>4756</v>
      </c>
      <c r="Y153" t="s">
        <v>4993</v>
      </c>
    </row>
    <row r="154" spans="1:25" x14ac:dyDescent="0.25">
      <c r="A154" t="s">
        <v>1248</v>
      </c>
      <c r="B154">
        <v>32310</v>
      </c>
      <c r="C154">
        <v>405</v>
      </c>
      <c r="D154">
        <v>565</v>
      </c>
      <c r="E154">
        <v>101</v>
      </c>
      <c r="F154">
        <v>1</v>
      </c>
      <c r="G154" t="s">
        <v>1265</v>
      </c>
      <c r="H154" t="s">
        <v>1265</v>
      </c>
      <c r="I154" t="s">
        <v>4759</v>
      </c>
      <c r="J154">
        <v>2</v>
      </c>
      <c r="K154" t="s">
        <v>530</v>
      </c>
      <c r="M154">
        <v>32281</v>
      </c>
      <c r="N154">
        <v>6</v>
      </c>
      <c r="O154" t="s">
        <v>2726</v>
      </c>
      <c r="P154" t="s">
        <v>1262</v>
      </c>
      <c r="Q154" t="s">
        <v>1262</v>
      </c>
      <c r="W154" t="s">
        <v>4757</v>
      </c>
      <c r="X154" t="s">
        <v>4756</v>
      </c>
      <c r="Y154" t="s">
        <v>4992</v>
      </c>
    </row>
    <row r="155" spans="1:25" x14ac:dyDescent="0.25">
      <c r="A155" t="s">
        <v>1248</v>
      </c>
      <c r="B155">
        <v>32311</v>
      </c>
      <c r="C155">
        <v>405</v>
      </c>
      <c r="D155">
        <v>565</v>
      </c>
      <c r="E155">
        <v>0</v>
      </c>
      <c r="F155">
        <v>1</v>
      </c>
      <c r="G155" t="s">
        <v>1265</v>
      </c>
      <c r="H155" t="s">
        <v>1265</v>
      </c>
      <c r="I155" t="s">
        <v>4759</v>
      </c>
      <c r="J155">
        <v>1</v>
      </c>
      <c r="K155" t="s">
        <v>533</v>
      </c>
      <c r="M155">
        <v>32282</v>
      </c>
      <c r="N155">
        <v>6</v>
      </c>
      <c r="O155" t="s">
        <v>2726</v>
      </c>
      <c r="P155" t="s">
        <v>1262</v>
      </c>
      <c r="Q155" t="s">
        <v>1262</v>
      </c>
      <c r="W155" t="s">
        <v>4757</v>
      </c>
      <c r="X155" t="s">
        <v>4756</v>
      </c>
      <c r="Y155" t="s">
        <v>4991</v>
      </c>
    </row>
    <row r="156" spans="1:25" x14ac:dyDescent="0.25">
      <c r="A156" t="s">
        <v>1248</v>
      </c>
      <c r="B156">
        <v>32312</v>
      </c>
      <c r="C156">
        <v>405</v>
      </c>
      <c r="D156">
        <v>565</v>
      </c>
      <c r="E156">
        <v>1</v>
      </c>
      <c r="F156">
        <v>1</v>
      </c>
      <c r="G156" t="s">
        <v>1265</v>
      </c>
      <c r="H156" t="s">
        <v>1265</v>
      </c>
      <c r="I156" t="s">
        <v>4759</v>
      </c>
      <c r="J156">
        <v>2</v>
      </c>
      <c r="K156" t="s">
        <v>539</v>
      </c>
      <c r="M156">
        <v>32282</v>
      </c>
      <c r="N156">
        <v>6</v>
      </c>
      <c r="O156" t="s">
        <v>2726</v>
      </c>
      <c r="P156" t="s">
        <v>1262</v>
      </c>
      <c r="Q156" t="s">
        <v>1262</v>
      </c>
      <c r="W156" t="s">
        <v>4757</v>
      </c>
      <c r="X156" t="s">
        <v>4756</v>
      </c>
      <c r="Y156" t="s">
        <v>4990</v>
      </c>
    </row>
    <row r="157" spans="1:25" x14ac:dyDescent="0.25">
      <c r="A157" t="s">
        <v>1248</v>
      </c>
      <c r="B157">
        <v>32313</v>
      </c>
      <c r="C157">
        <v>405</v>
      </c>
      <c r="D157">
        <v>565</v>
      </c>
      <c r="E157">
        <v>101</v>
      </c>
      <c r="F157">
        <v>1</v>
      </c>
      <c r="G157" t="s">
        <v>1265</v>
      </c>
      <c r="H157" t="s">
        <v>1265</v>
      </c>
      <c r="I157" t="s">
        <v>4759</v>
      </c>
      <c r="J157">
        <v>3</v>
      </c>
      <c r="K157" t="s">
        <v>4989</v>
      </c>
      <c r="M157">
        <v>32282</v>
      </c>
      <c r="N157">
        <v>6</v>
      </c>
      <c r="O157" t="s">
        <v>2726</v>
      </c>
      <c r="P157" t="s">
        <v>1262</v>
      </c>
      <c r="Q157" t="s">
        <v>1262</v>
      </c>
      <c r="W157" t="s">
        <v>4757</v>
      </c>
      <c r="X157" t="s">
        <v>4756</v>
      </c>
      <c r="Y157" t="s">
        <v>4988</v>
      </c>
    </row>
    <row r="158" spans="1:25" x14ac:dyDescent="0.25">
      <c r="A158" t="s">
        <v>1248</v>
      </c>
      <c r="B158">
        <v>32314</v>
      </c>
      <c r="C158">
        <v>405</v>
      </c>
      <c r="D158">
        <v>565</v>
      </c>
      <c r="E158">
        <v>201</v>
      </c>
      <c r="F158">
        <v>1</v>
      </c>
      <c r="G158" t="s">
        <v>1265</v>
      </c>
      <c r="H158" t="s">
        <v>1265</v>
      </c>
      <c r="I158" t="s">
        <v>4759</v>
      </c>
      <c r="J158">
        <v>4</v>
      </c>
      <c r="K158" t="s">
        <v>544</v>
      </c>
      <c r="M158">
        <v>32282</v>
      </c>
      <c r="N158">
        <v>6</v>
      </c>
      <c r="O158" t="s">
        <v>2726</v>
      </c>
      <c r="P158" t="s">
        <v>1262</v>
      </c>
      <c r="Q158" t="s">
        <v>1262</v>
      </c>
      <c r="W158" t="s">
        <v>4757</v>
      </c>
      <c r="X158" t="s">
        <v>4756</v>
      </c>
      <c r="Y158" t="s">
        <v>4987</v>
      </c>
    </row>
    <row r="159" spans="1:25" x14ac:dyDescent="0.25">
      <c r="A159" t="s">
        <v>1248</v>
      </c>
      <c r="B159">
        <v>32315</v>
      </c>
      <c r="C159">
        <v>405</v>
      </c>
      <c r="D159">
        <v>565</v>
      </c>
      <c r="E159">
        <v>301</v>
      </c>
      <c r="F159">
        <v>1</v>
      </c>
      <c r="G159" t="s">
        <v>1265</v>
      </c>
      <c r="H159" t="s">
        <v>1265</v>
      </c>
      <c r="I159" t="s">
        <v>4759</v>
      </c>
      <c r="J159">
        <v>5</v>
      </c>
      <c r="K159" t="s">
        <v>547</v>
      </c>
      <c r="M159">
        <v>32282</v>
      </c>
      <c r="N159">
        <v>6</v>
      </c>
      <c r="O159" t="s">
        <v>2726</v>
      </c>
      <c r="P159" t="s">
        <v>1262</v>
      </c>
      <c r="Q159" t="s">
        <v>1262</v>
      </c>
      <c r="W159" t="s">
        <v>4757</v>
      </c>
      <c r="X159" t="s">
        <v>4756</v>
      </c>
      <c r="Y159" t="s">
        <v>4986</v>
      </c>
    </row>
    <row r="160" spans="1:25" x14ac:dyDescent="0.25">
      <c r="A160" t="s">
        <v>1248</v>
      </c>
      <c r="B160">
        <v>32316</v>
      </c>
      <c r="C160">
        <v>405</v>
      </c>
      <c r="D160">
        <v>565</v>
      </c>
      <c r="E160">
        <v>401</v>
      </c>
      <c r="F160">
        <v>1</v>
      </c>
      <c r="G160" t="s">
        <v>1265</v>
      </c>
      <c r="H160" t="s">
        <v>1265</v>
      </c>
      <c r="I160" t="s">
        <v>4759</v>
      </c>
      <c r="J160">
        <v>6</v>
      </c>
      <c r="K160" t="s">
        <v>550</v>
      </c>
      <c r="M160">
        <v>32282</v>
      </c>
      <c r="N160">
        <v>6</v>
      </c>
      <c r="O160" t="s">
        <v>2726</v>
      </c>
      <c r="P160" t="s">
        <v>1262</v>
      </c>
      <c r="Q160" t="s">
        <v>1262</v>
      </c>
      <c r="W160" t="s">
        <v>4757</v>
      </c>
      <c r="X160" t="s">
        <v>4756</v>
      </c>
      <c r="Y160" t="s">
        <v>4985</v>
      </c>
    </row>
    <row r="161" spans="1:25" x14ac:dyDescent="0.25">
      <c r="A161" t="s">
        <v>1248</v>
      </c>
      <c r="B161">
        <v>32317</v>
      </c>
      <c r="C161">
        <v>405</v>
      </c>
      <c r="D161">
        <v>565</v>
      </c>
      <c r="E161">
        <v>501</v>
      </c>
      <c r="F161">
        <v>1</v>
      </c>
      <c r="G161" t="s">
        <v>1265</v>
      </c>
      <c r="H161" t="s">
        <v>1265</v>
      </c>
      <c r="I161" t="s">
        <v>4759</v>
      </c>
      <c r="J161">
        <v>7</v>
      </c>
      <c r="K161" t="s">
        <v>4984</v>
      </c>
      <c r="M161">
        <v>32282</v>
      </c>
      <c r="N161">
        <v>6</v>
      </c>
      <c r="O161" t="s">
        <v>2726</v>
      </c>
      <c r="P161" t="s">
        <v>1262</v>
      </c>
      <c r="Q161" t="s">
        <v>1262</v>
      </c>
      <c r="W161" t="s">
        <v>4757</v>
      </c>
      <c r="X161" t="s">
        <v>4756</v>
      </c>
      <c r="Y161" t="s">
        <v>4983</v>
      </c>
    </row>
    <row r="162" spans="1:25" x14ac:dyDescent="0.25">
      <c r="A162" t="s">
        <v>1248</v>
      </c>
      <c r="B162">
        <v>32318</v>
      </c>
      <c r="C162">
        <v>405</v>
      </c>
      <c r="D162">
        <v>565</v>
      </c>
      <c r="E162">
        <v>601</v>
      </c>
      <c r="F162">
        <v>1</v>
      </c>
      <c r="G162" t="s">
        <v>1265</v>
      </c>
      <c r="H162" t="s">
        <v>1265</v>
      </c>
      <c r="I162" t="s">
        <v>4759</v>
      </c>
      <c r="J162">
        <v>8</v>
      </c>
      <c r="K162" t="s">
        <v>553</v>
      </c>
      <c r="M162">
        <v>32282</v>
      </c>
      <c r="N162">
        <v>6</v>
      </c>
      <c r="O162" t="s">
        <v>2726</v>
      </c>
      <c r="P162" t="s">
        <v>1262</v>
      </c>
      <c r="Q162" t="s">
        <v>1262</v>
      </c>
      <c r="W162" t="s">
        <v>4757</v>
      </c>
      <c r="X162" t="s">
        <v>4756</v>
      </c>
      <c r="Y162" t="s">
        <v>4982</v>
      </c>
    </row>
    <row r="163" spans="1:25" x14ac:dyDescent="0.25">
      <c r="A163" t="s">
        <v>1248</v>
      </c>
      <c r="B163">
        <v>32319</v>
      </c>
      <c r="C163">
        <v>405</v>
      </c>
      <c r="D163">
        <v>565</v>
      </c>
      <c r="E163">
        <v>701</v>
      </c>
      <c r="F163">
        <v>1</v>
      </c>
      <c r="G163" t="s">
        <v>1265</v>
      </c>
      <c r="H163" t="s">
        <v>1265</v>
      </c>
      <c r="I163" t="s">
        <v>4759</v>
      </c>
      <c r="J163">
        <v>9</v>
      </c>
      <c r="K163" t="s">
        <v>557</v>
      </c>
      <c r="M163">
        <v>32282</v>
      </c>
      <c r="N163">
        <v>6</v>
      </c>
      <c r="O163" t="s">
        <v>2726</v>
      </c>
      <c r="P163" t="s">
        <v>1262</v>
      </c>
      <c r="Q163" t="s">
        <v>1262</v>
      </c>
      <c r="W163" t="s">
        <v>4757</v>
      </c>
      <c r="X163" t="s">
        <v>4756</v>
      </c>
      <c r="Y163" t="s">
        <v>4981</v>
      </c>
    </row>
    <row r="164" spans="1:25" x14ac:dyDescent="0.25">
      <c r="A164" t="s">
        <v>1248</v>
      </c>
      <c r="B164">
        <v>32320</v>
      </c>
      <c r="C164">
        <v>405</v>
      </c>
      <c r="D164">
        <v>565</v>
      </c>
      <c r="E164">
        <v>0</v>
      </c>
      <c r="F164">
        <v>1</v>
      </c>
      <c r="G164" t="s">
        <v>1265</v>
      </c>
      <c r="H164" t="s">
        <v>1265</v>
      </c>
      <c r="I164" t="s">
        <v>4759</v>
      </c>
      <c r="J164">
        <v>1</v>
      </c>
      <c r="K164" t="s">
        <v>561</v>
      </c>
      <c r="M164">
        <v>32283</v>
      </c>
      <c r="N164">
        <v>6</v>
      </c>
      <c r="O164" t="s">
        <v>2726</v>
      </c>
      <c r="P164" t="s">
        <v>1262</v>
      </c>
      <c r="Q164" t="s">
        <v>1262</v>
      </c>
      <c r="W164" t="s">
        <v>4757</v>
      </c>
      <c r="X164" t="s">
        <v>4756</v>
      </c>
      <c r="Y164" t="s">
        <v>4980</v>
      </c>
    </row>
    <row r="165" spans="1:25" x14ac:dyDescent="0.25">
      <c r="A165" t="s">
        <v>1248</v>
      </c>
      <c r="B165">
        <v>32321</v>
      </c>
      <c r="C165">
        <v>405</v>
      </c>
      <c r="D165">
        <v>565</v>
      </c>
      <c r="E165">
        <v>100</v>
      </c>
      <c r="F165">
        <v>1</v>
      </c>
      <c r="G165" t="s">
        <v>1265</v>
      </c>
      <c r="H165" t="s">
        <v>1265</v>
      </c>
      <c r="I165" t="s">
        <v>4759</v>
      </c>
      <c r="J165">
        <v>2</v>
      </c>
      <c r="K165" t="s">
        <v>569</v>
      </c>
      <c r="M165">
        <v>32283</v>
      </c>
      <c r="N165">
        <v>6</v>
      </c>
      <c r="O165" t="s">
        <v>2726</v>
      </c>
      <c r="P165" t="s">
        <v>1262</v>
      </c>
      <c r="Q165" t="s">
        <v>1262</v>
      </c>
      <c r="W165" t="s">
        <v>4757</v>
      </c>
      <c r="X165" t="s">
        <v>4756</v>
      </c>
      <c r="Y165" t="s">
        <v>4979</v>
      </c>
    </row>
    <row r="166" spans="1:25" x14ac:dyDescent="0.25">
      <c r="A166" t="s">
        <v>1248</v>
      </c>
      <c r="B166">
        <v>32322</v>
      </c>
      <c r="C166">
        <v>405</v>
      </c>
      <c r="D166">
        <v>565</v>
      </c>
      <c r="E166">
        <v>200</v>
      </c>
      <c r="F166">
        <v>1</v>
      </c>
      <c r="G166" t="s">
        <v>1265</v>
      </c>
      <c r="H166" t="s">
        <v>1265</v>
      </c>
      <c r="I166" t="s">
        <v>4759</v>
      </c>
      <c r="J166">
        <v>3</v>
      </c>
      <c r="K166" t="s">
        <v>573</v>
      </c>
      <c r="M166">
        <v>32283</v>
      </c>
      <c r="N166">
        <v>6</v>
      </c>
      <c r="O166" t="s">
        <v>2726</v>
      </c>
      <c r="P166" t="s">
        <v>1262</v>
      </c>
      <c r="Q166" t="s">
        <v>1262</v>
      </c>
      <c r="W166" t="s">
        <v>4757</v>
      </c>
      <c r="X166" t="s">
        <v>4756</v>
      </c>
      <c r="Y166" t="s">
        <v>4978</v>
      </c>
    </row>
    <row r="167" spans="1:25" x14ac:dyDescent="0.25">
      <c r="A167" t="s">
        <v>1248</v>
      </c>
      <c r="B167">
        <v>32323</v>
      </c>
      <c r="C167">
        <v>405</v>
      </c>
      <c r="D167">
        <v>565</v>
      </c>
      <c r="E167">
        <v>300</v>
      </c>
      <c r="F167">
        <v>1</v>
      </c>
      <c r="G167" t="s">
        <v>1265</v>
      </c>
      <c r="H167" t="s">
        <v>1265</v>
      </c>
      <c r="I167" t="s">
        <v>4759</v>
      </c>
      <c r="J167">
        <v>4</v>
      </c>
      <c r="K167" t="s">
        <v>576</v>
      </c>
      <c r="M167">
        <v>32283</v>
      </c>
      <c r="N167">
        <v>6</v>
      </c>
      <c r="O167" t="s">
        <v>2726</v>
      </c>
      <c r="P167" t="s">
        <v>1262</v>
      </c>
      <c r="Q167" t="s">
        <v>1262</v>
      </c>
      <c r="W167" t="s">
        <v>4757</v>
      </c>
      <c r="X167" t="s">
        <v>4756</v>
      </c>
      <c r="Y167" t="s">
        <v>4977</v>
      </c>
    </row>
    <row r="168" spans="1:25" x14ac:dyDescent="0.25">
      <c r="A168" t="s">
        <v>1248</v>
      </c>
      <c r="B168">
        <v>32324</v>
      </c>
      <c r="C168">
        <v>405</v>
      </c>
      <c r="D168">
        <v>565</v>
      </c>
      <c r="E168">
        <v>400</v>
      </c>
      <c r="F168">
        <v>1</v>
      </c>
      <c r="G168" t="s">
        <v>1265</v>
      </c>
      <c r="H168" t="s">
        <v>1265</v>
      </c>
      <c r="I168" t="s">
        <v>4759</v>
      </c>
      <c r="J168">
        <v>5</v>
      </c>
      <c r="K168" t="s">
        <v>4976</v>
      </c>
      <c r="M168">
        <v>32283</v>
      </c>
      <c r="N168">
        <v>6</v>
      </c>
      <c r="O168" t="s">
        <v>2726</v>
      </c>
      <c r="P168" t="s">
        <v>1262</v>
      </c>
      <c r="Q168" t="s">
        <v>1262</v>
      </c>
      <c r="W168" t="s">
        <v>4757</v>
      </c>
      <c r="X168" t="s">
        <v>4756</v>
      </c>
      <c r="Y168" t="s">
        <v>4975</v>
      </c>
    </row>
    <row r="169" spans="1:25" x14ac:dyDescent="0.25">
      <c r="A169" t="s">
        <v>1248</v>
      </c>
      <c r="B169">
        <v>32325</v>
      </c>
      <c r="C169">
        <v>405</v>
      </c>
      <c r="D169">
        <v>565</v>
      </c>
      <c r="E169">
        <v>500</v>
      </c>
      <c r="F169">
        <v>1</v>
      </c>
      <c r="G169" t="s">
        <v>1265</v>
      </c>
      <c r="H169" t="s">
        <v>1265</v>
      </c>
      <c r="I169" t="s">
        <v>4759</v>
      </c>
      <c r="J169">
        <v>6</v>
      </c>
      <c r="K169" t="s">
        <v>4974</v>
      </c>
      <c r="M169">
        <v>32283</v>
      </c>
      <c r="N169">
        <v>6</v>
      </c>
      <c r="O169" t="s">
        <v>2726</v>
      </c>
      <c r="P169" t="s">
        <v>1262</v>
      </c>
      <c r="Q169" t="s">
        <v>1262</v>
      </c>
      <c r="W169" t="s">
        <v>4757</v>
      </c>
      <c r="X169" t="s">
        <v>4756</v>
      </c>
      <c r="Y169" t="s">
        <v>4973</v>
      </c>
    </row>
    <row r="170" spans="1:25" x14ac:dyDescent="0.25">
      <c r="A170" t="s">
        <v>1248</v>
      </c>
      <c r="B170">
        <v>32326</v>
      </c>
      <c r="C170">
        <v>405</v>
      </c>
      <c r="D170">
        <v>565</v>
      </c>
      <c r="E170">
        <v>600</v>
      </c>
      <c r="F170">
        <v>1</v>
      </c>
      <c r="G170" t="s">
        <v>1265</v>
      </c>
      <c r="H170" t="s">
        <v>1265</v>
      </c>
      <c r="I170" t="s">
        <v>4759</v>
      </c>
      <c r="J170">
        <v>7</v>
      </c>
      <c r="K170" t="s">
        <v>579</v>
      </c>
      <c r="M170">
        <v>32283</v>
      </c>
      <c r="N170">
        <v>6</v>
      </c>
      <c r="O170" t="s">
        <v>2726</v>
      </c>
      <c r="P170" t="s">
        <v>1262</v>
      </c>
      <c r="Q170" t="s">
        <v>1262</v>
      </c>
      <c r="W170" t="s">
        <v>4757</v>
      </c>
      <c r="X170" t="s">
        <v>4756</v>
      </c>
      <c r="Y170" t="s">
        <v>4972</v>
      </c>
    </row>
    <row r="171" spans="1:25" x14ac:dyDescent="0.25">
      <c r="A171" t="s">
        <v>1248</v>
      </c>
      <c r="B171">
        <v>32327</v>
      </c>
      <c r="C171">
        <v>405</v>
      </c>
      <c r="D171">
        <v>565</v>
      </c>
      <c r="E171">
        <v>700</v>
      </c>
      <c r="F171">
        <v>1</v>
      </c>
      <c r="G171" t="s">
        <v>1265</v>
      </c>
      <c r="H171" t="s">
        <v>1265</v>
      </c>
      <c r="I171" t="s">
        <v>4759</v>
      </c>
      <c r="J171">
        <v>8</v>
      </c>
      <c r="K171" t="s">
        <v>582</v>
      </c>
      <c r="M171">
        <v>32283</v>
      </c>
      <c r="N171">
        <v>6</v>
      </c>
      <c r="O171" t="s">
        <v>2726</v>
      </c>
      <c r="P171" t="s">
        <v>1262</v>
      </c>
      <c r="Q171" t="s">
        <v>1262</v>
      </c>
      <c r="W171" t="s">
        <v>4757</v>
      </c>
      <c r="X171" t="s">
        <v>4756</v>
      </c>
      <c r="Y171" t="s">
        <v>4971</v>
      </c>
    </row>
    <row r="172" spans="1:25" x14ac:dyDescent="0.25">
      <c r="A172" t="s">
        <v>1248</v>
      </c>
      <c r="B172">
        <v>32328</v>
      </c>
      <c r="C172">
        <v>405</v>
      </c>
      <c r="D172">
        <v>565</v>
      </c>
      <c r="E172">
        <v>800</v>
      </c>
      <c r="F172">
        <v>1</v>
      </c>
      <c r="G172" t="s">
        <v>1265</v>
      </c>
      <c r="H172" t="s">
        <v>1265</v>
      </c>
      <c r="I172" t="s">
        <v>4759</v>
      </c>
      <c r="J172">
        <v>9</v>
      </c>
      <c r="K172" t="s">
        <v>585</v>
      </c>
      <c r="M172">
        <v>32283</v>
      </c>
      <c r="N172">
        <v>6</v>
      </c>
      <c r="O172" t="s">
        <v>2726</v>
      </c>
      <c r="P172" t="s">
        <v>1262</v>
      </c>
      <c r="Q172" t="s">
        <v>1262</v>
      </c>
      <c r="W172" t="s">
        <v>4757</v>
      </c>
      <c r="X172" t="s">
        <v>4756</v>
      </c>
      <c r="Y172" t="s">
        <v>4970</v>
      </c>
    </row>
    <row r="173" spans="1:25" x14ac:dyDescent="0.25">
      <c r="A173" t="s">
        <v>1248</v>
      </c>
      <c r="B173">
        <v>32329</v>
      </c>
      <c r="C173">
        <v>405</v>
      </c>
      <c r="D173">
        <v>565</v>
      </c>
      <c r="E173">
        <v>900</v>
      </c>
      <c r="F173">
        <v>1</v>
      </c>
      <c r="G173" t="s">
        <v>1265</v>
      </c>
      <c r="H173" t="s">
        <v>1265</v>
      </c>
      <c r="I173" t="s">
        <v>4759</v>
      </c>
      <c r="J173">
        <v>10</v>
      </c>
      <c r="K173" t="s">
        <v>588</v>
      </c>
      <c r="M173">
        <v>32283</v>
      </c>
      <c r="N173">
        <v>6</v>
      </c>
      <c r="O173" t="s">
        <v>2726</v>
      </c>
      <c r="P173" t="s">
        <v>1262</v>
      </c>
      <c r="Q173" t="s">
        <v>1262</v>
      </c>
      <c r="W173" t="s">
        <v>4757</v>
      </c>
      <c r="X173" t="s">
        <v>4756</v>
      </c>
      <c r="Y173" t="s">
        <v>4969</v>
      </c>
    </row>
    <row r="174" spans="1:25" x14ac:dyDescent="0.25">
      <c r="A174" t="s">
        <v>1248</v>
      </c>
      <c r="B174">
        <v>32330</v>
      </c>
      <c r="C174">
        <v>405</v>
      </c>
      <c r="D174">
        <v>565</v>
      </c>
      <c r="E174">
        <v>1000</v>
      </c>
      <c r="F174">
        <v>1</v>
      </c>
      <c r="G174" t="s">
        <v>1265</v>
      </c>
      <c r="H174" t="s">
        <v>1265</v>
      </c>
      <c r="I174" t="s">
        <v>4759</v>
      </c>
      <c r="J174">
        <v>11</v>
      </c>
      <c r="K174" t="s">
        <v>591</v>
      </c>
      <c r="M174">
        <v>32283</v>
      </c>
      <c r="N174">
        <v>6</v>
      </c>
      <c r="O174" t="s">
        <v>2726</v>
      </c>
      <c r="P174" t="s">
        <v>1262</v>
      </c>
      <c r="Q174" t="s">
        <v>1262</v>
      </c>
      <c r="W174" t="s">
        <v>4757</v>
      </c>
      <c r="X174" t="s">
        <v>4756</v>
      </c>
      <c r="Y174" t="s">
        <v>4968</v>
      </c>
    </row>
    <row r="175" spans="1:25" x14ac:dyDescent="0.25">
      <c r="A175" t="s">
        <v>1248</v>
      </c>
      <c r="B175">
        <v>32331</v>
      </c>
      <c r="C175">
        <v>405</v>
      </c>
      <c r="D175">
        <v>565</v>
      </c>
      <c r="E175">
        <v>1100</v>
      </c>
      <c r="F175">
        <v>1</v>
      </c>
      <c r="G175" t="s">
        <v>1265</v>
      </c>
      <c r="H175" t="s">
        <v>1265</v>
      </c>
      <c r="I175" t="s">
        <v>4759</v>
      </c>
      <c r="J175">
        <v>12</v>
      </c>
      <c r="K175" t="s">
        <v>4967</v>
      </c>
      <c r="M175">
        <v>32283</v>
      </c>
      <c r="N175">
        <v>6</v>
      </c>
      <c r="O175" t="s">
        <v>2726</v>
      </c>
      <c r="P175" t="s">
        <v>1262</v>
      </c>
      <c r="Q175" t="s">
        <v>1262</v>
      </c>
      <c r="W175" t="s">
        <v>4757</v>
      </c>
      <c r="X175" t="s">
        <v>4756</v>
      </c>
      <c r="Y175" t="s">
        <v>4966</v>
      </c>
    </row>
    <row r="176" spans="1:25" x14ac:dyDescent="0.25">
      <c r="A176" t="s">
        <v>1248</v>
      </c>
      <c r="B176">
        <v>32332</v>
      </c>
      <c r="C176">
        <v>405</v>
      </c>
      <c r="D176">
        <v>565</v>
      </c>
      <c r="E176">
        <v>1200</v>
      </c>
      <c r="F176">
        <v>1</v>
      </c>
      <c r="G176" t="s">
        <v>1265</v>
      </c>
      <c r="H176" t="s">
        <v>1265</v>
      </c>
      <c r="I176" t="s">
        <v>4759</v>
      </c>
      <c r="J176">
        <v>13</v>
      </c>
      <c r="K176" t="s">
        <v>594</v>
      </c>
      <c r="M176">
        <v>32283</v>
      </c>
      <c r="N176">
        <v>6</v>
      </c>
      <c r="O176" t="s">
        <v>2726</v>
      </c>
      <c r="P176" t="s">
        <v>1262</v>
      </c>
      <c r="Q176" t="s">
        <v>1262</v>
      </c>
      <c r="W176" t="s">
        <v>4757</v>
      </c>
      <c r="X176" t="s">
        <v>4756</v>
      </c>
      <c r="Y176" t="s">
        <v>4965</v>
      </c>
    </row>
    <row r="177" spans="1:25" x14ac:dyDescent="0.25">
      <c r="A177" t="s">
        <v>1248</v>
      </c>
      <c r="B177">
        <v>32333</v>
      </c>
      <c r="C177">
        <v>405</v>
      </c>
      <c r="D177">
        <v>565</v>
      </c>
      <c r="E177">
        <v>1300</v>
      </c>
      <c r="F177">
        <v>1</v>
      </c>
      <c r="G177" t="s">
        <v>1265</v>
      </c>
      <c r="H177" t="s">
        <v>1265</v>
      </c>
      <c r="I177" t="s">
        <v>4759</v>
      </c>
      <c r="J177">
        <v>14</v>
      </c>
      <c r="K177" t="s">
        <v>597</v>
      </c>
      <c r="M177">
        <v>32283</v>
      </c>
      <c r="N177">
        <v>6</v>
      </c>
      <c r="O177" t="s">
        <v>2726</v>
      </c>
      <c r="P177" t="s">
        <v>1262</v>
      </c>
      <c r="Q177" t="s">
        <v>1262</v>
      </c>
      <c r="W177" t="s">
        <v>4757</v>
      </c>
      <c r="X177" t="s">
        <v>4756</v>
      </c>
      <c r="Y177" t="s">
        <v>4964</v>
      </c>
    </row>
    <row r="178" spans="1:25" x14ac:dyDescent="0.25">
      <c r="A178" t="s">
        <v>1248</v>
      </c>
      <c r="B178">
        <v>32334</v>
      </c>
      <c r="C178">
        <v>405</v>
      </c>
      <c r="D178">
        <v>565</v>
      </c>
      <c r="E178">
        <v>1400</v>
      </c>
      <c r="F178">
        <v>1</v>
      </c>
      <c r="G178" t="s">
        <v>1265</v>
      </c>
      <c r="H178" t="s">
        <v>1265</v>
      </c>
      <c r="I178" t="s">
        <v>4759</v>
      </c>
      <c r="J178">
        <v>15</v>
      </c>
      <c r="K178" t="s">
        <v>600</v>
      </c>
      <c r="M178">
        <v>32283</v>
      </c>
      <c r="N178">
        <v>6</v>
      </c>
      <c r="O178" t="s">
        <v>2726</v>
      </c>
      <c r="P178" t="s">
        <v>1262</v>
      </c>
      <c r="Q178" t="s">
        <v>1262</v>
      </c>
      <c r="W178" t="s">
        <v>4757</v>
      </c>
      <c r="X178" t="s">
        <v>4756</v>
      </c>
      <c r="Y178" t="s">
        <v>4963</v>
      </c>
    </row>
    <row r="179" spans="1:25" x14ac:dyDescent="0.25">
      <c r="A179" t="s">
        <v>1248</v>
      </c>
      <c r="B179">
        <v>32335</v>
      </c>
      <c r="C179">
        <v>405</v>
      </c>
      <c r="D179">
        <v>565</v>
      </c>
      <c r="E179">
        <v>1500</v>
      </c>
      <c r="F179">
        <v>1</v>
      </c>
      <c r="G179" t="s">
        <v>1265</v>
      </c>
      <c r="H179" t="s">
        <v>1265</v>
      </c>
      <c r="I179" t="s">
        <v>4759</v>
      </c>
      <c r="J179">
        <v>16</v>
      </c>
      <c r="K179" t="s">
        <v>4962</v>
      </c>
      <c r="M179">
        <v>32283</v>
      </c>
      <c r="N179">
        <v>6</v>
      </c>
      <c r="O179" t="s">
        <v>2726</v>
      </c>
      <c r="P179" t="s">
        <v>1262</v>
      </c>
      <c r="Q179" t="s">
        <v>1262</v>
      </c>
      <c r="W179" t="s">
        <v>4757</v>
      </c>
      <c r="X179" t="s">
        <v>4756</v>
      </c>
      <c r="Y179" t="s">
        <v>4961</v>
      </c>
    </row>
    <row r="180" spans="1:25" x14ac:dyDescent="0.25">
      <c r="A180" t="s">
        <v>1248</v>
      </c>
      <c r="B180">
        <v>32336</v>
      </c>
      <c r="C180">
        <v>405</v>
      </c>
      <c r="D180">
        <v>565</v>
      </c>
      <c r="E180">
        <v>1600</v>
      </c>
      <c r="F180">
        <v>1</v>
      </c>
      <c r="G180" t="s">
        <v>1265</v>
      </c>
      <c r="H180" t="s">
        <v>1265</v>
      </c>
      <c r="I180" t="s">
        <v>4759</v>
      </c>
      <c r="J180">
        <v>17</v>
      </c>
      <c r="K180" t="s">
        <v>603</v>
      </c>
      <c r="M180">
        <v>32283</v>
      </c>
      <c r="N180">
        <v>6</v>
      </c>
      <c r="O180" t="s">
        <v>2726</v>
      </c>
      <c r="P180" t="s">
        <v>1262</v>
      </c>
      <c r="Q180" t="s">
        <v>1262</v>
      </c>
      <c r="W180" t="s">
        <v>4757</v>
      </c>
      <c r="X180" t="s">
        <v>4756</v>
      </c>
      <c r="Y180" t="s">
        <v>4960</v>
      </c>
    </row>
    <row r="181" spans="1:25" x14ac:dyDescent="0.25">
      <c r="A181" t="s">
        <v>1248</v>
      </c>
      <c r="B181">
        <v>32337</v>
      </c>
      <c r="C181">
        <v>405</v>
      </c>
      <c r="D181">
        <v>565</v>
      </c>
      <c r="E181">
        <v>1700</v>
      </c>
      <c r="F181">
        <v>1</v>
      </c>
      <c r="G181" t="s">
        <v>1265</v>
      </c>
      <c r="H181" t="s">
        <v>1265</v>
      </c>
      <c r="I181" t="s">
        <v>4759</v>
      </c>
      <c r="J181">
        <v>18</v>
      </c>
      <c r="K181" t="s">
        <v>606</v>
      </c>
      <c r="M181">
        <v>32283</v>
      </c>
      <c r="N181">
        <v>6</v>
      </c>
      <c r="O181" t="s">
        <v>2726</v>
      </c>
      <c r="P181" t="s">
        <v>1262</v>
      </c>
      <c r="Q181" t="s">
        <v>1262</v>
      </c>
      <c r="W181" t="s">
        <v>4757</v>
      </c>
      <c r="X181" t="s">
        <v>4756</v>
      </c>
      <c r="Y181" t="s">
        <v>4959</v>
      </c>
    </row>
    <row r="182" spans="1:25" x14ac:dyDescent="0.25">
      <c r="A182" t="s">
        <v>1248</v>
      </c>
      <c r="B182">
        <v>32338</v>
      </c>
      <c r="C182">
        <v>405</v>
      </c>
      <c r="D182">
        <v>565</v>
      </c>
      <c r="E182">
        <v>1800</v>
      </c>
      <c r="F182">
        <v>1</v>
      </c>
      <c r="G182" t="s">
        <v>1265</v>
      </c>
      <c r="H182" t="s">
        <v>1265</v>
      </c>
      <c r="I182" t="s">
        <v>4759</v>
      </c>
      <c r="J182">
        <v>19</v>
      </c>
      <c r="K182" t="s">
        <v>609</v>
      </c>
      <c r="M182">
        <v>32283</v>
      </c>
      <c r="N182">
        <v>6</v>
      </c>
      <c r="O182" t="s">
        <v>2726</v>
      </c>
      <c r="P182" t="s">
        <v>1262</v>
      </c>
      <c r="Q182" t="s">
        <v>1262</v>
      </c>
      <c r="W182" t="s">
        <v>4757</v>
      </c>
      <c r="X182" t="s">
        <v>4756</v>
      </c>
      <c r="Y182" t="s">
        <v>4958</v>
      </c>
    </row>
    <row r="183" spans="1:25" x14ac:dyDescent="0.25">
      <c r="A183" t="s">
        <v>1248</v>
      </c>
      <c r="B183">
        <v>32339</v>
      </c>
      <c r="C183">
        <v>405</v>
      </c>
      <c r="D183">
        <v>565</v>
      </c>
      <c r="E183">
        <v>1</v>
      </c>
      <c r="F183">
        <v>1</v>
      </c>
      <c r="G183" t="s">
        <v>1265</v>
      </c>
      <c r="H183" t="s">
        <v>1265</v>
      </c>
      <c r="I183" t="s">
        <v>4759</v>
      </c>
      <c r="J183">
        <v>1</v>
      </c>
      <c r="K183" t="s">
        <v>4957</v>
      </c>
      <c r="M183">
        <v>32284</v>
      </c>
      <c r="N183">
        <v>6</v>
      </c>
      <c r="O183" t="s">
        <v>2726</v>
      </c>
      <c r="P183" t="s">
        <v>1262</v>
      </c>
      <c r="Q183" t="s">
        <v>1262</v>
      </c>
      <c r="W183" t="s">
        <v>4757</v>
      </c>
      <c r="X183" t="s">
        <v>4756</v>
      </c>
      <c r="Y183" t="s">
        <v>4956</v>
      </c>
    </row>
    <row r="184" spans="1:25" x14ac:dyDescent="0.25">
      <c r="A184" t="s">
        <v>1248</v>
      </c>
      <c r="B184">
        <v>32340</v>
      </c>
      <c r="C184">
        <v>405</v>
      </c>
      <c r="D184">
        <v>565</v>
      </c>
      <c r="E184">
        <v>101</v>
      </c>
      <c r="F184">
        <v>1</v>
      </c>
      <c r="G184" t="s">
        <v>1265</v>
      </c>
      <c r="H184" t="s">
        <v>1265</v>
      </c>
      <c r="I184" t="s">
        <v>4759</v>
      </c>
      <c r="J184">
        <v>2</v>
      </c>
      <c r="K184" t="s">
        <v>4955</v>
      </c>
      <c r="M184">
        <v>32284</v>
      </c>
      <c r="N184">
        <v>6</v>
      </c>
      <c r="O184" t="s">
        <v>2726</v>
      </c>
      <c r="P184" t="s">
        <v>1262</v>
      </c>
      <c r="Q184" t="s">
        <v>1262</v>
      </c>
      <c r="W184" t="s">
        <v>4757</v>
      </c>
      <c r="X184" t="s">
        <v>4756</v>
      </c>
      <c r="Y184" t="s">
        <v>4954</v>
      </c>
    </row>
    <row r="185" spans="1:25" x14ac:dyDescent="0.25">
      <c r="A185" t="s">
        <v>1248</v>
      </c>
      <c r="B185">
        <v>32341</v>
      </c>
      <c r="C185">
        <v>405</v>
      </c>
      <c r="D185">
        <v>565</v>
      </c>
      <c r="E185">
        <v>201</v>
      </c>
      <c r="F185">
        <v>1</v>
      </c>
      <c r="G185" t="s">
        <v>1265</v>
      </c>
      <c r="H185" t="s">
        <v>1265</v>
      </c>
      <c r="I185" t="s">
        <v>4759</v>
      </c>
      <c r="J185">
        <v>3</v>
      </c>
      <c r="K185" t="s">
        <v>4953</v>
      </c>
      <c r="M185">
        <v>32284</v>
      </c>
      <c r="N185">
        <v>6</v>
      </c>
      <c r="O185" t="s">
        <v>2726</v>
      </c>
      <c r="P185" t="s">
        <v>1262</v>
      </c>
      <c r="Q185" t="s">
        <v>1262</v>
      </c>
      <c r="W185" t="s">
        <v>4757</v>
      </c>
      <c r="X185" t="s">
        <v>4756</v>
      </c>
      <c r="Y185" t="s">
        <v>4952</v>
      </c>
    </row>
    <row r="186" spans="1:25" x14ac:dyDescent="0.25">
      <c r="A186" t="s">
        <v>1248</v>
      </c>
      <c r="B186">
        <v>32342</v>
      </c>
      <c r="C186">
        <v>405</v>
      </c>
      <c r="D186">
        <v>565</v>
      </c>
      <c r="E186">
        <v>301</v>
      </c>
      <c r="F186">
        <v>1</v>
      </c>
      <c r="G186" t="s">
        <v>1265</v>
      </c>
      <c r="H186" t="s">
        <v>1265</v>
      </c>
      <c r="I186" t="s">
        <v>4759</v>
      </c>
      <c r="J186">
        <v>4</v>
      </c>
      <c r="K186" t="s">
        <v>612</v>
      </c>
      <c r="M186">
        <v>32284</v>
      </c>
      <c r="N186">
        <v>6</v>
      </c>
      <c r="O186" t="s">
        <v>2726</v>
      </c>
      <c r="P186" t="s">
        <v>1262</v>
      </c>
      <c r="Q186" t="s">
        <v>1262</v>
      </c>
      <c r="W186" t="s">
        <v>4757</v>
      </c>
      <c r="X186" t="s">
        <v>4756</v>
      </c>
      <c r="Y186" t="s">
        <v>4951</v>
      </c>
    </row>
    <row r="187" spans="1:25" x14ac:dyDescent="0.25">
      <c r="A187" t="s">
        <v>1248</v>
      </c>
      <c r="B187">
        <v>32343</v>
      </c>
      <c r="C187">
        <v>405</v>
      </c>
      <c r="D187">
        <v>565</v>
      </c>
      <c r="E187">
        <v>401</v>
      </c>
      <c r="F187">
        <v>1</v>
      </c>
      <c r="G187" t="s">
        <v>1265</v>
      </c>
      <c r="H187" t="s">
        <v>1265</v>
      </c>
      <c r="I187" t="s">
        <v>4759</v>
      </c>
      <c r="J187">
        <v>5</v>
      </c>
      <c r="K187" t="s">
        <v>619</v>
      </c>
      <c r="M187">
        <v>32284</v>
      </c>
      <c r="N187">
        <v>6</v>
      </c>
      <c r="O187" t="s">
        <v>2726</v>
      </c>
      <c r="P187" t="s">
        <v>1262</v>
      </c>
      <c r="Q187" t="s">
        <v>1262</v>
      </c>
      <c r="W187" t="s">
        <v>4757</v>
      </c>
      <c r="X187" t="s">
        <v>4756</v>
      </c>
      <c r="Y187" t="s">
        <v>4950</v>
      </c>
    </row>
    <row r="188" spans="1:25" x14ac:dyDescent="0.25">
      <c r="A188" t="s">
        <v>1248</v>
      </c>
      <c r="B188">
        <v>32344</v>
      </c>
      <c r="C188">
        <v>405</v>
      </c>
      <c r="D188">
        <v>565</v>
      </c>
      <c r="E188">
        <v>501</v>
      </c>
      <c r="F188">
        <v>1</v>
      </c>
      <c r="G188" t="s">
        <v>1265</v>
      </c>
      <c r="H188" t="s">
        <v>1265</v>
      </c>
      <c r="I188" t="s">
        <v>4759</v>
      </c>
      <c r="J188">
        <v>6</v>
      </c>
      <c r="K188" t="s">
        <v>4949</v>
      </c>
      <c r="M188">
        <v>32284</v>
      </c>
      <c r="N188">
        <v>6</v>
      </c>
      <c r="O188" t="s">
        <v>2726</v>
      </c>
      <c r="P188" t="s">
        <v>1262</v>
      </c>
      <c r="Q188" t="s">
        <v>1262</v>
      </c>
      <c r="W188" t="s">
        <v>4757</v>
      </c>
      <c r="X188" t="s">
        <v>4756</v>
      </c>
      <c r="Y188" t="s">
        <v>4948</v>
      </c>
    </row>
    <row r="189" spans="1:25" x14ac:dyDescent="0.25">
      <c r="A189" t="s">
        <v>1248</v>
      </c>
      <c r="B189">
        <v>32345</v>
      </c>
      <c r="C189">
        <v>405</v>
      </c>
      <c r="D189">
        <v>565</v>
      </c>
      <c r="E189">
        <v>1</v>
      </c>
      <c r="F189">
        <v>1</v>
      </c>
      <c r="G189" t="s">
        <v>1265</v>
      </c>
      <c r="H189" t="s">
        <v>1265</v>
      </c>
      <c r="I189" t="s">
        <v>4759</v>
      </c>
      <c r="J189">
        <v>1</v>
      </c>
      <c r="K189" t="s">
        <v>4947</v>
      </c>
      <c r="M189">
        <v>32285</v>
      </c>
      <c r="N189">
        <v>6</v>
      </c>
      <c r="O189" t="s">
        <v>2726</v>
      </c>
      <c r="P189" t="s">
        <v>1262</v>
      </c>
      <c r="Q189" t="s">
        <v>1262</v>
      </c>
      <c r="W189" t="s">
        <v>4757</v>
      </c>
      <c r="X189" t="s">
        <v>4756</v>
      </c>
      <c r="Y189" t="s">
        <v>4946</v>
      </c>
    </row>
    <row r="190" spans="1:25" x14ac:dyDescent="0.25">
      <c r="A190" t="s">
        <v>1248</v>
      </c>
      <c r="B190">
        <v>32346</v>
      </c>
      <c r="C190">
        <v>405</v>
      </c>
      <c r="D190">
        <v>565</v>
      </c>
      <c r="E190">
        <v>1</v>
      </c>
      <c r="F190">
        <v>1</v>
      </c>
      <c r="G190" t="s">
        <v>1265</v>
      </c>
      <c r="H190" t="s">
        <v>1265</v>
      </c>
      <c r="I190" t="s">
        <v>4759</v>
      </c>
      <c r="J190">
        <v>1</v>
      </c>
      <c r="K190" t="s">
        <v>4945</v>
      </c>
      <c r="M190">
        <v>32286</v>
      </c>
      <c r="N190">
        <v>6</v>
      </c>
      <c r="O190" t="s">
        <v>2726</v>
      </c>
      <c r="P190" t="s">
        <v>1262</v>
      </c>
      <c r="Q190" t="s">
        <v>1262</v>
      </c>
      <c r="W190" t="s">
        <v>4757</v>
      </c>
      <c r="X190" t="s">
        <v>4756</v>
      </c>
      <c r="Y190" t="s">
        <v>4944</v>
      </c>
    </row>
    <row r="191" spans="1:25" x14ac:dyDescent="0.25">
      <c r="A191" t="s">
        <v>1248</v>
      </c>
      <c r="B191">
        <v>32347</v>
      </c>
      <c r="C191">
        <v>405</v>
      </c>
      <c r="D191">
        <v>565</v>
      </c>
      <c r="E191">
        <v>1</v>
      </c>
      <c r="F191">
        <v>1</v>
      </c>
      <c r="G191" t="s">
        <v>1265</v>
      </c>
      <c r="H191" t="s">
        <v>1265</v>
      </c>
      <c r="I191" t="s">
        <v>4759</v>
      </c>
      <c r="J191">
        <v>1</v>
      </c>
      <c r="K191" t="s">
        <v>4943</v>
      </c>
      <c r="M191">
        <v>32287</v>
      </c>
      <c r="N191">
        <v>6</v>
      </c>
      <c r="O191" t="s">
        <v>2726</v>
      </c>
      <c r="P191" t="s">
        <v>1262</v>
      </c>
      <c r="Q191" t="s">
        <v>1262</v>
      </c>
      <c r="W191" t="s">
        <v>4757</v>
      </c>
      <c r="X191" t="s">
        <v>4756</v>
      </c>
      <c r="Y191" t="s">
        <v>4942</v>
      </c>
    </row>
    <row r="192" spans="1:25" x14ac:dyDescent="0.25">
      <c r="A192" t="s">
        <v>1248</v>
      </c>
      <c r="B192">
        <v>32348</v>
      </c>
      <c r="C192">
        <v>405</v>
      </c>
      <c r="D192">
        <v>565</v>
      </c>
      <c r="E192">
        <v>111</v>
      </c>
      <c r="F192">
        <v>1</v>
      </c>
      <c r="G192" t="s">
        <v>1265</v>
      </c>
      <c r="H192" t="s">
        <v>1265</v>
      </c>
      <c r="I192" t="s">
        <v>4759</v>
      </c>
      <c r="J192">
        <v>5</v>
      </c>
      <c r="K192" t="s">
        <v>4900</v>
      </c>
      <c r="M192">
        <v>16368</v>
      </c>
      <c r="N192">
        <v>6</v>
      </c>
      <c r="O192" t="s">
        <v>2726</v>
      </c>
      <c r="P192" t="s">
        <v>1262</v>
      </c>
      <c r="Q192" t="s">
        <v>1262</v>
      </c>
      <c r="W192" t="s">
        <v>4757</v>
      </c>
      <c r="X192" t="s">
        <v>4756</v>
      </c>
      <c r="Y192" t="s">
        <v>4941</v>
      </c>
    </row>
    <row r="193" spans="1:25" x14ac:dyDescent="0.25">
      <c r="A193" t="s">
        <v>1248</v>
      </c>
      <c r="B193">
        <v>32349</v>
      </c>
      <c r="C193">
        <v>405</v>
      </c>
      <c r="D193">
        <v>565</v>
      </c>
      <c r="E193">
        <v>1</v>
      </c>
      <c r="F193">
        <v>1</v>
      </c>
      <c r="G193" t="s">
        <v>1265</v>
      </c>
      <c r="H193" t="s">
        <v>1265</v>
      </c>
      <c r="I193" t="s">
        <v>4759</v>
      </c>
      <c r="J193">
        <v>17</v>
      </c>
      <c r="K193" t="s">
        <v>4940</v>
      </c>
      <c r="M193">
        <v>16371</v>
      </c>
      <c r="N193">
        <v>6</v>
      </c>
      <c r="O193" t="s">
        <v>2726</v>
      </c>
      <c r="P193" t="s">
        <v>1262</v>
      </c>
      <c r="Q193" t="s">
        <v>1262</v>
      </c>
      <c r="W193" t="s">
        <v>4757</v>
      </c>
      <c r="X193" t="s">
        <v>4756</v>
      </c>
      <c r="Y193" t="s">
        <v>4939</v>
      </c>
    </row>
    <row r="194" spans="1:25" x14ac:dyDescent="0.25">
      <c r="A194" t="s">
        <v>1248</v>
      </c>
      <c r="B194">
        <v>32350</v>
      </c>
      <c r="C194">
        <v>405</v>
      </c>
      <c r="D194">
        <v>565</v>
      </c>
      <c r="E194">
        <v>3</v>
      </c>
      <c r="F194">
        <v>1</v>
      </c>
      <c r="G194" t="s">
        <v>1265</v>
      </c>
      <c r="H194" t="s">
        <v>1265</v>
      </c>
      <c r="I194" t="s">
        <v>4759</v>
      </c>
      <c r="J194">
        <v>18</v>
      </c>
      <c r="K194" t="s">
        <v>4938</v>
      </c>
      <c r="M194">
        <v>16371</v>
      </c>
      <c r="N194">
        <v>6</v>
      </c>
      <c r="O194" t="s">
        <v>2726</v>
      </c>
      <c r="P194" t="s">
        <v>1262</v>
      </c>
      <c r="Q194" t="s">
        <v>1262</v>
      </c>
      <c r="W194" t="s">
        <v>4757</v>
      </c>
      <c r="X194" t="s">
        <v>4756</v>
      </c>
      <c r="Y194" t="s">
        <v>4937</v>
      </c>
    </row>
    <row r="195" spans="1:25" x14ac:dyDescent="0.25">
      <c r="A195" t="s">
        <v>1248</v>
      </c>
      <c r="B195">
        <v>32351</v>
      </c>
      <c r="C195">
        <v>405</v>
      </c>
      <c r="D195">
        <v>565</v>
      </c>
      <c r="E195">
        <v>5</v>
      </c>
      <c r="F195">
        <v>1</v>
      </c>
      <c r="G195" t="s">
        <v>1265</v>
      </c>
      <c r="H195" t="s">
        <v>1265</v>
      </c>
      <c r="I195" t="s">
        <v>4759</v>
      </c>
      <c r="J195">
        <v>19</v>
      </c>
      <c r="K195" t="s">
        <v>4936</v>
      </c>
      <c r="M195">
        <v>16371</v>
      </c>
      <c r="N195">
        <v>6</v>
      </c>
      <c r="O195" t="s">
        <v>2726</v>
      </c>
      <c r="P195" t="s">
        <v>1262</v>
      </c>
      <c r="Q195" t="s">
        <v>1262</v>
      </c>
      <c r="W195" t="s">
        <v>4757</v>
      </c>
      <c r="X195" t="s">
        <v>4756</v>
      </c>
      <c r="Y195" t="s">
        <v>4935</v>
      </c>
    </row>
    <row r="196" spans="1:25" x14ac:dyDescent="0.25">
      <c r="A196" t="s">
        <v>1248</v>
      </c>
      <c r="B196">
        <v>32352</v>
      </c>
      <c r="C196">
        <v>405</v>
      </c>
      <c r="D196">
        <v>565</v>
      </c>
      <c r="E196">
        <v>7</v>
      </c>
      <c r="F196">
        <v>1</v>
      </c>
      <c r="G196" t="s">
        <v>1265</v>
      </c>
      <c r="H196" t="s">
        <v>1265</v>
      </c>
      <c r="I196" t="s">
        <v>4759</v>
      </c>
      <c r="J196">
        <v>20</v>
      </c>
      <c r="K196" t="s">
        <v>4934</v>
      </c>
      <c r="M196">
        <v>16371</v>
      </c>
      <c r="N196">
        <v>6</v>
      </c>
      <c r="O196" t="s">
        <v>2726</v>
      </c>
      <c r="P196" t="s">
        <v>1262</v>
      </c>
      <c r="Q196" t="s">
        <v>1262</v>
      </c>
      <c r="W196" t="s">
        <v>4757</v>
      </c>
      <c r="X196" t="s">
        <v>4756</v>
      </c>
      <c r="Y196" t="s">
        <v>4933</v>
      </c>
    </row>
    <row r="197" spans="1:25" x14ac:dyDescent="0.25">
      <c r="A197" t="s">
        <v>1248</v>
      </c>
      <c r="B197">
        <v>32353</v>
      </c>
      <c r="C197">
        <v>405</v>
      </c>
      <c r="D197">
        <v>565</v>
      </c>
      <c r="E197">
        <v>9</v>
      </c>
      <c r="F197">
        <v>1</v>
      </c>
      <c r="G197" t="s">
        <v>1265</v>
      </c>
      <c r="H197" t="s">
        <v>1265</v>
      </c>
      <c r="I197" t="s">
        <v>4759</v>
      </c>
      <c r="J197">
        <v>21</v>
      </c>
      <c r="K197" t="s">
        <v>4932</v>
      </c>
      <c r="M197">
        <v>16371</v>
      </c>
      <c r="N197">
        <v>6</v>
      </c>
      <c r="O197" t="s">
        <v>2726</v>
      </c>
      <c r="P197" t="s">
        <v>1262</v>
      </c>
      <c r="Q197" t="s">
        <v>1262</v>
      </c>
      <c r="W197" t="s">
        <v>4757</v>
      </c>
      <c r="X197" t="s">
        <v>4756</v>
      </c>
      <c r="Y197" t="s">
        <v>4931</v>
      </c>
    </row>
    <row r="198" spans="1:25" x14ac:dyDescent="0.25">
      <c r="A198" t="s">
        <v>1248</v>
      </c>
      <c r="B198">
        <v>32354</v>
      </c>
      <c r="C198">
        <v>405</v>
      </c>
      <c r="D198">
        <v>565</v>
      </c>
      <c r="E198">
        <v>11</v>
      </c>
      <c r="F198">
        <v>1</v>
      </c>
      <c r="G198" t="s">
        <v>1265</v>
      </c>
      <c r="H198" t="s">
        <v>1265</v>
      </c>
      <c r="I198" t="s">
        <v>4759</v>
      </c>
      <c r="J198">
        <v>22</v>
      </c>
      <c r="K198" t="s">
        <v>4930</v>
      </c>
      <c r="M198">
        <v>16371</v>
      </c>
      <c r="N198">
        <v>6</v>
      </c>
      <c r="O198" t="s">
        <v>2726</v>
      </c>
      <c r="P198" t="s">
        <v>1262</v>
      </c>
      <c r="Q198" t="s">
        <v>1262</v>
      </c>
      <c r="W198" t="s">
        <v>4757</v>
      </c>
      <c r="X198" t="s">
        <v>4756</v>
      </c>
      <c r="Y198" t="s">
        <v>4929</v>
      </c>
    </row>
    <row r="199" spans="1:25" x14ac:dyDescent="0.25">
      <c r="A199" t="s">
        <v>1248</v>
      </c>
      <c r="B199">
        <v>32355</v>
      </c>
      <c r="C199">
        <v>405</v>
      </c>
      <c r="D199">
        <v>565</v>
      </c>
      <c r="E199">
        <v>13</v>
      </c>
      <c r="F199">
        <v>1</v>
      </c>
      <c r="G199" t="s">
        <v>1265</v>
      </c>
      <c r="H199" t="s">
        <v>1265</v>
      </c>
      <c r="I199" t="s">
        <v>4759</v>
      </c>
      <c r="J199">
        <v>23</v>
      </c>
      <c r="K199" t="s">
        <v>4928</v>
      </c>
      <c r="M199">
        <v>16371</v>
      </c>
      <c r="N199">
        <v>6</v>
      </c>
      <c r="O199" t="s">
        <v>2726</v>
      </c>
      <c r="P199" t="s">
        <v>1262</v>
      </c>
      <c r="Q199" t="s">
        <v>1262</v>
      </c>
      <c r="W199" t="s">
        <v>4757</v>
      </c>
      <c r="X199" t="s">
        <v>4756</v>
      </c>
      <c r="Y199" t="s">
        <v>4927</v>
      </c>
    </row>
    <row r="200" spans="1:25" x14ac:dyDescent="0.25">
      <c r="A200" t="s">
        <v>1248</v>
      </c>
      <c r="B200">
        <v>32357</v>
      </c>
      <c r="C200">
        <v>405</v>
      </c>
      <c r="D200">
        <v>565</v>
      </c>
      <c r="E200">
        <v>1</v>
      </c>
      <c r="F200">
        <v>1</v>
      </c>
      <c r="G200" t="s">
        <v>1265</v>
      </c>
      <c r="H200" t="s">
        <v>1265</v>
      </c>
      <c r="I200" t="s">
        <v>4759</v>
      </c>
      <c r="J200">
        <v>1</v>
      </c>
      <c r="K200" t="s">
        <v>4926</v>
      </c>
      <c r="M200">
        <v>19577</v>
      </c>
      <c r="N200">
        <v>6</v>
      </c>
      <c r="O200" t="s">
        <v>2726</v>
      </c>
      <c r="P200" t="s">
        <v>1262</v>
      </c>
      <c r="Q200" t="s">
        <v>1262</v>
      </c>
      <c r="W200" t="s">
        <v>4757</v>
      </c>
      <c r="X200" t="s">
        <v>4756</v>
      </c>
      <c r="Y200" t="s">
        <v>4925</v>
      </c>
    </row>
    <row r="201" spans="1:25" x14ac:dyDescent="0.25">
      <c r="A201" t="s">
        <v>1248</v>
      </c>
      <c r="B201">
        <v>32358</v>
      </c>
      <c r="C201">
        <v>405</v>
      </c>
      <c r="D201">
        <v>565</v>
      </c>
      <c r="E201">
        <v>22</v>
      </c>
      <c r="F201">
        <v>1</v>
      </c>
      <c r="G201" t="s">
        <v>1265</v>
      </c>
      <c r="H201" t="s">
        <v>1265</v>
      </c>
      <c r="I201" t="s">
        <v>4759</v>
      </c>
      <c r="J201">
        <v>3</v>
      </c>
      <c r="K201" t="s">
        <v>4924</v>
      </c>
      <c r="M201">
        <v>19577</v>
      </c>
      <c r="N201">
        <v>6</v>
      </c>
      <c r="O201" t="s">
        <v>2726</v>
      </c>
      <c r="P201" t="s">
        <v>1262</v>
      </c>
      <c r="Q201" t="s">
        <v>1262</v>
      </c>
      <c r="W201" t="s">
        <v>4757</v>
      </c>
      <c r="X201" t="s">
        <v>4756</v>
      </c>
      <c r="Y201" t="s">
        <v>4923</v>
      </c>
    </row>
    <row r="202" spans="1:25" x14ac:dyDescent="0.25">
      <c r="A202" t="s">
        <v>1248</v>
      </c>
      <c r="B202">
        <v>32359</v>
      </c>
      <c r="C202">
        <v>405</v>
      </c>
      <c r="D202">
        <v>565</v>
      </c>
      <c r="E202">
        <v>20</v>
      </c>
      <c r="F202">
        <v>1</v>
      </c>
      <c r="G202" t="s">
        <v>1265</v>
      </c>
      <c r="H202" t="s">
        <v>1265</v>
      </c>
      <c r="I202" t="s">
        <v>4759</v>
      </c>
      <c r="J202">
        <v>4</v>
      </c>
      <c r="K202" t="s">
        <v>4922</v>
      </c>
      <c r="M202">
        <v>19577</v>
      </c>
      <c r="N202">
        <v>6</v>
      </c>
      <c r="O202" t="s">
        <v>2726</v>
      </c>
      <c r="P202" t="s">
        <v>1262</v>
      </c>
      <c r="Q202" t="s">
        <v>1262</v>
      </c>
      <c r="W202" t="s">
        <v>4757</v>
      </c>
      <c r="X202" t="s">
        <v>4756</v>
      </c>
      <c r="Y202" t="s">
        <v>4921</v>
      </c>
    </row>
    <row r="203" spans="1:25" x14ac:dyDescent="0.25">
      <c r="A203" t="s">
        <v>1248</v>
      </c>
      <c r="B203">
        <v>32360</v>
      </c>
      <c r="C203">
        <v>405</v>
      </c>
      <c r="D203">
        <v>565</v>
      </c>
      <c r="E203">
        <v>24</v>
      </c>
      <c r="F203">
        <v>1</v>
      </c>
      <c r="G203" t="s">
        <v>1265</v>
      </c>
      <c r="H203" t="s">
        <v>1265</v>
      </c>
      <c r="I203" t="s">
        <v>4759</v>
      </c>
      <c r="J203">
        <v>5</v>
      </c>
      <c r="K203" t="s">
        <v>4920</v>
      </c>
      <c r="M203">
        <v>19577</v>
      </c>
      <c r="N203">
        <v>6</v>
      </c>
      <c r="O203" t="s">
        <v>2726</v>
      </c>
      <c r="P203" t="s">
        <v>1262</v>
      </c>
      <c r="Q203" t="s">
        <v>1262</v>
      </c>
      <c r="W203" t="s">
        <v>4757</v>
      </c>
      <c r="X203" t="s">
        <v>4756</v>
      </c>
      <c r="Y203" t="s">
        <v>4919</v>
      </c>
    </row>
    <row r="204" spans="1:25" x14ac:dyDescent="0.25">
      <c r="A204" t="s">
        <v>1248</v>
      </c>
      <c r="B204">
        <v>32361</v>
      </c>
      <c r="C204">
        <v>405</v>
      </c>
      <c r="D204">
        <v>565</v>
      </c>
      <c r="E204">
        <v>25</v>
      </c>
      <c r="F204">
        <v>1</v>
      </c>
      <c r="G204" t="s">
        <v>1265</v>
      </c>
      <c r="H204" t="s">
        <v>1265</v>
      </c>
      <c r="I204" t="s">
        <v>4759</v>
      </c>
      <c r="J204">
        <v>6</v>
      </c>
      <c r="K204" t="s">
        <v>4918</v>
      </c>
      <c r="M204">
        <v>19577</v>
      </c>
      <c r="N204">
        <v>6</v>
      </c>
      <c r="O204" t="s">
        <v>2726</v>
      </c>
      <c r="P204" t="s">
        <v>1262</v>
      </c>
      <c r="Q204" t="s">
        <v>1262</v>
      </c>
      <c r="W204" t="s">
        <v>4757</v>
      </c>
      <c r="X204" t="s">
        <v>4756</v>
      </c>
      <c r="Y204" t="s">
        <v>4917</v>
      </c>
    </row>
    <row r="205" spans="1:25" x14ac:dyDescent="0.25">
      <c r="A205" t="s">
        <v>1248</v>
      </c>
      <c r="B205">
        <v>32362</v>
      </c>
      <c r="C205">
        <v>405</v>
      </c>
      <c r="D205">
        <v>565</v>
      </c>
      <c r="E205">
        <v>205</v>
      </c>
      <c r="F205">
        <v>1</v>
      </c>
      <c r="G205" t="s">
        <v>1265</v>
      </c>
      <c r="H205" t="s">
        <v>1265</v>
      </c>
      <c r="I205" t="s">
        <v>4759</v>
      </c>
      <c r="J205">
        <v>7</v>
      </c>
      <c r="K205" t="s">
        <v>4916</v>
      </c>
      <c r="M205">
        <v>19577</v>
      </c>
      <c r="N205">
        <v>6</v>
      </c>
      <c r="O205" t="s">
        <v>2726</v>
      </c>
      <c r="P205" t="s">
        <v>1262</v>
      </c>
      <c r="Q205" t="s">
        <v>1262</v>
      </c>
      <c r="W205" t="s">
        <v>4757</v>
      </c>
      <c r="X205" t="s">
        <v>4756</v>
      </c>
      <c r="Y205" t="s">
        <v>4915</v>
      </c>
    </row>
    <row r="206" spans="1:25" x14ac:dyDescent="0.25">
      <c r="A206" t="s">
        <v>1248</v>
      </c>
      <c r="B206">
        <v>32363</v>
      </c>
      <c r="C206">
        <v>405</v>
      </c>
      <c r="D206">
        <v>565</v>
      </c>
      <c r="E206">
        <v>305</v>
      </c>
      <c r="F206">
        <v>1</v>
      </c>
      <c r="G206" t="s">
        <v>1265</v>
      </c>
      <c r="H206" t="s">
        <v>1265</v>
      </c>
      <c r="I206" t="s">
        <v>4759</v>
      </c>
      <c r="J206">
        <v>8</v>
      </c>
      <c r="K206" t="s">
        <v>4914</v>
      </c>
      <c r="M206">
        <v>19577</v>
      </c>
      <c r="N206">
        <v>6</v>
      </c>
      <c r="O206" t="s">
        <v>2726</v>
      </c>
      <c r="P206" t="s">
        <v>1262</v>
      </c>
      <c r="Q206" t="s">
        <v>1262</v>
      </c>
      <c r="W206" t="s">
        <v>4757</v>
      </c>
      <c r="X206" t="s">
        <v>4756</v>
      </c>
      <c r="Y206" t="s">
        <v>4913</v>
      </c>
    </row>
    <row r="207" spans="1:25" x14ac:dyDescent="0.25">
      <c r="A207" t="s">
        <v>1248</v>
      </c>
      <c r="B207">
        <v>32364</v>
      </c>
      <c r="C207">
        <v>405</v>
      </c>
      <c r="D207">
        <v>565</v>
      </c>
      <c r="E207">
        <v>11</v>
      </c>
      <c r="F207">
        <v>1</v>
      </c>
      <c r="G207" t="s">
        <v>1265</v>
      </c>
      <c r="H207" t="s">
        <v>1265</v>
      </c>
      <c r="I207" t="s">
        <v>4759</v>
      </c>
      <c r="J207">
        <v>9</v>
      </c>
      <c r="K207" t="s">
        <v>4912</v>
      </c>
      <c r="M207">
        <v>19577</v>
      </c>
      <c r="N207">
        <v>6</v>
      </c>
      <c r="O207" t="s">
        <v>2726</v>
      </c>
      <c r="P207" t="s">
        <v>1262</v>
      </c>
      <c r="Q207" t="s">
        <v>1262</v>
      </c>
      <c r="W207" t="s">
        <v>4757</v>
      </c>
      <c r="X207" t="s">
        <v>4756</v>
      </c>
      <c r="Y207" t="s">
        <v>4911</v>
      </c>
    </row>
    <row r="208" spans="1:25" x14ac:dyDescent="0.25">
      <c r="A208" t="s">
        <v>1248</v>
      </c>
      <c r="B208">
        <v>32365</v>
      </c>
      <c r="C208">
        <v>405</v>
      </c>
      <c r="D208">
        <v>565</v>
      </c>
      <c r="E208">
        <v>105</v>
      </c>
      <c r="F208">
        <v>1</v>
      </c>
      <c r="G208" t="s">
        <v>1265</v>
      </c>
      <c r="H208" t="s">
        <v>1265</v>
      </c>
      <c r="I208" t="s">
        <v>4759</v>
      </c>
      <c r="J208">
        <v>13</v>
      </c>
      <c r="K208" t="s">
        <v>4910</v>
      </c>
      <c r="M208">
        <v>19577</v>
      </c>
      <c r="N208">
        <v>6</v>
      </c>
      <c r="O208" t="s">
        <v>2726</v>
      </c>
      <c r="P208" t="s">
        <v>1262</v>
      </c>
      <c r="Q208" t="s">
        <v>1262</v>
      </c>
      <c r="W208" t="s">
        <v>4757</v>
      </c>
      <c r="X208" t="s">
        <v>4756</v>
      </c>
      <c r="Y208" t="s">
        <v>4909</v>
      </c>
    </row>
    <row r="209" spans="1:26" x14ac:dyDescent="0.25">
      <c r="A209" t="s">
        <v>1248</v>
      </c>
      <c r="B209">
        <v>32366</v>
      </c>
      <c r="C209">
        <v>405</v>
      </c>
      <c r="D209">
        <v>565</v>
      </c>
      <c r="E209">
        <v>23</v>
      </c>
      <c r="F209">
        <v>1</v>
      </c>
      <c r="G209" t="s">
        <v>1265</v>
      </c>
      <c r="H209" t="s">
        <v>1265</v>
      </c>
      <c r="I209" t="s">
        <v>4759</v>
      </c>
      <c r="J209">
        <v>15</v>
      </c>
      <c r="K209" t="s">
        <v>4908</v>
      </c>
      <c r="M209">
        <v>19577</v>
      </c>
      <c r="N209">
        <v>6</v>
      </c>
      <c r="O209" t="s">
        <v>2726</v>
      </c>
      <c r="P209" t="s">
        <v>1262</v>
      </c>
      <c r="Q209" t="s">
        <v>1262</v>
      </c>
      <c r="W209" t="s">
        <v>4757</v>
      </c>
      <c r="X209" t="s">
        <v>4756</v>
      </c>
      <c r="Y209" t="s">
        <v>4907</v>
      </c>
    </row>
    <row r="210" spans="1:26" x14ac:dyDescent="0.25">
      <c r="A210" t="s">
        <v>1248</v>
      </c>
      <c r="B210">
        <v>32367</v>
      </c>
      <c r="C210">
        <v>405</v>
      </c>
      <c r="D210">
        <v>565</v>
      </c>
      <c r="E210">
        <v>605</v>
      </c>
      <c r="F210">
        <v>1</v>
      </c>
      <c r="G210" t="s">
        <v>1265</v>
      </c>
      <c r="H210" t="s">
        <v>1265</v>
      </c>
      <c r="I210" t="s">
        <v>4759</v>
      </c>
      <c r="J210">
        <v>16</v>
      </c>
      <c r="K210" t="s">
        <v>4906</v>
      </c>
      <c r="M210">
        <v>19577</v>
      </c>
      <c r="N210">
        <v>6</v>
      </c>
      <c r="O210" t="s">
        <v>2726</v>
      </c>
      <c r="P210" t="s">
        <v>1262</v>
      </c>
      <c r="Q210" t="s">
        <v>1262</v>
      </c>
      <c r="W210" t="s">
        <v>4757</v>
      </c>
      <c r="X210" t="s">
        <v>4756</v>
      </c>
      <c r="Y210" t="s">
        <v>4905</v>
      </c>
    </row>
    <row r="211" spans="1:26" x14ac:dyDescent="0.25">
      <c r="A211" t="s">
        <v>1248</v>
      </c>
      <c r="B211">
        <v>32368</v>
      </c>
      <c r="C211">
        <v>405</v>
      </c>
      <c r="D211">
        <v>565</v>
      </c>
      <c r="E211">
        <v>1</v>
      </c>
      <c r="F211">
        <v>1</v>
      </c>
      <c r="G211" t="s">
        <v>1265</v>
      </c>
      <c r="H211" t="s">
        <v>1265</v>
      </c>
      <c r="I211" t="s">
        <v>4759</v>
      </c>
      <c r="J211">
        <v>24</v>
      </c>
      <c r="K211" t="s">
        <v>4904</v>
      </c>
      <c r="M211">
        <v>16374</v>
      </c>
      <c r="N211">
        <v>6</v>
      </c>
      <c r="O211" t="s">
        <v>2726</v>
      </c>
      <c r="P211" t="s">
        <v>1262</v>
      </c>
      <c r="Q211" t="s">
        <v>1262</v>
      </c>
      <c r="W211" t="s">
        <v>4757</v>
      </c>
      <c r="X211" t="s">
        <v>4756</v>
      </c>
      <c r="Y211" t="s">
        <v>4903</v>
      </c>
    </row>
    <row r="212" spans="1:26" x14ac:dyDescent="0.25">
      <c r="A212" t="s">
        <v>1248</v>
      </c>
      <c r="B212">
        <v>32369</v>
      </c>
      <c r="C212">
        <v>405</v>
      </c>
      <c r="D212">
        <v>565</v>
      </c>
      <c r="E212">
        <v>101</v>
      </c>
      <c r="F212">
        <v>1</v>
      </c>
      <c r="G212" t="s">
        <v>1265</v>
      </c>
      <c r="H212" t="s">
        <v>1265</v>
      </c>
      <c r="I212" t="s">
        <v>4759</v>
      </c>
      <c r="J212">
        <v>25</v>
      </c>
      <c r="K212" t="s">
        <v>4902</v>
      </c>
      <c r="M212">
        <v>16374</v>
      </c>
      <c r="N212">
        <v>6</v>
      </c>
      <c r="O212" t="s">
        <v>2726</v>
      </c>
      <c r="P212" t="s">
        <v>1262</v>
      </c>
      <c r="Q212" t="s">
        <v>1262</v>
      </c>
      <c r="W212" t="s">
        <v>4757</v>
      </c>
      <c r="X212" t="s">
        <v>4756</v>
      </c>
      <c r="Y212" t="s">
        <v>4901</v>
      </c>
    </row>
    <row r="213" spans="1:26" x14ac:dyDescent="0.25">
      <c r="A213" t="s">
        <v>1248</v>
      </c>
      <c r="B213">
        <v>32370</v>
      </c>
      <c r="C213">
        <v>405</v>
      </c>
      <c r="D213">
        <v>565</v>
      </c>
      <c r="E213">
        <v>0</v>
      </c>
      <c r="F213">
        <v>1</v>
      </c>
      <c r="G213" t="s">
        <v>1265</v>
      </c>
      <c r="H213" t="s">
        <v>1265</v>
      </c>
      <c r="I213" t="s">
        <v>4759</v>
      </c>
      <c r="J213">
        <v>26</v>
      </c>
      <c r="K213" t="s">
        <v>4900</v>
      </c>
      <c r="M213">
        <v>32348</v>
      </c>
      <c r="N213">
        <v>6</v>
      </c>
      <c r="O213" t="s">
        <v>2726</v>
      </c>
      <c r="P213" t="s">
        <v>1262</v>
      </c>
      <c r="Q213" t="s">
        <v>1262</v>
      </c>
      <c r="W213" t="s">
        <v>4757</v>
      </c>
      <c r="X213" t="s">
        <v>4756</v>
      </c>
      <c r="Y213" t="s">
        <v>4899</v>
      </c>
    </row>
    <row r="214" spans="1:26" x14ac:dyDescent="0.25">
      <c r="A214" t="s">
        <v>1248</v>
      </c>
      <c r="B214">
        <v>51465</v>
      </c>
      <c r="C214">
        <v>405</v>
      </c>
      <c r="D214">
        <v>565</v>
      </c>
      <c r="E214">
        <v>20</v>
      </c>
      <c r="F214">
        <v>1</v>
      </c>
      <c r="G214" t="s">
        <v>1265</v>
      </c>
      <c r="H214" t="s">
        <v>1265</v>
      </c>
      <c r="I214" t="s">
        <v>4759</v>
      </c>
      <c r="J214">
        <v>1</v>
      </c>
      <c r="K214" t="s">
        <v>4898</v>
      </c>
      <c r="M214">
        <v>16404</v>
      </c>
      <c r="N214">
        <v>6</v>
      </c>
      <c r="O214" t="s">
        <v>2726</v>
      </c>
      <c r="P214" t="s">
        <v>1262</v>
      </c>
      <c r="Q214" t="s">
        <v>1262</v>
      </c>
      <c r="W214" t="s">
        <v>4757</v>
      </c>
      <c r="X214" t="s">
        <v>4756</v>
      </c>
      <c r="Y214" t="s">
        <v>4897</v>
      </c>
      <c r="Z214" t="s">
        <v>4896</v>
      </c>
    </row>
    <row r="215" spans="1:26" x14ac:dyDescent="0.25">
      <c r="A215" t="s">
        <v>1248</v>
      </c>
      <c r="B215">
        <v>51466</v>
      </c>
      <c r="C215">
        <v>405</v>
      </c>
      <c r="D215">
        <v>565</v>
      </c>
      <c r="E215">
        <v>19</v>
      </c>
      <c r="F215">
        <v>1</v>
      </c>
      <c r="G215" t="s">
        <v>1265</v>
      </c>
      <c r="H215" t="s">
        <v>1265</v>
      </c>
      <c r="I215" t="s">
        <v>4759</v>
      </c>
      <c r="J215">
        <v>2</v>
      </c>
      <c r="K215" t="s">
        <v>4895</v>
      </c>
      <c r="M215">
        <v>16404</v>
      </c>
      <c r="N215">
        <v>6</v>
      </c>
      <c r="O215" t="s">
        <v>2726</v>
      </c>
      <c r="P215" t="s">
        <v>1262</v>
      </c>
      <c r="Q215" t="s">
        <v>1262</v>
      </c>
      <c r="W215" t="s">
        <v>4757</v>
      </c>
      <c r="X215" t="s">
        <v>4756</v>
      </c>
      <c r="Y215" t="s">
        <v>4894</v>
      </c>
      <c r="Z215" t="s">
        <v>4893</v>
      </c>
    </row>
    <row r="216" spans="1:26" x14ac:dyDescent="0.25">
      <c r="A216" t="s">
        <v>1248</v>
      </c>
      <c r="B216">
        <v>51467</v>
      </c>
      <c r="C216">
        <v>405</v>
      </c>
      <c r="D216">
        <v>565</v>
      </c>
      <c r="E216">
        <v>18</v>
      </c>
      <c r="F216">
        <v>1</v>
      </c>
      <c r="G216" t="s">
        <v>1265</v>
      </c>
      <c r="H216" t="s">
        <v>1265</v>
      </c>
      <c r="I216" t="s">
        <v>4759</v>
      </c>
      <c r="J216">
        <v>3</v>
      </c>
      <c r="K216" t="s">
        <v>4892</v>
      </c>
      <c r="M216">
        <v>16404</v>
      </c>
      <c r="N216">
        <v>6</v>
      </c>
      <c r="O216" t="s">
        <v>2726</v>
      </c>
      <c r="P216" t="s">
        <v>1262</v>
      </c>
      <c r="Q216" t="s">
        <v>1262</v>
      </c>
      <c r="W216" t="s">
        <v>4757</v>
      </c>
      <c r="X216" t="s">
        <v>4756</v>
      </c>
      <c r="Y216" t="s">
        <v>4891</v>
      </c>
      <c r="Z216" t="s">
        <v>4890</v>
      </c>
    </row>
    <row r="217" spans="1:26" x14ac:dyDescent="0.25">
      <c r="A217" t="s">
        <v>1248</v>
      </c>
      <c r="B217">
        <v>51468</v>
      </c>
      <c r="C217">
        <v>405</v>
      </c>
      <c r="D217">
        <v>565</v>
      </c>
      <c r="E217">
        <v>17</v>
      </c>
      <c r="F217">
        <v>1</v>
      </c>
      <c r="G217" t="s">
        <v>1265</v>
      </c>
      <c r="H217" t="s">
        <v>1265</v>
      </c>
      <c r="I217" t="s">
        <v>4759</v>
      </c>
      <c r="J217">
        <v>4</v>
      </c>
      <c r="K217" t="s">
        <v>4889</v>
      </c>
      <c r="M217">
        <v>16404</v>
      </c>
      <c r="N217">
        <v>6</v>
      </c>
      <c r="O217" t="s">
        <v>2726</v>
      </c>
      <c r="P217" t="s">
        <v>1262</v>
      </c>
      <c r="Q217" t="s">
        <v>1262</v>
      </c>
      <c r="W217" t="s">
        <v>4757</v>
      </c>
      <c r="X217" t="s">
        <v>4756</v>
      </c>
      <c r="Y217" t="s">
        <v>4888</v>
      </c>
      <c r="Z217" t="s">
        <v>4887</v>
      </c>
    </row>
    <row r="218" spans="1:26" x14ac:dyDescent="0.25">
      <c r="A218" t="s">
        <v>1248</v>
      </c>
      <c r="B218">
        <v>51469</v>
      </c>
      <c r="C218">
        <v>405</v>
      </c>
      <c r="D218">
        <v>565</v>
      </c>
      <c r="E218">
        <v>16</v>
      </c>
      <c r="F218">
        <v>1</v>
      </c>
      <c r="G218" t="s">
        <v>1265</v>
      </c>
      <c r="H218" t="s">
        <v>1265</v>
      </c>
      <c r="I218" t="s">
        <v>4759</v>
      </c>
      <c r="J218">
        <v>5</v>
      </c>
      <c r="K218" t="s">
        <v>4886</v>
      </c>
      <c r="M218">
        <v>16404</v>
      </c>
      <c r="N218">
        <v>6</v>
      </c>
      <c r="O218" t="s">
        <v>2726</v>
      </c>
      <c r="P218" t="s">
        <v>1262</v>
      </c>
      <c r="Q218" t="s">
        <v>1262</v>
      </c>
      <c r="W218" t="s">
        <v>4757</v>
      </c>
      <c r="X218" t="s">
        <v>4756</v>
      </c>
      <c r="Y218" t="s">
        <v>4885</v>
      </c>
      <c r="Z218" t="s">
        <v>4884</v>
      </c>
    </row>
    <row r="219" spans="1:26" x14ac:dyDescent="0.25">
      <c r="A219" t="s">
        <v>1248</v>
      </c>
      <c r="B219">
        <v>51470</v>
      </c>
      <c r="C219">
        <v>405</v>
      </c>
      <c r="D219">
        <v>565</v>
      </c>
      <c r="E219">
        <v>15</v>
      </c>
      <c r="F219">
        <v>1</v>
      </c>
      <c r="G219" t="s">
        <v>1265</v>
      </c>
      <c r="H219" t="s">
        <v>1265</v>
      </c>
      <c r="I219" t="s">
        <v>4759</v>
      </c>
      <c r="J219">
        <v>6</v>
      </c>
      <c r="K219" t="s">
        <v>4883</v>
      </c>
      <c r="M219">
        <v>16404</v>
      </c>
      <c r="N219">
        <v>6</v>
      </c>
      <c r="O219" t="s">
        <v>2726</v>
      </c>
      <c r="P219" t="s">
        <v>1262</v>
      </c>
      <c r="Q219" t="s">
        <v>1262</v>
      </c>
      <c r="W219" t="s">
        <v>4757</v>
      </c>
      <c r="X219" t="s">
        <v>4756</v>
      </c>
      <c r="Y219" t="s">
        <v>4882</v>
      </c>
      <c r="Z219" t="s">
        <v>4881</v>
      </c>
    </row>
    <row r="220" spans="1:26" x14ac:dyDescent="0.25">
      <c r="A220" t="s">
        <v>1248</v>
      </c>
      <c r="B220">
        <v>51471</v>
      </c>
      <c r="C220">
        <v>405</v>
      </c>
      <c r="D220">
        <v>565</v>
      </c>
      <c r="E220">
        <v>14</v>
      </c>
      <c r="F220">
        <v>1</v>
      </c>
      <c r="G220" t="s">
        <v>1265</v>
      </c>
      <c r="H220" t="s">
        <v>1265</v>
      </c>
      <c r="I220" t="s">
        <v>4759</v>
      </c>
      <c r="J220">
        <v>7</v>
      </c>
      <c r="K220" t="s">
        <v>4880</v>
      </c>
      <c r="M220">
        <v>16404</v>
      </c>
      <c r="N220">
        <v>6</v>
      </c>
      <c r="O220" t="s">
        <v>2726</v>
      </c>
      <c r="P220" t="s">
        <v>1262</v>
      </c>
      <c r="Q220" t="s">
        <v>1262</v>
      </c>
      <c r="W220" t="s">
        <v>4757</v>
      </c>
      <c r="X220" t="s">
        <v>4756</v>
      </c>
      <c r="Y220" t="s">
        <v>4879</v>
      </c>
      <c r="Z220" t="s">
        <v>4878</v>
      </c>
    </row>
    <row r="221" spans="1:26" x14ac:dyDescent="0.25">
      <c r="A221" t="s">
        <v>1248</v>
      </c>
      <c r="B221">
        <v>51472</v>
      </c>
      <c r="C221">
        <v>405</v>
      </c>
      <c r="D221">
        <v>565</v>
      </c>
      <c r="E221">
        <v>13</v>
      </c>
      <c r="F221">
        <v>1</v>
      </c>
      <c r="G221" t="s">
        <v>1265</v>
      </c>
      <c r="H221" t="s">
        <v>1265</v>
      </c>
      <c r="I221" t="s">
        <v>4759</v>
      </c>
      <c r="J221">
        <v>8</v>
      </c>
      <c r="K221" t="s">
        <v>4877</v>
      </c>
      <c r="M221">
        <v>16404</v>
      </c>
      <c r="N221">
        <v>6</v>
      </c>
      <c r="O221" t="s">
        <v>2726</v>
      </c>
      <c r="P221" t="s">
        <v>1262</v>
      </c>
      <c r="Q221" t="s">
        <v>1262</v>
      </c>
      <c r="W221" t="s">
        <v>4757</v>
      </c>
      <c r="X221" t="s">
        <v>4756</v>
      </c>
      <c r="Y221" t="s">
        <v>4876</v>
      </c>
      <c r="Z221" t="s">
        <v>4875</v>
      </c>
    </row>
    <row r="222" spans="1:26" x14ac:dyDescent="0.25">
      <c r="A222" t="s">
        <v>1248</v>
      </c>
      <c r="B222">
        <v>51473</v>
      </c>
      <c r="C222">
        <v>405</v>
      </c>
      <c r="D222">
        <v>565</v>
      </c>
      <c r="E222">
        <v>12</v>
      </c>
      <c r="F222">
        <v>1</v>
      </c>
      <c r="G222" t="s">
        <v>1265</v>
      </c>
      <c r="H222" t="s">
        <v>1265</v>
      </c>
      <c r="I222" t="s">
        <v>4759</v>
      </c>
      <c r="J222">
        <v>9</v>
      </c>
      <c r="K222" t="s">
        <v>4874</v>
      </c>
      <c r="M222">
        <v>16404</v>
      </c>
      <c r="N222">
        <v>6</v>
      </c>
      <c r="O222" t="s">
        <v>2726</v>
      </c>
      <c r="P222" t="s">
        <v>1262</v>
      </c>
      <c r="Q222" t="s">
        <v>1262</v>
      </c>
      <c r="W222" t="s">
        <v>4757</v>
      </c>
      <c r="X222" t="s">
        <v>4756</v>
      </c>
      <c r="Y222" t="s">
        <v>4873</v>
      </c>
      <c r="Z222" t="s">
        <v>4872</v>
      </c>
    </row>
    <row r="223" spans="1:26" x14ac:dyDescent="0.25">
      <c r="A223" t="s">
        <v>1248</v>
      </c>
      <c r="B223">
        <v>51474</v>
      </c>
      <c r="C223">
        <v>405</v>
      </c>
      <c r="D223">
        <v>565</v>
      </c>
      <c r="E223">
        <v>11</v>
      </c>
      <c r="F223">
        <v>1</v>
      </c>
      <c r="G223" t="s">
        <v>1265</v>
      </c>
      <c r="H223" t="s">
        <v>1265</v>
      </c>
      <c r="I223" t="s">
        <v>4759</v>
      </c>
      <c r="J223">
        <v>10</v>
      </c>
      <c r="K223" t="s">
        <v>4871</v>
      </c>
      <c r="M223">
        <v>16404</v>
      </c>
      <c r="N223">
        <v>6</v>
      </c>
      <c r="O223" t="s">
        <v>2726</v>
      </c>
      <c r="P223" t="s">
        <v>1262</v>
      </c>
      <c r="Q223" t="s">
        <v>1262</v>
      </c>
      <c r="W223" t="s">
        <v>4757</v>
      </c>
      <c r="X223" t="s">
        <v>4756</v>
      </c>
      <c r="Y223" t="s">
        <v>4870</v>
      </c>
      <c r="Z223" t="s">
        <v>4869</v>
      </c>
    </row>
    <row r="224" spans="1:26" x14ac:dyDescent="0.25">
      <c r="A224" t="s">
        <v>1248</v>
      </c>
      <c r="B224">
        <v>51475</v>
      </c>
      <c r="C224">
        <v>405</v>
      </c>
      <c r="D224">
        <v>565</v>
      </c>
      <c r="E224">
        <v>10</v>
      </c>
      <c r="F224">
        <v>1</v>
      </c>
      <c r="G224" t="s">
        <v>1265</v>
      </c>
      <c r="H224" t="s">
        <v>1265</v>
      </c>
      <c r="I224" t="s">
        <v>4759</v>
      </c>
      <c r="J224">
        <v>11</v>
      </c>
      <c r="K224" t="s">
        <v>4868</v>
      </c>
      <c r="M224">
        <v>16404</v>
      </c>
      <c r="N224">
        <v>6</v>
      </c>
      <c r="O224" t="s">
        <v>2726</v>
      </c>
      <c r="P224" t="s">
        <v>1262</v>
      </c>
      <c r="Q224" t="s">
        <v>1262</v>
      </c>
      <c r="W224" t="s">
        <v>4757</v>
      </c>
      <c r="X224" t="s">
        <v>4756</v>
      </c>
      <c r="Y224" t="s">
        <v>4867</v>
      </c>
      <c r="Z224" t="s">
        <v>4866</v>
      </c>
    </row>
    <row r="225" spans="1:26" x14ac:dyDescent="0.25">
      <c r="A225" t="s">
        <v>1248</v>
      </c>
      <c r="B225">
        <v>51476</v>
      </c>
      <c r="C225">
        <v>405</v>
      </c>
      <c r="D225">
        <v>565</v>
      </c>
      <c r="E225">
        <v>9</v>
      </c>
      <c r="F225">
        <v>1</v>
      </c>
      <c r="G225" t="s">
        <v>1265</v>
      </c>
      <c r="H225" t="s">
        <v>1265</v>
      </c>
      <c r="I225" t="s">
        <v>4759</v>
      </c>
      <c r="J225">
        <v>12</v>
      </c>
      <c r="K225" t="s">
        <v>4865</v>
      </c>
      <c r="M225">
        <v>16404</v>
      </c>
      <c r="N225">
        <v>6</v>
      </c>
      <c r="O225" t="s">
        <v>2726</v>
      </c>
      <c r="P225" t="s">
        <v>1262</v>
      </c>
      <c r="Q225" t="s">
        <v>1262</v>
      </c>
      <c r="W225" t="s">
        <v>4757</v>
      </c>
      <c r="X225" t="s">
        <v>4756</v>
      </c>
      <c r="Y225" t="s">
        <v>4864</v>
      </c>
      <c r="Z225" t="s">
        <v>4863</v>
      </c>
    </row>
    <row r="226" spans="1:26" x14ac:dyDescent="0.25">
      <c r="A226" t="s">
        <v>1248</v>
      </c>
      <c r="B226">
        <v>51477</v>
      </c>
      <c r="C226">
        <v>405</v>
      </c>
      <c r="D226">
        <v>565</v>
      </c>
      <c r="E226">
        <v>8</v>
      </c>
      <c r="F226">
        <v>1</v>
      </c>
      <c r="G226" t="s">
        <v>1265</v>
      </c>
      <c r="H226" t="s">
        <v>1265</v>
      </c>
      <c r="I226" t="s">
        <v>4759</v>
      </c>
      <c r="J226">
        <v>13</v>
      </c>
      <c r="K226" t="s">
        <v>4862</v>
      </c>
      <c r="M226">
        <v>16404</v>
      </c>
      <c r="N226">
        <v>6</v>
      </c>
      <c r="O226" t="s">
        <v>2726</v>
      </c>
      <c r="P226" t="s">
        <v>1262</v>
      </c>
      <c r="Q226" t="s">
        <v>1262</v>
      </c>
      <c r="W226" t="s">
        <v>4757</v>
      </c>
      <c r="X226" t="s">
        <v>4756</v>
      </c>
      <c r="Y226" t="s">
        <v>4861</v>
      </c>
      <c r="Z226" t="s">
        <v>4860</v>
      </c>
    </row>
    <row r="227" spans="1:26" x14ac:dyDescent="0.25">
      <c r="A227" t="s">
        <v>1248</v>
      </c>
      <c r="B227">
        <v>51478</v>
      </c>
      <c r="C227">
        <v>405</v>
      </c>
      <c r="D227">
        <v>565</v>
      </c>
      <c r="E227">
        <v>7</v>
      </c>
      <c r="F227">
        <v>1</v>
      </c>
      <c r="G227" t="s">
        <v>1265</v>
      </c>
      <c r="H227" t="s">
        <v>1265</v>
      </c>
      <c r="I227" t="s">
        <v>4759</v>
      </c>
      <c r="J227">
        <v>14</v>
      </c>
      <c r="K227" t="s">
        <v>4859</v>
      </c>
      <c r="M227">
        <v>16404</v>
      </c>
      <c r="N227">
        <v>6</v>
      </c>
      <c r="O227" t="s">
        <v>2726</v>
      </c>
      <c r="P227" t="s">
        <v>1262</v>
      </c>
      <c r="Q227" t="s">
        <v>1262</v>
      </c>
      <c r="W227" t="s">
        <v>4757</v>
      </c>
      <c r="X227" t="s">
        <v>4756</v>
      </c>
      <c r="Y227" t="s">
        <v>4858</v>
      </c>
      <c r="Z227" t="s">
        <v>4857</v>
      </c>
    </row>
    <row r="228" spans="1:26" x14ac:dyDescent="0.25">
      <c r="A228" t="s">
        <v>1248</v>
      </c>
      <c r="B228">
        <v>51479</v>
      </c>
      <c r="C228">
        <v>405</v>
      </c>
      <c r="D228">
        <v>565</v>
      </c>
      <c r="E228">
        <v>6</v>
      </c>
      <c r="F228">
        <v>1</v>
      </c>
      <c r="G228" t="s">
        <v>1265</v>
      </c>
      <c r="H228" t="s">
        <v>1265</v>
      </c>
      <c r="I228" t="s">
        <v>4759</v>
      </c>
      <c r="J228">
        <v>15</v>
      </c>
      <c r="K228" t="s">
        <v>4856</v>
      </c>
      <c r="M228">
        <v>16404</v>
      </c>
      <c r="N228">
        <v>6</v>
      </c>
      <c r="O228" t="s">
        <v>2726</v>
      </c>
      <c r="P228" t="s">
        <v>1262</v>
      </c>
      <c r="Q228" t="s">
        <v>1262</v>
      </c>
      <c r="W228" t="s">
        <v>4757</v>
      </c>
      <c r="X228" t="s">
        <v>4756</v>
      </c>
      <c r="Y228" t="s">
        <v>4855</v>
      </c>
      <c r="Z228" t="s">
        <v>4854</v>
      </c>
    </row>
    <row r="229" spans="1:26" x14ac:dyDescent="0.25">
      <c r="A229" t="s">
        <v>1248</v>
      </c>
      <c r="B229">
        <v>51480</v>
      </c>
      <c r="C229">
        <v>405</v>
      </c>
      <c r="D229">
        <v>565</v>
      </c>
      <c r="E229">
        <v>5</v>
      </c>
      <c r="F229">
        <v>1</v>
      </c>
      <c r="G229" t="s">
        <v>1265</v>
      </c>
      <c r="H229" t="s">
        <v>1265</v>
      </c>
      <c r="I229" t="s">
        <v>4759</v>
      </c>
      <c r="J229">
        <v>16</v>
      </c>
      <c r="K229" t="s">
        <v>4853</v>
      </c>
      <c r="M229">
        <v>16404</v>
      </c>
      <c r="N229">
        <v>6</v>
      </c>
      <c r="O229" t="s">
        <v>2726</v>
      </c>
      <c r="P229" t="s">
        <v>1262</v>
      </c>
      <c r="Q229" t="s">
        <v>1262</v>
      </c>
      <c r="W229" t="s">
        <v>4757</v>
      </c>
      <c r="X229" t="s">
        <v>4756</v>
      </c>
      <c r="Y229" t="s">
        <v>4852</v>
      </c>
      <c r="Z229" t="s">
        <v>4851</v>
      </c>
    </row>
    <row r="230" spans="1:26" x14ac:dyDescent="0.25">
      <c r="A230" t="s">
        <v>1248</v>
      </c>
      <c r="B230">
        <v>51481</v>
      </c>
      <c r="C230">
        <v>405</v>
      </c>
      <c r="D230">
        <v>565</v>
      </c>
      <c r="E230">
        <v>4</v>
      </c>
      <c r="F230">
        <v>1</v>
      </c>
      <c r="G230" t="s">
        <v>1265</v>
      </c>
      <c r="H230" t="s">
        <v>1265</v>
      </c>
      <c r="I230" t="s">
        <v>4759</v>
      </c>
      <c r="J230">
        <v>17</v>
      </c>
      <c r="K230" t="s">
        <v>4850</v>
      </c>
      <c r="M230">
        <v>16404</v>
      </c>
      <c r="N230">
        <v>6</v>
      </c>
      <c r="O230" t="s">
        <v>2726</v>
      </c>
      <c r="P230" t="s">
        <v>1262</v>
      </c>
      <c r="Q230" t="s">
        <v>1262</v>
      </c>
      <c r="W230" t="s">
        <v>4757</v>
      </c>
      <c r="X230" t="s">
        <v>4756</v>
      </c>
      <c r="Y230" t="s">
        <v>4849</v>
      </c>
      <c r="Z230" t="s">
        <v>4848</v>
      </c>
    </row>
    <row r="231" spans="1:26" x14ac:dyDescent="0.25">
      <c r="A231" t="s">
        <v>1248</v>
      </c>
      <c r="B231">
        <v>51482</v>
      </c>
      <c r="C231">
        <v>405</v>
      </c>
      <c r="D231">
        <v>565</v>
      </c>
      <c r="E231">
        <v>3</v>
      </c>
      <c r="F231">
        <v>1</v>
      </c>
      <c r="G231" t="s">
        <v>1265</v>
      </c>
      <c r="H231" t="s">
        <v>1265</v>
      </c>
      <c r="I231" t="s">
        <v>4759</v>
      </c>
      <c r="J231">
        <v>18</v>
      </c>
      <c r="K231" t="s">
        <v>4847</v>
      </c>
      <c r="M231">
        <v>16404</v>
      </c>
      <c r="N231">
        <v>6</v>
      </c>
      <c r="O231" t="s">
        <v>2726</v>
      </c>
      <c r="P231" t="s">
        <v>1262</v>
      </c>
      <c r="Q231" t="s">
        <v>1262</v>
      </c>
      <c r="W231" t="s">
        <v>4757</v>
      </c>
      <c r="X231" t="s">
        <v>4756</v>
      </c>
      <c r="Y231" t="s">
        <v>4846</v>
      </c>
      <c r="Z231" t="s">
        <v>4845</v>
      </c>
    </row>
    <row r="232" spans="1:26" x14ac:dyDescent="0.25">
      <c r="A232" t="s">
        <v>1248</v>
      </c>
      <c r="B232">
        <v>51483</v>
      </c>
      <c r="C232">
        <v>405</v>
      </c>
      <c r="D232">
        <v>565</v>
      </c>
      <c r="E232">
        <v>2</v>
      </c>
      <c r="F232">
        <v>1</v>
      </c>
      <c r="G232" t="s">
        <v>1265</v>
      </c>
      <c r="H232" t="s">
        <v>1265</v>
      </c>
      <c r="I232" t="s">
        <v>4759</v>
      </c>
      <c r="J232">
        <v>19</v>
      </c>
      <c r="K232" t="s">
        <v>4844</v>
      </c>
      <c r="M232">
        <v>16404</v>
      </c>
      <c r="N232">
        <v>6</v>
      </c>
      <c r="O232" t="s">
        <v>2726</v>
      </c>
      <c r="P232" t="s">
        <v>1262</v>
      </c>
      <c r="Q232" t="s">
        <v>1262</v>
      </c>
      <c r="W232" t="s">
        <v>4757</v>
      </c>
      <c r="X232" t="s">
        <v>4756</v>
      </c>
      <c r="Y232" t="s">
        <v>4843</v>
      </c>
      <c r="Z232" t="s">
        <v>4842</v>
      </c>
    </row>
    <row r="233" spans="1:26" x14ac:dyDescent="0.25">
      <c r="A233" t="s">
        <v>1248</v>
      </c>
      <c r="B233">
        <v>51484</v>
      </c>
      <c r="C233">
        <v>405</v>
      </c>
      <c r="D233">
        <v>565</v>
      </c>
      <c r="E233">
        <v>1</v>
      </c>
      <c r="F233">
        <v>1</v>
      </c>
      <c r="G233" t="s">
        <v>1265</v>
      </c>
      <c r="H233" t="s">
        <v>1265</v>
      </c>
      <c r="I233" t="s">
        <v>4759</v>
      </c>
      <c r="J233">
        <v>20</v>
      </c>
      <c r="K233" t="s">
        <v>4841</v>
      </c>
      <c r="M233">
        <v>16404</v>
      </c>
      <c r="N233">
        <v>6</v>
      </c>
      <c r="O233" t="s">
        <v>2726</v>
      </c>
      <c r="P233" t="s">
        <v>1262</v>
      </c>
      <c r="Q233" t="s">
        <v>1262</v>
      </c>
      <c r="W233" t="s">
        <v>4757</v>
      </c>
      <c r="X233" t="s">
        <v>4756</v>
      </c>
      <c r="Y233" t="s">
        <v>4840</v>
      </c>
      <c r="Z233" t="s">
        <v>4839</v>
      </c>
    </row>
    <row r="234" spans="1:26" x14ac:dyDescent="0.25">
      <c r="A234" t="s">
        <v>1248</v>
      </c>
      <c r="B234">
        <v>51485</v>
      </c>
      <c r="C234">
        <v>405</v>
      </c>
      <c r="D234">
        <v>565</v>
      </c>
      <c r="E234">
        <v>0</v>
      </c>
      <c r="F234">
        <v>1</v>
      </c>
      <c r="G234" t="s">
        <v>1265</v>
      </c>
      <c r="H234" t="s">
        <v>1265</v>
      </c>
      <c r="I234" t="s">
        <v>4759</v>
      </c>
      <c r="J234">
        <v>21</v>
      </c>
      <c r="K234" t="s">
        <v>4838</v>
      </c>
      <c r="M234">
        <v>16404</v>
      </c>
      <c r="N234">
        <v>6</v>
      </c>
      <c r="O234" t="s">
        <v>2726</v>
      </c>
      <c r="P234" t="s">
        <v>1262</v>
      </c>
      <c r="Q234" t="s">
        <v>1262</v>
      </c>
      <c r="W234" t="s">
        <v>4757</v>
      </c>
      <c r="X234" t="s">
        <v>4756</v>
      </c>
      <c r="Y234" t="s">
        <v>4837</v>
      </c>
      <c r="Z234" t="s">
        <v>4836</v>
      </c>
    </row>
    <row r="235" spans="1:26" x14ac:dyDescent="0.25">
      <c r="A235" t="s">
        <v>1248</v>
      </c>
      <c r="B235">
        <v>51486</v>
      </c>
      <c r="C235">
        <v>405</v>
      </c>
      <c r="D235">
        <v>565</v>
      </c>
      <c r="E235">
        <v>24</v>
      </c>
      <c r="F235">
        <v>1</v>
      </c>
      <c r="G235" t="s">
        <v>1265</v>
      </c>
      <c r="H235" t="s">
        <v>1265</v>
      </c>
      <c r="I235" t="s">
        <v>4759</v>
      </c>
      <c r="J235">
        <v>1</v>
      </c>
      <c r="K235" t="s">
        <v>4835</v>
      </c>
      <c r="M235">
        <v>16401</v>
      </c>
      <c r="N235">
        <v>6</v>
      </c>
      <c r="O235" t="s">
        <v>2726</v>
      </c>
      <c r="P235" t="s">
        <v>1262</v>
      </c>
      <c r="Q235" t="s">
        <v>1262</v>
      </c>
      <c r="S235" t="s">
        <v>4764</v>
      </c>
      <c r="W235" t="s">
        <v>4757</v>
      </c>
      <c r="X235" t="s">
        <v>4756</v>
      </c>
      <c r="Y235" t="s">
        <v>4834</v>
      </c>
      <c r="Z235" t="s">
        <v>4833</v>
      </c>
    </row>
    <row r="236" spans="1:26" x14ac:dyDescent="0.25">
      <c r="A236" t="s">
        <v>1248</v>
      </c>
      <c r="B236">
        <v>51487</v>
      </c>
      <c r="C236">
        <v>405</v>
      </c>
      <c r="D236">
        <v>565</v>
      </c>
      <c r="E236">
        <v>23</v>
      </c>
      <c r="F236">
        <v>1</v>
      </c>
      <c r="G236" t="s">
        <v>1265</v>
      </c>
      <c r="H236" t="s">
        <v>1265</v>
      </c>
      <c r="I236" t="s">
        <v>4759</v>
      </c>
      <c r="J236">
        <v>2</v>
      </c>
      <c r="K236" t="s">
        <v>4832</v>
      </c>
      <c r="M236">
        <v>16401</v>
      </c>
      <c r="N236">
        <v>6</v>
      </c>
      <c r="O236" t="s">
        <v>2726</v>
      </c>
      <c r="P236" t="s">
        <v>1262</v>
      </c>
      <c r="Q236" t="s">
        <v>1262</v>
      </c>
      <c r="S236" t="s">
        <v>4764</v>
      </c>
      <c r="W236" t="s">
        <v>4757</v>
      </c>
      <c r="X236" t="s">
        <v>4756</v>
      </c>
      <c r="Y236" t="s">
        <v>4831</v>
      </c>
      <c r="Z236" t="s">
        <v>4830</v>
      </c>
    </row>
    <row r="237" spans="1:26" x14ac:dyDescent="0.25">
      <c r="A237" t="s">
        <v>1248</v>
      </c>
      <c r="B237">
        <v>51488</v>
      </c>
      <c r="C237">
        <v>405</v>
      </c>
      <c r="D237">
        <v>565</v>
      </c>
      <c r="E237">
        <v>22</v>
      </c>
      <c r="F237">
        <v>1</v>
      </c>
      <c r="G237" t="s">
        <v>1265</v>
      </c>
      <c r="H237" t="s">
        <v>1265</v>
      </c>
      <c r="I237" t="s">
        <v>4759</v>
      </c>
      <c r="J237">
        <v>3</v>
      </c>
      <c r="K237" t="s">
        <v>4829</v>
      </c>
      <c r="M237">
        <v>16401</v>
      </c>
      <c r="N237">
        <v>6</v>
      </c>
      <c r="O237" t="s">
        <v>2726</v>
      </c>
      <c r="P237" t="s">
        <v>1262</v>
      </c>
      <c r="Q237" t="s">
        <v>1262</v>
      </c>
      <c r="S237" t="s">
        <v>4764</v>
      </c>
      <c r="W237" t="s">
        <v>4757</v>
      </c>
      <c r="X237" t="s">
        <v>4756</v>
      </c>
      <c r="Y237" t="s">
        <v>4828</v>
      </c>
      <c r="Z237" t="s">
        <v>4827</v>
      </c>
    </row>
    <row r="238" spans="1:26" x14ac:dyDescent="0.25">
      <c r="A238" t="s">
        <v>1248</v>
      </c>
      <c r="B238">
        <v>51489</v>
      </c>
      <c r="C238">
        <v>405</v>
      </c>
      <c r="D238">
        <v>565</v>
      </c>
      <c r="E238">
        <v>21</v>
      </c>
      <c r="F238">
        <v>1</v>
      </c>
      <c r="G238" t="s">
        <v>1265</v>
      </c>
      <c r="H238" t="s">
        <v>1265</v>
      </c>
      <c r="I238" t="s">
        <v>4759</v>
      </c>
      <c r="J238">
        <v>4</v>
      </c>
      <c r="K238" t="s">
        <v>4826</v>
      </c>
      <c r="M238">
        <v>16401</v>
      </c>
      <c r="N238">
        <v>6</v>
      </c>
      <c r="O238" t="s">
        <v>2726</v>
      </c>
      <c r="P238" t="s">
        <v>1262</v>
      </c>
      <c r="Q238" t="s">
        <v>1262</v>
      </c>
      <c r="S238" t="s">
        <v>4764</v>
      </c>
      <c r="W238" t="s">
        <v>4757</v>
      </c>
      <c r="X238" t="s">
        <v>4756</v>
      </c>
      <c r="Y238" t="s">
        <v>4825</v>
      </c>
      <c r="Z238" t="s">
        <v>4824</v>
      </c>
    </row>
    <row r="239" spans="1:26" x14ac:dyDescent="0.25">
      <c r="A239" t="s">
        <v>1248</v>
      </c>
      <c r="B239">
        <v>51490</v>
      </c>
      <c r="C239">
        <v>405</v>
      </c>
      <c r="D239">
        <v>565</v>
      </c>
      <c r="E239">
        <v>20</v>
      </c>
      <c r="F239">
        <v>1</v>
      </c>
      <c r="G239" t="s">
        <v>1265</v>
      </c>
      <c r="H239" t="s">
        <v>1265</v>
      </c>
      <c r="I239" t="s">
        <v>4759</v>
      </c>
      <c r="J239">
        <v>5</v>
      </c>
      <c r="K239" t="s">
        <v>4823</v>
      </c>
      <c r="M239">
        <v>16401</v>
      </c>
      <c r="N239">
        <v>6</v>
      </c>
      <c r="O239" t="s">
        <v>2726</v>
      </c>
      <c r="P239" t="s">
        <v>1262</v>
      </c>
      <c r="Q239" t="s">
        <v>1262</v>
      </c>
      <c r="S239" t="s">
        <v>4764</v>
      </c>
      <c r="W239" t="s">
        <v>4757</v>
      </c>
      <c r="X239" t="s">
        <v>4756</v>
      </c>
      <c r="Y239" t="s">
        <v>4822</v>
      </c>
      <c r="Z239" t="s">
        <v>4821</v>
      </c>
    </row>
    <row r="240" spans="1:26" x14ac:dyDescent="0.25">
      <c r="A240" t="s">
        <v>1248</v>
      </c>
      <c r="B240">
        <v>51491</v>
      </c>
      <c r="C240">
        <v>405</v>
      </c>
      <c r="D240">
        <v>565</v>
      </c>
      <c r="E240">
        <v>19</v>
      </c>
      <c r="F240">
        <v>1</v>
      </c>
      <c r="G240" t="s">
        <v>1265</v>
      </c>
      <c r="H240" t="s">
        <v>1265</v>
      </c>
      <c r="I240" t="s">
        <v>4759</v>
      </c>
      <c r="J240">
        <v>6</v>
      </c>
      <c r="K240" t="s">
        <v>4820</v>
      </c>
      <c r="M240">
        <v>16401</v>
      </c>
      <c r="N240">
        <v>6</v>
      </c>
      <c r="O240" t="s">
        <v>2726</v>
      </c>
      <c r="P240" t="s">
        <v>1262</v>
      </c>
      <c r="Q240" t="s">
        <v>1262</v>
      </c>
      <c r="S240" t="s">
        <v>4764</v>
      </c>
      <c r="W240" t="s">
        <v>4757</v>
      </c>
      <c r="X240" t="s">
        <v>4756</v>
      </c>
      <c r="Y240" t="s">
        <v>4819</v>
      </c>
      <c r="Z240" t="s">
        <v>4818</v>
      </c>
    </row>
    <row r="241" spans="1:26" x14ac:dyDescent="0.25">
      <c r="A241" t="s">
        <v>1248</v>
      </c>
      <c r="B241">
        <v>51492</v>
      </c>
      <c r="C241">
        <v>405</v>
      </c>
      <c r="D241">
        <v>565</v>
      </c>
      <c r="E241">
        <v>18</v>
      </c>
      <c r="F241">
        <v>1</v>
      </c>
      <c r="G241" t="s">
        <v>1265</v>
      </c>
      <c r="H241" t="s">
        <v>1265</v>
      </c>
      <c r="I241" t="s">
        <v>4759</v>
      </c>
      <c r="J241">
        <v>7</v>
      </c>
      <c r="K241" t="s">
        <v>4817</v>
      </c>
      <c r="M241">
        <v>16401</v>
      </c>
      <c r="N241">
        <v>6</v>
      </c>
      <c r="O241" t="s">
        <v>2726</v>
      </c>
      <c r="P241" t="s">
        <v>1262</v>
      </c>
      <c r="Q241" t="s">
        <v>1262</v>
      </c>
      <c r="S241" t="s">
        <v>4764</v>
      </c>
      <c r="W241" t="s">
        <v>4757</v>
      </c>
      <c r="X241" t="s">
        <v>4756</v>
      </c>
      <c r="Y241" t="s">
        <v>4816</v>
      </c>
      <c r="Z241" t="s">
        <v>4815</v>
      </c>
    </row>
    <row r="242" spans="1:26" x14ac:dyDescent="0.25">
      <c r="A242" t="s">
        <v>1248</v>
      </c>
      <c r="B242">
        <v>51493</v>
      </c>
      <c r="C242">
        <v>405</v>
      </c>
      <c r="D242">
        <v>565</v>
      </c>
      <c r="E242">
        <v>17</v>
      </c>
      <c r="F242">
        <v>1</v>
      </c>
      <c r="G242" t="s">
        <v>1265</v>
      </c>
      <c r="H242" t="s">
        <v>1265</v>
      </c>
      <c r="I242" t="s">
        <v>4759</v>
      </c>
      <c r="J242">
        <v>8</v>
      </c>
      <c r="K242" t="s">
        <v>4814</v>
      </c>
      <c r="M242">
        <v>16401</v>
      </c>
      <c r="N242">
        <v>6</v>
      </c>
      <c r="O242" t="s">
        <v>2726</v>
      </c>
      <c r="P242" t="s">
        <v>1262</v>
      </c>
      <c r="Q242" t="s">
        <v>1262</v>
      </c>
      <c r="S242" t="s">
        <v>4764</v>
      </c>
      <c r="W242" t="s">
        <v>4757</v>
      </c>
      <c r="X242" t="s">
        <v>4756</v>
      </c>
      <c r="Y242" t="s">
        <v>4813</v>
      </c>
      <c r="Z242" t="s">
        <v>4812</v>
      </c>
    </row>
    <row r="243" spans="1:26" x14ac:dyDescent="0.25">
      <c r="A243" t="s">
        <v>1248</v>
      </c>
      <c r="B243">
        <v>51494</v>
      </c>
      <c r="C243">
        <v>405</v>
      </c>
      <c r="D243">
        <v>565</v>
      </c>
      <c r="E243">
        <v>16</v>
      </c>
      <c r="F243">
        <v>1</v>
      </c>
      <c r="G243" t="s">
        <v>1265</v>
      </c>
      <c r="H243" t="s">
        <v>1265</v>
      </c>
      <c r="I243" t="s">
        <v>4759</v>
      </c>
      <c r="J243">
        <v>9</v>
      </c>
      <c r="K243" t="s">
        <v>4811</v>
      </c>
      <c r="M243">
        <v>16401</v>
      </c>
      <c r="N243">
        <v>6</v>
      </c>
      <c r="O243" t="s">
        <v>2726</v>
      </c>
      <c r="P243" t="s">
        <v>1262</v>
      </c>
      <c r="Q243" t="s">
        <v>1262</v>
      </c>
      <c r="S243" t="s">
        <v>4764</v>
      </c>
      <c r="W243" t="s">
        <v>4757</v>
      </c>
      <c r="X243" t="s">
        <v>4756</v>
      </c>
      <c r="Y243" t="s">
        <v>4810</v>
      </c>
      <c r="Z243" t="s">
        <v>4809</v>
      </c>
    </row>
    <row r="244" spans="1:26" x14ac:dyDescent="0.25">
      <c r="A244" t="s">
        <v>1248</v>
      </c>
      <c r="B244">
        <v>51495</v>
      </c>
      <c r="C244">
        <v>405</v>
      </c>
      <c r="D244">
        <v>565</v>
      </c>
      <c r="E244">
        <v>15</v>
      </c>
      <c r="F244">
        <v>1</v>
      </c>
      <c r="G244" t="s">
        <v>1265</v>
      </c>
      <c r="H244" t="s">
        <v>1265</v>
      </c>
      <c r="I244" t="s">
        <v>4759</v>
      </c>
      <c r="J244">
        <v>10</v>
      </c>
      <c r="K244" t="s">
        <v>4808</v>
      </c>
      <c r="M244">
        <v>16401</v>
      </c>
      <c r="N244">
        <v>6</v>
      </c>
      <c r="O244" t="s">
        <v>2726</v>
      </c>
      <c r="P244" t="s">
        <v>1262</v>
      </c>
      <c r="Q244" t="s">
        <v>1262</v>
      </c>
      <c r="S244" t="s">
        <v>4764</v>
      </c>
      <c r="W244" t="s">
        <v>4757</v>
      </c>
      <c r="X244" t="s">
        <v>4756</v>
      </c>
      <c r="Y244" t="s">
        <v>4807</v>
      </c>
      <c r="Z244" t="s">
        <v>4806</v>
      </c>
    </row>
    <row r="245" spans="1:26" x14ac:dyDescent="0.25">
      <c r="A245" t="s">
        <v>1248</v>
      </c>
      <c r="B245">
        <v>51496</v>
      </c>
      <c r="C245">
        <v>405</v>
      </c>
      <c r="D245">
        <v>565</v>
      </c>
      <c r="E245">
        <v>14</v>
      </c>
      <c r="F245">
        <v>1</v>
      </c>
      <c r="G245" t="s">
        <v>1265</v>
      </c>
      <c r="H245" t="s">
        <v>1265</v>
      </c>
      <c r="I245" t="s">
        <v>4759</v>
      </c>
      <c r="J245">
        <v>11</v>
      </c>
      <c r="K245" t="s">
        <v>4805</v>
      </c>
      <c r="M245">
        <v>16401</v>
      </c>
      <c r="N245">
        <v>6</v>
      </c>
      <c r="O245" t="s">
        <v>2726</v>
      </c>
      <c r="P245" t="s">
        <v>1262</v>
      </c>
      <c r="Q245" t="s">
        <v>1262</v>
      </c>
      <c r="S245" t="s">
        <v>4764</v>
      </c>
      <c r="W245" t="s">
        <v>4757</v>
      </c>
      <c r="X245" t="s">
        <v>4756</v>
      </c>
      <c r="Y245" t="s">
        <v>4804</v>
      </c>
      <c r="Z245" t="s">
        <v>4803</v>
      </c>
    </row>
    <row r="246" spans="1:26" x14ac:dyDescent="0.25">
      <c r="A246" t="s">
        <v>1248</v>
      </c>
      <c r="B246">
        <v>51497</v>
      </c>
      <c r="C246">
        <v>405</v>
      </c>
      <c r="D246">
        <v>565</v>
      </c>
      <c r="E246">
        <v>13</v>
      </c>
      <c r="F246">
        <v>1</v>
      </c>
      <c r="G246" t="s">
        <v>1265</v>
      </c>
      <c r="H246" t="s">
        <v>1265</v>
      </c>
      <c r="I246" t="s">
        <v>4759</v>
      </c>
      <c r="J246">
        <v>12</v>
      </c>
      <c r="K246" t="s">
        <v>4802</v>
      </c>
      <c r="M246">
        <v>16401</v>
      </c>
      <c r="N246">
        <v>6</v>
      </c>
      <c r="O246" t="s">
        <v>2726</v>
      </c>
      <c r="P246" t="s">
        <v>1262</v>
      </c>
      <c r="Q246" t="s">
        <v>1262</v>
      </c>
      <c r="S246" t="s">
        <v>4764</v>
      </c>
      <c r="W246" t="s">
        <v>4757</v>
      </c>
      <c r="X246" t="s">
        <v>4756</v>
      </c>
      <c r="Y246" t="s">
        <v>4801</v>
      </c>
      <c r="Z246" t="s">
        <v>4800</v>
      </c>
    </row>
    <row r="247" spans="1:26" x14ac:dyDescent="0.25">
      <c r="A247" t="s">
        <v>1248</v>
      </c>
      <c r="B247">
        <v>51498</v>
      </c>
      <c r="C247">
        <v>405</v>
      </c>
      <c r="D247">
        <v>565</v>
      </c>
      <c r="E247">
        <v>12</v>
      </c>
      <c r="F247">
        <v>1</v>
      </c>
      <c r="G247" t="s">
        <v>1265</v>
      </c>
      <c r="H247" t="s">
        <v>1265</v>
      </c>
      <c r="I247" t="s">
        <v>4759</v>
      </c>
      <c r="J247">
        <v>13</v>
      </c>
      <c r="K247" t="s">
        <v>4799</v>
      </c>
      <c r="M247">
        <v>16401</v>
      </c>
      <c r="N247">
        <v>6</v>
      </c>
      <c r="O247" t="s">
        <v>2726</v>
      </c>
      <c r="P247" t="s">
        <v>1262</v>
      </c>
      <c r="Q247" t="s">
        <v>1262</v>
      </c>
      <c r="S247" t="s">
        <v>4764</v>
      </c>
      <c r="W247" t="s">
        <v>4757</v>
      </c>
      <c r="X247" t="s">
        <v>4756</v>
      </c>
      <c r="Y247" t="s">
        <v>4798</v>
      </c>
      <c r="Z247" t="s">
        <v>4797</v>
      </c>
    </row>
    <row r="248" spans="1:26" x14ac:dyDescent="0.25">
      <c r="A248" t="s">
        <v>1248</v>
      </c>
      <c r="B248">
        <v>51499</v>
      </c>
      <c r="C248">
        <v>405</v>
      </c>
      <c r="D248">
        <v>565</v>
      </c>
      <c r="E248">
        <v>11</v>
      </c>
      <c r="F248">
        <v>1</v>
      </c>
      <c r="G248" t="s">
        <v>1265</v>
      </c>
      <c r="H248" t="s">
        <v>1265</v>
      </c>
      <c r="I248" t="s">
        <v>4759</v>
      </c>
      <c r="J248">
        <v>14</v>
      </c>
      <c r="K248" t="s">
        <v>4796</v>
      </c>
      <c r="M248">
        <v>16401</v>
      </c>
      <c r="N248">
        <v>6</v>
      </c>
      <c r="O248" t="s">
        <v>2726</v>
      </c>
      <c r="P248" t="s">
        <v>1262</v>
      </c>
      <c r="Q248" t="s">
        <v>1262</v>
      </c>
      <c r="S248" t="s">
        <v>4764</v>
      </c>
      <c r="W248" t="s">
        <v>4757</v>
      </c>
      <c r="X248" t="s">
        <v>4756</v>
      </c>
      <c r="Y248" t="s">
        <v>4795</v>
      </c>
      <c r="Z248" t="s">
        <v>4794</v>
      </c>
    </row>
    <row r="249" spans="1:26" x14ac:dyDescent="0.25">
      <c r="A249" t="s">
        <v>1248</v>
      </c>
      <c r="B249">
        <v>51500</v>
      </c>
      <c r="C249">
        <v>405</v>
      </c>
      <c r="D249">
        <v>565</v>
      </c>
      <c r="E249">
        <v>10</v>
      </c>
      <c r="F249">
        <v>1</v>
      </c>
      <c r="G249" t="s">
        <v>1265</v>
      </c>
      <c r="H249" t="s">
        <v>1265</v>
      </c>
      <c r="I249" t="s">
        <v>4759</v>
      </c>
      <c r="J249">
        <v>15</v>
      </c>
      <c r="K249" t="s">
        <v>4793</v>
      </c>
      <c r="M249">
        <v>16401</v>
      </c>
      <c r="N249">
        <v>6</v>
      </c>
      <c r="O249" t="s">
        <v>2726</v>
      </c>
      <c r="P249" t="s">
        <v>1262</v>
      </c>
      <c r="Q249" t="s">
        <v>1262</v>
      </c>
      <c r="S249" t="s">
        <v>4764</v>
      </c>
      <c r="W249" t="s">
        <v>4757</v>
      </c>
      <c r="X249" t="s">
        <v>4756</v>
      </c>
      <c r="Y249" t="s">
        <v>4792</v>
      </c>
      <c r="Z249" t="s">
        <v>4791</v>
      </c>
    </row>
    <row r="250" spans="1:26" x14ac:dyDescent="0.25">
      <c r="A250" t="s">
        <v>1248</v>
      </c>
      <c r="B250">
        <v>51501</v>
      </c>
      <c r="C250">
        <v>405</v>
      </c>
      <c r="D250">
        <v>565</v>
      </c>
      <c r="E250">
        <v>9</v>
      </c>
      <c r="F250">
        <v>1</v>
      </c>
      <c r="G250" t="s">
        <v>1265</v>
      </c>
      <c r="H250" t="s">
        <v>1265</v>
      </c>
      <c r="I250" t="s">
        <v>4759</v>
      </c>
      <c r="J250">
        <v>16</v>
      </c>
      <c r="K250" t="s">
        <v>4790</v>
      </c>
      <c r="M250">
        <v>16401</v>
      </c>
      <c r="N250">
        <v>6</v>
      </c>
      <c r="O250" t="s">
        <v>2726</v>
      </c>
      <c r="P250" t="s">
        <v>1262</v>
      </c>
      <c r="Q250" t="s">
        <v>1262</v>
      </c>
      <c r="S250" t="s">
        <v>4764</v>
      </c>
      <c r="W250" t="s">
        <v>4757</v>
      </c>
      <c r="X250" t="s">
        <v>4756</v>
      </c>
      <c r="Y250" t="s">
        <v>4789</v>
      </c>
      <c r="Z250" t="s">
        <v>4788</v>
      </c>
    </row>
    <row r="251" spans="1:26" x14ac:dyDescent="0.25">
      <c r="A251" t="s">
        <v>1248</v>
      </c>
      <c r="B251">
        <v>51502</v>
      </c>
      <c r="C251">
        <v>405</v>
      </c>
      <c r="D251">
        <v>565</v>
      </c>
      <c r="E251">
        <v>8</v>
      </c>
      <c r="F251">
        <v>1</v>
      </c>
      <c r="G251" t="s">
        <v>1265</v>
      </c>
      <c r="H251" t="s">
        <v>1265</v>
      </c>
      <c r="I251" t="s">
        <v>4759</v>
      </c>
      <c r="J251">
        <v>17</v>
      </c>
      <c r="K251" t="s">
        <v>4787</v>
      </c>
      <c r="M251">
        <v>16401</v>
      </c>
      <c r="N251">
        <v>6</v>
      </c>
      <c r="O251" t="s">
        <v>2726</v>
      </c>
      <c r="P251" t="s">
        <v>1262</v>
      </c>
      <c r="Q251" t="s">
        <v>1262</v>
      </c>
      <c r="S251" t="s">
        <v>4764</v>
      </c>
      <c r="W251" t="s">
        <v>4757</v>
      </c>
      <c r="X251" t="s">
        <v>4756</v>
      </c>
      <c r="Y251" t="s">
        <v>4786</v>
      </c>
      <c r="Z251" t="s">
        <v>4785</v>
      </c>
    </row>
    <row r="252" spans="1:26" x14ac:dyDescent="0.25">
      <c r="A252" t="s">
        <v>1248</v>
      </c>
      <c r="B252">
        <v>51503</v>
      </c>
      <c r="C252">
        <v>405</v>
      </c>
      <c r="D252">
        <v>565</v>
      </c>
      <c r="E252">
        <v>7</v>
      </c>
      <c r="F252">
        <v>1</v>
      </c>
      <c r="G252" t="s">
        <v>1265</v>
      </c>
      <c r="H252" t="s">
        <v>1265</v>
      </c>
      <c r="I252" t="s">
        <v>4759</v>
      </c>
      <c r="J252">
        <v>18</v>
      </c>
      <c r="K252" t="s">
        <v>4784</v>
      </c>
      <c r="M252">
        <v>16401</v>
      </c>
      <c r="N252">
        <v>6</v>
      </c>
      <c r="O252" t="s">
        <v>2726</v>
      </c>
      <c r="P252" t="s">
        <v>1262</v>
      </c>
      <c r="Q252" t="s">
        <v>1262</v>
      </c>
      <c r="S252" t="s">
        <v>4764</v>
      </c>
      <c r="W252" t="s">
        <v>4757</v>
      </c>
      <c r="X252" t="s">
        <v>4756</v>
      </c>
      <c r="Y252" t="s">
        <v>4783</v>
      </c>
      <c r="Z252" t="s">
        <v>4782</v>
      </c>
    </row>
    <row r="253" spans="1:26" x14ac:dyDescent="0.25">
      <c r="A253" t="s">
        <v>1248</v>
      </c>
      <c r="B253">
        <v>51504</v>
      </c>
      <c r="C253">
        <v>405</v>
      </c>
      <c r="D253">
        <v>565</v>
      </c>
      <c r="E253">
        <v>6</v>
      </c>
      <c r="F253">
        <v>1</v>
      </c>
      <c r="G253" t="s">
        <v>1265</v>
      </c>
      <c r="H253" t="s">
        <v>1265</v>
      </c>
      <c r="I253" t="s">
        <v>4759</v>
      </c>
      <c r="J253">
        <v>19</v>
      </c>
      <c r="K253" t="s">
        <v>4781</v>
      </c>
      <c r="M253">
        <v>16401</v>
      </c>
      <c r="N253">
        <v>6</v>
      </c>
      <c r="O253" t="s">
        <v>2726</v>
      </c>
      <c r="P253" t="s">
        <v>1262</v>
      </c>
      <c r="Q253" t="s">
        <v>1262</v>
      </c>
      <c r="S253" t="s">
        <v>4764</v>
      </c>
      <c r="W253" t="s">
        <v>4757</v>
      </c>
      <c r="X253" t="s">
        <v>4756</v>
      </c>
      <c r="Y253" t="s">
        <v>4780</v>
      </c>
      <c r="Z253" t="s">
        <v>4779</v>
      </c>
    </row>
    <row r="254" spans="1:26" x14ac:dyDescent="0.25">
      <c r="A254" t="s">
        <v>1248</v>
      </c>
      <c r="B254">
        <v>51505</v>
      </c>
      <c r="C254">
        <v>405</v>
      </c>
      <c r="D254">
        <v>565</v>
      </c>
      <c r="E254">
        <v>5</v>
      </c>
      <c r="F254">
        <v>1</v>
      </c>
      <c r="G254" t="s">
        <v>1265</v>
      </c>
      <c r="H254" t="s">
        <v>1265</v>
      </c>
      <c r="I254" t="s">
        <v>4759</v>
      </c>
      <c r="J254">
        <v>20</v>
      </c>
      <c r="K254" t="s">
        <v>4778</v>
      </c>
      <c r="M254">
        <v>16401</v>
      </c>
      <c r="N254">
        <v>6</v>
      </c>
      <c r="O254" t="s">
        <v>2726</v>
      </c>
      <c r="P254" t="s">
        <v>1262</v>
      </c>
      <c r="Q254" t="s">
        <v>1262</v>
      </c>
      <c r="S254" t="s">
        <v>4764</v>
      </c>
      <c r="W254" t="s">
        <v>4757</v>
      </c>
      <c r="X254" t="s">
        <v>4756</v>
      </c>
      <c r="Y254" t="s">
        <v>4777</v>
      </c>
      <c r="Z254" t="s">
        <v>4776</v>
      </c>
    </row>
    <row r="255" spans="1:26" x14ac:dyDescent="0.25">
      <c r="A255" t="s">
        <v>1248</v>
      </c>
      <c r="B255">
        <v>51506</v>
      </c>
      <c r="C255">
        <v>405</v>
      </c>
      <c r="D255">
        <v>565</v>
      </c>
      <c r="E255">
        <v>4</v>
      </c>
      <c r="F255">
        <v>1</v>
      </c>
      <c r="G255" t="s">
        <v>1265</v>
      </c>
      <c r="H255" t="s">
        <v>1265</v>
      </c>
      <c r="I255" t="s">
        <v>4759</v>
      </c>
      <c r="J255">
        <v>21</v>
      </c>
      <c r="K255" t="s">
        <v>4775</v>
      </c>
      <c r="M255">
        <v>16401</v>
      </c>
      <c r="N255">
        <v>6</v>
      </c>
      <c r="O255" t="s">
        <v>2726</v>
      </c>
      <c r="P255" t="s">
        <v>1262</v>
      </c>
      <c r="Q255" t="s">
        <v>1262</v>
      </c>
      <c r="S255" t="s">
        <v>4764</v>
      </c>
      <c r="W255" t="s">
        <v>4757</v>
      </c>
      <c r="X255" t="s">
        <v>4756</v>
      </c>
      <c r="Y255" t="s">
        <v>4774</v>
      </c>
      <c r="Z255" t="s">
        <v>4773</v>
      </c>
    </row>
    <row r="256" spans="1:26" x14ac:dyDescent="0.25">
      <c r="A256" t="s">
        <v>1248</v>
      </c>
      <c r="B256">
        <v>51507</v>
      </c>
      <c r="C256">
        <v>405</v>
      </c>
      <c r="D256">
        <v>565</v>
      </c>
      <c r="E256">
        <v>3</v>
      </c>
      <c r="F256">
        <v>1</v>
      </c>
      <c r="G256" t="s">
        <v>1265</v>
      </c>
      <c r="H256" t="s">
        <v>1265</v>
      </c>
      <c r="I256" t="s">
        <v>4759</v>
      </c>
      <c r="J256">
        <v>22</v>
      </c>
      <c r="K256" t="s">
        <v>4772</v>
      </c>
      <c r="M256">
        <v>16401</v>
      </c>
      <c r="N256">
        <v>6</v>
      </c>
      <c r="O256" t="s">
        <v>2726</v>
      </c>
      <c r="P256" t="s">
        <v>1262</v>
      </c>
      <c r="Q256" t="s">
        <v>1262</v>
      </c>
      <c r="S256" t="s">
        <v>4764</v>
      </c>
      <c r="W256" t="s">
        <v>4757</v>
      </c>
      <c r="X256" t="s">
        <v>4756</v>
      </c>
      <c r="Y256" t="e">
        <f>+jXD2ojXC0uAzQD7eDLvnw</f>
        <v>#NAME?</v>
      </c>
      <c r="Z256" t="s">
        <v>4771</v>
      </c>
    </row>
    <row r="257" spans="1:34" x14ac:dyDescent="0.25">
      <c r="A257" t="s">
        <v>1248</v>
      </c>
      <c r="B257">
        <v>51508</v>
      </c>
      <c r="C257">
        <v>405</v>
      </c>
      <c r="D257">
        <v>565</v>
      </c>
      <c r="E257">
        <v>2</v>
      </c>
      <c r="F257">
        <v>1</v>
      </c>
      <c r="G257" t="s">
        <v>1265</v>
      </c>
      <c r="H257" t="s">
        <v>1265</v>
      </c>
      <c r="I257" t="s">
        <v>4759</v>
      </c>
      <c r="J257">
        <v>23</v>
      </c>
      <c r="K257" t="s">
        <v>4770</v>
      </c>
      <c r="M257">
        <v>16401</v>
      </c>
      <c r="N257">
        <v>6</v>
      </c>
      <c r="O257" t="s">
        <v>2726</v>
      </c>
      <c r="P257" t="s">
        <v>1262</v>
      </c>
      <c r="Q257" t="s">
        <v>1262</v>
      </c>
      <c r="S257" t="s">
        <v>4764</v>
      </c>
      <c r="W257" t="s">
        <v>4757</v>
      </c>
      <c r="X257" t="s">
        <v>4756</v>
      </c>
      <c r="Y257" t="e">
        <f>+jLIgWPtEUGyxSAxdQcSGw</f>
        <v>#NAME?</v>
      </c>
      <c r="Z257" t="s">
        <v>4769</v>
      </c>
    </row>
    <row r="258" spans="1:34" x14ac:dyDescent="0.25">
      <c r="A258" t="s">
        <v>1248</v>
      </c>
      <c r="B258">
        <v>51509</v>
      </c>
      <c r="C258">
        <v>405</v>
      </c>
      <c r="D258">
        <v>565</v>
      </c>
      <c r="E258">
        <v>1</v>
      </c>
      <c r="F258">
        <v>1</v>
      </c>
      <c r="G258" t="s">
        <v>1265</v>
      </c>
      <c r="H258" t="s">
        <v>1265</v>
      </c>
      <c r="I258" t="s">
        <v>4759</v>
      </c>
      <c r="J258">
        <v>24</v>
      </c>
      <c r="K258" t="s">
        <v>4768</v>
      </c>
      <c r="M258">
        <v>16401</v>
      </c>
      <c r="N258">
        <v>6</v>
      </c>
      <c r="O258" t="s">
        <v>2726</v>
      </c>
      <c r="P258" t="s">
        <v>1262</v>
      </c>
      <c r="Q258" t="s">
        <v>1262</v>
      </c>
      <c r="S258" t="s">
        <v>4764</v>
      </c>
      <c r="W258" t="s">
        <v>4757</v>
      </c>
      <c r="X258" t="s">
        <v>4756</v>
      </c>
      <c r="Y258" t="s">
        <v>4767</v>
      </c>
      <c r="Z258" t="s">
        <v>4766</v>
      </c>
    </row>
    <row r="259" spans="1:34" x14ac:dyDescent="0.25">
      <c r="A259" t="s">
        <v>1248</v>
      </c>
      <c r="B259">
        <v>51510</v>
      </c>
      <c r="C259">
        <v>405</v>
      </c>
      <c r="D259">
        <v>565</v>
      </c>
      <c r="E259">
        <v>0</v>
      </c>
      <c r="F259">
        <v>1</v>
      </c>
      <c r="G259" t="s">
        <v>1265</v>
      </c>
      <c r="H259" t="s">
        <v>1265</v>
      </c>
      <c r="I259" t="s">
        <v>4759</v>
      </c>
      <c r="J259">
        <v>25</v>
      </c>
      <c r="K259" t="s">
        <v>4765</v>
      </c>
      <c r="M259">
        <v>16401</v>
      </c>
      <c r="N259">
        <v>6</v>
      </c>
      <c r="O259" t="s">
        <v>2726</v>
      </c>
      <c r="P259" t="s">
        <v>1262</v>
      </c>
      <c r="Q259" t="s">
        <v>1262</v>
      </c>
      <c r="S259" t="s">
        <v>4764</v>
      </c>
      <c r="W259" t="s">
        <v>4757</v>
      </c>
      <c r="X259" t="s">
        <v>4756</v>
      </c>
      <c r="Y259" t="s">
        <v>4763</v>
      </c>
      <c r="Z259" t="s">
        <v>4762</v>
      </c>
    </row>
    <row r="260" spans="1:34" x14ac:dyDescent="0.25">
      <c r="A260" t="s">
        <v>1248</v>
      </c>
      <c r="B260">
        <v>53303</v>
      </c>
      <c r="C260">
        <v>405</v>
      </c>
      <c r="D260">
        <v>565</v>
      </c>
      <c r="E260">
        <v>1</v>
      </c>
      <c r="F260">
        <v>1</v>
      </c>
      <c r="G260" t="s">
        <v>1265</v>
      </c>
      <c r="H260" t="s">
        <v>1265</v>
      </c>
      <c r="I260" t="s">
        <v>4759</v>
      </c>
      <c r="J260">
        <v>1</v>
      </c>
      <c r="K260" t="s">
        <v>4761</v>
      </c>
      <c r="M260">
        <v>32367</v>
      </c>
      <c r="N260">
        <v>6</v>
      </c>
      <c r="O260" t="s">
        <v>2726</v>
      </c>
      <c r="P260" t="s">
        <v>1262</v>
      </c>
      <c r="Q260" t="s">
        <v>1262</v>
      </c>
      <c r="W260" t="s">
        <v>4757</v>
      </c>
      <c r="X260" t="s">
        <v>4756</v>
      </c>
      <c r="Y260" t="s">
        <v>4760</v>
      </c>
    </row>
    <row r="261" spans="1:34" x14ac:dyDescent="0.25">
      <c r="A261" t="s">
        <v>1248</v>
      </c>
      <c r="B261">
        <v>53304</v>
      </c>
      <c r="C261">
        <v>405</v>
      </c>
      <c r="D261">
        <v>565</v>
      </c>
      <c r="E261">
        <v>101</v>
      </c>
      <c r="F261">
        <v>1</v>
      </c>
      <c r="G261" t="s">
        <v>1265</v>
      </c>
      <c r="H261" t="s">
        <v>1265</v>
      </c>
      <c r="I261" t="s">
        <v>4759</v>
      </c>
      <c r="J261">
        <v>2</v>
      </c>
      <c r="K261" t="s">
        <v>4758</v>
      </c>
      <c r="M261">
        <v>32367</v>
      </c>
      <c r="N261">
        <v>6</v>
      </c>
      <c r="O261" t="s">
        <v>2726</v>
      </c>
      <c r="P261" t="s">
        <v>1262</v>
      </c>
      <c r="Q261" t="s">
        <v>1262</v>
      </c>
      <c r="W261" t="s">
        <v>4757</v>
      </c>
      <c r="X261" t="s">
        <v>4756</v>
      </c>
      <c r="Y261" t="s">
        <v>4755</v>
      </c>
    </row>
    <row r="262" spans="1:34" x14ac:dyDescent="0.25">
      <c r="A262" t="s">
        <v>1258</v>
      </c>
      <c r="B262" t="s">
        <v>4754</v>
      </c>
    </row>
    <row r="263" spans="1:34" x14ac:dyDescent="0.25">
      <c r="A263" t="s">
        <v>1256</v>
      </c>
      <c r="B263" t="s">
        <v>3131</v>
      </c>
      <c r="C263" t="s">
        <v>4753</v>
      </c>
      <c r="D263" t="s">
        <v>4600</v>
      </c>
      <c r="E263" t="s">
        <v>3133</v>
      </c>
      <c r="F263" t="s">
        <v>4752</v>
      </c>
      <c r="G263" t="s">
        <v>4751</v>
      </c>
      <c r="H263" t="s">
        <v>3130</v>
      </c>
      <c r="I263" t="s">
        <v>3101</v>
      </c>
      <c r="J263" t="s">
        <v>4750</v>
      </c>
      <c r="K263" t="s">
        <v>4749</v>
      </c>
      <c r="L263" t="s">
        <v>4748</v>
      </c>
      <c r="M263" t="s">
        <v>4747</v>
      </c>
      <c r="N263" t="s">
        <v>4746</v>
      </c>
      <c r="O263" t="s">
        <v>4745</v>
      </c>
      <c r="P263" t="s">
        <v>4744</v>
      </c>
      <c r="Q263" t="s">
        <v>4743</v>
      </c>
      <c r="R263" t="s">
        <v>4742</v>
      </c>
      <c r="S263" t="s">
        <v>4741</v>
      </c>
      <c r="T263" t="s">
        <v>3120</v>
      </c>
      <c r="U263" t="s">
        <v>4740</v>
      </c>
      <c r="V263" t="s">
        <v>3160</v>
      </c>
      <c r="W263" t="s">
        <v>4739</v>
      </c>
      <c r="X263" t="s">
        <v>4738</v>
      </c>
      <c r="Y263" t="s">
        <v>4737</v>
      </c>
      <c r="Z263" t="s">
        <v>4736</v>
      </c>
      <c r="AA263" t="s">
        <v>3096</v>
      </c>
      <c r="AB263" t="s">
        <v>4554</v>
      </c>
      <c r="AC263" t="s">
        <v>4735</v>
      </c>
      <c r="AD263" t="s">
        <v>4734</v>
      </c>
      <c r="AE263" t="s">
        <v>4733</v>
      </c>
      <c r="AF263" t="s">
        <v>4732</v>
      </c>
      <c r="AG263" t="s">
        <v>4731</v>
      </c>
      <c r="AH263" t="s">
        <v>4730</v>
      </c>
    </row>
    <row r="264" spans="1:34" x14ac:dyDescent="0.25">
      <c r="A264" t="s">
        <v>1248</v>
      </c>
      <c r="B264">
        <v>1498</v>
      </c>
      <c r="C264">
        <v>1668</v>
      </c>
      <c r="D264">
        <v>597</v>
      </c>
      <c r="I264" t="s">
        <v>4729</v>
      </c>
      <c r="J264">
        <v>12</v>
      </c>
      <c r="O264" t="s">
        <v>59</v>
      </c>
      <c r="P264" t="s">
        <v>953</v>
      </c>
      <c r="R264">
        <v>0</v>
      </c>
      <c r="S264" t="s">
        <v>4622</v>
      </c>
      <c r="T264">
        <v>0</v>
      </c>
      <c r="U264" t="s">
        <v>1266</v>
      </c>
      <c r="V264" t="s">
        <v>1266</v>
      </c>
      <c r="W264" t="s">
        <v>1266</v>
      </c>
      <c r="X264" t="s">
        <v>1265</v>
      </c>
      <c r="Y264">
        <v>17</v>
      </c>
      <c r="Z264">
        <v>100</v>
      </c>
      <c r="AA264" t="s">
        <v>1261</v>
      </c>
      <c r="AD264" t="s">
        <v>1265</v>
      </c>
    </row>
    <row r="265" spans="1:34" x14ac:dyDescent="0.25">
      <c r="A265" t="s">
        <v>1248</v>
      </c>
      <c r="B265">
        <v>1501</v>
      </c>
      <c r="D265">
        <v>597</v>
      </c>
      <c r="I265" t="s">
        <v>4728</v>
      </c>
      <c r="J265">
        <v>0</v>
      </c>
      <c r="O265" t="s">
        <v>4727</v>
      </c>
      <c r="P265" t="s">
        <v>4726</v>
      </c>
      <c r="R265">
        <v>1</v>
      </c>
      <c r="S265" t="s">
        <v>4622</v>
      </c>
      <c r="U265" t="s">
        <v>1266</v>
      </c>
      <c r="V265" t="s">
        <v>1266</v>
      </c>
      <c r="W265" t="s">
        <v>1266</v>
      </c>
      <c r="X265" t="s">
        <v>1265</v>
      </c>
      <c r="Y265">
        <v>17</v>
      </c>
      <c r="AA265" t="s">
        <v>1261</v>
      </c>
      <c r="AD265" t="s">
        <v>1265</v>
      </c>
    </row>
    <row r="266" spans="1:34" x14ac:dyDescent="0.25">
      <c r="A266" t="s">
        <v>1248</v>
      </c>
      <c r="B266">
        <v>1668</v>
      </c>
      <c r="C266">
        <v>1501</v>
      </c>
      <c r="D266">
        <v>597</v>
      </c>
      <c r="I266" t="s">
        <v>4725</v>
      </c>
      <c r="J266">
        <v>1</v>
      </c>
      <c r="O266" t="s">
        <v>666</v>
      </c>
      <c r="P266" t="s">
        <v>4724</v>
      </c>
      <c r="R266">
        <v>1</v>
      </c>
      <c r="S266" t="s">
        <v>4622</v>
      </c>
      <c r="U266" t="s">
        <v>1266</v>
      </c>
      <c r="V266" t="s">
        <v>1266</v>
      </c>
      <c r="W266" t="s">
        <v>1266</v>
      </c>
      <c r="X266" t="s">
        <v>1265</v>
      </c>
      <c r="Y266">
        <v>17</v>
      </c>
      <c r="AA266" t="s">
        <v>1261</v>
      </c>
      <c r="AD266" t="s">
        <v>1265</v>
      </c>
    </row>
    <row r="267" spans="1:34" x14ac:dyDescent="0.25">
      <c r="A267" t="s">
        <v>1248</v>
      </c>
      <c r="B267">
        <v>1671</v>
      </c>
      <c r="C267">
        <v>1668</v>
      </c>
      <c r="D267">
        <v>597</v>
      </c>
      <c r="I267" t="s">
        <v>4723</v>
      </c>
      <c r="J267">
        <v>12</v>
      </c>
      <c r="O267" t="s">
        <v>74</v>
      </c>
      <c r="P267" t="s">
        <v>956</v>
      </c>
      <c r="R267">
        <v>0</v>
      </c>
      <c r="S267" t="s">
        <v>4622</v>
      </c>
      <c r="U267" t="s">
        <v>1266</v>
      </c>
      <c r="V267" t="s">
        <v>1266</v>
      </c>
      <c r="W267" t="s">
        <v>1266</v>
      </c>
      <c r="X267" t="s">
        <v>1265</v>
      </c>
      <c r="Y267">
        <v>17</v>
      </c>
      <c r="Z267">
        <v>101</v>
      </c>
      <c r="AA267" t="s">
        <v>1261</v>
      </c>
      <c r="AD267" t="s">
        <v>1265</v>
      </c>
    </row>
    <row r="268" spans="1:34" x14ac:dyDescent="0.25">
      <c r="A268" t="s">
        <v>1248</v>
      </c>
      <c r="B268">
        <v>1673</v>
      </c>
      <c r="C268">
        <v>1668</v>
      </c>
      <c r="D268">
        <v>597</v>
      </c>
      <c r="I268" t="s">
        <v>4722</v>
      </c>
      <c r="J268">
        <v>12</v>
      </c>
      <c r="O268" t="s">
        <v>77</v>
      </c>
      <c r="P268" t="s">
        <v>960</v>
      </c>
      <c r="R268">
        <v>1</v>
      </c>
      <c r="S268" t="s">
        <v>4622</v>
      </c>
      <c r="U268" t="s">
        <v>1266</v>
      </c>
      <c r="V268" t="s">
        <v>1266</v>
      </c>
      <c r="W268" t="s">
        <v>1266</v>
      </c>
      <c r="X268" t="s">
        <v>1265</v>
      </c>
      <c r="Y268">
        <v>17</v>
      </c>
      <c r="AA268" t="s">
        <v>1261</v>
      </c>
      <c r="AD268" t="s">
        <v>1265</v>
      </c>
    </row>
    <row r="269" spans="1:34" x14ac:dyDescent="0.25">
      <c r="A269" t="s">
        <v>1248</v>
      </c>
      <c r="B269">
        <v>1804</v>
      </c>
      <c r="C269">
        <v>1668</v>
      </c>
      <c r="D269">
        <v>597</v>
      </c>
      <c r="I269" t="s">
        <v>4721</v>
      </c>
      <c r="J269">
        <v>12</v>
      </c>
      <c r="O269" t="s">
        <v>149</v>
      </c>
      <c r="P269" t="s">
        <v>964</v>
      </c>
      <c r="R269">
        <v>1</v>
      </c>
      <c r="S269" t="s">
        <v>4622</v>
      </c>
      <c r="U269" t="s">
        <v>1266</v>
      </c>
      <c r="V269" t="s">
        <v>1266</v>
      </c>
      <c r="W269" t="s">
        <v>1266</v>
      </c>
      <c r="X269" t="s">
        <v>1265</v>
      </c>
      <c r="Y269">
        <v>17</v>
      </c>
      <c r="Z269">
        <v>100</v>
      </c>
      <c r="AA269" t="s">
        <v>1261</v>
      </c>
      <c r="AD269" t="s">
        <v>1265</v>
      </c>
    </row>
    <row r="270" spans="1:34" x14ac:dyDescent="0.25">
      <c r="A270" t="s">
        <v>1248</v>
      </c>
      <c r="B270">
        <v>1805</v>
      </c>
      <c r="C270">
        <v>1668</v>
      </c>
      <c r="D270">
        <v>597</v>
      </c>
      <c r="I270" t="s">
        <v>4720</v>
      </c>
      <c r="J270">
        <v>12</v>
      </c>
      <c r="O270" t="s">
        <v>79</v>
      </c>
      <c r="P270" t="s">
        <v>966</v>
      </c>
      <c r="R270">
        <v>1</v>
      </c>
      <c r="S270" t="s">
        <v>4622</v>
      </c>
      <c r="U270" t="s">
        <v>1266</v>
      </c>
      <c r="V270" t="s">
        <v>1266</v>
      </c>
      <c r="W270" t="s">
        <v>1266</v>
      </c>
      <c r="X270" t="s">
        <v>1265</v>
      </c>
      <c r="Y270">
        <v>17</v>
      </c>
      <c r="Z270">
        <v>100</v>
      </c>
      <c r="AA270" t="s">
        <v>1261</v>
      </c>
      <c r="AD270" t="s">
        <v>1265</v>
      </c>
    </row>
    <row r="271" spans="1:34" x14ac:dyDescent="0.25">
      <c r="A271" t="s">
        <v>1248</v>
      </c>
      <c r="B271">
        <v>1806</v>
      </c>
      <c r="C271">
        <v>1668</v>
      </c>
      <c r="D271">
        <v>597</v>
      </c>
      <c r="I271" t="s">
        <v>4719</v>
      </c>
      <c r="J271">
        <v>12</v>
      </c>
      <c r="O271" t="s">
        <v>151</v>
      </c>
      <c r="P271" t="s">
        <v>968</v>
      </c>
      <c r="R271">
        <v>1</v>
      </c>
      <c r="S271" t="s">
        <v>4622</v>
      </c>
      <c r="U271" t="s">
        <v>1266</v>
      </c>
      <c r="V271" t="s">
        <v>1266</v>
      </c>
      <c r="W271" t="s">
        <v>1266</v>
      </c>
      <c r="X271" t="s">
        <v>1265</v>
      </c>
      <c r="Y271">
        <v>17</v>
      </c>
      <c r="AA271" t="s">
        <v>1261</v>
      </c>
      <c r="AD271" t="s">
        <v>1265</v>
      </c>
    </row>
    <row r="272" spans="1:34" x14ac:dyDescent="0.25">
      <c r="A272" t="s">
        <v>1248</v>
      </c>
      <c r="B272">
        <v>1807</v>
      </c>
      <c r="C272">
        <v>1668</v>
      </c>
      <c r="D272">
        <v>597</v>
      </c>
      <c r="I272" t="s">
        <v>4718</v>
      </c>
      <c r="J272">
        <v>12</v>
      </c>
      <c r="O272" t="s">
        <v>81</v>
      </c>
      <c r="P272" t="s">
        <v>970</v>
      </c>
      <c r="R272">
        <v>1</v>
      </c>
      <c r="S272" t="s">
        <v>4622</v>
      </c>
      <c r="U272" t="s">
        <v>1266</v>
      </c>
      <c r="V272" t="s">
        <v>1266</v>
      </c>
      <c r="W272" t="s">
        <v>1266</v>
      </c>
      <c r="X272" t="s">
        <v>1265</v>
      </c>
      <c r="Y272">
        <v>17</v>
      </c>
      <c r="AA272" t="s">
        <v>1261</v>
      </c>
      <c r="AD272" t="s">
        <v>1265</v>
      </c>
    </row>
    <row r="273" spans="1:30" x14ac:dyDescent="0.25">
      <c r="A273" t="s">
        <v>1248</v>
      </c>
      <c r="B273">
        <v>1808</v>
      </c>
      <c r="C273">
        <v>1668</v>
      </c>
      <c r="D273">
        <v>597</v>
      </c>
      <c r="I273" t="s">
        <v>4717</v>
      </c>
      <c r="J273">
        <v>12</v>
      </c>
      <c r="O273" t="s">
        <v>159</v>
      </c>
      <c r="P273" t="s">
        <v>972</v>
      </c>
      <c r="R273">
        <v>1</v>
      </c>
      <c r="S273" t="s">
        <v>4622</v>
      </c>
      <c r="U273" t="s">
        <v>1266</v>
      </c>
      <c r="V273" t="s">
        <v>1266</v>
      </c>
      <c r="W273" t="s">
        <v>1266</v>
      </c>
      <c r="X273" t="s">
        <v>1265</v>
      </c>
      <c r="Y273">
        <v>17</v>
      </c>
      <c r="AA273" t="s">
        <v>1261</v>
      </c>
      <c r="AD273" t="s">
        <v>1265</v>
      </c>
    </row>
    <row r="274" spans="1:30" x14ac:dyDescent="0.25">
      <c r="A274" t="s">
        <v>1248</v>
      </c>
      <c r="B274">
        <v>1809</v>
      </c>
      <c r="C274">
        <v>1668</v>
      </c>
      <c r="D274">
        <v>597</v>
      </c>
      <c r="I274" t="s">
        <v>4716</v>
      </c>
      <c r="J274">
        <v>12</v>
      </c>
      <c r="O274" t="s">
        <v>83</v>
      </c>
      <c r="P274" t="s">
        <v>974</v>
      </c>
      <c r="R274">
        <v>1</v>
      </c>
      <c r="S274" t="s">
        <v>4622</v>
      </c>
      <c r="U274" t="s">
        <v>1266</v>
      </c>
      <c r="V274" t="s">
        <v>1266</v>
      </c>
      <c r="W274" t="s">
        <v>1266</v>
      </c>
      <c r="X274" t="s">
        <v>1265</v>
      </c>
      <c r="Y274">
        <v>17</v>
      </c>
      <c r="Z274">
        <v>100</v>
      </c>
      <c r="AA274" t="s">
        <v>1261</v>
      </c>
      <c r="AD274" t="s">
        <v>1265</v>
      </c>
    </row>
    <row r="275" spans="1:30" x14ac:dyDescent="0.25">
      <c r="A275" t="s">
        <v>1248</v>
      </c>
      <c r="B275">
        <v>1810</v>
      </c>
      <c r="C275">
        <v>1668</v>
      </c>
      <c r="D275">
        <v>597</v>
      </c>
      <c r="I275" t="e">
        <f>+ELnQA3WEEygSDDWvSOP0w</f>
        <v>#NAME?</v>
      </c>
      <c r="J275">
        <v>12</v>
      </c>
      <c r="O275" t="s">
        <v>173</v>
      </c>
      <c r="P275" t="s">
        <v>976</v>
      </c>
      <c r="R275">
        <v>1</v>
      </c>
      <c r="S275" t="s">
        <v>4622</v>
      </c>
      <c r="U275" t="s">
        <v>1266</v>
      </c>
      <c r="V275" t="s">
        <v>1266</v>
      </c>
      <c r="W275" t="s">
        <v>1266</v>
      </c>
      <c r="X275" t="s">
        <v>1265</v>
      </c>
      <c r="Y275">
        <v>17</v>
      </c>
      <c r="Z275">
        <v>100</v>
      </c>
      <c r="AA275" t="s">
        <v>1261</v>
      </c>
      <c r="AD275" t="s">
        <v>1265</v>
      </c>
    </row>
    <row r="276" spans="1:30" x14ac:dyDescent="0.25">
      <c r="A276" t="s">
        <v>1248</v>
      </c>
      <c r="B276">
        <v>1811</v>
      </c>
      <c r="C276">
        <v>1668</v>
      </c>
      <c r="D276">
        <v>597</v>
      </c>
      <c r="I276" t="s">
        <v>4715</v>
      </c>
      <c r="J276">
        <v>12</v>
      </c>
      <c r="O276" t="s">
        <v>85</v>
      </c>
      <c r="P276" t="s">
        <v>978</v>
      </c>
      <c r="R276">
        <v>1</v>
      </c>
      <c r="S276" t="s">
        <v>4622</v>
      </c>
      <c r="U276" t="s">
        <v>1266</v>
      </c>
      <c r="V276" t="s">
        <v>1266</v>
      </c>
      <c r="W276" t="s">
        <v>1266</v>
      </c>
      <c r="X276" t="s">
        <v>1265</v>
      </c>
      <c r="Y276">
        <v>17</v>
      </c>
      <c r="AA276" t="s">
        <v>1261</v>
      </c>
      <c r="AD276" t="s">
        <v>1265</v>
      </c>
    </row>
    <row r="277" spans="1:30" x14ac:dyDescent="0.25">
      <c r="A277" t="s">
        <v>1248</v>
      </c>
      <c r="B277">
        <v>1812</v>
      </c>
      <c r="C277">
        <v>1668</v>
      </c>
      <c r="D277">
        <v>597</v>
      </c>
      <c r="I277" t="s">
        <v>4714</v>
      </c>
      <c r="J277">
        <v>12</v>
      </c>
      <c r="O277" t="s">
        <v>288</v>
      </c>
      <c r="P277" t="s">
        <v>980</v>
      </c>
      <c r="R277">
        <v>1</v>
      </c>
      <c r="S277" t="s">
        <v>4622</v>
      </c>
      <c r="U277" t="s">
        <v>1266</v>
      </c>
      <c r="V277" t="s">
        <v>1266</v>
      </c>
      <c r="W277" t="s">
        <v>1266</v>
      </c>
      <c r="X277" t="s">
        <v>1265</v>
      </c>
      <c r="Y277">
        <v>17</v>
      </c>
      <c r="AA277" t="s">
        <v>1261</v>
      </c>
      <c r="AD277" t="s">
        <v>1265</v>
      </c>
    </row>
    <row r="278" spans="1:30" x14ac:dyDescent="0.25">
      <c r="A278" t="s">
        <v>1248</v>
      </c>
      <c r="B278">
        <v>1813</v>
      </c>
      <c r="C278">
        <v>1668</v>
      </c>
      <c r="D278">
        <v>597</v>
      </c>
      <c r="I278" t="s">
        <v>4713</v>
      </c>
      <c r="J278">
        <v>12</v>
      </c>
      <c r="O278" t="s">
        <v>175</v>
      </c>
      <c r="P278" t="s">
        <v>982</v>
      </c>
      <c r="R278">
        <v>1</v>
      </c>
      <c r="S278" t="s">
        <v>4622</v>
      </c>
      <c r="U278" t="s">
        <v>1266</v>
      </c>
      <c r="V278" t="s">
        <v>1266</v>
      </c>
      <c r="W278" t="s">
        <v>1266</v>
      </c>
      <c r="X278" t="s">
        <v>1265</v>
      </c>
      <c r="Y278">
        <v>17</v>
      </c>
      <c r="Z278">
        <v>103</v>
      </c>
      <c r="AA278" t="s">
        <v>1261</v>
      </c>
      <c r="AD278" t="s">
        <v>1265</v>
      </c>
    </row>
    <row r="279" spans="1:30" x14ac:dyDescent="0.25">
      <c r="A279" t="s">
        <v>1248</v>
      </c>
      <c r="B279">
        <v>1814</v>
      </c>
      <c r="C279">
        <v>1668</v>
      </c>
      <c r="D279">
        <v>597</v>
      </c>
      <c r="I279" t="s">
        <v>4712</v>
      </c>
      <c r="J279">
        <v>12</v>
      </c>
      <c r="O279" t="s">
        <v>179</v>
      </c>
      <c r="P279" t="s">
        <v>984</v>
      </c>
      <c r="R279">
        <v>1</v>
      </c>
      <c r="S279" t="s">
        <v>4622</v>
      </c>
      <c r="U279" t="s">
        <v>1266</v>
      </c>
      <c r="V279" t="s">
        <v>1266</v>
      </c>
      <c r="W279" t="s">
        <v>1266</v>
      </c>
      <c r="X279" t="s">
        <v>1265</v>
      </c>
      <c r="Y279">
        <v>17</v>
      </c>
      <c r="Z279">
        <v>103</v>
      </c>
      <c r="AA279" t="s">
        <v>1261</v>
      </c>
      <c r="AD279" t="s">
        <v>1265</v>
      </c>
    </row>
    <row r="280" spans="1:30" x14ac:dyDescent="0.25">
      <c r="A280" t="s">
        <v>1248</v>
      </c>
      <c r="B280">
        <v>1815</v>
      </c>
      <c r="C280">
        <v>1668</v>
      </c>
      <c r="D280">
        <v>597</v>
      </c>
      <c r="I280" t="s">
        <v>4711</v>
      </c>
      <c r="J280">
        <v>12</v>
      </c>
      <c r="O280" t="s">
        <v>319</v>
      </c>
      <c r="P280" t="s">
        <v>986</v>
      </c>
      <c r="R280">
        <v>1</v>
      </c>
      <c r="S280" t="s">
        <v>4622</v>
      </c>
      <c r="U280" t="s">
        <v>1266</v>
      </c>
      <c r="V280" t="s">
        <v>1266</v>
      </c>
      <c r="W280" t="s">
        <v>1266</v>
      </c>
      <c r="X280" t="s">
        <v>1265</v>
      </c>
      <c r="Y280">
        <v>17</v>
      </c>
      <c r="AA280" t="s">
        <v>1261</v>
      </c>
      <c r="AD280" t="s">
        <v>1265</v>
      </c>
    </row>
    <row r="281" spans="1:30" x14ac:dyDescent="0.25">
      <c r="A281" t="s">
        <v>1248</v>
      </c>
      <c r="B281">
        <v>1816</v>
      </c>
      <c r="C281">
        <v>1668</v>
      </c>
      <c r="D281">
        <v>597</v>
      </c>
      <c r="I281" t="s">
        <v>4710</v>
      </c>
      <c r="J281">
        <v>11</v>
      </c>
      <c r="O281" t="s">
        <v>87</v>
      </c>
      <c r="P281" t="s">
        <v>988</v>
      </c>
      <c r="R281">
        <v>1</v>
      </c>
      <c r="S281" t="s">
        <v>4622</v>
      </c>
      <c r="U281" t="s">
        <v>1266</v>
      </c>
      <c r="V281" t="s">
        <v>1266</v>
      </c>
      <c r="W281" t="s">
        <v>1266</v>
      </c>
      <c r="X281" t="s">
        <v>1265</v>
      </c>
      <c r="Y281">
        <v>17</v>
      </c>
      <c r="AA281" t="s">
        <v>1261</v>
      </c>
      <c r="AD281" t="s">
        <v>1265</v>
      </c>
    </row>
    <row r="282" spans="1:30" x14ac:dyDescent="0.25">
      <c r="A282" t="s">
        <v>1248</v>
      </c>
      <c r="B282">
        <v>1817</v>
      </c>
      <c r="C282">
        <v>1668</v>
      </c>
      <c r="D282">
        <v>597</v>
      </c>
      <c r="I282" t="s">
        <v>4709</v>
      </c>
      <c r="J282">
        <v>11</v>
      </c>
      <c r="O282" t="s">
        <v>335</v>
      </c>
      <c r="P282" t="s">
        <v>990</v>
      </c>
      <c r="R282">
        <v>1</v>
      </c>
      <c r="S282" t="s">
        <v>4622</v>
      </c>
      <c r="U282" t="s">
        <v>1266</v>
      </c>
      <c r="V282" t="s">
        <v>1266</v>
      </c>
      <c r="W282" t="s">
        <v>1266</v>
      </c>
      <c r="X282" t="s">
        <v>1265</v>
      </c>
      <c r="Y282">
        <v>17</v>
      </c>
      <c r="AA282" t="s">
        <v>1261</v>
      </c>
      <c r="AD282" t="s">
        <v>1265</v>
      </c>
    </row>
    <row r="283" spans="1:30" x14ac:dyDescent="0.25">
      <c r="A283" t="s">
        <v>1248</v>
      </c>
      <c r="B283">
        <v>1818</v>
      </c>
      <c r="C283">
        <v>1668</v>
      </c>
      <c r="D283">
        <v>597</v>
      </c>
      <c r="I283" t="s">
        <v>4708</v>
      </c>
      <c r="J283">
        <v>11</v>
      </c>
      <c r="O283" t="s">
        <v>337</v>
      </c>
      <c r="P283" t="s">
        <v>992</v>
      </c>
      <c r="R283">
        <v>1</v>
      </c>
      <c r="S283" t="s">
        <v>4622</v>
      </c>
      <c r="U283" t="s">
        <v>1266</v>
      </c>
      <c r="V283" t="s">
        <v>1266</v>
      </c>
      <c r="W283" t="s">
        <v>1266</v>
      </c>
      <c r="X283" t="s">
        <v>1265</v>
      </c>
      <c r="Y283">
        <v>17</v>
      </c>
      <c r="AA283" t="s">
        <v>1261</v>
      </c>
      <c r="AD283" t="s">
        <v>1265</v>
      </c>
    </row>
    <row r="284" spans="1:30" x14ac:dyDescent="0.25">
      <c r="A284" t="s">
        <v>1248</v>
      </c>
      <c r="B284">
        <v>1819</v>
      </c>
      <c r="C284">
        <v>1668</v>
      </c>
      <c r="D284">
        <v>597</v>
      </c>
      <c r="I284" t="s">
        <v>4707</v>
      </c>
      <c r="J284">
        <v>11</v>
      </c>
      <c r="O284" t="s">
        <v>89</v>
      </c>
      <c r="P284" t="s">
        <v>994</v>
      </c>
      <c r="R284">
        <v>1</v>
      </c>
      <c r="S284" t="s">
        <v>4622</v>
      </c>
      <c r="U284" t="s">
        <v>1266</v>
      </c>
      <c r="V284" t="s">
        <v>1266</v>
      </c>
      <c r="W284" t="s">
        <v>1266</v>
      </c>
      <c r="X284" t="s">
        <v>1265</v>
      </c>
      <c r="Y284">
        <v>17</v>
      </c>
      <c r="AA284" t="s">
        <v>1261</v>
      </c>
      <c r="AD284" t="s">
        <v>1265</v>
      </c>
    </row>
    <row r="285" spans="1:30" x14ac:dyDescent="0.25">
      <c r="A285" t="s">
        <v>1248</v>
      </c>
      <c r="B285">
        <v>1820</v>
      </c>
      <c r="C285">
        <v>1668</v>
      </c>
      <c r="D285">
        <v>597</v>
      </c>
      <c r="I285" t="s">
        <v>4706</v>
      </c>
      <c r="J285">
        <v>11</v>
      </c>
      <c r="O285" t="s">
        <v>120</v>
      </c>
      <c r="P285" t="s">
        <v>996</v>
      </c>
      <c r="R285">
        <v>1</v>
      </c>
      <c r="S285" t="s">
        <v>4622</v>
      </c>
      <c r="U285" t="s">
        <v>1266</v>
      </c>
      <c r="V285" t="s">
        <v>1266</v>
      </c>
      <c r="W285" t="s">
        <v>1266</v>
      </c>
      <c r="X285" t="s">
        <v>1265</v>
      </c>
      <c r="Y285">
        <v>17</v>
      </c>
      <c r="AA285" t="s">
        <v>1261</v>
      </c>
      <c r="AD285" t="s">
        <v>1265</v>
      </c>
    </row>
    <row r="286" spans="1:30" x14ac:dyDescent="0.25">
      <c r="A286" t="s">
        <v>1248</v>
      </c>
      <c r="B286">
        <v>1821</v>
      </c>
      <c r="C286">
        <v>1668</v>
      </c>
      <c r="D286">
        <v>597</v>
      </c>
      <c r="I286" t="s">
        <v>4705</v>
      </c>
      <c r="J286">
        <v>11</v>
      </c>
      <c r="O286" t="s">
        <v>91</v>
      </c>
      <c r="P286" t="s">
        <v>998</v>
      </c>
      <c r="R286">
        <v>1</v>
      </c>
      <c r="S286" t="s">
        <v>4622</v>
      </c>
      <c r="U286" t="s">
        <v>1266</v>
      </c>
      <c r="V286" t="s">
        <v>1266</v>
      </c>
      <c r="W286" t="s">
        <v>1266</v>
      </c>
      <c r="X286" t="s">
        <v>1265</v>
      </c>
      <c r="Y286">
        <v>17</v>
      </c>
      <c r="AA286" t="s">
        <v>1261</v>
      </c>
      <c r="AD286" t="s">
        <v>1265</v>
      </c>
    </row>
    <row r="287" spans="1:30" x14ac:dyDescent="0.25">
      <c r="A287" t="s">
        <v>1248</v>
      </c>
      <c r="B287">
        <v>1822</v>
      </c>
      <c r="C287">
        <v>1668</v>
      </c>
      <c r="D287">
        <v>597</v>
      </c>
      <c r="I287" t="s">
        <v>4704</v>
      </c>
      <c r="J287">
        <v>11</v>
      </c>
      <c r="O287" t="s">
        <v>93</v>
      </c>
      <c r="P287" t="s">
        <v>1000</v>
      </c>
      <c r="R287">
        <v>1</v>
      </c>
      <c r="S287" t="s">
        <v>4622</v>
      </c>
      <c r="U287" t="s">
        <v>1266</v>
      </c>
      <c r="V287" t="s">
        <v>1266</v>
      </c>
      <c r="W287" t="s">
        <v>1266</v>
      </c>
      <c r="X287" t="s">
        <v>1265</v>
      </c>
      <c r="Y287">
        <v>17</v>
      </c>
      <c r="AA287" t="s">
        <v>1261</v>
      </c>
      <c r="AD287" t="s">
        <v>1265</v>
      </c>
    </row>
    <row r="288" spans="1:30" x14ac:dyDescent="0.25">
      <c r="A288" t="s">
        <v>1248</v>
      </c>
      <c r="B288">
        <v>1823</v>
      </c>
      <c r="C288">
        <v>1668</v>
      </c>
      <c r="D288">
        <v>597</v>
      </c>
      <c r="I288" t="s">
        <v>4703</v>
      </c>
      <c r="J288">
        <v>11</v>
      </c>
      <c r="O288" t="s">
        <v>341</v>
      </c>
      <c r="P288" t="s">
        <v>1002</v>
      </c>
      <c r="R288">
        <v>1</v>
      </c>
      <c r="S288" t="s">
        <v>4622</v>
      </c>
      <c r="U288" t="s">
        <v>1266</v>
      </c>
      <c r="V288" t="s">
        <v>1266</v>
      </c>
      <c r="W288" t="s">
        <v>1266</v>
      </c>
      <c r="X288" t="s">
        <v>1265</v>
      </c>
      <c r="Y288">
        <v>17</v>
      </c>
      <c r="AA288" t="s">
        <v>1261</v>
      </c>
      <c r="AD288" t="s">
        <v>1265</v>
      </c>
    </row>
    <row r="289" spans="1:30" x14ac:dyDescent="0.25">
      <c r="A289" t="s">
        <v>1248</v>
      </c>
      <c r="B289">
        <v>1824</v>
      </c>
      <c r="C289">
        <v>1668</v>
      </c>
      <c r="D289">
        <v>597</v>
      </c>
      <c r="I289" t="s">
        <v>4702</v>
      </c>
      <c r="J289">
        <v>11</v>
      </c>
      <c r="O289" t="s">
        <v>194</v>
      </c>
      <c r="P289" t="s">
        <v>1004</v>
      </c>
      <c r="R289">
        <v>1</v>
      </c>
      <c r="S289" t="s">
        <v>4622</v>
      </c>
      <c r="U289" t="s">
        <v>1266</v>
      </c>
      <c r="V289" t="s">
        <v>1266</v>
      </c>
      <c r="W289" t="s">
        <v>1266</v>
      </c>
      <c r="X289" t="s">
        <v>1265</v>
      </c>
      <c r="Y289">
        <v>17</v>
      </c>
      <c r="AA289" t="s">
        <v>1261</v>
      </c>
      <c r="AD289" t="s">
        <v>1265</v>
      </c>
    </row>
    <row r="290" spans="1:30" x14ac:dyDescent="0.25">
      <c r="A290" t="s">
        <v>1248</v>
      </c>
      <c r="B290">
        <v>1825</v>
      </c>
      <c r="C290">
        <v>1668</v>
      </c>
      <c r="D290">
        <v>597</v>
      </c>
      <c r="I290" t="s">
        <v>4701</v>
      </c>
      <c r="J290">
        <v>11</v>
      </c>
      <c r="O290" t="s">
        <v>202</v>
      </c>
      <c r="P290" t="s">
        <v>1009</v>
      </c>
      <c r="R290">
        <v>1</v>
      </c>
      <c r="S290" t="s">
        <v>4622</v>
      </c>
      <c r="U290" t="s">
        <v>1266</v>
      </c>
      <c r="V290" t="s">
        <v>1266</v>
      </c>
      <c r="W290" t="s">
        <v>1266</v>
      </c>
      <c r="X290" t="s">
        <v>1265</v>
      </c>
      <c r="Y290">
        <v>17</v>
      </c>
      <c r="AA290" t="s">
        <v>1261</v>
      </c>
      <c r="AD290" t="s">
        <v>1265</v>
      </c>
    </row>
    <row r="291" spans="1:30" x14ac:dyDescent="0.25">
      <c r="A291" t="s">
        <v>1248</v>
      </c>
      <c r="B291">
        <v>1826</v>
      </c>
      <c r="C291">
        <v>1668</v>
      </c>
      <c r="D291">
        <v>597</v>
      </c>
      <c r="I291" t="s">
        <v>4700</v>
      </c>
      <c r="J291">
        <v>11</v>
      </c>
      <c r="O291" t="s">
        <v>205</v>
      </c>
      <c r="P291" t="s">
        <v>1011</v>
      </c>
      <c r="R291">
        <v>1</v>
      </c>
      <c r="S291" t="s">
        <v>4622</v>
      </c>
      <c r="U291" t="s">
        <v>1266</v>
      </c>
      <c r="V291" t="s">
        <v>1266</v>
      </c>
      <c r="W291" t="s">
        <v>1266</v>
      </c>
      <c r="X291" t="s">
        <v>1265</v>
      </c>
      <c r="Y291">
        <v>17</v>
      </c>
      <c r="AA291" t="s">
        <v>1261</v>
      </c>
      <c r="AD291" t="s">
        <v>1265</v>
      </c>
    </row>
    <row r="292" spans="1:30" x14ac:dyDescent="0.25">
      <c r="A292" t="s">
        <v>1248</v>
      </c>
      <c r="B292">
        <v>1827</v>
      </c>
      <c r="C292">
        <v>1668</v>
      </c>
      <c r="D292">
        <v>597</v>
      </c>
      <c r="I292" t="s">
        <v>4699</v>
      </c>
      <c r="J292">
        <v>11</v>
      </c>
      <c r="O292" t="s">
        <v>95</v>
      </c>
      <c r="P292" t="s">
        <v>1013</v>
      </c>
      <c r="R292">
        <v>1</v>
      </c>
      <c r="S292" t="s">
        <v>4622</v>
      </c>
      <c r="U292" t="s">
        <v>1266</v>
      </c>
      <c r="V292" t="s">
        <v>1266</v>
      </c>
      <c r="W292" t="s">
        <v>1266</v>
      </c>
      <c r="X292" t="s">
        <v>1265</v>
      </c>
      <c r="Y292">
        <v>17</v>
      </c>
      <c r="AA292" t="s">
        <v>1261</v>
      </c>
      <c r="AD292" t="s">
        <v>1265</v>
      </c>
    </row>
    <row r="293" spans="1:30" x14ac:dyDescent="0.25">
      <c r="A293" t="s">
        <v>1248</v>
      </c>
      <c r="B293">
        <v>1828</v>
      </c>
      <c r="C293">
        <v>1668</v>
      </c>
      <c r="D293">
        <v>597</v>
      </c>
      <c r="I293" t="s">
        <v>4698</v>
      </c>
      <c r="J293">
        <v>11</v>
      </c>
      <c r="O293" t="s">
        <v>214</v>
      </c>
      <c r="P293" t="s">
        <v>1015</v>
      </c>
      <c r="R293">
        <v>1</v>
      </c>
      <c r="S293" t="s">
        <v>4622</v>
      </c>
      <c r="U293" t="s">
        <v>1266</v>
      </c>
      <c r="V293" t="s">
        <v>1266</v>
      </c>
      <c r="W293" t="s">
        <v>1266</v>
      </c>
      <c r="X293" t="s">
        <v>1265</v>
      </c>
      <c r="Y293">
        <v>17</v>
      </c>
      <c r="AA293" t="s">
        <v>1261</v>
      </c>
      <c r="AD293" t="s">
        <v>1265</v>
      </c>
    </row>
    <row r="294" spans="1:30" x14ac:dyDescent="0.25">
      <c r="A294" t="s">
        <v>1248</v>
      </c>
      <c r="B294">
        <v>1829</v>
      </c>
      <c r="C294">
        <v>1668</v>
      </c>
      <c r="D294">
        <v>597</v>
      </c>
      <c r="I294" t="s">
        <v>4697</v>
      </c>
      <c r="J294">
        <v>11</v>
      </c>
      <c r="O294" t="s">
        <v>345</v>
      </c>
      <c r="P294" t="s">
        <v>1017</v>
      </c>
      <c r="R294">
        <v>1</v>
      </c>
      <c r="S294" t="s">
        <v>4622</v>
      </c>
      <c r="U294" t="s">
        <v>1266</v>
      </c>
      <c r="V294" t="s">
        <v>1266</v>
      </c>
      <c r="W294" t="s">
        <v>1266</v>
      </c>
      <c r="X294" t="s">
        <v>1265</v>
      </c>
      <c r="Y294">
        <v>17</v>
      </c>
      <c r="AA294" t="s">
        <v>1261</v>
      </c>
      <c r="AD294" t="s">
        <v>1265</v>
      </c>
    </row>
    <row r="295" spans="1:30" x14ac:dyDescent="0.25">
      <c r="A295" t="s">
        <v>1248</v>
      </c>
      <c r="B295">
        <v>1830</v>
      </c>
      <c r="C295">
        <v>1668</v>
      </c>
      <c r="D295">
        <v>597</v>
      </c>
      <c r="I295" t="s">
        <v>4696</v>
      </c>
      <c r="J295">
        <v>11</v>
      </c>
      <c r="O295" t="s">
        <v>216</v>
      </c>
      <c r="P295" t="s">
        <v>1019</v>
      </c>
      <c r="R295">
        <v>1</v>
      </c>
      <c r="S295" t="s">
        <v>4622</v>
      </c>
      <c r="U295" t="s">
        <v>1266</v>
      </c>
      <c r="V295" t="s">
        <v>1266</v>
      </c>
      <c r="W295" t="s">
        <v>1266</v>
      </c>
      <c r="X295" t="s">
        <v>1265</v>
      </c>
      <c r="Y295">
        <v>17</v>
      </c>
      <c r="AA295" t="s">
        <v>1261</v>
      </c>
      <c r="AD295" t="s">
        <v>1265</v>
      </c>
    </row>
    <row r="296" spans="1:30" x14ac:dyDescent="0.25">
      <c r="A296" t="s">
        <v>1248</v>
      </c>
      <c r="B296">
        <v>1831</v>
      </c>
      <c r="C296">
        <v>1668</v>
      </c>
      <c r="D296">
        <v>597</v>
      </c>
      <c r="I296" t="s">
        <v>4695</v>
      </c>
      <c r="J296">
        <v>11</v>
      </c>
      <c r="O296" t="s">
        <v>218</v>
      </c>
      <c r="P296" t="s">
        <v>1021</v>
      </c>
      <c r="R296">
        <v>1</v>
      </c>
      <c r="S296" t="s">
        <v>4622</v>
      </c>
      <c r="U296" t="s">
        <v>1266</v>
      </c>
      <c r="V296" t="s">
        <v>1266</v>
      </c>
      <c r="W296" t="s">
        <v>1266</v>
      </c>
      <c r="X296" t="s">
        <v>1265</v>
      </c>
      <c r="Y296">
        <v>17</v>
      </c>
      <c r="AA296" t="s">
        <v>1261</v>
      </c>
      <c r="AD296" t="s">
        <v>1265</v>
      </c>
    </row>
    <row r="297" spans="1:30" x14ac:dyDescent="0.25">
      <c r="A297" t="s">
        <v>1248</v>
      </c>
      <c r="B297">
        <v>1832</v>
      </c>
      <c r="C297">
        <v>1668</v>
      </c>
      <c r="D297">
        <v>597</v>
      </c>
      <c r="I297" t="s">
        <v>4694</v>
      </c>
      <c r="J297">
        <v>11</v>
      </c>
      <c r="O297" t="s">
        <v>99</v>
      </c>
      <c r="P297" t="s">
        <v>1023</v>
      </c>
      <c r="R297">
        <v>1</v>
      </c>
      <c r="S297" t="s">
        <v>4622</v>
      </c>
      <c r="U297" t="s">
        <v>1266</v>
      </c>
      <c r="V297" t="s">
        <v>1266</v>
      </c>
      <c r="W297" t="s">
        <v>1266</v>
      </c>
      <c r="X297" t="s">
        <v>1265</v>
      </c>
      <c r="Y297">
        <v>17</v>
      </c>
      <c r="AA297" t="s">
        <v>1261</v>
      </c>
      <c r="AD297" t="s">
        <v>1265</v>
      </c>
    </row>
    <row r="298" spans="1:30" x14ac:dyDescent="0.25">
      <c r="A298" t="s">
        <v>1248</v>
      </c>
      <c r="B298">
        <v>1833</v>
      </c>
      <c r="C298">
        <v>1668</v>
      </c>
      <c r="D298">
        <v>597</v>
      </c>
      <c r="I298" t="s">
        <v>4693</v>
      </c>
      <c r="J298">
        <v>11</v>
      </c>
      <c r="O298" t="s">
        <v>122</v>
      </c>
      <c r="P298" t="s">
        <v>1025</v>
      </c>
      <c r="R298">
        <v>1</v>
      </c>
      <c r="S298" t="s">
        <v>4622</v>
      </c>
      <c r="U298" t="s">
        <v>1266</v>
      </c>
      <c r="V298" t="s">
        <v>1266</v>
      </c>
      <c r="W298" t="s">
        <v>1266</v>
      </c>
      <c r="X298" t="s">
        <v>1265</v>
      </c>
      <c r="Y298">
        <v>17</v>
      </c>
      <c r="AA298" t="s">
        <v>1261</v>
      </c>
      <c r="AD298" t="s">
        <v>1265</v>
      </c>
    </row>
    <row r="299" spans="1:30" x14ac:dyDescent="0.25">
      <c r="A299" t="s">
        <v>1248</v>
      </c>
      <c r="B299">
        <v>1834</v>
      </c>
      <c r="C299">
        <v>1668</v>
      </c>
      <c r="D299">
        <v>597</v>
      </c>
      <c r="I299" t="s">
        <v>4692</v>
      </c>
      <c r="J299">
        <v>11</v>
      </c>
      <c r="O299" t="s">
        <v>122</v>
      </c>
      <c r="P299" t="s">
        <v>1027</v>
      </c>
      <c r="R299">
        <v>1</v>
      </c>
      <c r="S299" t="s">
        <v>4622</v>
      </c>
      <c r="U299" t="s">
        <v>1266</v>
      </c>
      <c r="V299" t="s">
        <v>1266</v>
      </c>
      <c r="W299" t="s">
        <v>1266</v>
      </c>
      <c r="X299" t="s">
        <v>1265</v>
      </c>
      <c r="Y299">
        <v>17</v>
      </c>
      <c r="AA299" t="s">
        <v>1261</v>
      </c>
      <c r="AD299" t="s">
        <v>1265</v>
      </c>
    </row>
    <row r="300" spans="1:30" x14ac:dyDescent="0.25">
      <c r="A300" t="s">
        <v>1248</v>
      </c>
      <c r="B300">
        <v>1835</v>
      </c>
      <c r="C300">
        <v>1668</v>
      </c>
      <c r="D300">
        <v>597</v>
      </c>
      <c r="I300" t="s">
        <v>4691</v>
      </c>
      <c r="J300">
        <v>11</v>
      </c>
      <c r="O300" t="s">
        <v>247</v>
      </c>
      <c r="P300" t="s">
        <v>1029</v>
      </c>
      <c r="R300">
        <v>1</v>
      </c>
      <c r="S300" t="s">
        <v>4622</v>
      </c>
      <c r="U300" t="s">
        <v>1266</v>
      </c>
      <c r="V300" t="s">
        <v>1266</v>
      </c>
      <c r="W300" t="s">
        <v>1266</v>
      </c>
      <c r="X300" t="s">
        <v>1265</v>
      </c>
      <c r="Y300">
        <v>17</v>
      </c>
      <c r="AA300" t="s">
        <v>1261</v>
      </c>
      <c r="AD300" t="s">
        <v>1265</v>
      </c>
    </row>
    <row r="301" spans="1:30" x14ac:dyDescent="0.25">
      <c r="A301" t="s">
        <v>1248</v>
      </c>
      <c r="B301">
        <v>1842</v>
      </c>
      <c r="C301">
        <v>1668</v>
      </c>
      <c r="D301">
        <v>597</v>
      </c>
      <c r="I301" t="s">
        <v>4690</v>
      </c>
      <c r="J301">
        <v>11</v>
      </c>
      <c r="O301" t="s">
        <v>181</v>
      </c>
      <c r="P301" t="s">
        <v>1051</v>
      </c>
      <c r="R301">
        <v>1</v>
      </c>
      <c r="S301" t="s">
        <v>4622</v>
      </c>
      <c r="U301" t="s">
        <v>1266</v>
      </c>
      <c r="V301" t="s">
        <v>1266</v>
      </c>
      <c r="W301" t="s">
        <v>1266</v>
      </c>
      <c r="X301" t="s">
        <v>1265</v>
      </c>
      <c r="Y301">
        <v>17</v>
      </c>
      <c r="Z301">
        <v>104</v>
      </c>
      <c r="AA301" t="s">
        <v>1261</v>
      </c>
      <c r="AD301" t="s">
        <v>1265</v>
      </c>
    </row>
    <row r="302" spans="1:30" x14ac:dyDescent="0.25">
      <c r="A302" t="s">
        <v>1248</v>
      </c>
      <c r="B302">
        <v>1843</v>
      </c>
      <c r="C302">
        <v>1668</v>
      </c>
      <c r="D302">
        <v>597</v>
      </c>
      <c r="I302" t="s">
        <v>4689</v>
      </c>
      <c r="J302">
        <v>11</v>
      </c>
      <c r="O302" t="s">
        <v>224</v>
      </c>
      <c r="P302" t="s">
        <v>1053</v>
      </c>
      <c r="R302">
        <v>1</v>
      </c>
      <c r="S302" t="s">
        <v>4622</v>
      </c>
      <c r="U302" t="s">
        <v>1266</v>
      </c>
      <c r="V302" t="s">
        <v>1266</v>
      </c>
      <c r="W302" t="s">
        <v>1266</v>
      </c>
      <c r="X302" t="s">
        <v>1265</v>
      </c>
      <c r="Y302">
        <v>17</v>
      </c>
      <c r="AA302" t="s">
        <v>1261</v>
      </c>
      <c r="AD302" t="s">
        <v>1265</v>
      </c>
    </row>
    <row r="303" spans="1:30" x14ac:dyDescent="0.25">
      <c r="A303" t="s">
        <v>1248</v>
      </c>
      <c r="B303">
        <v>1844</v>
      </c>
      <c r="C303">
        <v>1668</v>
      </c>
      <c r="D303">
        <v>597</v>
      </c>
      <c r="I303" t="s">
        <v>4688</v>
      </c>
      <c r="J303">
        <v>11</v>
      </c>
      <c r="O303" t="s">
        <v>224</v>
      </c>
      <c r="P303" t="s">
        <v>1055</v>
      </c>
      <c r="R303">
        <v>1</v>
      </c>
      <c r="S303" t="s">
        <v>4622</v>
      </c>
      <c r="U303" t="s">
        <v>1266</v>
      </c>
      <c r="V303" t="s">
        <v>1266</v>
      </c>
      <c r="W303" t="s">
        <v>1266</v>
      </c>
      <c r="X303" t="s">
        <v>1265</v>
      </c>
      <c r="Y303">
        <v>17</v>
      </c>
      <c r="AA303" t="s">
        <v>1261</v>
      </c>
      <c r="AD303" t="s">
        <v>1265</v>
      </c>
    </row>
    <row r="304" spans="1:30" x14ac:dyDescent="0.25">
      <c r="A304" t="s">
        <v>1248</v>
      </c>
      <c r="B304">
        <v>1845</v>
      </c>
      <c r="C304">
        <v>1668</v>
      </c>
      <c r="D304">
        <v>597</v>
      </c>
      <c r="I304" t="s">
        <v>4687</v>
      </c>
      <c r="J304">
        <v>11</v>
      </c>
      <c r="O304" t="s">
        <v>231</v>
      </c>
      <c r="P304" t="s">
        <v>1057</v>
      </c>
      <c r="R304">
        <v>1</v>
      </c>
      <c r="S304" t="s">
        <v>4622</v>
      </c>
      <c r="U304" t="s">
        <v>1266</v>
      </c>
      <c r="V304" t="s">
        <v>1266</v>
      </c>
      <c r="W304" t="s">
        <v>1266</v>
      </c>
      <c r="X304" t="s">
        <v>1265</v>
      </c>
      <c r="Y304">
        <v>17</v>
      </c>
      <c r="AA304" t="s">
        <v>1261</v>
      </c>
      <c r="AD304" t="s">
        <v>1265</v>
      </c>
    </row>
    <row r="305" spans="1:30" x14ac:dyDescent="0.25">
      <c r="A305" t="s">
        <v>1248</v>
      </c>
      <c r="B305">
        <v>1846</v>
      </c>
      <c r="C305">
        <v>1668</v>
      </c>
      <c r="D305">
        <v>597</v>
      </c>
      <c r="I305" t="s">
        <v>4686</v>
      </c>
      <c r="J305">
        <v>11</v>
      </c>
      <c r="O305" t="s">
        <v>233</v>
      </c>
      <c r="P305" t="s">
        <v>1059</v>
      </c>
      <c r="R305">
        <v>1</v>
      </c>
      <c r="S305" t="s">
        <v>4622</v>
      </c>
      <c r="U305" t="s">
        <v>1266</v>
      </c>
      <c r="V305" t="s">
        <v>1266</v>
      </c>
      <c r="W305" t="s">
        <v>1266</v>
      </c>
      <c r="X305" t="s">
        <v>1265</v>
      </c>
      <c r="Y305">
        <v>17</v>
      </c>
      <c r="AA305" t="s">
        <v>1261</v>
      </c>
      <c r="AD305" t="s">
        <v>1265</v>
      </c>
    </row>
    <row r="306" spans="1:30" x14ac:dyDescent="0.25">
      <c r="A306" t="s">
        <v>1248</v>
      </c>
      <c r="B306">
        <v>1847</v>
      </c>
      <c r="C306">
        <v>1668</v>
      </c>
      <c r="D306">
        <v>597</v>
      </c>
      <c r="I306" t="s">
        <v>4685</v>
      </c>
      <c r="J306">
        <v>11</v>
      </c>
      <c r="O306" t="s">
        <v>235</v>
      </c>
      <c r="P306" t="s">
        <v>1061</v>
      </c>
      <c r="R306">
        <v>1</v>
      </c>
      <c r="S306" t="s">
        <v>4622</v>
      </c>
      <c r="U306" t="s">
        <v>1266</v>
      </c>
      <c r="V306" t="s">
        <v>1266</v>
      </c>
      <c r="W306" t="s">
        <v>1266</v>
      </c>
      <c r="X306" t="s">
        <v>1265</v>
      </c>
      <c r="Y306">
        <v>17</v>
      </c>
      <c r="AA306" t="s">
        <v>1261</v>
      </c>
      <c r="AD306" t="s">
        <v>1265</v>
      </c>
    </row>
    <row r="307" spans="1:30" x14ac:dyDescent="0.25">
      <c r="A307" t="s">
        <v>1248</v>
      </c>
      <c r="B307">
        <v>1848</v>
      </c>
      <c r="C307">
        <v>1668</v>
      </c>
      <c r="D307">
        <v>597</v>
      </c>
      <c r="I307" t="s">
        <v>4684</v>
      </c>
      <c r="J307">
        <v>11</v>
      </c>
      <c r="O307" t="s">
        <v>239</v>
      </c>
      <c r="P307" t="s">
        <v>1065</v>
      </c>
      <c r="R307">
        <v>1</v>
      </c>
      <c r="S307" t="s">
        <v>4622</v>
      </c>
      <c r="U307" t="s">
        <v>1266</v>
      </c>
      <c r="V307" t="s">
        <v>1266</v>
      </c>
      <c r="W307" t="s">
        <v>1266</v>
      </c>
      <c r="X307" t="s">
        <v>1265</v>
      </c>
      <c r="Y307">
        <v>17</v>
      </c>
      <c r="AA307" t="s">
        <v>1261</v>
      </c>
      <c r="AD307" t="s">
        <v>1265</v>
      </c>
    </row>
    <row r="308" spans="1:30" x14ac:dyDescent="0.25">
      <c r="A308" t="s">
        <v>1248</v>
      </c>
      <c r="B308">
        <v>1849</v>
      </c>
      <c r="C308">
        <v>1668</v>
      </c>
      <c r="D308">
        <v>597</v>
      </c>
      <c r="I308" t="s">
        <v>4683</v>
      </c>
      <c r="J308">
        <v>11</v>
      </c>
      <c r="O308" t="s">
        <v>243</v>
      </c>
      <c r="P308" t="s">
        <v>1067</v>
      </c>
      <c r="R308">
        <v>1</v>
      </c>
      <c r="S308" t="s">
        <v>4622</v>
      </c>
      <c r="U308" t="s">
        <v>1266</v>
      </c>
      <c r="V308" t="s">
        <v>1266</v>
      </c>
      <c r="W308" t="s">
        <v>1266</v>
      </c>
      <c r="X308" t="s">
        <v>1265</v>
      </c>
      <c r="Y308">
        <v>17</v>
      </c>
      <c r="AA308" t="s">
        <v>1261</v>
      </c>
      <c r="AD308" t="s">
        <v>1265</v>
      </c>
    </row>
    <row r="309" spans="1:30" x14ac:dyDescent="0.25">
      <c r="A309" t="s">
        <v>1248</v>
      </c>
      <c r="B309">
        <v>1850</v>
      </c>
      <c r="C309">
        <v>1668</v>
      </c>
      <c r="D309">
        <v>597</v>
      </c>
      <c r="I309" t="s">
        <v>4682</v>
      </c>
      <c r="J309">
        <v>11</v>
      </c>
      <c r="O309" t="s">
        <v>245</v>
      </c>
      <c r="P309" t="s">
        <v>1071</v>
      </c>
      <c r="R309">
        <v>1</v>
      </c>
      <c r="S309" t="s">
        <v>4622</v>
      </c>
      <c r="U309" t="s">
        <v>1266</v>
      </c>
      <c r="V309" t="s">
        <v>1266</v>
      </c>
      <c r="W309" t="s">
        <v>1266</v>
      </c>
      <c r="X309" t="s">
        <v>1265</v>
      </c>
      <c r="Y309">
        <v>17</v>
      </c>
      <c r="AA309" t="s">
        <v>1261</v>
      </c>
      <c r="AD309" t="s">
        <v>1265</v>
      </c>
    </row>
    <row r="310" spans="1:30" x14ac:dyDescent="0.25">
      <c r="A310" t="s">
        <v>1248</v>
      </c>
      <c r="B310">
        <v>1851</v>
      </c>
      <c r="C310">
        <v>1668</v>
      </c>
      <c r="D310">
        <v>597</v>
      </c>
      <c r="I310" t="s">
        <v>4681</v>
      </c>
      <c r="J310">
        <v>11</v>
      </c>
      <c r="O310" t="s">
        <v>222</v>
      </c>
      <c r="P310" t="s">
        <v>1073</v>
      </c>
      <c r="R310">
        <v>1</v>
      </c>
      <c r="S310" t="s">
        <v>4622</v>
      </c>
      <c r="U310" t="s">
        <v>1266</v>
      </c>
      <c r="V310" t="s">
        <v>1266</v>
      </c>
      <c r="W310" t="s">
        <v>1266</v>
      </c>
      <c r="X310" t="s">
        <v>1265</v>
      </c>
      <c r="Y310">
        <v>17</v>
      </c>
      <c r="AA310" t="s">
        <v>1261</v>
      </c>
      <c r="AD310" t="s">
        <v>1265</v>
      </c>
    </row>
    <row r="311" spans="1:30" x14ac:dyDescent="0.25">
      <c r="A311" t="s">
        <v>1248</v>
      </c>
      <c r="B311">
        <v>1852</v>
      </c>
      <c r="C311">
        <v>1668</v>
      </c>
      <c r="D311">
        <v>597</v>
      </c>
      <c r="I311" t="s">
        <v>4680</v>
      </c>
      <c r="J311">
        <v>11</v>
      </c>
      <c r="O311" t="s">
        <v>295</v>
      </c>
      <c r="P311" t="s">
        <v>1079</v>
      </c>
      <c r="R311">
        <v>1</v>
      </c>
      <c r="S311" t="s">
        <v>4622</v>
      </c>
      <c r="U311" t="s">
        <v>1266</v>
      </c>
      <c r="V311" t="s">
        <v>1266</v>
      </c>
      <c r="W311" t="s">
        <v>1266</v>
      </c>
      <c r="X311" t="s">
        <v>1265</v>
      </c>
      <c r="Y311">
        <v>17</v>
      </c>
      <c r="AA311" t="s">
        <v>1261</v>
      </c>
      <c r="AD311" t="s">
        <v>1265</v>
      </c>
    </row>
    <row r="312" spans="1:30" x14ac:dyDescent="0.25">
      <c r="A312" t="s">
        <v>1248</v>
      </c>
      <c r="B312">
        <v>1853</v>
      </c>
      <c r="C312">
        <v>1668</v>
      </c>
      <c r="D312">
        <v>597</v>
      </c>
      <c r="I312" t="s">
        <v>4679</v>
      </c>
      <c r="J312">
        <v>11</v>
      </c>
      <c r="O312" t="s">
        <v>297</v>
      </c>
      <c r="P312" t="s">
        <v>1081</v>
      </c>
      <c r="R312">
        <v>1</v>
      </c>
      <c r="S312" t="s">
        <v>4622</v>
      </c>
      <c r="U312" t="s">
        <v>1266</v>
      </c>
      <c r="V312" t="s">
        <v>1266</v>
      </c>
      <c r="W312" t="s">
        <v>1266</v>
      </c>
      <c r="X312" t="s">
        <v>1265</v>
      </c>
      <c r="Y312">
        <v>17</v>
      </c>
      <c r="AA312" t="s">
        <v>1261</v>
      </c>
      <c r="AD312" t="s">
        <v>1265</v>
      </c>
    </row>
    <row r="313" spans="1:30" x14ac:dyDescent="0.25">
      <c r="A313" t="s">
        <v>1248</v>
      </c>
      <c r="B313">
        <v>1854</v>
      </c>
      <c r="C313">
        <v>1668</v>
      </c>
      <c r="D313">
        <v>597</v>
      </c>
      <c r="I313" t="s">
        <v>4678</v>
      </c>
      <c r="J313">
        <v>11</v>
      </c>
      <c r="O313" t="s">
        <v>299</v>
      </c>
      <c r="P313" t="s">
        <v>1083</v>
      </c>
      <c r="R313">
        <v>1</v>
      </c>
      <c r="S313" t="s">
        <v>4622</v>
      </c>
      <c r="U313" t="s">
        <v>1266</v>
      </c>
      <c r="V313" t="s">
        <v>1266</v>
      </c>
      <c r="W313" t="s">
        <v>1266</v>
      </c>
      <c r="X313" t="s">
        <v>1265</v>
      </c>
      <c r="Y313">
        <v>17</v>
      </c>
      <c r="AA313" t="s">
        <v>1261</v>
      </c>
      <c r="AD313" t="s">
        <v>1265</v>
      </c>
    </row>
    <row r="314" spans="1:30" x14ac:dyDescent="0.25">
      <c r="A314" t="s">
        <v>1248</v>
      </c>
      <c r="B314">
        <v>1855</v>
      </c>
      <c r="C314">
        <v>1668</v>
      </c>
      <c r="D314">
        <v>597</v>
      </c>
      <c r="I314" t="s">
        <v>4677</v>
      </c>
      <c r="J314">
        <v>11</v>
      </c>
      <c r="O314" t="s">
        <v>301</v>
      </c>
      <c r="P314" t="s">
        <v>1085</v>
      </c>
      <c r="R314">
        <v>1</v>
      </c>
      <c r="S314" t="s">
        <v>4622</v>
      </c>
      <c r="U314" t="s">
        <v>1266</v>
      </c>
      <c r="V314" t="s">
        <v>1266</v>
      </c>
      <c r="W314" t="s">
        <v>1266</v>
      </c>
      <c r="X314" t="s">
        <v>1265</v>
      </c>
      <c r="Y314">
        <v>17</v>
      </c>
      <c r="AA314" t="s">
        <v>1261</v>
      </c>
      <c r="AD314" t="s">
        <v>1265</v>
      </c>
    </row>
    <row r="315" spans="1:30" x14ac:dyDescent="0.25">
      <c r="A315" t="s">
        <v>1248</v>
      </c>
      <c r="B315">
        <v>1856</v>
      </c>
      <c r="C315">
        <v>1668</v>
      </c>
      <c r="D315">
        <v>597</v>
      </c>
      <c r="I315" t="s">
        <v>4676</v>
      </c>
      <c r="J315">
        <v>11</v>
      </c>
      <c r="O315" t="s">
        <v>303</v>
      </c>
      <c r="P315" t="s">
        <v>1087</v>
      </c>
      <c r="R315">
        <v>1</v>
      </c>
      <c r="S315" t="s">
        <v>4622</v>
      </c>
      <c r="U315" t="s">
        <v>1266</v>
      </c>
      <c r="V315" t="s">
        <v>1266</v>
      </c>
      <c r="W315" t="s">
        <v>1266</v>
      </c>
      <c r="X315" t="s">
        <v>1265</v>
      </c>
      <c r="Y315">
        <v>17</v>
      </c>
      <c r="AA315" t="s">
        <v>1261</v>
      </c>
      <c r="AD315" t="s">
        <v>1265</v>
      </c>
    </row>
    <row r="316" spans="1:30" x14ac:dyDescent="0.25">
      <c r="A316" t="s">
        <v>1248</v>
      </c>
      <c r="B316">
        <v>1857</v>
      </c>
      <c r="C316">
        <v>1668</v>
      </c>
      <c r="D316">
        <v>597</v>
      </c>
      <c r="I316" t="s">
        <v>4675</v>
      </c>
      <c r="J316">
        <v>11</v>
      </c>
      <c r="O316" t="s">
        <v>305</v>
      </c>
      <c r="P316" t="s">
        <v>1089</v>
      </c>
      <c r="R316">
        <v>1</v>
      </c>
      <c r="S316" t="s">
        <v>4622</v>
      </c>
      <c r="U316" t="s">
        <v>1266</v>
      </c>
      <c r="V316" t="s">
        <v>1266</v>
      </c>
      <c r="W316" t="s">
        <v>1266</v>
      </c>
      <c r="X316" t="s">
        <v>1265</v>
      </c>
      <c r="Y316">
        <v>17</v>
      </c>
      <c r="AA316" t="s">
        <v>1261</v>
      </c>
      <c r="AD316" t="s">
        <v>1265</v>
      </c>
    </row>
    <row r="317" spans="1:30" x14ac:dyDescent="0.25">
      <c r="A317" t="s">
        <v>1248</v>
      </c>
      <c r="B317">
        <v>1858</v>
      </c>
      <c r="C317">
        <v>1668</v>
      </c>
      <c r="D317">
        <v>597</v>
      </c>
      <c r="I317" t="s">
        <v>4674</v>
      </c>
      <c r="J317">
        <v>11</v>
      </c>
      <c r="O317" t="s">
        <v>305</v>
      </c>
      <c r="P317" t="s">
        <v>1091</v>
      </c>
      <c r="R317">
        <v>1</v>
      </c>
      <c r="S317" t="s">
        <v>4622</v>
      </c>
      <c r="U317" t="s">
        <v>1266</v>
      </c>
      <c r="V317" t="s">
        <v>1266</v>
      </c>
      <c r="W317" t="s">
        <v>1266</v>
      </c>
      <c r="X317" t="s">
        <v>1265</v>
      </c>
      <c r="Y317">
        <v>17</v>
      </c>
      <c r="AA317" t="s">
        <v>1261</v>
      </c>
      <c r="AD317" t="s">
        <v>1265</v>
      </c>
    </row>
    <row r="318" spans="1:30" x14ac:dyDescent="0.25">
      <c r="A318" t="s">
        <v>1248</v>
      </c>
      <c r="B318">
        <v>1859</v>
      </c>
      <c r="C318">
        <v>1668</v>
      </c>
      <c r="D318">
        <v>597</v>
      </c>
      <c r="I318" t="s">
        <v>4673</v>
      </c>
      <c r="J318">
        <v>11</v>
      </c>
      <c r="O318" t="s">
        <v>133</v>
      </c>
      <c r="P318" t="s">
        <v>1093</v>
      </c>
      <c r="R318">
        <v>1</v>
      </c>
      <c r="S318" t="s">
        <v>4622</v>
      </c>
      <c r="U318" t="s">
        <v>1266</v>
      </c>
      <c r="V318" t="s">
        <v>1266</v>
      </c>
      <c r="W318" t="s">
        <v>1266</v>
      </c>
      <c r="X318" t="s">
        <v>1265</v>
      </c>
      <c r="Y318">
        <v>17</v>
      </c>
      <c r="AA318" t="s">
        <v>1261</v>
      </c>
      <c r="AD318" t="s">
        <v>1265</v>
      </c>
    </row>
    <row r="319" spans="1:30" x14ac:dyDescent="0.25">
      <c r="A319" t="s">
        <v>1248</v>
      </c>
      <c r="B319">
        <v>1860</v>
      </c>
      <c r="C319">
        <v>1668</v>
      </c>
      <c r="D319">
        <v>597</v>
      </c>
      <c r="I319" t="s">
        <v>4672</v>
      </c>
      <c r="J319">
        <v>11</v>
      </c>
      <c r="O319" t="s">
        <v>207</v>
      </c>
      <c r="P319" t="s">
        <v>1101</v>
      </c>
      <c r="R319">
        <v>1</v>
      </c>
      <c r="S319" t="s">
        <v>4622</v>
      </c>
      <c r="U319" t="s">
        <v>1266</v>
      </c>
      <c r="V319" t="s">
        <v>1266</v>
      </c>
      <c r="W319" t="s">
        <v>1266</v>
      </c>
      <c r="X319" t="s">
        <v>1265</v>
      </c>
      <c r="Y319">
        <v>17</v>
      </c>
      <c r="AA319" t="s">
        <v>1261</v>
      </c>
      <c r="AD319" t="s">
        <v>1265</v>
      </c>
    </row>
    <row r="320" spans="1:30" x14ac:dyDescent="0.25">
      <c r="A320" t="s">
        <v>1248</v>
      </c>
      <c r="B320">
        <v>1861</v>
      </c>
      <c r="C320">
        <v>1668</v>
      </c>
      <c r="D320">
        <v>597</v>
      </c>
      <c r="I320" t="s">
        <v>4671</v>
      </c>
      <c r="J320">
        <v>11</v>
      </c>
      <c r="O320" t="s">
        <v>153</v>
      </c>
      <c r="P320" t="s">
        <v>1103</v>
      </c>
      <c r="R320">
        <v>1</v>
      </c>
      <c r="S320" t="s">
        <v>4622</v>
      </c>
      <c r="U320" t="s">
        <v>1266</v>
      </c>
      <c r="V320" t="s">
        <v>1266</v>
      </c>
      <c r="W320" t="s">
        <v>1266</v>
      </c>
      <c r="X320" t="s">
        <v>1265</v>
      </c>
      <c r="Y320">
        <v>17</v>
      </c>
      <c r="AA320" t="s">
        <v>1261</v>
      </c>
      <c r="AD320" t="s">
        <v>1265</v>
      </c>
    </row>
    <row r="321" spans="1:30" x14ac:dyDescent="0.25">
      <c r="A321" t="s">
        <v>1248</v>
      </c>
      <c r="B321">
        <v>1862</v>
      </c>
      <c r="C321">
        <v>1668</v>
      </c>
      <c r="D321">
        <v>597</v>
      </c>
      <c r="I321" t="s">
        <v>4670</v>
      </c>
      <c r="J321">
        <v>11</v>
      </c>
      <c r="O321" t="s">
        <v>253</v>
      </c>
      <c r="P321" t="s">
        <v>1107</v>
      </c>
      <c r="R321">
        <v>1</v>
      </c>
      <c r="S321" t="s">
        <v>4622</v>
      </c>
      <c r="U321" t="s">
        <v>1266</v>
      </c>
      <c r="V321" t="s">
        <v>1266</v>
      </c>
      <c r="W321" t="s">
        <v>1266</v>
      </c>
      <c r="X321" t="s">
        <v>1265</v>
      </c>
      <c r="Y321">
        <v>17</v>
      </c>
      <c r="AA321" t="s">
        <v>1261</v>
      </c>
      <c r="AD321" t="s">
        <v>1265</v>
      </c>
    </row>
    <row r="322" spans="1:30" x14ac:dyDescent="0.25">
      <c r="A322" t="s">
        <v>1248</v>
      </c>
      <c r="B322">
        <v>1863</v>
      </c>
      <c r="C322">
        <v>1668</v>
      </c>
      <c r="D322">
        <v>597</v>
      </c>
      <c r="I322" t="s">
        <v>4669</v>
      </c>
      <c r="J322">
        <v>11</v>
      </c>
      <c r="O322" t="s">
        <v>253</v>
      </c>
      <c r="P322" t="s">
        <v>1109</v>
      </c>
      <c r="R322">
        <v>1</v>
      </c>
      <c r="S322" t="s">
        <v>4622</v>
      </c>
      <c r="U322" t="s">
        <v>1266</v>
      </c>
      <c r="V322" t="s">
        <v>1266</v>
      </c>
      <c r="W322" t="s">
        <v>1266</v>
      </c>
      <c r="X322" t="s">
        <v>1265</v>
      </c>
      <c r="Y322">
        <v>17</v>
      </c>
      <c r="AA322" t="s">
        <v>1261</v>
      </c>
      <c r="AD322" t="s">
        <v>1265</v>
      </c>
    </row>
    <row r="323" spans="1:30" x14ac:dyDescent="0.25">
      <c r="A323" t="s">
        <v>1248</v>
      </c>
      <c r="B323">
        <v>1864</v>
      </c>
      <c r="C323">
        <v>1668</v>
      </c>
      <c r="D323">
        <v>597</v>
      </c>
      <c r="I323" t="s">
        <v>4668</v>
      </c>
      <c r="J323">
        <v>11</v>
      </c>
      <c r="O323" t="s">
        <v>260</v>
      </c>
      <c r="P323" t="s">
        <v>1111</v>
      </c>
      <c r="R323">
        <v>1</v>
      </c>
      <c r="S323" t="s">
        <v>4622</v>
      </c>
      <c r="U323" t="s">
        <v>1266</v>
      </c>
      <c r="V323" t="s">
        <v>1266</v>
      </c>
      <c r="W323" t="s">
        <v>1266</v>
      </c>
      <c r="X323" t="s">
        <v>1265</v>
      </c>
      <c r="Y323">
        <v>17</v>
      </c>
      <c r="AA323" t="s">
        <v>1261</v>
      </c>
      <c r="AD323" t="s">
        <v>1265</v>
      </c>
    </row>
    <row r="324" spans="1:30" x14ac:dyDescent="0.25">
      <c r="A324" t="s">
        <v>1248</v>
      </c>
      <c r="B324">
        <v>1865</v>
      </c>
      <c r="C324">
        <v>1668</v>
      </c>
      <c r="D324">
        <v>597</v>
      </c>
      <c r="I324" t="s">
        <v>4667</v>
      </c>
      <c r="J324">
        <v>11</v>
      </c>
      <c r="O324" t="s">
        <v>124</v>
      </c>
      <c r="P324" t="s">
        <v>1113</v>
      </c>
      <c r="R324">
        <v>1</v>
      </c>
      <c r="S324" t="s">
        <v>4622</v>
      </c>
      <c r="U324" t="s">
        <v>1266</v>
      </c>
      <c r="V324" t="s">
        <v>1266</v>
      </c>
      <c r="W324" t="s">
        <v>1266</v>
      </c>
      <c r="X324" t="s">
        <v>1265</v>
      </c>
      <c r="Y324">
        <v>17</v>
      </c>
      <c r="AA324" t="s">
        <v>1261</v>
      </c>
      <c r="AD324" t="s">
        <v>1265</v>
      </c>
    </row>
    <row r="325" spans="1:30" x14ac:dyDescent="0.25">
      <c r="A325" t="s">
        <v>1248</v>
      </c>
      <c r="B325">
        <v>1866</v>
      </c>
      <c r="C325">
        <v>1668</v>
      </c>
      <c r="D325">
        <v>597</v>
      </c>
      <c r="I325" t="s">
        <v>4666</v>
      </c>
      <c r="J325">
        <v>11</v>
      </c>
      <c r="O325" t="s">
        <v>161</v>
      </c>
      <c r="P325" t="s">
        <v>1115</v>
      </c>
      <c r="R325">
        <v>1</v>
      </c>
      <c r="S325" t="s">
        <v>4622</v>
      </c>
      <c r="U325" t="s">
        <v>1266</v>
      </c>
      <c r="V325" t="s">
        <v>1266</v>
      </c>
      <c r="W325" t="s">
        <v>1266</v>
      </c>
      <c r="X325" t="s">
        <v>1265</v>
      </c>
      <c r="Y325">
        <v>17</v>
      </c>
      <c r="AA325" t="s">
        <v>1261</v>
      </c>
      <c r="AD325" t="s">
        <v>1265</v>
      </c>
    </row>
    <row r="326" spans="1:30" x14ac:dyDescent="0.25">
      <c r="A326" t="s">
        <v>1248</v>
      </c>
      <c r="B326">
        <v>1867</v>
      </c>
      <c r="C326">
        <v>1668</v>
      </c>
      <c r="D326">
        <v>597</v>
      </c>
      <c r="I326" t="s">
        <v>4665</v>
      </c>
      <c r="J326">
        <v>11</v>
      </c>
      <c r="O326" t="s">
        <v>103</v>
      </c>
      <c r="P326" t="s">
        <v>1117</v>
      </c>
      <c r="R326">
        <v>1</v>
      </c>
      <c r="S326" t="s">
        <v>4622</v>
      </c>
      <c r="U326" t="s">
        <v>1266</v>
      </c>
      <c r="V326" t="s">
        <v>1266</v>
      </c>
      <c r="W326" t="s">
        <v>1266</v>
      </c>
      <c r="X326" t="s">
        <v>1265</v>
      </c>
      <c r="Y326">
        <v>17</v>
      </c>
      <c r="Z326">
        <v>111</v>
      </c>
      <c r="AA326" t="s">
        <v>1261</v>
      </c>
      <c r="AD326" t="s">
        <v>1265</v>
      </c>
    </row>
    <row r="327" spans="1:30" x14ac:dyDescent="0.25">
      <c r="A327" t="s">
        <v>1248</v>
      </c>
      <c r="B327">
        <v>1868</v>
      </c>
      <c r="C327">
        <v>1668</v>
      </c>
      <c r="D327">
        <v>597</v>
      </c>
      <c r="I327" t="s">
        <v>4664</v>
      </c>
      <c r="J327">
        <v>11</v>
      </c>
      <c r="O327" t="s">
        <v>185</v>
      </c>
      <c r="P327" t="s">
        <v>1119</v>
      </c>
      <c r="R327">
        <v>1</v>
      </c>
      <c r="S327" t="s">
        <v>4622</v>
      </c>
      <c r="U327" t="s">
        <v>1266</v>
      </c>
      <c r="V327" t="s">
        <v>1266</v>
      </c>
      <c r="W327" t="s">
        <v>1266</v>
      </c>
      <c r="X327" t="s">
        <v>1265</v>
      </c>
      <c r="Y327">
        <v>17</v>
      </c>
      <c r="Z327">
        <v>111</v>
      </c>
      <c r="AA327" t="s">
        <v>1261</v>
      </c>
      <c r="AD327" t="s">
        <v>1265</v>
      </c>
    </row>
    <row r="328" spans="1:30" x14ac:dyDescent="0.25">
      <c r="A328" t="s">
        <v>1248</v>
      </c>
      <c r="B328">
        <v>1869</v>
      </c>
      <c r="C328">
        <v>1668</v>
      </c>
      <c r="D328">
        <v>597</v>
      </c>
      <c r="I328" t="s">
        <v>4663</v>
      </c>
      <c r="J328">
        <v>11</v>
      </c>
      <c r="O328" t="s">
        <v>187</v>
      </c>
      <c r="P328" t="s">
        <v>1121</v>
      </c>
      <c r="R328">
        <v>1</v>
      </c>
      <c r="S328" t="s">
        <v>4622</v>
      </c>
      <c r="U328" t="s">
        <v>1266</v>
      </c>
      <c r="V328" t="s">
        <v>1266</v>
      </c>
      <c r="W328" t="s">
        <v>1266</v>
      </c>
      <c r="X328" t="s">
        <v>1265</v>
      </c>
      <c r="Y328">
        <v>17</v>
      </c>
      <c r="AA328" t="s">
        <v>1261</v>
      </c>
      <c r="AD328" t="s">
        <v>1265</v>
      </c>
    </row>
    <row r="329" spans="1:30" x14ac:dyDescent="0.25">
      <c r="A329" t="s">
        <v>1248</v>
      </c>
      <c r="B329">
        <v>1870</v>
      </c>
      <c r="C329">
        <v>1668</v>
      </c>
      <c r="D329">
        <v>597</v>
      </c>
      <c r="I329" t="s">
        <v>4662</v>
      </c>
      <c r="J329">
        <v>11</v>
      </c>
      <c r="O329" t="s">
        <v>4661</v>
      </c>
      <c r="P329" t="s">
        <v>1123</v>
      </c>
      <c r="R329">
        <v>1</v>
      </c>
      <c r="S329" t="s">
        <v>4622</v>
      </c>
      <c r="U329" t="s">
        <v>1266</v>
      </c>
      <c r="V329" t="s">
        <v>1266</v>
      </c>
      <c r="W329" t="s">
        <v>1266</v>
      </c>
      <c r="X329" t="s">
        <v>1265</v>
      </c>
      <c r="Y329">
        <v>17</v>
      </c>
      <c r="AA329" t="s">
        <v>1261</v>
      </c>
      <c r="AD329" t="s">
        <v>1265</v>
      </c>
    </row>
    <row r="330" spans="1:30" x14ac:dyDescent="0.25">
      <c r="A330" t="s">
        <v>1248</v>
      </c>
      <c r="B330">
        <v>1871</v>
      </c>
      <c r="C330">
        <v>1668</v>
      </c>
      <c r="D330">
        <v>597</v>
      </c>
      <c r="I330" t="s">
        <v>4660</v>
      </c>
      <c r="J330">
        <v>11</v>
      </c>
      <c r="O330" t="s">
        <v>807</v>
      </c>
      <c r="P330" t="s">
        <v>1125</v>
      </c>
      <c r="R330">
        <v>1</v>
      </c>
      <c r="S330" t="s">
        <v>4622</v>
      </c>
      <c r="U330" t="s">
        <v>1266</v>
      </c>
      <c r="V330" t="s">
        <v>1266</v>
      </c>
      <c r="W330" t="s">
        <v>1266</v>
      </c>
      <c r="X330" t="s">
        <v>1265</v>
      </c>
      <c r="Y330">
        <v>17</v>
      </c>
      <c r="Z330">
        <v>111</v>
      </c>
      <c r="AA330" t="s">
        <v>1261</v>
      </c>
      <c r="AD330" t="s">
        <v>1265</v>
      </c>
    </row>
    <row r="331" spans="1:30" x14ac:dyDescent="0.25">
      <c r="A331" t="s">
        <v>1248</v>
      </c>
      <c r="B331">
        <v>1872</v>
      </c>
      <c r="C331">
        <v>1668</v>
      </c>
      <c r="D331">
        <v>597</v>
      </c>
      <c r="I331" t="s">
        <v>4659</v>
      </c>
      <c r="J331">
        <v>11</v>
      </c>
      <c r="O331" t="s">
        <v>4658</v>
      </c>
      <c r="P331" t="s">
        <v>1127</v>
      </c>
      <c r="R331">
        <v>1</v>
      </c>
      <c r="S331" t="s">
        <v>4622</v>
      </c>
      <c r="U331" t="s">
        <v>1266</v>
      </c>
      <c r="V331" t="s">
        <v>1266</v>
      </c>
      <c r="W331" t="s">
        <v>1266</v>
      </c>
      <c r="X331" t="s">
        <v>1265</v>
      </c>
      <c r="Y331">
        <v>17</v>
      </c>
      <c r="Z331">
        <v>111</v>
      </c>
      <c r="AA331" t="s">
        <v>1261</v>
      </c>
      <c r="AD331" t="s">
        <v>1265</v>
      </c>
    </row>
    <row r="332" spans="1:30" x14ac:dyDescent="0.25">
      <c r="A332" t="s">
        <v>1248</v>
      </c>
      <c r="B332">
        <v>1873</v>
      </c>
      <c r="C332">
        <v>1668</v>
      </c>
      <c r="D332">
        <v>597</v>
      </c>
      <c r="I332" t="s">
        <v>4657</v>
      </c>
      <c r="J332">
        <v>11</v>
      </c>
      <c r="O332" t="s">
        <v>107</v>
      </c>
      <c r="P332" t="s">
        <v>1129</v>
      </c>
      <c r="R332">
        <v>1</v>
      </c>
      <c r="S332" t="s">
        <v>4622</v>
      </c>
      <c r="U332" t="s">
        <v>1266</v>
      </c>
      <c r="V332" t="s">
        <v>1266</v>
      </c>
      <c r="W332" t="s">
        <v>1266</v>
      </c>
      <c r="X332" t="s">
        <v>1265</v>
      </c>
      <c r="Y332">
        <v>17</v>
      </c>
      <c r="AA332" t="s">
        <v>1261</v>
      </c>
      <c r="AD332" t="s">
        <v>1265</v>
      </c>
    </row>
    <row r="333" spans="1:30" x14ac:dyDescent="0.25">
      <c r="A333" t="s">
        <v>1248</v>
      </c>
      <c r="B333">
        <v>1874</v>
      </c>
      <c r="C333">
        <v>1668</v>
      </c>
      <c r="D333">
        <v>597</v>
      </c>
      <c r="I333" t="s">
        <v>4656</v>
      </c>
      <c r="J333">
        <v>11</v>
      </c>
      <c r="O333" t="s">
        <v>401</v>
      </c>
      <c r="P333" t="s">
        <v>1131</v>
      </c>
      <c r="R333">
        <v>1</v>
      </c>
      <c r="S333" t="s">
        <v>4622</v>
      </c>
      <c r="U333" t="s">
        <v>1266</v>
      </c>
      <c r="V333" t="s">
        <v>1266</v>
      </c>
      <c r="W333" t="s">
        <v>1266</v>
      </c>
      <c r="X333" t="s">
        <v>1265</v>
      </c>
      <c r="Y333">
        <v>17</v>
      </c>
      <c r="AA333" t="s">
        <v>1261</v>
      </c>
      <c r="AD333" t="s">
        <v>1265</v>
      </c>
    </row>
    <row r="334" spans="1:30" x14ac:dyDescent="0.25">
      <c r="A334" t="s">
        <v>1248</v>
      </c>
      <c r="B334">
        <v>1875</v>
      </c>
      <c r="C334">
        <v>1668</v>
      </c>
      <c r="D334">
        <v>597</v>
      </c>
      <c r="I334" t="s">
        <v>4655</v>
      </c>
      <c r="J334">
        <v>11</v>
      </c>
      <c r="O334" t="s">
        <v>403</v>
      </c>
      <c r="P334" t="s">
        <v>1133</v>
      </c>
      <c r="R334">
        <v>1</v>
      </c>
      <c r="S334" t="s">
        <v>4622</v>
      </c>
      <c r="U334" t="s">
        <v>1266</v>
      </c>
      <c r="V334" t="s">
        <v>1266</v>
      </c>
      <c r="W334" t="s">
        <v>1266</v>
      </c>
      <c r="X334" t="s">
        <v>1265</v>
      </c>
      <c r="Y334">
        <v>17</v>
      </c>
      <c r="AA334" t="s">
        <v>1261</v>
      </c>
      <c r="AD334" t="s">
        <v>1265</v>
      </c>
    </row>
    <row r="335" spans="1:30" x14ac:dyDescent="0.25">
      <c r="A335" t="s">
        <v>1248</v>
      </c>
      <c r="B335">
        <v>1876</v>
      </c>
      <c r="C335">
        <v>1668</v>
      </c>
      <c r="D335">
        <v>597</v>
      </c>
      <c r="I335" t="s">
        <v>4654</v>
      </c>
      <c r="J335">
        <v>11</v>
      </c>
      <c r="O335" t="s">
        <v>405</v>
      </c>
      <c r="P335" t="s">
        <v>1135</v>
      </c>
      <c r="R335">
        <v>1</v>
      </c>
      <c r="S335" t="s">
        <v>4622</v>
      </c>
      <c r="U335" t="s">
        <v>1266</v>
      </c>
      <c r="V335" t="s">
        <v>1266</v>
      </c>
      <c r="W335" t="s">
        <v>1266</v>
      </c>
      <c r="X335" t="s">
        <v>1265</v>
      </c>
      <c r="Y335">
        <v>17</v>
      </c>
      <c r="AA335" t="s">
        <v>1261</v>
      </c>
      <c r="AD335" t="s">
        <v>1265</v>
      </c>
    </row>
    <row r="336" spans="1:30" x14ac:dyDescent="0.25">
      <c r="A336" t="s">
        <v>1248</v>
      </c>
      <c r="B336">
        <v>1877</v>
      </c>
      <c r="C336">
        <v>1668</v>
      </c>
      <c r="D336">
        <v>597</v>
      </c>
      <c r="I336" t="s">
        <v>4653</v>
      </c>
      <c r="J336">
        <v>11</v>
      </c>
      <c r="O336" t="s">
        <v>405</v>
      </c>
      <c r="P336" t="s">
        <v>1137</v>
      </c>
      <c r="R336">
        <v>1</v>
      </c>
      <c r="S336" t="s">
        <v>4622</v>
      </c>
      <c r="U336" t="s">
        <v>1266</v>
      </c>
      <c r="V336" t="s">
        <v>1266</v>
      </c>
      <c r="W336" t="s">
        <v>1266</v>
      </c>
      <c r="X336" t="s">
        <v>1265</v>
      </c>
      <c r="Y336">
        <v>17</v>
      </c>
      <c r="AA336" t="s">
        <v>1261</v>
      </c>
      <c r="AD336" t="s">
        <v>1265</v>
      </c>
    </row>
    <row r="337" spans="1:30" x14ac:dyDescent="0.25">
      <c r="A337" t="s">
        <v>1248</v>
      </c>
      <c r="B337">
        <v>1878</v>
      </c>
      <c r="C337">
        <v>1668</v>
      </c>
      <c r="D337">
        <v>597</v>
      </c>
      <c r="I337" t="s">
        <v>4652</v>
      </c>
      <c r="J337">
        <v>11</v>
      </c>
      <c r="O337" t="s">
        <v>191</v>
      </c>
      <c r="P337" t="s">
        <v>1139</v>
      </c>
      <c r="R337">
        <v>1</v>
      </c>
      <c r="S337" t="s">
        <v>4622</v>
      </c>
      <c r="U337" t="s">
        <v>1266</v>
      </c>
      <c r="V337" t="s">
        <v>1266</v>
      </c>
      <c r="W337" t="s">
        <v>1266</v>
      </c>
      <c r="X337" t="s">
        <v>1265</v>
      </c>
      <c r="Y337">
        <v>17</v>
      </c>
      <c r="Z337">
        <v>103</v>
      </c>
      <c r="AA337" t="s">
        <v>1261</v>
      </c>
      <c r="AD337" t="s">
        <v>1265</v>
      </c>
    </row>
    <row r="338" spans="1:30" x14ac:dyDescent="0.25">
      <c r="A338" t="s">
        <v>1248</v>
      </c>
      <c r="B338">
        <v>1879</v>
      </c>
      <c r="C338">
        <v>1668</v>
      </c>
      <c r="D338">
        <v>597</v>
      </c>
      <c r="I338" t="s">
        <v>4651</v>
      </c>
      <c r="J338">
        <v>11</v>
      </c>
      <c r="O338" t="s">
        <v>109</v>
      </c>
      <c r="P338" t="s">
        <v>1141</v>
      </c>
      <c r="R338">
        <v>1</v>
      </c>
      <c r="S338" t="s">
        <v>4622</v>
      </c>
      <c r="U338" t="s">
        <v>1266</v>
      </c>
      <c r="V338" t="s">
        <v>1266</v>
      </c>
      <c r="W338" t="s">
        <v>1266</v>
      </c>
      <c r="X338" t="s">
        <v>1265</v>
      </c>
      <c r="Y338">
        <v>17</v>
      </c>
      <c r="AA338" t="s">
        <v>1261</v>
      </c>
      <c r="AD338" t="s">
        <v>1265</v>
      </c>
    </row>
    <row r="339" spans="1:30" x14ac:dyDescent="0.25">
      <c r="A339" t="s">
        <v>1248</v>
      </c>
      <c r="B339">
        <v>1880</v>
      </c>
      <c r="C339">
        <v>1668</v>
      </c>
      <c r="D339">
        <v>597</v>
      </c>
      <c r="I339" t="s">
        <v>4650</v>
      </c>
      <c r="J339">
        <v>11</v>
      </c>
      <c r="O339" t="s">
        <v>109</v>
      </c>
      <c r="P339" t="s">
        <v>1145</v>
      </c>
      <c r="R339">
        <v>1</v>
      </c>
      <c r="S339" t="s">
        <v>4622</v>
      </c>
      <c r="U339" t="s">
        <v>1266</v>
      </c>
      <c r="V339" t="s">
        <v>1266</v>
      </c>
      <c r="W339" t="s">
        <v>1266</v>
      </c>
      <c r="X339" t="s">
        <v>1265</v>
      </c>
      <c r="Y339">
        <v>17</v>
      </c>
      <c r="AA339" t="s">
        <v>1261</v>
      </c>
      <c r="AD339" t="s">
        <v>1265</v>
      </c>
    </row>
    <row r="340" spans="1:30" x14ac:dyDescent="0.25">
      <c r="A340" t="s">
        <v>1248</v>
      </c>
      <c r="B340">
        <v>1881</v>
      </c>
      <c r="C340">
        <v>1668</v>
      </c>
      <c r="D340">
        <v>597</v>
      </c>
      <c r="I340" t="s">
        <v>4649</v>
      </c>
      <c r="J340">
        <v>11</v>
      </c>
      <c r="O340" t="s">
        <v>267</v>
      </c>
      <c r="P340" t="s">
        <v>1147</v>
      </c>
      <c r="R340">
        <v>1</v>
      </c>
      <c r="S340" t="s">
        <v>4622</v>
      </c>
      <c r="U340" t="s">
        <v>1266</v>
      </c>
      <c r="V340" t="s">
        <v>1266</v>
      </c>
      <c r="W340" t="s">
        <v>1266</v>
      </c>
      <c r="X340" t="s">
        <v>1265</v>
      </c>
      <c r="Y340">
        <v>17</v>
      </c>
      <c r="AA340" t="s">
        <v>1261</v>
      </c>
      <c r="AD340" t="s">
        <v>1265</v>
      </c>
    </row>
    <row r="341" spans="1:30" x14ac:dyDescent="0.25">
      <c r="A341" t="s">
        <v>1248</v>
      </c>
      <c r="B341">
        <v>1889</v>
      </c>
      <c r="C341">
        <v>1668</v>
      </c>
      <c r="D341">
        <v>597</v>
      </c>
      <c r="I341" t="s">
        <v>4648</v>
      </c>
      <c r="J341">
        <v>11</v>
      </c>
      <c r="O341" t="s">
        <v>126</v>
      </c>
      <c r="P341" t="s">
        <v>1167</v>
      </c>
      <c r="R341">
        <v>1</v>
      </c>
      <c r="S341" t="s">
        <v>4622</v>
      </c>
      <c r="U341" t="s">
        <v>1266</v>
      </c>
      <c r="V341" t="s">
        <v>1266</v>
      </c>
      <c r="W341" t="s">
        <v>1266</v>
      </c>
      <c r="X341" t="s">
        <v>1265</v>
      </c>
      <c r="Y341">
        <v>17</v>
      </c>
      <c r="AA341" t="s">
        <v>1261</v>
      </c>
      <c r="AD341" t="s">
        <v>1265</v>
      </c>
    </row>
    <row r="342" spans="1:30" x14ac:dyDescent="0.25">
      <c r="A342" t="s">
        <v>1248</v>
      </c>
      <c r="B342">
        <v>1890</v>
      </c>
      <c r="C342">
        <v>1668</v>
      </c>
      <c r="D342">
        <v>597</v>
      </c>
      <c r="I342" t="s">
        <v>4647</v>
      </c>
      <c r="J342">
        <v>11</v>
      </c>
      <c r="O342" t="s">
        <v>325</v>
      </c>
      <c r="P342" t="s">
        <v>1169</v>
      </c>
      <c r="R342">
        <v>1</v>
      </c>
      <c r="S342" t="s">
        <v>4622</v>
      </c>
      <c r="U342" t="s">
        <v>1266</v>
      </c>
      <c r="V342" t="s">
        <v>1266</v>
      </c>
      <c r="W342" t="s">
        <v>1266</v>
      </c>
      <c r="X342" t="s">
        <v>1265</v>
      </c>
      <c r="Y342">
        <v>17</v>
      </c>
      <c r="AA342" t="s">
        <v>1261</v>
      </c>
      <c r="AD342" t="s">
        <v>1265</v>
      </c>
    </row>
    <row r="343" spans="1:30" x14ac:dyDescent="0.25">
      <c r="A343" t="s">
        <v>1248</v>
      </c>
      <c r="B343">
        <v>1891</v>
      </c>
      <c r="C343">
        <v>1668</v>
      </c>
      <c r="D343">
        <v>597</v>
      </c>
      <c r="I343" t="s">
        <v>4646</v>
      </c>
      <c r="J343">
        <v>11</v>
      </c>
      <c r="O343" t="s">
        <v>327</v>
      </c>
      <c r="P343" t="s">
        <v>1171</v>
      </c>
      <c r="R343">
        <v>1</v>
      </c>
      <c r="S343" t="s">
        <v>4622</v>
      </c>
      <c r="U343" t="s">
        <v>1266</v>
      </c>
      <c r="V343" t="s">
        <v>1266</v>
      </c>
      <c r="W343" t="s">
        <v>1266</v>
      </c>
      <c r="X343" t="s">
        <v>1265</v>
      </c>
      <c r="Y343">
        <v>17</v>
      </c>
      <c r="AA343" t="s">
        <v>1261</v>
      </c>
      <c r="AD343" t="s">
        <v>1265</v>
      </c>
    </row>
    <row r="344" spans="1:30" x14ac:dyDescent="0.25">
      <c r="A344" t="s">
        <v>1248</v>
      </c>
      <c r="B344">
        <v>1892</v>
      </c>
      <c r="C344">
        <v>1668</v>
      </c>
      <c r="D344">
        <v>597</v>
      </c>
      <c r="I344" t="s">
        <v>4645</v>
      </c>
      <c r="J344">
        <v>11</v>
      </c>
      <c r="O344" t="s">
        <v>365</v>
      </c>
      <c r="P344" t="s">
        <v>1173</v>
      </c>
      <c r="R344">
        <v>1</v>
      </c>
      <c r="S344" t="s">
        <v>4622</v>
      </c>
      <c r="U344" t="s">
        <v>1266</v>
      </c>
      <c r="V344" t="s">
        <v>1266</v>
      </c>
      <c r="W344" t="s">
        <v>1266</v>
      </c>
      <c r="X344" t="s">
        <v>1265</v>
      </c>
      <c r="Y344">
        <v>17</v>
      </c>
      <c r="AA344" t="s">
        <v>1261</v>
      </c>
      <c r="AD344" t="s">
        <v>1265</v>
      </c>
    </row>
    <row r="345" spans="1:30" x14ac:dyDescent="0.25">
      <c r="A345" t="s">
        <v>1248</v>
      </c>
      <c r="B345">
        <v>1893</v>
      </c>
      <c r="C345">
        <v>1668</v>
      </c>
      <c r="D345">
        <v>597</v>
      </c>
      <c r="I345" t="s">
        <v>4644</v>
      </c>
      <c r="J345">
        <v>11</v>
      </c>
      <c r="O345" t="s">
        <v>309</v>
      </c>
      <c r="P345" t="s">
        <v>1177</v>
      </c>
      <c r="R345">
        <v>1</v>
      </c>
      <c r="S345" t="s">
        <v>4622</v>
      </c>
      <c r="U345" t="s">
        <v>1266</v>
      </c>
      <c r="V345" t="s">
        <v>1266</v>
      </c>
      <c r="W345" t="s">
        <v>1266</v>
      </c>
      <c r="X345" t="s">
        <v>1265</v>
      </c>
      <c r="Y345">
        <v>17</v>
      </c>
      <c r="AA345" t="s">
        <v>1261</v>
      </c>
      <c r="AD345" t="s">
        <v>1265</v>
      </c>
    </row>
    <row r="346" spans="1:30" x14ac:dyDescent="0.25">
      <c r="A346" t="s">
        <v>1248</v>
      </c>
      <c r="B346">
        <v>1894</v>
      </c>
      <c r="C346">
        <v>1668</v>
      </c>
      <c r="D346">
        <v>597</v>
      </c>
      <c r="I346" t="s">
        <v>4643</v>
      </c>
      <c r="J346">
        <v>11</v>
      </c>
      <c r="O346" t="s">
        <v>375</v>
      </c>
      <c r="P346" t="s">
        <v>1181</v>
      </c>
      <c r="R346">
        <v>1</v>
      </c>
      <c r="S346" t="s">
        <v>4622</v>
      </c>
      <c r="U346" t="s">
        <v>1266</v>
      </c>
      <c r="V346" t="s">
        <v>1266</v>
      </c>
      <c r="W346" t="s">
        <v>1266</v>
      </c>
      <c r="X346" t="s">
        <v>1265</v>
      </c>
      <c r="Y346">
        <v>17</v>
      </c>
      <c r="AA346" t="s">
        <v>1261</v>
      </c>
      <c r="AD346" t="s">
        <v>1265</v>
      </c>
    </row>
    <row r="347" spans="1:30" x14ac:dyDescent="0.25">
      <c r="A347" t="s">
        <v>1248</v>
      </c>
      <c r="B347">
        <v>1895</v>
      </c>
      <c r="C347">
        <v>1668</v>
      </c>
      <c r="D347">
        <v>597</v>
      </c>
      <c r="I347" t="s">
        <v>4642</v>
      </c>
      <c r="J347">
        <v>11</v>
      </c>
      <c r="O347" t="s">
        <v>377</v>
      </c>
      <c r="P347" t="s">
        <v>1183</v>
      </c>
      <c r="R347">
        <v>1</v>
      </c>
      <c r="S347" t="s">
        <v>4622</v>
      </c>
      <c r="U347" t="s">
        <v>1266</v>
      </c>
      <c r="V347" t="s">
        <v>1266</v>
      </c>
      <c r="W347" t="s">
        <v>1266</v>
      </c>
      <c r="X347" t="s">
        <v>1265</v>
      </c>
      <c r="Y347">
        <v>17</v>
      </c>
      <c r="AA347" t="s">
        <v>1261</v>
      </c>
      <c r="AD347" t="s">
        <v>1265</v>
      </c>
    </row>
    <row r="348" spans="1:30" x14ac:dyDescent="0.25">
      <c r="A348" t="s">
        <v>1248</v>
      </c>
      <c r="B348">
        <v>1896</v>
      </c>
      <c r="C348">
        <v>1668</v>
      </c>
      <c r="D348">
        <v>597</v>
      </c>
      <c r="I348" t="s">
        <v>4641</v>
      </c>
      <c r="J348">
        <v>11</v>
      </c>
      <c r="O348" t="s">
        <v>379</v>
      </c>
      <c r="P348" t="s">
        <v>1185</v>
      </c>
      <c r="R348">
        <v>1</v>
      </c>
      <c r="S348" t="s">
        <v>4622</v>
      </c>
      <c r="U348" t="s">
        <v>1266</v>
      </c>
      <c r="V348" t="s">
        <v>1266</v>
      </c>
      <c r="W348" t="s">
        <v>1266</v>
      </c>
      <c r="X348" t="s">
        <v>1265</v>
      </c>
      <c r="Y348">
        <v>17</v>
      </c>
      <c r="AA348" t="s">
        <v>1261</v>
      </c>
      <c r="AD348" t="s">
        <v>1265</v>
      </c>
    </row>
    <row r="349" spans="1:30" x14ac:dyDescent="0.25">
      <c r="A349" t="s">
        <v>1248</v>
      </c>
      <c r="B349">
        <v>1897</v>
      </c>
      <c r="C349">
        <v>1668</v>
      </c>
      <c r="D349">
        <v>597</v>
      </c>
      <c r="I349" t="s">
        <v>4640</v>
      </c>
      <c r="J349">
        <v>11</v>
      </c>
      <c r="O349" t="s">
        <v>381</v>
      </c>
      <c r="P349" t="s">
        <v>1187</v>
      </c>
      <c r="R349">
        <v>1</v>
      </c>
      <c r="S349" t="s">
        <v>4622</v>
      </c>
      <c r="U349" t="s">
        <v>1266</v>
      </c>
      <c r="V349" t="s">
        <v>1266</v>
      </c>
      <c r="W349" t="s">
        <v>1266</v>
      </c>
      <c r="X349" t="s">
        <v>1265</v>
      </c>
      <c r="Y349">
        <v>17</v>
      </c>
      <c r="AA349" t="s">
        <v>1261</v>
      </c>
      <c r="AD349" t="s">
        <v>1265</v>
      </c>
    </row>
    <row r="350" spans="1:30" x14ac:dyDescent="0.25">
      <c r="A350" t="s">
        <v>1248</v>
      </c>
      <c r="B350">
        <v>1898</v>
      </c>
      <c r="C350">
        <v>1668</v>
      </c>
      <c r="D350">
        <v>597</v>
      </c>
      <c r="I350" t="s">
        <v>4639</v>
      </c>
      <c r="J350">
        <v>11</v>
      </c>
      <c r="O350" t="s">
        <v>383</v>
      </c>
      <c r="P350" t="s">
        <v>1189</v>
      </c>
      <c r="R350">
        <v>1</v>
      </c>
      <c r="S350" t="s">
        <v>4622</v>
      </c>
      <c r="U350" t="s">
        <v>1266</v>
      </c>
      <c r="V350" t="s">
        <v>1266</v>
      </c>
      <c r="W350" t="s">
        <v>1266</v>
      </c>
      <c r="X350" t="s">
        <v>1265</v>
      </c>
      <c r="Y350">
        <v>17</v>
      </c>
      <c r="AA350" t="s">
        <v>1261</v>
      </c>
      <c r="AD350" t="s">
        <v>1265</v>
      </c>
    </row>
    <row r="351" spans="1:30" x14ac:dyDescent="0.25">
      <c r="A351" t="s">
        <v>1248</v>
      </c>
      <c r="B351">
        <v>1899</v>
      </c>
      <c r="C351">
        <v>1668</v>
      </c>
      <c r="D351">
        <v>597</v>
      </c>
      <c r="I351" t="s">
        <v>4638</v>
      </c>
      <c r="J351">
        <v>11</v>
      </c>
      <c r="O351" t="s">
        <v>385</v>
      </c>
      <c r="P351" t="s">
        <v>1191</v>
      </c>
      <c r="R351">
        <v>1</v>
      </c>
      <c r="S351" t="s">
        <v>4622</v>
      </c>
      <c r="U351" t="s">
        <v>1266</v>
      </c>
      <c r="V351" t="s">
        <v>1266</v>
      </c>
      <c r="W351" t="s">
        <v>1266</v>
      </c>
      <c r="X351" t="s">
        <v>1265</v>
      </c>
      <c r="Y351">
        <v>17</v>
      </c>
      <c r="AA351" t="s">
        <v>1261</v>
      </c>
      <c r="AD351" t="s">
        <v>1265</v>
      </c>
    </row>
    <row r="352" spans="1:30" x14ac:dyDescent="0.25">
      <c r="A352" t="s">
        <v>1248</v>
      </c>
      <c r="B352">
        <v>1900</v>
      </c>
      <c r="C352">
        <v>1668</v>
      </c>
      <c r="D352">
        <v>597</v>
      </c>
      <c r="I352" t="s">
        <v>4637</v>
      </c>
      <c r="J352">
        <v>11</v>
      </c>
      <c r="O352" t="s">
        <v>387</v>
      </c>
      <c r="P352" t="s">
        <v>1193</v>
      </c>
      <c r="R352">
        <v>1</v>
      </c>
      <c r="S352" t="s">
        <v>4622</v>
      </c>
      <c r="U352" t="s">
        <v>1266</v>
      </c>
      <c r="V352" t="s">
        <v>1266</v>
      </c>
      <c r="W352" t="s">
        <v>1266</v>
      </c>
      <c r="X352" t="s">
        <v>1265</v>
      </c>
      <c r="Y352">
        <v>17</v>
      </c>
      <c r="AA352" t="s">
        <v>1261</v>
      </c>
      <c r="AD352" t="s">
        <v>1265</v>
      </c>
    </row>
    <row r="353" spans="1:30" x14ac:dyDescent="0.25">
      <c r="A353" t="s">
        <v>1248</v>
      </c>
      <c r="B353">
        <v>1901</v>
      </c>
      <c r="C353">
        <v>1668</v>
      </c>
      <c r="D353">
        <v>597</v>
      </c>
      <c r="I353" t="s">
        <v>4636</v>
      </c>
      <c r="J353">
        <v>11</v>
      </c>
      <c r="O353" t="s">
        <v>389</v>
      </c>
      <c r="P353" t="s">
        <v>1195</v>
      </c>
      <c r="R353">
        <v>1</v>
      </c>
      <c r="S353" t="s">
        <v>4622</v>
      </c>
      <c r="U353" t="s">
        <v>1266</v>
      </c>
      <c r="V353" t="s">
        <v>1266</v>
      </c>
      <c r="W353" t="s">
        <v>1266</v>
      </c>
      <c r="X353" t="s">
        <v>1265</v>
      </c>
      <c r="Y353">
        <v>17</v>
      </c>
      <c r="AA353" t="s">
        <v>1261</v>
      </c>
      <c r="AD353" t="s">
        <v>1265</v>
      </c>
    </row>
    <row r="354" spans="1:30" x14ac:dyDescent="0.25">
      <c r="A354" t="s">
        <v>1248</v>
      </c>
      <c r="B354">
        <v>1902</v>
      </c>
      <c r="C354">
        <v>1668</v>
      </c>
      <c r="D354">
        <v>597</v>
      </c>
      <c r="I354" t="s">
        <v>4635</v>
      </c>
      <c r="J354">
        <v>11</v>
      </c>
      <c r="O354" t="s">
        <v>391</v>
      </c>
      <c r="P354" t="s">
        <v>1197</v>
      </c>
      <c r="R354">
        <v>1</v>
      </c>
      <c r="S354" t="s">
        <v>4622</v>
      </c>
      <c r="U354" t="s">
        <v>1266</v>
      </c>
      <c r="V354" t="s">
        <v>1266</v>
      </c>
      <c r="W354" t="s">
        <v>1266</v>
      </c>
      <c r="X354" t="s">
        <v>1265</v>
      </c>
      <c r="Y354">
        <v>17</v>
      </c>
      <c r="AA354" t="s">
        <v>1261</v>
      </c>
      <c r="AD354" t="s">
        <v>1265</v>
      </c>
    </row>
    <row r="355" spans="1:30" x14ac:dyDescent="0.25">
      <c r="A355" t="s">
        <v>1248</v>
      </c>
      <c r="B355">
        <v>1906</v>
      </c>
      <c r="C355">
        <v>1668</v>
      </c>
      <c r="D355">
        <v>597</v>
      </c>
      <c r="I355" t="s">
        <v>4634</v>
      </c>
      <c r="J355">
        <v>11</v>
      </c>
      <c r="O355" t="s">
        <v>77</v>
      </c>
      <c r="P355" t="s">
        <v>962</v>
      </c>
      <c r="R355">
        <v>1</v>
      </c>
      <c r="S355" t="s">
        <v>4622</v>
      </c>
      <c r="U355" t="s">
        <v>1266</v>
      </c>
      <c r="V355" t="s">
        <v>1266</v>
      </c>
      <c r="W355" t="s">
        <v>1266</v>
      </c>
      <c r="X355" t="s">
        <v>1265</v>
      </c>
      <c r="Y355">
        <v>17</v>
      </c>
      <c r="AA355" t="s">
        <v>1261</v>
      </c>
      <c r="AD355" t="s">
        <v>1265</v>
      </c>
    </row>
    <row r="356" spans="1:30" x14ac:dyDescent="0.25">
      <c r="A356" t="s">
        <v>1248</v>
      </c>
      <c r="B356">
        <v>1908</v>
      </c>
      <c r="C356">
        <v>1668</v>
      </c>
      <c r="D356">
        <v>597</v>
      </c>
      <c r="I356" t="s">
        <v>4633</v>
      </c>
      <c r="J356">
        <v>11</v>
      </c>
      <c r="O356" t="s">
        <v>147</v>
      </c>
      <c r="P356" t="s">
        <v>958</v>
      </c>
      <c r="R356">
        <v>1</v>
      </c>
      <c r="S356" t="s">
        <v>4622</v>
      </c>
      <c r="U356" t="s">
        <v>1266</v>
      </c>
      <c r="V356" t="s">
        <v>1266</v>
      </c>
      <c r="W356" t="s">
        <v>1266</v>
      </c>
      <c r="X356" t="s">
        <v>1265</v>
      </c>
      <c r="Y356">
        <v>17</v>
      </c>
      <c r="Z356">
        <v>100</v>
      </c>
      <c r="AA356" t="s">
        <v>1261</v>
      </c>
      <c r="AD356" t="s">
        <v>1265</v>
      </c>
    </row>
    <row r="357" spans="1:30" x14ac:dyDescent="0.25">
      <c r="A357" t="s">
        <v>1248</v>
      </c>
      <c r="B357">
        <v>1969</v>
      </c>
      <c r="D357">
        <v>597</v>
      </c>
      <c r="I357" t="s">
        <v>4632</v>
      </c>
      <c r="J357">
        <v>130</v>
      </c>
      <c r="O357" t="s">
        <v>4631</v>
      </c>
      <c r="P357" t="s">
        <v>4630</v>
      </c>
      <c r="R357">
        <v>1</v>
      </c>
      <c r="S357" t="s">
        <v>4622</v>
      </c>
      <c r="U357" t="s">
        <v>1266</v>
      </c>
      <c r="V357" t="s">
        <v>1266</v>
      </c>
      <c r="W357" t="s">
        <v>1266</v>
      </c>
      <c r="X357" t="s">
        <v>1265</v>
      </c>
      <c r="Y357">
        <v>17</v>
      </c>
      <c r="AA357" t="s">
        <v>2785</v>
      </c>
      <c r="AD357" t="s">
        <v>1265</v>
      </c>
    </row>
    <row r="358" spans="1:30" x14ac:dyDescent="0.25">
      <c r="A358" t="s">
        <v>1248</v>
      </c>
      <c r="B358">
        <v>1979</v>
      </c>
      <c r="C358">
        <v>1980</v>
      </c>
      <c r="D358">
        <v>1116</v>
      </c>
      <c r="I358" t="s">
        <v>4629</v>
      </c>
      <c r="J358">
        <v>801</v>
      </c>
      <c r="O358" t="s">
        <v>4628</v>
      </c>
      <c r="P358" t="s">
        <v>4627</v>
      </c>
      <c r="R358" t="s">
        <v>4626</v>
      </c>
      <c r="S358" t="s">
        <v>4622</v>
      </c>
      <c r="U358" t="s">
        <v>1266</v>
      </c>
      <c r="V358" t="s">
        <v>1266</v>
      </c>
      <c r="W358" t="s">
        <v>1266</v>
      </c>
      <c r="X358" t="s">
        <v>1265</v>
      </c>
      <c r="Y358">
        <v>17</v>
      </c>
      <c r="AA358" t="s">
        <v>2785</v>
      </c>
      <c r="AD358" t="s">
        <v>1265</v>
      </c>
    </row>
    <row r="359" spans="1:30" x14ac:dyDescent="0.25">
      <c r="A359" t="s">
        <v>1248</v>
      </c>
      <c r="B359">
        <v>1980</v>
      </c>
      <c r="C359">
        <v>1969</v>
      </c>
      <c r="D359">
        <v>597</v>
      </c>
      <c r="I359" t="s">
        <v>4625</v>
      </c>
      <c r="J359">
        <v>0</v>
      </c>
      <c r="O359" t="s">
        <v>4624</v>
      </c>
      <c r="P359" t="s">
        <v>4623</v>
      </c>
      <c r="R359">
        <v>1</v>
      </c>
      <c r="S359" t="s">
        <v>4622</v>
      </c>
      <c r="U359" t="s">
        <v>1266</v>
      </c>
      <c r="V359" t="s">
        <v>1266</v>
      </c>
      <c r="W359" t="s">
        <v>1266</v>
      </c>
      <c r="X359" t="s">
        <v>1265</v>
      </c>
      <c r="Y359">
        <v>17</v>
      </c>
      <c r="AA359" t="s">
        <v>2785</v>
      </c>
      <c r="AD359" t="s">
        <v>1265</v>
      </c>
    </row>
    <row r="360" spans="1:30" x14ac:dyDescent="0.25">
      <c r="A360" t="s">
        <v>1258</v>
      </c>
      <c r="B360" t="s">
        <v>4621</v>
      </c>
    </row>
    <row r="361" spans="1:30" x14ac:dyDescent="0.25">
      <c r="A361" t="s">
        <v>1256</v>
      </c>
      <c r="B361" t="s">
        <v>4620</v>
      </c>
      <c r="C361" t="s">
        <v>4619</v>
      </c>
      <c r="D361" t="s">
        <v>4618</v>
      </c>
      <c r="E361" t="s">
        <v>4617</v>
      </c>
      <c r="F361" t="s">
        <v>1253</v>
      </c>
      <c r="G361" t="s">
        <v>4601</v>
      </c>
      <c r="H361" t="s">
        <v>4616</v>
      </c>
      <c r="I361" t="s">
        <v>4615</v>
      </c>
    </row>
    <row r="362" spans="1:30" x14ac:dyDescent="0.25">
      <c r="A362" t="s">
        <v>1248</v>
      </c>
      <c r="B362">
        <v>433</v>
      </c>
      <c r="C362">
        <v>7</v>
      </c>
      <c r="D362">
        <v>0</v>
      </c>
      <c r="E362" t="s">
        <v>4614</v>
      </c>
      <c r="F362">
        <v>405</v>
      </c>
      <c r="H362" t="s">
        <v>4613</v>
      </c>
    </row>
    <row r="363" spans="1:30" x14ac:dyDescent="0.25">
      <c r="A363" t="s">
        <v>1258</v>
      </c>
      <c r="B363" t="s">
        <v>4612</v>
      </c>
    </row>
    <row r="364" spans="1:30" x14ac:dyDescent="0.25">
      <c r="A364" t="s">
        <v>1256</v>
      </c>
      <c r="B364" t="s">
        <v>4611</v>
      </c>
      <c r="C364" t="s">
        <v>3131</v>
      </c>
      <c r="D364" t="s">
        <v>4610</v>
      </c>
      <c r="E364" t="s">
        <v>3119</v>
      </c>
      <c r="F364" t="s">
        <v>4609</v>
      </c>
      <c r="G364" t="s">
        <v>4608</v>
      </c>
      <c r="H364" t="s">
        <v>4607</v>
      </c>
      <c r="I364" t="s">
        <v>4606</v>
      </c>
      <c r="J364" t="s">
        <v>4605</v>
      </c>
      <c r="K364" t="s">
        <v>4604</v>
      </c>
    </row>
    <row r="365" spans="1:30" x14ac:dyDescent="0.25">
      <c r="A365" t="s">
        <v>1248</v>
      </c>
      <c r="B365">
        <v>1801</v>
      </c>
      <c r="C365">
        <v>1498</v>
      </c>
      <c r="D365">
        <v>0</v>
      </c>
      <c r="E365" s="29">
        <v>60000</v>
      </c>
      <c r="F365" s="30">
        <v>45658</v>
      </c>
      <c r="H365" t="s">
        <v>1262</v>
      </c>
      <c r="I365" t="s">
        <v>1262</v>
      </c>
      <c r="J365" t="s">
        <v>1262</v>
      </c>
      <c r="K365" t="s">
        <v>1262</v>
      </c>
    </row>
    <row r="366" spans="1:30" x14ac:dyDescent="0.25">
      <c r="A366" t="s">
        <v>1248</v>
      </c>
      <c r="B366">
        <v>1804</v>
      </c>
      <c r="C366">
        <v>1501</v>
      </c>
      <c r="D366">
        <v>1</v>
      </c>
      <c r="E366" t="s">
        <v>1262</v>
      </c>
      <c r="F366" s="30">
        <v>45658</v>
      </c>
      <c r="H366" t="s">
        <v>1262</v>
      </c>
      <c r="I366" t="s">
        <v>1262</v>
      </c>
      <c r="J366" t="s">
        <v>1262</v>
      </c>
      <c r="K366" t="s">
        <v>1262</v>
      </c>
    </row>
    <row r="367" spans="1:30" x14ac:dyDescent="0.25">
      <c r="A367" t="s">
        <v>1248</v>
      </c>
      <c r="B367">
        <v>1821</v>
      </c>
      <c r="C367">
        <v>1668</v>
      </c>
      <c r="D367">
        <v>1</v>
      </c>
      <c r="E367" t="s">
        <v>1262</v>
      </c>
      <c r="F367" s="30">
        <v>45658</v>
      </c>
      <c r="H367" t="s">
        <v>1262</v>
      </c>
      <c r="I367" t="s">
        <v>1262</v>
      </c>
      <c r="J367" t="s">
        <v>1262</v>
      </c>
      <c r="K367" t="s">
        <v>1262</v>
      </c>
    </row>
    <row r="368" spans="1:30" x14ac:dyDescent="0.25">
      <c r="A368" t="s">
        <v>1248</v>
      </c>
      <c r="B368">
        <v>1824</v>
      </c>
      <c r="C368">
        <v>1671</v>
      </c>
      <c r="D368" t="s">
        <v>4603</v>
      </c>
      <c r="E368" t="s">
        <v>1262</v>
      </c>
      <c r="F368" s="30">
        <v>45658</v>
      </c>
      <c r="H368" t="s">
        <v>1262</v>
      </c>
      <c r="I368" t="s">
        <v>1262</v>
      </c>
      <c r="J368" t="s">
        <v>1262</v>
      </c>
      <c r="K368" t="s">
        <v>1262</v>
      </c>
    </row>
    <row r="369" spans="1:11" x14ac:dyDescent="0.25">
      <c r="A369" t="s">
        <v>1248</v>
      </c>
      <c r="B369">
        <v>1827</v>
      </c>
      <c r="C369">
        <v>1498</v>
      </c>
      <c r="D369">
        <v>0</v>
      </c>
      <c r="E369" s="29">
        <v>60000</v>
      </c>
      <c r="F369" s="30">
        <v>45982.681944444441</v>
      </c>
      <c r="H369" t="s">
        <v>1262</v>
      </c>
      <c r="I369" t="s">
        <v>1262</v>
      </c>
      <c r="J369" t="s">
        <v>1262</v>
      </c>
      <c r="K369" t="s">
        <v>1262</v>
      </c>
    </row>
    <row r="370" spans="1:11" x14ac:dyDescent="0.25">
      <c r="A370" t="s">
        <v>1248</v>
      </c>
      <c r="B370">
        <v>1830</v>
      </c>
      <c r="C370">
        <v>1671</v>
      </c>
      <c r="D370">
        <v>0</v>
      </c>
      <c r="E370" t="s">
        <v>1262</v>
      </c>
      <c r="F370" s="30">
        <v>45982.681944444441</v>
      </c>
      <c r="H370" t="s">
        <v>1262</v>
      </c>
      <c r="I370" t="s">
        <v>1262</v>
      </c>
      <c r="J370" t="s">
        <v>1262</v>
      </c>
      <c r="K370" t="s">
        <v>1262</v>
      </c>
    </row>
    <row r="371" spans="1:11" x14ac:dyDescent="0.25">
      <c r="A371" t="s">
        <v>1248</v>
      </c>
      <c r="B371">
        <v>1832</v>
      </c>
      <c r="C371">
        <v>1673</v>
      </c>
      <c r="D371">
        <v>0</v>
      </c>
      <c r="E371" s="29">
        <v>108000</v>
      </c>
      <c r="F371" s="30">
        <v>45982.681944444441</v>
      </c>
      <c r="H371" t="s">
        <v>1262</v>
      </c>
      <c r="I371" t="s">
        <v>1262</v>
      </c>
      <c r="J371" t="s">
        <v>1262</v>
      </c>
      <c r="K371" t="s">
        <v>1262</v>
      </c>
    </row>
    <row r="372" spans="1:11" x14ac:dyDescent="0.25">
      <c r="A372" t="s">
        <v>1248</v>
      </c>
      <c r="B372">
        <v>1935</v>
      </c>
      <c r="C372">
        <v>1804</v>
      </c>
      <c r="D372">
        <v>0</v>
      </c>
      <c r="E372" s="29">
        <v>220000</v>
      </c>
      <c r="F372" s="30">
        <v>45982.681944444441</v>
      </c>
      <c r="H372" t="s">
        <v>1262</v>
      </c>
      <c r="I372" t="s">
        <v>1262</v>
      </c>
      <c r="J372" t="s">
        <v>1262</v>
      </c>
      <c r="K372" t="s">
        <v>1262</v>
      </c>
    </row>
    <row r="373" spans="1:11" x14ac:dyDescent="0.25">
      <c r="A373" t="s">
        <v>1248</v>
      </c>
      <c r="B373">
        <v>1936</v>
      </c>
      <c r="C373">
        <v>1805</v>
      </c>
      <c r="D373">
        <v>0</v>
      </c>
      <c r="E373" s="29">
        <v>10000</v>
      </c>
      <c r="F373" s="30">
        <v>45982.333333333336</v>
      </c>
      <c r="H373" t="s">
        <v>1262</v>
      </c>
      <c r="I373" t="s">
        <v>1262</v>
      </c>
      <c r="J373" t="s">
        <v>1262</v>
      </c>
      <c r="K373" t="s">
        <v>1262</v>
      </c>
    </row>
    <row r="374" spans="1:11" x14ac:dyDescent="0.25">
      <c r="A374" t="s">
        <v>1248</v>
      </c>
      <c r="B374">
        <v>1937</v>
      </c>
      <c r="C374">
        <v>1806</v>
      </c>
      <c r="D374">
        <v>0</v>
      </c>
      <c r="E374" t="s">
        <v>1557</v>
      </c>
      <c r="F374" s="30">
        <v>45982.681944444441</v>
      </c>
      <c r="H374" t="s">
        <v>1262</v>
      </c>
      <c r="I374" t="s">
        <v>1262</v>
      </c>
      <c r="J374" t="s">
        <v>1262</v>
      </c>
      <c r="K374" t="s">
        <v>1262</v>
      </c>
    </row>
    <row r="375" spans="1:11" x14ac:dyDescent="0.25">
      <c r="A375" t="s">
        <v>1248</v>
      </c>
      <c r="B375">
        <v>1938</v>
      </c>
      <c r="C375">
        <v>1807</v>
      </c>
      <c r="D375">
        <v>0</v>
      </c>
      <c r="E375" s="29">
        <v>123505</v>
      </c>
      <c r="F375" s="30">
        <v>45982.681944444441</v>
      </c>
      <c r="H375" t="s">
        <v>1262</v>
      </c>
      <c r="I375" t="s">
        <v>1262</v>
      </c>
      <c r="J375" t="s">
        <v>1262</v>
      </c>
      <c r="K375" t="s">
        <v>1262</v>
      </c>
    </row>
    <row r="376" spans="1:11" x14ac:dyDescent="0.25">
      <c r="A376" t="s">
        <v>1248</v>
      </c>
      <c r="B376">
        <v>1939</v>
      </c>
      <c r="C376">
        <v>1808</v>
      </c>
      <c r="D376">
        <v>0</v>
      </c>
      <c r="E376" s="29">
        <v>83700</v>
      </c>
      <c r="F376" s="30">
        <v>45982.681944444441</v>
      </c>
      <c r="H376" t="s">
        <v>1262</v>
      </c>
      <c r="I376" t="s">
        <v>1262</v>
      </c>
      <c r="J376" t="s">
        <v>1262</v>
      </c>
      <c r="K376" t="s">
        <v>1262</v>
      </c>
    </row>
    <row r="377" spans="1:11" x14ac:dyDescent="0.25">
      <c r="A377" t="s">
        <v>1248</v>
      </c>
      <c r="B377">
        <v>1940</v>
      </c>
      <c r="C377">
        <v>1809</v>
      </c>
      <c r="D377">
        <v>0</v>
      </c>
      <c r="E377" s="29">
        <v>1400000</v>
      </c>
      <c r="F377" s="30">
        <v>45982.681944444441</v>
      </c>
      <c r="H377" t="s">
        <v>1262</v>
      </c>
      <c r="I377" t="s">
        <v>1262</v>
      </c>
      <c r="J377" t="s">
        <v>1262</v>
      </c>
      <c r="K377" t="s">
        <v>1262</v>
      </c>
    </row>
    <row r="378" spans="1:11" x14ac:dyDescent="0.25">
      <c r="A378" t="s">
        <v>1248</v>
      </c>
      <c r="B378">
        <v>1941</v>
      </c>
      <c r="C378">
        <v>1810</v>
      </c>
      <c r="D378">
        <v>0</v>
      </c>
      <c r="E378" s="29">
        <v>1414554</v>
      </c>
      <c r="F378" s="30">
        <v>45982.681944444441</v>
      </c>
      <c r="H378" t="s">
        <v>1262</v>
      </c>
      <c r="I378" t="s">
        <v>1262</v>
      </c>
      <c r="J378" t="s">
        <v>1262</v>
      </c>
      <c r="K378" t="s">
        <v>1262</v>
      </c>
    </row>
    <row r="379" spans="1:11" x14ac:dyDescent="0.25">
      <c r="A379" t="s">
        <v>1248</v>
      </c>
      <c r="B379">
        <v>1942</v>
      </c>
      <c r="C379">
        <v>1811</v>
      </c>
      <c r="D379">
        <v>0</v>
      </c>
      <c r="E379" s="29">
        <v>238400</v>
      </c>
      <c r="F379" s="30">
        <v>45982.681944444441</v>
      </c>
      <c r="H379" t="s">
        <v>1262</v>
      </c>
      <c r="I379" t="s">
        <v>1262</v>
      </c>
      <c r="J379" t="s">
        <v>1262</v>
      </c>
      <c r="K379" t="s">
        <v>1262</v>
      </c>
    </row>
    <row r="380" spans="1:11" x14ac:dyDescent="0.25">
      <c r="A380" t="s">
        <v>1248</v>
      </c>
      <c r="B380">
        <v>1943</v>
      </c>
      <c r="C380">
        <v>1812</v>
      </c>
      <c r="D380">
        <v>0</v>
      </c>
      <c r="E380" s="29">
        <v>345000</v>
      </c>
      <c r="F380" s="30">
        <v>45982.681944444441</v>
      </c>
      <c r="H380" t="s">
        <v>1262</v>
      </c>
      <c r="I380" t="s">
        <v>1262</v>
      </c>
      <c r="J380" t="s">
        <v>1262</v>
      </c>
      <c r="K380" t="s">
        <v>1262</v>
      </c>
    </row>
    <row r="381" spans="1:11" x14ac:dyDescent="0.25">
      <c r="A381" t="s">
        <v>1248</v>
      </c>
      <c r="B381">
        <v>1944</v>
      </c>
      <c r="C381">
        <v>1813</v>
      </c>
      <c r="D381">
        <v>0</v>
      </c>
      <c r="E381" s="29">
        <v>250000</v>
      </c>
      <c r="F381" s="30">
        <v>45982.681944444441</v>
      </c>
      <c r="H381" t="s">
        <v>1262</v>
      </c>
      <c r="I381" t="s">
        <v>1262</v>
      </c>
      <c r="J381" t="s">
        <v>1262</v>
      </c>
      <c r="K381" t="s">
        <v>1262</v>
      </c>
    </row>
    <row r="382" spans="1:11" x14ac:dyDescent="0.25">
      <c r="A382" t="s">
        <v>1248</v>
      </c>
      <c r="B382">
        <v>1945</v>
      </c>
      <c r="C382">
        <v>1814</v>
      </c>
      <c r="D382">
        <v>0</v>
      </c>
      <c r="E382" s="29">
        <v>714600</v>
      </c>
      <c r="F382" s="30">
        <v>45982.681944444441</v>
      </c>
      <c r="H382" t="s">
        <v>1262</v>
      </c>
      <c r="I382" t="s">
        <v>1262</v>
      </c>
      <c r="J382" t="s">
        <v>1262</v>
      </c>
      <c r="K382" t="s">
        <v>1262</v>
      </c>
    </row>
    <row r="383" spans="1:11" x14ac:dyDescent="0.25">
      <c r="A383" t="s">
        <v>1248</v>
      </c>
      <c r="B383">
        <v>1946</v>
      </c>
      <c r="C383">
        <v>1815</v>
      </c>
      <c r="D383">
        <v>0</v>
      </c>
      <c r="E383" s="29">
        <v>392870</v>
      </c>
      <c r="F383" s="30">
        <v>45982.681944444441</v>
      </c>
      <c r="H383" t="s">
        <v>1262</v>
      </c>
      <c r="I383" t="s">
        <v>1262</v>
      </c>
      <c r="J383" t="s">
        <v>1262</v>
      </c>
      <c r="K383" t="s">
        <v>1262</v>
      </c>
    </row>
    <row r="384" spans="1:11" x14ac:dyDescent="0.25">
      <c r="A384" t="s">
        <v>1248</v>
      </c>
      <c r="B384">
        <v>1947</v>
      </c>
      <c r="C384">
        <v>1816</v>
      </c>
      <c r="D384">
        <v>0</v>
      </c>
      <c r="E384" s="29">
        <v>60000</v>
      </c>
      <c r="F384" s="30">
        <v>45982.681944444441</v>
      </c>
      <c r="H384" t="s">
        <v>1262</v>
      </c>
      <c r="I384" t="s">
        <v>1262</v>
      </c>
      <c r="J384" t="s">
        <v>1262</v>
      </c>
      <c r="K384" t="s">
        <v>1262</v>
      </c>
    </row>
    <row r="385" spans="1:11" x14ac:dyDescent="0.25">
      <c r="A385" t="s">
        <v>1248</v>
      </c>
      <c r="B385">
        <v>1948</v>
      </c>
      <c r="C385">
        <v>1817</v>
      </c>
      <c r="D385">
        <v>0</v>
      </c>
      <c r="E385" s="29">
        <v>20000</v>
      </c>
      <c r="F385" s="30">
        <v>45982.681944444441</v>
      </c>
      <c r="H385" t="s">
        <v>1262</v>
      </c>
      <c r="I385" t="s">
        <v>1262</v>
      </c>
      <c r="J385" t="s">
        <v>1262</v>
      </c>
      <c r="K385" t="s">
        <v>1262</v>
      </c>
    </row>
    <row r="386" spans="1:11" x14ac:dyDescent="0.25">
      <c r="A386" t="s">
        <v>1248</v>
      </c>
      <c r="B386">
        <v>1949</v>
      </c>
      <c r="C386">
        <v>1818</v>
      </c>
      <c r="D386">
        <v>0</v>
      </c>
      <c r="E386" s="29">
        <v>2199900</v>
      </c>
      <c r="F386" s="30">
        <v>45982.681944444441</v>
      </c>
      <c r="H386" t="s">
        <v>1262</v>
      </c>
      <c r="I386" t="s">
        <v>1262</v>
      </c>
      <c r="J386" t="s">
        <v>1262</v>
      </c>
      <c r="K386" t="s">
        <v>1262</v>
      </c>
    </row>
    <row r="387" spans="1:11" x14ac:dyDescent="0.25">
      <c r="A387" t="s">
        <v>1248</v>
      </c>
      <c r="B387">
        <v>1950</v>
      </c>
      <c r="C387">
        <v>1819</v>
      </c>
      <c r="D387">
        <v>0</v>
      </c>
      <c r="E387" s="29">
        <v>1350000</v>
      </c>
      <c r="F387" s="30">
        <v>45982.681944444441</v>
      </c>
      <c r="H387" t="s">
        <v>1262</v>
      </c>
      <c r="I387" t="s">
        <v>1262</v>
      </c>
      <c r="J387" t="s">
        <v>1262</v>
      </c>
      <c r="K387" t="s">
        <v>1262</v>
      </c>
    </row>
    <row r="388" spans="1:11" x14ac:dyDescent="0.25">
      <c r="A388" t="s">
        <v>1248</v>
      </c>
      <c r="B388">
        <v>1951</v>
      </c>
      <c r="C388">
        <v>1820</v>
      </c>
      <c r="D388">
        <v>0</v>
      </c>
      <c r="E388" s="29">
        <v>1500000</v>
      </c>
      <c r="F388" s="30">
        <v>45982.681944444441</v>
      </c>
      <c r="H388" t="s">
        <v>1262</v>
      </c>
      <c r="I388" t="s">
        <v>1262</v>
      </c>
      <c r="J388" t="s">
        <v>1262</v>
      </c>
      <c r="K388" t="s">
        <v>1262</v>
      </c>
    </row>
    <row r="389" spans="1:11" x14ac:dyDescent="0.25">
      <c r="A389" t="s">
        <v>1248</v>
      </c>
      <c r="B389">
        <v>1952</v>
      </c>
      <c r="C389">
        <v>1821</v>
      </c>
      <c r="D389">
        <v>0</v>
      </c>
      <c r="E389" s="29">
        <v>1670000</v>
      </c>
      <c r="F389" s="30">
        <v>45982.681944444441</v>
      </c>
      <c r="H389" t="s">
        <v>1262</v>
      </c>
      <c r="I389" t="s">
        <v>1262</v>
      </c>
      <c r="J389" t="s">
        <v>1262</v>
      </c>
      <c r="K389" t="s">
        <v>1262</v>
      </c>
    </row>
    <row r="390" spans="1:11" x14ac:dyDescent="0.25">
      <c r="A390" t="s">
        <v>1248</v>
      </c>
      <c r="B390">
        <v>1953</v>
      </c>
      <c r="C390">
        <v>1822</v>
      </c>
      <c r="D390">
        <v>0</v>
      </c>
      <c r="E390" s="29">
        <v>1630000</v>
      </c>
      <c r="F390" s="30">
        <v>45982.681944444441</v>
      </c>
      <c r="H390" t="s">
        <v>1262</v>
      </c>
      <c r="I390" t="s">
        <v>1262</v>
      </c>
      <c r="J390" t="s">
        <v>1262</v>
      </c>
      <c r="K390" t="s">
        <v>1262</v>
      </c>
    </row>
    <row r="391" spans="1:11" x14ac:dyDescent="0.25">
      <c r="A391" t="s">
        <v>1248</v>
      </c>
      <c r="B391">
        <v>1954</v>
      </c>
      <c r="C391">
        <v>1823</v>
      </c>
      <c r="D391">
        <v>0</v>
      </c>
      <c r="E391" s="29">
        <v>2200000</v>
      </c>
      <c r="F391" s="30">
        <v>45982.681944444441</v>
      </c>
      <c r="H391" t="s">
        <v>1262</v>
      </c>
      <c r="I391" t="s">
        <v>1262</v>
      </c>
      <c r="J391" t="s">
        <v>1262</v>
      </c>
      <c r="K391" t="s">
        <v>1262</v>
      </c>
    </row>
    <row r="392" spans="1:11" x14ac:dyDescent="0.25">
      <c r="A392" t="s">
        <v>1248</v>
      </c>
      <c r="B392">
        <v>1955</v>
      </c>
      <c r="C392">
        <v>1824</v>
      </c>
      <c r="D392">
        <v>0</v>
      </c>
      <c r="E392" s="29">
        <v>2200000</v>
      </c>
      <c r="F392" s="30">
        <v>45982.681944444441</v>
      </c>
      <c r="H392" t="s">
        <v>1262</v>
      </c>
      <c r="I392" t="s">
        <v>1262</v>
      </c>
      <c r="J392" t="s">
        <v>1262</v>
      </c>
      <c r="K392" t="s">
        <v>1262</v>
      </c>
    </row>
    <row r="393" spans="1:11" x14ac:dyDescent="0.25">
      <c r="A393" t="s">
        <v>1248</v>
      </c>
      <c r="B393">
        <v>1956</v>
      </c>
      <c r="C393">
        <v>1825</v>
      </c>
      <c r="D393">
        <v>0</v>
      </c>
      <c r="E393" t="s">
        <v>1262</v>
      </c>
      <c r="F393" s="30">
        <v>45982.681944444441</v>
      </c>
      <c r="H393" t="s">
        <v>1262</v>
      </c>
      <c r="I393" t="s">
        <v>1262</v>
      </c>
      <c r="J393" t="s">
        <v>1262</v>
      </c>
      <c r="K393" t="s">
        <v>1262</v>
      </c>
    </row>
    <row r="394" spans="1:11" x14ac:dyDescent="0.25">
      <c r="A394" t="s">
        <v>1248</v>
      </c>
      <c r="B394">
        <v>1957</v>
      </c>
      <c r="C394">
        <v>1826</v>
      </c>
      <c r="D394">
        <v>0</v>
      </c>
      <c r="E394" t="s">
        <v>1262</v>
      </c>
      <c r="F394" s="30">
        <v>45982.681944444441</v>
      </c>
      <c r="H394" t="s">
        <v>1262</v>
      </c>
      <c r="I394" t="s">
        <v>1262</v>
      </c>
      <c r="J394" t="s">
        <v>1262</v>
      </c>
      <c r="K394" t="s">
        <v>1262</v>
      </c>
    </row>
    <row r="395" spans="1:11" x14ac:dyDescent="0.25">
      <c r="A395" t="s">
        <v>1248</v>
      </c>
      <c r="B395">
        <v>1958</v>
      </c>
      <c r="C395">
        <v>1827</v>
      </c>
      <c r="D395">
        <v>0</v>
      </c>
      <c r="E395" s="29">
        <v>207200</v>
      </c>
      <c r="F395" s="30">
        <v>45982.681944444441</v>
      </c>
      <c r="H395" t="s">
        <v>1262</v>
      </c>
      <c r="I395" t="s">
        <v>1262</v>
      </c>
      <c r="J395" t="s">
        <v>1262</v>
      </c>
      <c r="K395" t="s">
        <v>1262</v>
      </c>
    </row>
    <row r="396" spans="1:11" x14ac:dyDescent="0.25">
      <c r="A396" t="s">
        <v>1248</v>
      </c>
      <c r="B396">
        <v>1959</v>
      </c>
      <c r="C396">
        <v>1828</v>
      </c>
      <c r="D396">
        <v>0</v>
      </c>
      <c r="E396" s="29">
        <v>135235</v>
      </c>
      <c r="F396" s="30">
        <v>45982.681944444441</v>
      </c>
      <c r="H396" t="s">
        <v>1262</v>
      </c>
      <c r="I396" t="s">
        <v>1262</v>
      </c>
      <c r="J396" t="s">
        <v>1262</v>
      </c>
      <c r="K396" t="s">
        <v>1262</v>
      </c>
    </row>
    <row r="397" spans="1:11" x14ac:dyDescent="0.25">
      <c r="A397" t="s">
        <v>1248</v>
      </c>
      <c r="B397">
        <v>1960</v>
      </c>
      <c r="C397">
        <v>1829</v>
      </c>
      <c r="D397">
        <v>0</v>
      </c>
      <c r="E397" s="29">
        <v>219400</v>
      </c>
      <c r="F397" s="30">
        <v>45982.681944444441</v>
      </c>
      <c r="H397" t="s">
        <v>1262</v>
      </c>
      <c r="I397" t="s">
        <v>1262</v>
      </c>
      <c r="J397" t="s">
        <v>1262</v>
      </c>
      <c r="K397" t="s">
        <v>1262</v>
      </c>
    </row>
    <row r="398" spans="1:11" x14ac:dyDescent="0.25">
      <c r="A398" t="s">
        <v>1248</v>
      </c>
      <c r="B398">
        <v>1961</v>
      </c>
      <c r="C398">
        <v>1830</v>
      </c>
      <c r="D398">
        <v>0</v>
      </c>
      <c r="E398" s="29">
        <v>621500</v>
      </c>
      <c r="F398" s="30">
        <v>45982.681944444441</v>
      </c>
      <c r="H398" t="s">
        <v>1262</v>
      </c>
      <c r="I398" t="s">
        <v>1262</v>
      </c>
      <c r="J398" t="s">
        <v>1262</v>
      </c>
      <c r="K398" t="s">
        <v>1262</v>
      </c>
    </row>
    <row r="399" spans="1:11" x14ac:dyDescent="0.25">
      <c r="A399" t="s">
        <v>1248</v>
      </c>
      <c r="B399">
        <v>1962</v>
      </c>
      <c r="C399">
        <v>1831</v>
      </c>
      <c r="D399">
        <v>0</v>
      </c>
      <c r="E399" s="29">
        <v>27700</v>
      </c>
      <c r="F399" s="30">
        <v>45982.681944444441</v>
      </c>
      <c r="H399" t="s">
        <v>1262</v>
      </c>
      <c r="I399" t="s">
        <v>1262</v>
      </c>
      <c r="J399" t="s">
        <v>1262</v>
      </c>
      <c r="K399" t="s">
        <v>1262</v>
      </c>
    </row>
    <row r="400" spans="1:11" x14ac:dyDescent="0.25">
      <c r="A400" t="s">
        <v>1248</v>
      </c>
      <c r="B400">
        <v>1963</v>
      </c>
      <c r="C400">
        <v>1832</v>
      </c>
      <c r="D400">
        <v>0</v>
      </c>
      <c r="E400" s="29">
        <v>11200</v>
      </c>
      <c r="F400" s="30">
        <v>45982.681944444441</v>
      </c>
      <c r="H400" t="s">
        <v>1262</v>
      </c>
      <c r="I400" t="s">
        <v>1262</v>
      </c>
      <c r="J400" t="s">
        <v>1262</v>
      </c>
      <c r="K400" t="s">
        <v>1262</v>
      </c>
    </row>
    <row r="401" spans="1:11" x14ac:dyDescent="0.25">
      <c r="A401" t="s">
        <v>1248</v>
      </c>
      <c r="B401">
        <v>1964</v>
      </c>
      <c r="C401">
        <v>1833</v>
      </c>
      <c r="D401">
        <v>0</v>
      </c>
      <c r="E401" s="29">
        <v>10300</v>
      </c>
      <c r="F401" s="30">
        <v>45982.681944444441</v>
      </c>
      <c r="H401" t="s">
        <v>1262</v>
      </c>
      <c r="I401" t="s">
        <v>1262</v>
      </c>
      <c r="J401" t="s">
        <v>1262</v>
      </c>
      <c r="K401" t="s">
        <v>1262</v>
      </c>
    </row>
    <row r="402" spans="1:11" x14ac:dyDescent="0.25">
      <c r="A402" t="s">
        <v>1248</v>
      </c>
      <c r="B402">
        <v>1965</v>
      </c>
      <c r="C402">
        <v>1834</v>
      </c>
      <c r="D402">
        <v>0</v>
      </c>
      <c r="E402" s="29">
        <v>10300</v>
      </c>
      <c r="F402" s="30">
        <v>45982.681944444441</v>
      </c>
      <c r="H402" t="s">
        <v>1262</v>
      </c>
      <c r="I402" t="s">
        <v>1262</v>
      </c>
      <c r="J402" t="s">
        <v>1262</v>
      </c>
      <c r="K402" t="s">
        <v>1262</v>
      </c>
    </row>
    <row r="403" spans="1:11" x14ac:dyDescent="0.25">
      <c r="A403" t="s">
        <v>1248</v>
      </c>
      <c r="B403">
        <v>1966</v>
      </c>
      <c r="C403">
        <v>1835</v>
      </c>
      <c r="D403">
        <v>0</v>
      </c>
      <c r="E403" s="29">
        <v>244700</v>
      </c>
      <c r="F403" s="30">
        <v>45982.681944444441</v>
      </c>
      <c r="H403" t="s">
        <v>1262</v>
      </c>
      <c r="I403" t="s">
        <v>1262</v>
      </c>
      <c r="J403" t="s">
        <v>1262</v>
      </c>
      <c r="K403" t="s">
        <v>1262</v>
      </c>
    </row>
    <row r="404" spans="1:11" x14ac:dyDescent="0.25">
      <c r="A404" t="s">
        <v>1248</v>
      </c>
      <c r="B404">
        <v>1973</v>
      </c>
      <c r="C404">
        <v>1842</v>
      </c>
      <c r="D404">
        <v>0</v>
      </c>
      <c r="E404" s="29">
        <v>729045</v>
      </c>
      <c r="F404" s="30">
        <v>45982.681944444441</v>
      </c>
      <c r="H404" t="s">
        <v>1262</v>
      </c>
      <c r="I404" t="s">
        <v>1262</v>
      </c>
      <c r="J404" t="s">
        <v>1262</v>
      </c>
      <c r="K404" t="s">
        <v>1262</v>
      </c>
    </row>
    <row r="405" spans="1:11" x14ac:dyDescent="0.25">
      <c r="A405" t="s">
        <v>1248</v>
      </c>
      <c r="B405">
        <v>1974</v>
      </c>
      <c r="C405">
        <v>1843</v>
      </c>
      <c r="D405">
        <v>0</v>
      </c>
      <c r="E405" s="29">
        <v>36380</v>
      </c>
      <c r="F405" s="30">
        <v>45982.681944444441</v>
      </c>
      <c r="H405" t="s">
        <v>1262</v>
      </c>
      <c r="I405" t="s">
        <v>1262</v>
      </c>
      <c r="J405" t="s">
        <v>1262</v>
      </c>
      <c r="K405" t="s">
        <v>1262</v>
      </c>
    </row>
    <row r="406" spans="1:11" x14ac:dyDescent="0.25">
      <c r="A406" t="s">
        <v>1248</v>
      </c>
      <c r="B406">
        <v>1975</v>
      </c>
      <c r="C406">
        <v>1844</v>
      </c>
      <c r="D406">
        <v>0</v>
      </c>
      <c r="E406" s="29">
        <v>92300</v>
      </c>
      <c r="F406" s="30">
        <v>45982.681944444441</v>
      </c>
      <c r="H406" t="s">
        <v>1262</v>
      </c>
      <c r="I406" t="s">
        <v>1262</v>
      </c>
      <c r="J406" t="s">
        <v>1262</v>
      </c>
      <c r="K406" t="s">
        <v>1262</v>
      </c>
    </row>
    <row r="407" spans="1:11" x14ac:dyDescent="0.25">
      <c r="A407" t="s">
        <v>1248</v>
      </c>
      <c r="B407">
        <v>1976</v>
      </c>
      <c r="C407">
        <v>1845</v>
      </c>
      <c r="D407">
        <v>0</v>
      </c>
      <c r="E407" s="29">
        <v>3485765</v>
      </c>
      <c r="F407" s="30">
        <v>45982.681944444441</v>
      </c>
      <c r="H407" t="s">
        <v>1262</v>
      </c>
      <c r="I407" t="s">
        <v>1262</v>
      </c>
      <c r="J407" t="s">
        <v>1262</v>
      </c>
      <c r="K407" t="s">
        <v>1262</v>
      </c>
    </row>
    <row r="408" spans="1:11" x14ac:dyDescent="0.25">
      <c r="A408" t="s">
        <v>1248</v>
      </c>
      <c r="B408">
        <v>1977</v>
      </c>
      <c r="C408">
        <v>1846</v>
      </c>
      <c r="D408">
        <v>0</v>
      </c>
      <c r="E408" s="29">
        <v>694100</v>
      </c>
      <c r="F408" s="30">
        <v>45982.681944444441</v>
      </c>
      <c r="H408" t="s">
        <v>1262</v>
      </c>
      <c r="I408" t="s">
        <v>1262</v>
      </c>
      <c r="J408" t="s">
        <v>1262</v>
      </c>
      <c r="K408" t="s">
        <v>1262</v>
      </c>
    </row>
    <row r="409" spans="1:11" x14ac:dyDescent="0.25">
      <c r="A409" t="s">
        <v>1248</v>
      </c>
      <c r="B409">
        <v>1978</v>
      </c>
      <c r="C409">
        <v>1847</v>
      </c>
      <c r="D409">
        <v>0</v>
      </c>
      <c r="E409" s="29">
        <v>11093500</v>
      </c>
      <c r="F409" s="30">
        <v>45982.681944444441</v>
      </c>
      <c r="H409" t="s">
        <v>1262</v>
      </c>
      <c r="I409" t="s">
        <v>1262</v>
      </c>
      <c r="J409" t="s">
        <v>1262</v>
      </c>
      <c r="K409" t="s">
        <v>1262</v>
      </c>
    </row>
    <row r="410" spans="1:11" x14ac:dyDescent="0.25">
      <c r="A410" t="s">
        <v>1248</v>
      </c>
      <c r="B410">
        <v>1979</v>
      </c>
      <c r="C410">
        <v>1848</v>
      </c>
      <c r="D410">
        <v>0</v>
      </c>
      <c r="E410" s="29">
        <v>17845700</v>
      </c>
      <c r="F410" s="30">
        <v>45982.681944444441</v>
      </c>
      <c r="H410" t="s">
        <v>1262</v>
      </c>
      <c r="I410" t="s">
        <v>1262</v>
      </c>
      <c r="J410" t="s">
        <v>1262</v>
      </c>
      <c r="K410" t="s">
        <v>1262</v>
      </c>
    </row>
    <row r="411" spans="1:11" x14ac:dyDescent="0.25">
      <c r="A411" t="s">
        <v>1248</v>
      </c>
      <c r="B411">
        <v>1980</v>
      </c>
      <c r="C411">
        <v>1849</v>
      </c>
      <c r="D411">
        <v>0</v>
      </c>
      <c r="E411" t="s">
        <v>1262</v>
      </c>
      <c r="F411" s="30">
        <v>45982.681944444441</v>
      </c>
      <c r="H411" t="s">
        <v>1262</v>
      </c>
      <c r="I411" t="s">
        <v>1262</v>
      </c>
      <c r="J411" t="s">
        <v>1262</v>
      </c>
      <c r="K411" t="s">
        <v>1262</v>
      </c>
    </row>
    <row r="412" spans="1:11" x14ac:dyDescent="0.25">
      <c r="A412" t="s">
        <v>1248</v>
      </c>
      <c r="B412">
        <v>1981</v>
      </c>
      <c r="C412">
        <v>1850</v>
      </c>
      <c r="D412">
        <v>0</v>
      </c>
      <c r="E412" s="29">
        <v>5928400</v>
      </c>
      <c r="F412" s="30">
        <v>45982.681944444441</v>
      </c>
      <c r="H412" t="s">
        <v>1262</v>
      </c>
      <c r="I412" t="s">
        <v>1262</v>
      </c>
      <c r="J412" t="s">
        <v>1262</v>
      </c>
      <c r="K412" t="s">
        <v>1262</v>
      </c>
    </row>
    <row r="413" spans="1:11" x14ac:dyDescent="0.25">
      <c r="A413" t="s">
        <v>1248</v>
      </c>
      <c r="B413">
        <v>1982</v>
      </c>
      <c r="C413">
        <v>1851</v>
      </c>
      <c r="D413">
        <v>0</v>
      </c>
      <c r="E413" s="29">
        <v>485000</v>
      </c>
      <c r="F413" s="30">
        <v>45982.681944444441</v>
      </c>
      <c r="H413" t="s">
        <v>1262</v>
      </c>
      <c r="I413" t="s">
        <v>1262</v>
      </c>
      <c r="J413" t="s">
        <v>1262</v>
      </c>
      <c r="K413" t="s">
        <v>1262</v>
      </c>
    </row>
    <row r="414" spans="1:11" x14ac:dyDescent="0.25">
      <c r="A414" t="s">
        <v>1248</v>
      </c>
      <c r="B414">
        <v>1983</v>
      </c>
      <c r="C414">
        <v>1852</v>
      </c>
      <c r="D414">
        <v>0</v>
      </c>
      <c r="E414" s="29">
        <v>21600</v>
      </c>
      <c r="F414" s="30">
        <v>45982.681944444441</v>
      </c>
      <c r="H414" t="s">
        <v>1262</v>
      </c>
      <c r="I414" t="s">
        <v>1262</v>
      </c>
      <c r="J414" t="s">
        <v>1262</v>
      </c>
      <c r="K414" t="s">
        <v>1262</v>
      </c>
    </row>
    <row r="415" spans="1:11" x14ac:dyDescent="0.25">
      <c r="A415" t="s">
        <v>1248</v>
      </c>
      <c r="B415">
        <v>1984</v>
      </c>
      <c r="C415">
        <v>1853</v>
      </c>
      <c r="D415">
        <v>0</v>
      </c>
      <c r="E415" s="29">
        <v>21600</v>
      </c>
      <c r="F415" s="30">
        <v>45982.681944444441</v>
      </c>
      <c r="H415" t="s">
        <v>1262</v>
      </c>
      <c r="I415" t="s">
        <v>1262</v>
      </c>
      <c r="J415" t="s">
        <v>1262</v>
      </c>
      <c r="K415" t="s">
        <v>1262</v>
      </c>
    </row>
    <row r="416" spans="1:11" x14ac:dyDescent="0.25">
      <c r="A416" t="s">
        <v>1248</v>
      </c>
      <c r="B416">
        <v>1985</v>
      </c>
      <c r="C416">
        <v>1854</v>
      </c>
      <c r="D416">
        <v>0</v>
      </c>
      <c r="E416" s="29">
        <v>65000</v>
      </c>
      <c r="F416" s="30">
        <v>45982.681944444441</v>
      </c>
      <c r="H416" t="s">
        <v>1262</v>
      </c>
      <c r="I416" t="s">
        <v>1262</v>
      </c>
      <c r="J416" t="s">
        <v>1262</v>
      </c>
      <c r="K416" t="s">
        <v>1262</v>
      </c>
    </row>
    <row r="417" spans="1:11" x14ac:dyDescent="0.25">
      <c r="A417" t="s">
        <v>1248</v>
      </c>
      <c r="B417">
        <v>1986</v>
      </c>
      <c r="C417">
        <v>1855</v>
      </c>
      <c r="D417">
        <v>0</v>
      </c>
      <c r="E417" s="29">
        <v>35000</v>
      </c>
      <c r="F417" s="30">
        <v>45982.681944444441</v>
      </c>
      <c r="H417" t="s">
        <v>1262</v>
      </c>
      <c r="I417" t="s">
        <v>1262</v>
      </c>
      <c r="J417" t="s">
        <v>1262</v>
      </c>
      <c r="K417" t="s">
        <v>1262</v>
      </c>
    </row>
    <row r="418" spans="1:11" x14ac:dyDescent="0.25">
      <c r="A418" t="s">
        <v>1248</v>
      </c>
      <c r="B418">
        <v>1987</v>
      </c>
      <c r="C418">
        <v>1856</v>
      </c>
      <c r="D418">
        <v>0</v>
      </c>
      <c r="E418" s="29">
        <v>278500</v>
      </c>
      <c r="F418" s="30">
        <v>45982.681944444441</v>
      </c>
      <c r="H418" t="s">
        <v>1262</v>
      </c>
      <c r="I418" t="s">
        <v>1262</v>
      </c>
      <c r="J418" t="s">
        <v>1262</v>
      </c>
      <c r="K418" t="s">
        <v>1262</v>
      </c>
    </row>
    <row r="419" spans="1:11" x14ac:dyDescent="0.25">
      <c r="A419" t="s">
        <v>1248</v>
      </c>
      <c r="B419">
        <v>1988</v>
      </c>
      <c r="C419">
        <v>1857</v>
      </c>
      <c r="D419">
        <v>0</v>
      </c>
      <c r="E419" s="29">
        <v>505000</v>
      </c>
      <c r="F419" s="30">
        <v>45982.681944444441</v>
      </c>
      <c r="H419" t="s">
        <v>1262</v>
      </c>
      <c r="I419" t="s">
        <v>1262</v>
      </c>
      <c r="J419" t="s">
        <v>1262</v>
      </c>
      <c r="K419" t="s">
        <v>1262</v>
      </c>
    </row>
    <row r="420" spans="1:11" x14ac:dyDescent="0.25">
      <c r="A420" t="s">
        <v>1248</v>
      </c>
      <c r="B420">
        <v>1989</v>
      </c>
      <c r="C420">
        <v>1858</v>
      </c>
      <c r="D420">
        <v>0</v>
      </c>
      <c r="E420" s="29">
        <v>230000</v>
      </c>
      <c r="F420" s="30">
        <v>45982.681944444441</v>
      </c>
      <c r="H420" t="s">
        <v>1262</v>
      </c>
      <c r="I420" t="s">
        <v>1262</v>
      </c>
      <c r="J420" t="s">
        <v>1262</v>
      </c>
      <c r="K420" t="s">
        <v>1262</v>
      </c>
    </row>
    <row r="421" spans="1:11" x14ac:dyDescent="0.25">
      <c r="A421" t="s">
        <v>1248</v>
      </c>
      <c r="B421">
        <v>1990</v>
      </c>
      <c r="C421">
        <v>1859</v>
      </c>
      <c r="D421">
        <v>0</v>
      </c>
      <c r="E421" t="s">
        <v>2962</v>
      </c>
      <c r="F421" s="30">
        <v>45982.681944444441</v>
      </c>
      <c r="H421" t="s">
        <v>1262</v>
      </c>
      <c r="I421" t="s">
        <v>1262</v>
      </c>
      <c r="J421" t="s">
        <v>1262</v>
      </c>
      <c r="K421" t="s">
        <v>1262</v>
      </c>
    </row>
    <row r="422" spans="1:11" x14ac:dyDescent="0.25">
      <c r="A422" t="s">
        <v>1248</v>
      </c>
      <c r="B422">
        <v>1991</v>
      </c>
      <c r="C422">
        <v>1860</v>
      </c>
      <c r="D422">
        <v>0</v>
      </c>
      <c r="E422" t="s">
        <v>2064</v>
      </c>
      <c r="F422" s="30">
        <v>45982.681944444441</v>
      </c>
      <c r="H422" t="s">
        <v>1262</v>
      </c>
      <c r="I422" t="s">
        <v>1262</v>
      </c>
      <c r="J422" t="s">
        <v>1262</v>
      </c>
      <c r="K422" t="s">
        <v>1262</v>
      </c>
    </row>
    <row r="423" spans="1:11" x14ac:dyDescent="0.25">
      <c r="A423" t="s">
        <v>1248</v>
      </c>
      <c r="B423">
        <v>1992</v>
      </c>
      <c r="C423">
        <v>1861</v>
      </c>
      <c r="D423">
        <v>0</v>
      </c>
      <c r="E423" s="29">
        <v>275000</v>
      </c>
      <c r="F423" s="30">
        <v>45982.681944444441</v>
      </c>
      <c r="H423" t="s">
        <v>1262</v>
      </c>
      <c r="I423" t="s">
        <v>1262</v>
      </c>
      <c r="J423" t="s">
        <v>1262</v>
      </c>
      <c r="K423" t="s">
        <v>1262</v>
      </c>
    </row>
    <row r="424" spans="1:11" x14ac:dyDescent="0.25">
      <c r="A424" t="s">
        <v>1248</v>
      </c>
      <c r="B424">
        <v>1993</v>
      </c>
      <c r="C424">
        <v>1862</v>
      </c>
      <c r="D424">
        <v>0</v>
      </c>
      <c r="E424" s="29">
        <v>2162550</v>
      </c>
      <c r="F424" s="30">
        <v>45982.681944444441</v>
      </c>
      <c r="H424" t="s">
        <v>1262</v>
      </c>
      <c r="I424" t="s">
        <v>1262</v>
      </c>
      <c r="J424" t="s">
        <v>1262</v>
      </c>
      <c r="K424" t="s">
        <v>1262</v>
      </c>
    </row>
    <row r="425" spans="1:11" x14ac:dyDescent="0.25">
      <c r="A425" t="s">
        <v>1248</v>
      </c>
      <c r="B425">
        <v>1994</v>
      </c>
      <c r="C425">
        <v>1863</v>
      </c>
      <c r="D425">
        <v>0</v>
      </c>
      <c r="E425" s="29">
        <v>2284750</v>
      </c>
      <c r="F425" s="30">
        <v>45982.681944444441</v>
      </c>
      <c r="H425" t="s">
        <v>1262</v>
      </c>
      <c r="I425" t="s">
        <v>1262</v>
      </c>
      <c r="J425" t="s">
        <v>1262</v>
      </c>
      <c r="K425" t="s">
        <v>1262</v>
      </c>
    </row>
    <row r="426" spans="1:11" x14ac:dyDescent="0.25">
      <c r="A426" t="s">
        <v>1248</v>
      </c>
      <c r="B426">
        <v>1995</v>
      </c>
      <c r="C426">
        <v>1864</v>
      </c>
      <c r="D426">
        <v>0</v>
      </c>
      <c r="E426" s="29">
        <v>11400</v>
      </c>
      <c r="F426" s="30">
        <v>45982.681944444441</v>
      </c>
      <c r="H426" t="s">
        <v>1262</v>
      </c>
      <c r="I426" t="s">
        <v>1262</v>
      </c>
      <c r="J426" t="s">
        <v>1262</v>
      </c>
      <c r="K426" t="s">
        <v>1262</v>
      </c>
    </row>
    <row r="427" spans="1:11" x14ac:dyDescent="0.25">
      <c r="A427" t="s">
        <v>1248</v>
      </c>
      <c r="B427">
        <v>1996</v>
      </c>
      <c r="C427">
        <v>1865</v>
      </c>
      <c r="D427">
        <v>0</v>
      </c>
      <c r="E427" s="29">
        <v>388000</v>
      </c>
      <c r="F427" s="30">
        <v>45982.681944444441</v>
      </c>
      <c r="H427" t="s">
        <v>1262</v>
      </c>
      <c r="I427" t="s">
        <v>1262</v>
      </c>
      <c r="J427" t="s">
        <v>1262</v>
      </c>
      <c r="K427" t="s">
        <v>1262</v>
      </c>
    </row>
    <row r="428" spans="1:11" x14ac:dyDescent="0.25">
      <c r="A428" t="s">
        <v>1248</v>
      </c>
      <c r="B428">
        <v>1997</v>
      </c>
      <c r="C428">
        <v>1866</v>
      </c>
      <c r="D428">
        <v>0</v>
      </c>
      <c r="E428" s="29">
        <v>27600</v>
      </c>
      <c r="F428" s="30">
        <v>45982.681944444441</v>
      </c>
      <c r="H428" t="s">
        <v>1262</v>
      </c>
      <c r="I428" t="s">
        <v>1262</v>
      </c>
      <c r="J428" t="s">
        <v>1262</v>
      </c>
      <c r="K428" t="s">
        <v>1262</v>
      </c>
    </row>
    <row r="429" spans="1:11" x14ac:dyDescent="0.25">
      <c r="A429" t="s">
        <v>1248</v>
      </c>
      <c r="B429">
        <v>1998</v>
      </c>
      <c r="C429">
        <v>1867</v>
      </c>
      <c r="D429">
        <v>0</v>
      </c>
      <c r="E429" s="29">
        <v>205000</v>
      </c>
      <c r="F429" s="30">
        <v>45982.681944444441</v>
      </c>
      <c r="H429" t="s">
        <v>1262</v>
      </c>
      <c r="I429" t="s">
        <v>1262</v>
      </c>
      <c r="J429" t="s">
        <v>1262</v>
      </c>
      <c r="K429" t="s">
        <v>1262</v>
      </c>
    </row>
    <row r="430" spans="1:11" x14ac:dyDescent="0.25">
      <c r="A430" t="s">
        <v>1248</v>
      </c>
      <c r="B430">
        <v>1999</v>
      </c>
      <c r="C430">
        <v>1868</v>
      </c>
      <c r="D430">
        <v>0</v>
      </c>
      <c r="E430" s="29">
        <v>3500000</v>
      </c>
      <c r="F430" s="30">
        <v>45982.681944444441</v>
      </c>
      <c r="H430" t="s">
        <v>1262</v>
      </c>
      <c r="I430" t="s">
        <v>1262</v>
      </c>
      <c r="J430" t="s">
        <v>1262</v>
      </c>
      <c r="K430" t="s">
        <v>1262</v>
      </c>
    </row>
    <row r="431" spans="1:11" x14ac:dyDescent="0.25">
      <c r="A431" t="s">
        <v>1248</v>
      </c>
      <c r="B431">
        <v>2000</v>
      </c>
      <c r="C431">
        <v>1869</v>
      </c>
      <c r="D431">
        <v>0</v>
      </c>
      <c r="E431" s="29">
        <v>327200</v>
      </c>
      <c r="F431" s="30">
        <v>45982.681944444441</v>
      </c>
      <c r="H431" t="s">
        <v>1262</v>
      </c>
      <c r="I431" t="s">
        <v>1262</v>
      </c>
      <c r="J431" t="s">
        <v>1262</v>
      </c>
      <c r="K431" t="s">
        <v>1262</v>
      </c>
    </row>
    <row r="432" spans="1:11" x14ac:dyDescent="0.25">
      <c r="A432" t="s">
        <v>1248</v>
      </c>
      <c r="B432">
        <v>2001</v>
      </c>
      <c r="C432">
        <v>1870</v>
      </c>
      <c r="D432">
        <v>0</v>
      </c>
      <c r="E432" s="29">
        <v>100000</v>
      </c>
      <c r="F432" s="30">
        <v>45982.681944444441</v>
      </c>
      <c r="H432" t="s">
        <v>1262</v>
      </c>
      <c r="I432" t="s">
        <v>1262</v>
      </c>
      <c r="J432" t="s">
        <v>1262</v>
      </c>
      <c r="K432" t="s">
        <v>1262</v>
      </c>
    </row>
    <row r="433" spans="1:11" x14ac:dyDescent="0.25">
      <c r="A433" t="s">
        <v>1248</v>
      </c>
      <c r="B433">
        <v>2002</v>
      </c>
      <c r="C433">
        <v>1871</v>
      </c>
      <c r="D433">
        <v>0</v>
      </c>
      <c r="E433" s="29">
        <v>100000</v>
      </c>
      <c r="F433" s="30">
        <v>45982.681944444441</v>
      </c>
      <c r="H433" t="s">
        <v>1262</v>
      </c>
      <c r="I433" t="s">
        <v>1262</v>
      </c>
      <c r="J433" t="s">
        <v>1262</v>
      </c>
      <c r="K433" t="s">
        <v>1262</v>
      </c>
    </row>
    <row r="434" spans="1:11" x14ac:dyDescent="0.25">
      <c r="A434" t="s">
        <v>1248</v>
      </c>
      <c r="B434">
        <v>2003</v>
      </c>
      <c r="C434">
        <v>1872</v>
      </c>
      <c r="D434">
        <v>0</v>
      </c>
      <c r="E434" s="29">
        <v>100000</v>
      </c>
      <c r="F434" s="30">
        <v>45982.681944444441</v>
      </c>
      <c r="H434" t="s">
        <v>1262</v>
      </c>
      <c r="I434" t="s">
        <v>1262</v>
      </c>
      <c r="J434" t="s">
        <v>1262</v>
      </c>
      <c r="K434" t="s">
        <v>1262</v>
      </c>
    </row>
    <row r="435" spans="1:11" x14ac:dyDescent="0.25">
      <c r="A435" t="s">
        <v>1248</v>
      </c>
      <c r="B435">
        <v>2004</v>
      </c>
      <c r="C435">
        <v>1873</v>
      </c>
      <c r="D435">
        <v>0</v>
      </c>
      <c r="E435" s="29">
        <v>80000</v>
      </c>
      <c r="F435" s="30">
        <v>45982.681944444441</v>
      </c>
      <c r="H435" t="s">
        <v>1262</v>
      </c>
      <c r="I435" t="s">
        <v>1262</v>
      </c>
      <c r="J435" t="s">
        <v>1262</v>
      </c>
      <c r="K435" t="s">
        <v>1262</v>
      </c>
    </row>
    <row r="436" spans="1:11" x14ac:dyDescent="0.25">
      <c r="A436" t="s">
        <v>1248</v>
      </c>
      <c r="B436">
        <v>2005</v>
      </c>
      <c r="C436">
        <v>1874</v>
      </c>
      <c r="D436">
        <v>0</v>
      </c>
      <c r="E436" s="29">
        <v>25000</v>
      </c>
      <c r="F436" s="30">
        <v>45982.681944444441</v>
      </c>
      <c r="H436" t="s">
        <v>1262</v>
      </c>
      <c r="I436" t="s">
        <v>1262</v>
      </c>
      <c r="J436" t="s">
        <v>1262</v>
      </c>
      <c r="K436" t="s">
        <v>1262</v>
      </c>
    </row>
    <row r="437" spans="1:11" x14ac:dyDescent="0.25">
      <c r="A437" t="s">
        <v>1248</v>
      </c>
      <c r="B437">
        <v>2006</v>
      </c>
      <c r="C437">
        <v>1875</v>
      </c>
      <c r="D437">
        <v>0</v>
      </c>
      <c r="E437" s="29">
        <v>54600</v>
      </c>
      <c r="F437" s="30">
        <v>45982.681944444441</v>
      </c>
      <c r="H437" t="s">
        <v>1262</v>
      </c>
      <c r="I437" t="s">
        <v>1262</v>
      </c>
      <c r="J437" t="s">
        <v>1262</v>
      </c>
      <c r="K437" t="s">
        <v>1262</v>
      </c>
    </row>
    <row r="438" spans="1:11" x14ac:dyDescent="0.25">
      <c r="A438" t="s">
        <v>1248</v>
      </c>
      <c r="B438">
        <v>2007</v>
      </c>
      <c r="C438">
        <v>1876</v>
      </c>
      <c r="D438">
        <v>0</v>
      </c>
      <c r="E438" s="29">
        <v>54600</v>
      </c>
      <c r="F438" s="30">
        <v>45982.681944444441</v>
      </c>
      <c r="H438" t="s">
        <v>1262</v>
      </c>
      <c r="I438" t="s">
        <v>1262</v>
      </c>
      <c r="J438" t="s">
        <v>1262</v>
      </c>
      <c r="K438" t="s">
        <v>1262</v>
      </c>
    </row>
    <row r="439" spans="1:11" x14ac:dyDescent="0.25">
      <c r="A439" t="s">
        <v>1248</v>
      </c>
      <c r="B439">
        <v>2008</v>
      </c>
      <c r="C439">
        <v>1877</v>
      </c>
      <c r="D439">
        <v>0</v>
      </c>
      <c r="E439" s="29">
        <v>54600</v>
      </c>
      <c r="F439" s="30">
        <v>45982.681944444441</v>
      </c>
      <c r="H439" t="s">
        <v>1262</v>
      </c>
      <c r="I439" t="s">
        <v>1262</v>
      </c>
      <c r="J439" t="s">
        <v>1262</v>
      </c>
      <c r="K439" t="s">
        <v>1262</v>
      </c>
    </row>
    <row r="440" spans="1:11" x14ac:dyDescent="0.25">
      <c r="A440" t="s">
        <v>1248</v>
      </c>
      <c r="B440">
        <v>2009</v>
      </c>
      <c r="C440">
        <v>1878</v>
      </c>
      <c r="D440">
        <v>0</v>
      </c>
      <c r="E440" s="29">
        <v>59300</v>
      </c>
      <c r="F440" s="30">
        <v>45982.681944444441</v>
      </c>
      <c r="H440" t="s">
        <v>1262</v>
      </c>
      <c r="I440" t="s">
        <v>1262</v>
      </c>
      <c r="J440" t="s">
        <v>1262</v>
      </c>
      <c r="K440" t="s">
        <v>1262</v>
      </c>
    </row>
    <row r="441" spans="1:11" x14ac:dyDescent="0.25">
      <c r="A441" t="s">
        <v>1248</v>
      </c>
      <c r="B441">
        <v>2010</v>
      </c>
      <c r="C441">
        <v>1879</v>
      </c>
      <c r="D441">
        <v>0</v>
      </c>
      <c r="E441" s="29">
        <v>2167200</v>
      </c>
      <c r="F441" s="30">
        <v>45982.681944444441</v>
      </c>
      <c r="H441" t="s">
        <v>1262</v>
      </c>
      <c r="I441" t="s">
        <v>1262</v>
      </c>
      <c r="J441" t="s">
        <v>1262</v>
      </c>
      <c r="K441" t="s">
        <v>1262</v>
      </c>
    </row>
    <row r="442" spans="1:11" x14ac:dyDescent="0.25">
      <c r="A442" t="s">
        <v>1248</v>
      </c>
      <c r="B442">
        <v>2011</v>
      </c>
      <c r="C442">
        <v>1880</v>
      </c>
      <c r="D442">
        <v>0</v>
      </c>
      <c r="E442" s="29">
        <v>1650000</v>
      </c>
      <c r="F442" s="30">
        <v>45982.681944444441</v>
      </c>
      <c r="H442" t="s">
        <v>1262</v>
      </c>
      <c r="I442" t="s">
        <v>1262</v>
      </c>
      <c r="J442" t="s">
        <v>1262</v>
      </c>
      <c r="K442" t="s">
        <v>1262</v>
      </c>
    </row>
    <row r="443" spans="1:11" x14ac:dyDescent="0.25">
      <c r="A443" t="s">
        <v>1248</v>
      </c>
      <c r="B443">
        <v>2012</v>
      </c>
      <c r="C443">
        <v>1881</v>
      </c>
      <c r="D443">
        <v>0</v>
      </c>
      <c r="E443" s="29">
        <v>12003300</v>
      </c>
      <c r="F443" s="30">
        <v>45982.681944444441</v>
      </c>
      <c r="H443" t="s">
        <v>1262</v>
      </c>
      <c r="I443" t="s">
        <v>1262</v>
      </c>
      <c r="J443" t="s">
        <v>1262</v>
      </c>
      <c r="K443" t="s">
        <v>1262</v>
      </c>
    </row>
    <row r="444" spans="1:11" x14ac:dyDescent="0.25">
      <c r="A444" t="s">
        <v>1248</v>
      </c>
      <c r="B444">
        <v>2020</v>
      </c>
      <c r="C444">
        <v>1889</v>
      </c>
      <c r="D444">
        <v>0</v>
      </c>
      <c r="E444" s="29">
        <v>30900</v>
      </c>
      <c r="F444" s="30">
        <v>45982.681944444441</v>
      </c>
      <c r="H444" t="s">
        <v>1262</v>
      </c>
      <c r="I444" t="s">
        <v>1262</v>
      </c>
      <c r="J444" t="s">
        <v>1262</v>
      </c>
      <c r="K444" t="s">
        <v>1262</v>
      </c>
    </row>
    <row r="445" spans="1:11" x14ac:dyDescent="0.25">
      <c r="A445" t="s">
        <v>1248</v>
      </c>
      <c r="B445">
        <v>2021</v>
      </c>
      <c r="C445">
        <v>1890</v>
      </c>
      <c r="D445">
        <v>0</v>
      </c>
      <c r="E445" s="29">
        <v>977670</v>
      </c>
      <c r="F445" s="30">
        <v>45982.681944444441</v>
      </c>
      <c r="H445" t="s">
        <v>1262</v>
      </c>
      <c r="I445" t="s">
        <v>1262</v>
      </c>
      <c r="J445" t="s">
        <v>1262</v>
      </c>
      <c r="K445" t="s">
        <v>1262</v>
      </c>
    </row>
    <row r="446" spans="1:11" x14ac:dyDescent="0.25">
      <c r="A446" t="s">
        <v>1248</v>
      </c>
      <c r="B446">
        <v>2022</v>
      </c>
      <c r="C446">
        <v>1891</v>
      </c>
      <c r="D446">
        <v>0</v>
      </c>
      <c r="E446" s="29">
        <v>146455</v>
      </c>
      <c r="F446" s="30">
        <v>45982.681944444441</v>
      </c>
      <c r="H446" t="s">
        <v>1262</v>
      </c>
      <c r="I446" t="s">
        <v>1262</v>
      </c>
      <c r="J446" t="s">
        <v>1262</v>
      </c>
      <c r="K446" t="s">
        <v>1262</v>
      </c>
    </row>
    <row r="447" spans="1:11" x14ac:dyDescent="0.25">
      <c r="A447" t="s">
        <v>1248</v>
      </c>
      <c r="B447">
        <v>2023</v>
      </c>
      <c r="C447">
        <v>1892</v>
      </c>
      <c r="D447">
        <v>0</v>
      </c>
      <c r="E447" s="29">
        <v>568953</v>
      </c>
      <c r="F447" s="30">
        <v>45982.681944444441</v>
      </c>
      <c r="H447" t="s">
        <v>1262</v>
      </c>
      <c r="I447" t="s">
        <v>1262</v>
      </c>
      <c r="J447" t="s">
        <v>1262</v>
      </c>
      <c r="K447" t="s">
        <v>1262</v>
      </c>
    </row>
    <row r="448" spans="1:11" x14ac:dyDescent="0.25">
      <c r="A448" t="s">
        <v>1248</v>
      </c>
      <c r="B448">
        <v>2024</v>
      </c>
      <c r="C448">
        <v>1893</v>
      </c>
      <c r="D448">
        <v>0</v>
      </c>
      <c r="E448" s="29">
        <v>90000</v>
      </c>
      <c r="F448" s="30">
        <v>45982.681944444441</v>
      </c>
      <c r="H448" t="s">
        <v>1262</v>
      </c>
      <c r="I448" t="s">
        <v>1262</v>
      </c>
      <c r="J448" t="s">
        <v>1262</v>
      </c>
      <c r="K448" t="s">
        <v>1262</v>
      </c>
    </row>
    <row r="449" spans="1:11" x14ac:dyDescent="0.25">
      <c r="A449" t="s">
        <v>1248</v>
      </c>
      <c r="B449">
        <v>2025</v>
      </c>
      <c r="C449">
        <v>1894</v>
      </c>
      <c r="D449">
        <v>0</v>
      </c>
      <c r="E449" s="29">
        <v>603300</v>
      </c>
      <c r="F449" s="30">
        <v>45982.681944444441</v>
      </c>
      <c r="H449" t="s">
        <v>1262</v>
      </c>
      <c r="I449" t="s">
        <v>1262</v>
      </c>
      <c r="J449" t="s">
        <v>1262</v>
      </c>
      <c r="K449" t="s">
        <v>1262</v>
      </c>
    </row>
    <row r="450" spans="1:11" x14ac:dyDescent="0.25">
      <c r="A450" t="s">
        <v>1248</v>
      </c>
      <c r="B450">
        <v>2026</v>
      </c>
      <c r="C450">
        <v>1895</v>
      </c>
      <c r="D450">
        <v>0</v>
      </c>
      <c r="E450" s="29">
        <v>393400</v>
      </c>
      <c r="F450" s="30">
        <v>45982.681944444441</v>
      </c>
      <c r="H450" t="s">
        <v>1262</v>
      </c>
      <c r="I450" t="s">
        <v>1262</v>
      </c>
      <c r="J450" t="s">
        <v>1262</v>
      </c>
      <c r="K450" t="s">
        <v>1262</v>
      </c>
    </row>
    <row r="451" spans="1:11" x14ac:dyDescent="0.25">
      <c r="A451" t="s">
        <v>1248</v>
      </c>
      <c r="B451">
        <v>2027</v>
      </c>
      <c r="C451">
        <v>1896</v>
      </c>
      <c r="D451">
        <v>0</v>
      </c>
      <c r="E451" s="29">
        <v>1764700</v>
      </c>
      <c r="F451" s="30">
        <v>45982.681944444441</v>
      </c>
      <c r="H451" t="s">
        <v>1262</v>
      </c>
      <c r="I451" t="s">
        <v>1262</v>
      </c>
      <c r="J451" t="s">
        <v>1262</v>
      </c>
      <c r="K451" t="s">
        <v>1262</v>
      </c>
    </row>
    <row r="452" spans="1:11" x14ac:dyDescent="0.25">
      <c r="A452" t="s">
        <v>1248</v>
      </c>
      <c r="B452">
        <v>2028</v>
      </c>
      <c r="C452">
        <v>1897</v>
      </c>
      <c r="D452">
        <v>0</v>
      </c>
      <c r="E452" s="29">
        <v>42900</v>
      </c>
      <c r="F452" s="30">
        <v>45982.681944444441</v>
      </c>
      <c r="H452" t="s">
        <v>1262</v>
      </c>
      <c r="I452" t="s">
        <v>1262</v>
      </c>
      <c r="J452" t="s">
        <v>1262</v>
      </c>
      <c r="K452" t="s">
        <v>1262</v>
      </c>
    </row>
    <row r="453" spans="1:11" x14ac:dyDescent="0.25">
      <c r="A453" t="s">
        <v>1248</v>
      </c>
      <c r="B453">
        <v>2029</v>
      </c>
      <c r="C453">
        <v>1898</v>
      </c>
      <c r="D453">
        <v>0</v>
      </c>
      <c r="E453" s="29">
        <v>2801800</v>
      </c>
      <c r="F453" s="30">
        <v>45982.681944444441</v>
      </c>
      <c r="H453" t="s">
        <v>1262</v>
      </c>
      <c r="I453" t="s">
        <v>1262</v>
      </c>
      <c r="J453" t="s">
        <v>1262</v>
      </c>
      <c r="K453" t="s">
        <v>1262</v>
      </c>
    </row>
    <row r="454" spans="1:11" x14ac:dyDescent="0.25">
      <c r="A454" t="s">
        <v>1248</v>
      </c>
      <c r="B454">
        <v>2030</v>
      </c>
      <c r="C454">
        <v>1899</v>
      </c>
      <c r="D454">
        <v>0</v>
      </c>
      <c r="E454" s="29">
        <v>4401100</v>
      </c>
      <c r="F454" s="30">
        <v>45982.681944444441</v>
      </c>
      <c r="H454" t="s">
        <v>1262</v>
      </c>
      <c r="I454" t="s">
        <v>1262</v>
      </c>
      <c r="J454" t="s">
        <v>1262</v>
      </c>
      <c r="K454" t="s">
        <v>1262</v>
      </c>
    </row>
    <row r="455" spans="1:11" x14ac:dyDescent="0.25">
      <c r="A455" t="s">
        <v>1248</v>
      </c>
      <c r="B455">
        <v>2031</v>
      </c>
      <c r="C455">
        <v>1900</v>
      </c>
      <c r="D455">
        <v>0</v>
      </c>
      <c r="E455" s="29">
        <v>112200</v>
      </c>
      <c r="F455" s="30">
        <v>45982.681944444441</v>
      </c>
      <c r="H455" t="s">
        <v>1262</v>
      </c>
      <c r="I455" t="s">
        <v>1262</v>
      </c>
      <c r="J455" t="s">
        <v>1262</v>
      </c>
      <c r="K455" t="s">
        <v>1262</v>
      </c>
    </row>
    <row r="456" spans="1:11" x14ac:dyDescent="0.25">
      <c r="A456" t="s">
        <v>1248</v>
      </c>
      <c r="B456">
        <v>2032</v>
      </c>
      <c r="C456">
        <v>1901</v>
      </c>
      <c r="D456">
        <v>0</v>
      </c>
      <c r="E456" s="29">
        <v>1152900</v>
      </c>
      <c r="F456" s="30">
        <v>45982.681944444441</v>
      </c>
      <c r="H456" t="s">
        <v>1262</v>
      </c>
      <c r="I456" t="s">
        <v>1262</v>
      </c>
      <c r="J456" t="s">
        <v>1262</v>
      </c>
      <c r="K456" t="s">
        <v>1262</v>
      </c>
    </row>
    <row r="457" spans="1:11" x14ac:dyDescent="0.25">
      <c r="A457" t="s">
        <v>1248</v>
      </c>
      <c r="B457">
        <v>2033</v>
      </c>
      <c r="C457">
        <v>1902</v>
      </c>
      <c r="D457">
        <v>0</v>
      </c>
      <c r="E457" s="29">
        <v>354000</v>
      </c>
      <c r="F457" s="30">
        <v>45982.681944444441</v>
      </c>
      <c r="H457" t="s">
        <v>1262</v>
      </c>
      <c r="I457" t="s">
        <v>1262</v>
      </c>
      <c r="J457" t="s">
        <v>1262</v>
      </c>
      <c r="K457" t="s">
        <v>1262</v>
      </c>
    </row>
    <row r="458" spans="1:11" x14ac:dyDescent="0.25">
      <c r="A458" t="s">
        <v>1248</v>
      </c>
      <c r="B458">
        <v>2037</v>
      </c>
      <c r="C458">
        <v>1906</v>
      </c>
      <c r="D458" t="s">
        <v>4603</v>
      </c>
      <c r="E458" s="29">
        <v>225000</v>
      </c>
      <c r="F458" s="30">
        <v>45658</v>
      </c>
      <c r="H458" t="s">
        <v>1262</v>
      </c>
      <c r="I458" t="s">
        <v>1262</v>
      </c>
      <c r="J458" t="s">
        <v>1262</v>
      </c>
      <c r="K458" t="s">
        <v>1262</v>
      </c>
    </row>
    <row r="459" spans="1:11" x14ac:dyDescent="0.25">
      <c r="A459" t="s">
        <v>1248</v>
      </c>
      <c r="B459">
        <v>2040</v>
      </c>
      <c r="C459">
        <v>1908</v>
      </c>
      <c r="D459">
        <v>1</v>
      </c>
      <c r="E459" s="29">
        <v>25000</v>
      </c>
      <c r="F459" s="30">
        <v>45658</v>
      </c>
      <c r="H459" t="s">
        <v>1262</v>
      </c>
      <c r="I459" t="s">
        <v>1262</v>
      </c>
      <c r="J459" t="s">
        <v>1262</v>
      </c>
      <c r="K459" t="s">
        <v>1262</v>
      </c>
    </row>
    <row r="460" spans="1:11" x14ac:dyDescent="0.25">
      <c r="A460" t="s">
        <v>1248</v>
      </c>
      <c r="B460">
        <v>2044</v>
      </c>
      <c r="C460">
        <v>1969</v>
      </c>
      <c r="D460">
        <v>1</v>
      </c>
      <c r="E460" t="s">
        <v>1262</v>
      </c>
      <c r="F460" s="30">
        <v>45658</v>
      </c>
      <c r="H460" t="s">
        <v>1262</v>
      </c>
      <c r="I460" t="s">
        <v>1262</v>
      </c>
      <c r="J460" t="s">
        <v>1262</v>
      </c>
      <c r="K460" t="s">
        <v>1262</v>
      </c>
    </row>
    <row r="461" spans="1:11" x14ac:dyDescent="0.25">
      <c r="A461" t="s">
        <v>1248</v>
      </c>
      <c r="B461">
        <v>2054</v>
      </c>
      <c r="C461">
        <v>1979</v>
      </c>
      <c r="D461">
        <v>2</v>
      </c>
      <c r="E461" t="s">
        <v>1262</v>
      </c>
      <c r="F461" s="30">
        <v>45658</v>
      </c>
      <c r="H461" t="s">
        <v>1262</v>
      </c>
      <c r="I461" t="s">
        <v>1262</v>
      </c>
      <c r="J461" t="s">
        <v>1262</v>
      </c>
      <c r="K461" t="s">
        <v>1262</v>
      </c>
    </row>
    <row r="462" spans="1:11" x14ac:dyDescent="0.25">
      <c r="A462" t="s">
        <v>1248</v>
      </c>
      <c r="B462">
        <v>2055</v>
      </c>
      <c r="C462">
        <v>1980</v>
      </c>
      <c r="D462">
        <v>1</v>
      </c>
      <c r="E462" t="s">
        <v>1262</v>
      </c>
      <c r="F462" s="30">
        <v>46023</v>
      </c>
      <c r="H462" t="s">
        <v>1262</v>
      </c>
      <c r="I462" t="s">
        <v>1262</v>
      </c>
      <c r="J462" t="s">
        <v>1262</v>
      </c>
      <c r="K462" t="s">
        <v>1262</v>
      </c>
    </row>
    <row r="463" spans="1:11" x14ac:dyDescent="0.25">
      <c r="A463" t="s">
        <v>1248</v>
      </c>
      <c r="B463">
        <v>2140</v>
      </c>
      <c r="C463">
        <v>1812</v>
      </c>
      <c r="D463">
        <v>0</v>
      </c>
      <c r="E463" s="29">
        <v>354100</v>
      </c>
      <c r="F463" s="30">
        <v>46072</v>
      </c>
      <c r="H463" t="s">
        <v>1262</v>
      </c>
      <c r="I463" t="s">
        <v>1262</v>
      </c>
      <c r="J463" t="s">
        <v>1262</v>
      </c>
      <c r="K463" t="s">
        <v>1262</v>
      </c>
    </row>
    <row r="464" spans="1:11" x14ac:dyDescent="0.25">
      <c r="A464" t="s">
        <v>1248</v>
      </c>
      <c r="B464">
        <v>2141</v>
      </c>
      <c r="C464">
        <v>1860</v>
      </c>
      <c r="D464">
        <v>0</v>
      </c>
      <c r="E464" t="s">
        <v>2081</v>
      </c>
      <c r="F464" s="30">
        <v>46076</v>
      </c>
      <c r="H464" t="s">
        <v>1262</v>
      </c>
      <c r="I464" t="s">
        <v>1262</v>
      </c>
      <c r="J464" t="s">
        <v>1262</v>
      </c>
      <c r="K464" t="s">
        <v>1262</v>
      </c>
    </row>
    <row r="465" spans="1:68" x14ac:dyDescent="0.25">
      <c r="A465" t="s">
        <v>1248</v>
      </c>
      <c r="B465">
        <v>2143</v>
      </c>
      <c r="C465">
        <v>1826</v>
      </c>
      <c r="D465">
        <v>0</v>
      </c>
      <c r="E465" t="s">
        <v>1262</v>
      </c>
      <c r="F465" s="30">
        <v>46076</v>
      </c>
      <c r="H465" t="s">
        <v>1262</v>
      </c>
      <c r="I465" t="s">
        <v>1262</v>
      </c>
      <c r="J465" t="s">
        <v>1262</v>
      </c>
      <c r="K465" t="s">
        <v>1262</v>
      </c>
    </row>
    <row r="466" spans="1:68" x14ac:dyDescent="0.25">
      <c r="A466" t="s">
        <v>1248</v>
      </c>
      <c r="B466">
        <v>2144</v>
      </c>
      <c r="C466">
        <v>1827</v>
      </c>
      <c r="D466">
        <v>0</v>
      </c>
      <c r="E466" s="29">
        <v>234300</v>
      </c>
      <c r="F466" s="30">
        <v>46076</v>
      </c>
      <c r="H466" t="s">
        <v>1262</v>
      </c>
      <c r="I466" t="s">
        <v>1262</v>
      </c>
      <c r="J466" t="s">
        <v>1262</v>
      </c>
      <c r="K466" t="s">
        <v>1262</v>
      </c>
    </row>
    <row r="467" spans="1:68" x14ac:dyDescent="0.25">
      <c r="A467" t="s">
        <v>1248</v>
      </c>
      <c r="B467">
        <v>2146</v>
      </c>
      <c r="C467">
        <v>1815</v>
      </c>
      <c r="D467">
        <v>0</v>
      </c>
      <c r="E467" s="29">
        <v>500400</v>
      </c>
      <c r="F467" s="30">
        <v>46077</v>
      </c>
      <c r="H467" t="s">
        <v>1262</v>
      </c>
      <c r="I467" t="s">
        <v>1262</v>
      </c>
      <c r="J467" t="s">
        <v>1262</v>
      </c>
      <c r="K467" t="s">
        <v>1262</v>
      </c>
    </row>
    <row r="468" spans="1:68" x14ac:dyDescent="0.25">
      <c r="A468" t="s">
        <v>1248</v>
      </c>
      <c r="B468">
        <v>2147</v>
      </c>
      <c r="C468">
        <v>1673</v>
      </c>
      <c r="D468">
        <v>0</v>
      </c>
      <c r="E468" s="29">
        <v>284400</v>
      </c>
      <c r="F468" s="30">
        <v>46083</v>
      </c>
      <c r="H468" t="s">
        <v>1262</v>
      </c>
      <c r="I468" t="s">
        <v>1262</v>
      </c>
      <c r="J468" t="s">
        <v>1262</v>
      </c>
      <c r="K468" t="s">
        <v>1262</v>
      </c>
    </row>
    <row r="469" spans="1:68" x14ac:dyDescent="0.25">
      <c r="A469" t="s">
        <v>1258</v>
      </c>
      <c r="B469" t="s">
        <v>4602</v>
      </c>
    </row>
    <row r="470" spans="1:68" x14ac:dyDescent="0.25">
      <c r="A470" t="s">
        <v>1256</v>
      </c>
      <c r="B470" t="s">
        <v>3135</v>
      </c>
      <c r="C470" t="s">
        <v>1253</v>
      </c>
      <c r="D470" t="s">
        <v>4601</v>
      </c>
      <c r="E470" t="s">
        <v>4600</v>
      </c>
      <c r="F470" t="s">
        <v>4599</v>
      </c>
      <c r="G470" t="s">
        <v>4598</v>
      </c>
      <c r="H470" t="s">
        <v>4597</v>
      </c>
      <c r="I470" t="s">
        <v>4596</v>
      </c>
      <c r="J470" t="s">
        <v>3160</v>
      </c>
      <c r="K470" t="s">
        <v>4595</v>
      </c>
      <c r="L470" t="s">
        <v>4594</v>
      </c>
      <c r="M470" t="s">
        <v>4593</v>
      </c>
      <c r="N470" t="s">
        <v>4592</v>
      </c>
      <c r="O470" t="s">
        <v>4591</v>
      </c>
      <c r="P470" t="s">
        <v>4590</v>
      </c>
      <c r="Q470" t="s">
        <v>3131</v>
      </c>
      <c r="R470" t="s">
        <v>4589</v>
      </c>
      <c r="S470" t="s">
        <v>4588</v>
      </c>
      <c r="T470" t="s">
        <v>4587</v>
      </c>
      <c r="U470" t="s">
        <v>4586</v>
      </c>
      <c r="V470" t="s">
        <v>4585</v>
      </c>
      <c r="W470" t="s">
        <v>4584</v>
      </c>
      <c r="X470" t="s">
        <v>4583</v>
      </c>
      <c r="Y470" t="s">
        <v>4582</v>
      </c>
      <c r="Z470" t="s">
        <v>4581</v>
      </c>
      <c r="AA470" t="s">
        <v>4580</v>
      </c>
      <c r="AB470" t="s">
        <v>4579</v>
      </c>
      <c r="AC470" t="s">
        <v>3114</v>
      </c>
      <c r="AD470" t="s">
        <v>3113</v>
      </c>
      <c r="AE470" t="s">
        <v>4578</v>
      </c>
      <c r="AF470" t="s">
        <v>4577</v>
      </c>
      <c r="AG470" t="s">
        <v>4576</v>
      </c>
      <c r="AH470" t="s">
        <v>4575</v>
      </c>
      <c r="AI470" t="s">
        <v>4574</v>
      </c>
      <c r="AJ470" t="s">
        <v>3112</v>
      </c>
      <c r="AK470" t="s">
        <v>3111</v>
      </c>
      <c r="AL470" t="s">
        <v>3110</v>
      </c>
      <c r="AM470" t="s">
        <v>3109</v>
      </c>
      <c r="AN470" t="s">
        <v>3108</v>
      </c>
      <c r="AO470" t="s">
        <v>3107</v>
      </c>
      <c r="AP470" t="s">
        <v>4573</v>
      </c>
      <c r="AQ470" t="s">
        <v>4572</v>
      </c>
      <c r="AR470" t="s">
        <v>4571</v>
      </c>
      <c r="AS470" t="s">
        <v>4570</v>
      </c>
      <c r="AT470" t="s">
        <v>3143</v>
      </c>
      <c r="AU470" t="s">
        <v>4569</v>
      </c>
      <c r="AV470" t="s">
        <v>3101</v>
      </c>
      <c r="AW470" t="s">
        <v>4568</v>
      </c>
      <c r="AX470" t="s">
        <v>4567</v>
      </c>
      <c r="AY470" t="s">
        <v>4566</v>
      </c>
      <c r="AZ470" t="s">
        <v>4565</v>
      </c>
      <c r="BA470" t="s">
        <v>4564</v>
      </c>
      <c r="BB470" t="s">
        <v>4563</v>
      </c>
      <c r="BC470" t="s">
        <v>4562</v>
      </c>
      <c r="BD470" t="s">
        <v>4561</v>
      </c>
      <c r="BE470" t="s">
        <v>3092</v>
      </c>
      <c r="BF470" t="s">
        <v>4560</v>
      </c>
      <c r="BG470" t="s">
        <v>4559</v>
      </c>
      <c r="BH470" t="s">
        <v>4558</v>
      </c>
      <c r="BI470" t="s">
        <v>4557</v>
      </c>
      <c r="BJ470" t="s">
        <v>3093</v>
      </c>
      <c r="BK470" t="s">
        <v>4556</v>
      </c>
      <c r="BL470" t="s">
        <v>3094</v>
      </c>
      <c r="BM470" t="s">
        <v>4555</v>
      </c>
      <c r="BN470" t="s">
        <v>4554</v>
      </c>
      <c r="BO470" t="s">
        <v>4553</v>
      </c>
      <c r="BP470" t="s">
        <v>4552</v>
      </c>
    </row>
    <row r="471" spans="1:68" x14ac:dyDescent="0.25">
      <c r="A471" t="s">
        <v>1248</v>
      </c>
      <c r="B471">
        <v>119791</v>
      </c>
      <c r="C471">
        <v>405</v>
      </c>
      <c r="D471">
        <v>16371</v>
      </c>
      <c r="E471">
        <v>1117</v>
      </c>
      <c r="F471">
        <v>0</v>
      </c>
      <c r="G471" t="s">
        <v>1265</v>
      </c>
      <c r="H471">
        <v>1</v>
      </c>
      <c r="I471" t="s">
        <v>1265</v>
      </c>
      <c r="J471" t="s">
        <v>1265</v>
      </c>
      <c r="K471" t="s">
        <v>3191</v>
      </c>
      <c r="L471" t="s">
        <v>3176</v>
      </c>
      <c r="M471" t="s">
        <v>3190</v>
      </c>
      <c r="N471" t="s">
        <v>3174</v>
      </c>
      <c r="O471">
        <v>7</v>
      </c>
      <c r="P471" t="s">
        <v>4551</v>
      </c>
      <c r="R471">
        <v>0</v>
      </c>
      <c r="S471">
        <v>0</v>
      </c>
      <c r="T471">
        <v>240</v>
      </c>
      <c r="U471">
        <v>0</v>
      </c>
      <c r="V471">
        <v>2400</v>
      </c>
      <c r="W471">
        <v>2400</v>
      </c>
      <c r="X471">
        <v>240</v>
      </c>
      <c r="Y471">
        <v>0</v>
      </c>
      <c r="Z471">
        <v>0</v>
      </c>
      <c r="AA471">
        <v>0</v>
      </c>
      <c r="AE471" s="30">
        <v>45614.333333333336</v>
      </c>
      <c r="AF471" s="30">
        <v>45653.708333333336</v>
      </c>
      <c r="AH471" s="30">
        <v>45614.333333333336</v>
      </c>
      <c r="AI471" s="30">
        <v>45653.708333333336</v>
      </c>
      <c r="AJ471" s="30">
        <v>45614.333333333336</v>
      </c>
      <c r="AK471" s="30">
        <v>45653.708333333336</v>
      </c>
      <c r="AL471" s="30">
        <v>45614.333333333336</v>
      </c>
      <c r="AM471" s="30">
        <v>45653.708333333336</v>
      </c>
      <c r="AN471" s="30">
        <v>45614.333333333336</v>
      </c>
      <c r="AO471" s="30">
        <v>45653.708333333336</v>
      </c>
      <c r="AQ471" t="s">
        <v>3171</v>
      </c>
      <c r="AV471" t="s">
        <v>4550</v>
      </c>
      <c r="AZ471" t="s">
        <v>1266</v>
      </c>
      <c r="BA471">
        <v>0</v>
      </c>
      <c r="BB471">
        <v>0</v>
      </c>
      <c r="BJ471" s="30">
        <v>45953.652083333334</v>
      </c>
      <c r="BK471" s="30">
        <v>46093.595138888886</v>
      </c>
      <c r="BL471" t="s">
        <v>2716</v>
      </c>
      <c r="BM471" t="s">
        <v>1259</v>
      </c>
      <c r="BO471" t="s">
        <v>1265</v>
      </c>
    </row>
    <row r="472" spans="1:68" x14ac:dyDescent="0.25">
      <c r="A472" t="s">
        <v>1248</v>
      </c>
      <c r="B472">
        <v>119792</v>
      </c>
      <c r="C472">
        <v>405</v>
      </c>
      <c r="D472">
        <v>16371</v>
      </c>
      <c r="E472">
        <v>1117</v>
      </c>
      <c r="F472">
        <v>0</v>
      </c>
      <c r="G472" t="s">
        <v>1265</v>
      </c>
      <c r="H472">
        <v>1</v>
      </c>
      <c r="I472" t="s">
        <v>1265</v>
      </c>
      <c r="J472" t="s">
        <v>1265</v>
      </c>
      <c r="K472" t="s">
        <v>3191</v>
      </c>
      <c r="L472" t="s">
        <v>3176</v>
      </c>
      <c r="M472" t="s">
        <v>3190</v>
      </c>
      <c r="N472" t="s">
        <v>3174</v>
      </c>
      <c r="O472">
        <v>8</v>
      </c>
      <c r="P472" t="s">
        <v>4549</v>
      </c>
      <c r="R472">
        <v>3936</v>
      </c>
      <c r="S472">
        <v>0</v>
      </c>
      <c r="T472">
        <v>160</v>
      </c>
      <c r="U472">
        <v>0</v>
      </c>
      <c r="V472">
        <v>320</v>
      </c>
      <c r="W472">
        <v>320</v>
      </c>
      <c r="X472">
        <v>160</v>
      </c>
      <c r="Y472">
        <v>0</v>
      </c>
      <c r="Z472">
        <v>0</v>
      </c>
      <c r="AA472">
        <v>0</v>
      </c>
      <c r="AE472" s="30">
        <v>46317.333333333336</v>
      </c>
      <c r="AF472" s="30">
        <v>46344.708333333336</v>
      </c>
      <c r="AH472" s="30">
        <v>45622.333333333336</v>
      </c>
      <c r="AI472" s="30">
        <v>45649.708333333336</v>
      </c>
      <c r="AJ472" s="30">
        <v>45622.333333333336</v>
      </c>
      <c r="AK472" s="30">
        <v>45649.708333333336</v>
      </c>
      <c r="AL472" s="30">
        <v>45622.333333333336</v>
      </c>
      <c r="AM472" s="30">
        <v>45649.708333333336</v>
      </c>
      <c r="AN472" s="30">
        <v>46317.333333333336</v>
      </c>
      <c r="AO472" s="30">
        <v>46344.708333333336</v>
      </c>
      <c r="AQ472" t="s">
        <v>3171</v>
      </c>
      <c r="AV472" t="s">
        <v>4548</v>
      </c>
      <c r="AZ472" t="s">
        <v>1265</v>
      </c>
      <c r="BA472">
        <v>0</v>
      </c>
      <c r="BB472">
        <v>0</v>
      </c>
      <c r="BJ472" s="30">
        <v>45953.652083333334</v>
      </c>
      <c r="BK472" s="30">
        <v>46092.456944444442</v>
      </c>
      <c r="BL472" t="s">
        <v>2716</v>
      </c>
      <c r="BM472" t="s">
        <v>1259</v>
      </c>
      <c r="BO472" t="s">
        <v>1265</v>
      </c>
    </row>
    <row r="473" spans="1:68" x14ac:dyDescent="0.25">
      <c r="A473" t="s">
        <v>1248</v>
      </c>
      <c r="B473">
        <v>119793</v>
      </c>
      <c r="C473">
        <v>405</v>
      </c>
      <c r="D473">
        <v>32355</v>
      </c>
      <c r="E473">
        <v>1117</v>
      </c>
      <c r="F473">
        <v>0</v>
      </c>
      <c r="G473" t="s">
        <v>1265</v>
      </c>
      <c r="H473">
        <v>1</v>
      </c>
      <c r="I473" t="s">
        <v>1265</v>
      </c>
      <c r="J473" t="s">
        <v>1265</v>
      </c>
      <c r="K473" t="s">
        <v>3191</v>
      </c>
      <c r="L473" t="s">
        <v>3176</v>
      </c>
      <c r="M473" t="s">
        <v>3190</v>
      </c>
      <c r="N473" t="s">
        <v>3174</v>
      </c>
      <c r="O473">
        <v>9</v>
      </c>
      <c r="P473" t="s">
        <v>4547</v>
      </c>
      <c r="R473">
        <v>3936</v>
      </c>
      <c r="S473">
        <v>0</v>
      </c>
      <c r="T473">
        <v>280</v>
      </c>
      <c r="U473">
        <v>0</v>
      </c>
      <c r="V473">
        <v>6000</v>
      </c>
      <c r="W473">
        <v>6000</v>
      </c>
      <c r="X473">
        <v>280</v>
      </c>
      <c r="Y473">
        <v>0</v>
      </c>
      <c r="Z473">
        <v>0</v>
      </c>
      <c r="AA473">
        <v>0</v>
      </c>
      <c r="AE473" s="30">
        <v>46345.333333333336</v>
      </c>
      <c r="AF473" s="30">
        <v>46399.708333333336</v>
      </c>
      <c r="AH473" s="30">
        <v>45650.333333333336</v>
      </c>
      <c r="AI473" s="30">
        <v>45698.708333333336</v>
      </c>
      <c r="AJ473" s="30">
        <v>45650.333333333336</v>
      </c>
      <c r="AK473" s="30">
        <v>45698.708333333336</v>
      </c>
      <c r="AL473" s="30">
        <v>45650.333333333336</v>
      </c>
      <c r="AM473" s="30">
        <v>45698.708333333336</v>
      </c>
      <c r="AN473" s="30">
        <v>46345.333333333336</v>
      </c>
      <c r="AO473" s="30">
        <v>46399.708333333336</v>
      </c>
      <c r="AQ473" t="s">
        <v>3171</v>
      </c>
      <c r="AV473" t="s">
        <v>4171</v>
      </c>
      <c r="AZ473" t="s">
        <v>1265</v>
      </c>
      <c r="BA473">
        <v>0</v>
      </c>
      <c r="BB473">
        <v>0</v>
      </c>
      <c r="BJ473" s="30">
        <v>45953.652083333334</v>
      </c>
      <c r="BK473" s="30">
        <v>46092.456944444442</v>
      </c>
      <c r="BL473" t="s">
        <v>2716</v>
      </c>
      <c r="BM473" t="s">
        <v>1259</v>
      </c>
      <c r="BO473" t="s">
        <v>1265</v>
      </c>
    </row>
    <row r="474" spans="1:68" x14ac:dyDescent="0.25">
      <c r="A474" t="s">
        <v>1248</v>
      </c>
      <c r="B474">
        <v>119794</v>
      </c>
      <c r="C474">
        <v>405</v>
      </c>
      <c r="D474">
        <v>32349</v>
      </c>
      <c r="E474">
        <v>1117</v>
      </c>
      <c r="F474">
        <v>0</v>
      </c>
      <c r="G474" t="s">
        <v>1265</v>
      </c>
      <c r="H474">
        <v>1</v>
      </c>
      <c r="I474" t="s">
        <v>1265</v>
      </c>
      <c r="J474" t="s">
        <v>1265</v>
      </c>
      <c r="K474" t="s">
        <v>3191</v>
      </c>
      <c r="L474" t="s">
        <v>3176</v>
      </c>
      <c r="M474" t="s">
        <v>3190</v>
      </c>
      <c r="N474" t="s">
        <v>3174</v>
      </c>
      <c r="O474">
        <v>10</v>
      </c>
      <c r="P474" t="s">
        <v>63</v>
      </c>
      <c r="R474">
        <v>1256</v>
      </c>
      <c r="S474">
        <v>1256</v>
      </c>
      <c r="T474">
        <v>800</v>
      </c>
      <c r="U474">
        <v>0</v>
      </c>
      <c r="V474">
        <v>0</v>
      </c>
      <c r="W474">
        <v>0</v>
      </c>
      <c r="X474">
        <v>800</v>
      </c>
      <c r="Y474">
        <v>0</v>
      </c>
      <c r="Z474">
        <v>0</v>
      </c>
      <c r="AA474">
        <v>0</v>
      </c>
      <c r="AE474" s="30">
        <v>46374.333333333336</v>
      </c>
      <c r="AF474" s="30">
        <v>46519.708333333336</v>
      </c>
      <c r="AH474" s="30">
        <v>46153.333333333336</v>
      </c>
      <c r="AI474" s="30">
        <v>46293.708333333336</v>
      </c>
      <c r="AJ474" s="30">
        <v>46153.333333333336</v>
      </c>
      <c r="AK474" s="30">
        <v>46293.708333333336</v>
      </c>
      <c r="AL474" s="30">
        <v>46153.333333333336</v>
      </c>
      <c r="AM474" s="30">
        <v>46293.708333333336</v>
      </c>
      <c r="AN474" s="30">
        <v>46374.333333333336</v>
      </c>
      <c r="AO474" s="30">
        <v>46519.708333333336</v>
      </c>
      <c r="AQ474" t="s">
        <v>3171</v>
      </c>
      <c r="AV474" t="s">
        <v>4167</v>
      </c>
      <c r="AZ474" t="s">
        <v>1265</v>
      </c>
      <c r="BA474">
        <v>0</v>
      </c>
      <c r="BB474">
        <v>0</v>
      </c>
      <c r="BJ474" s="30">
        <v>45953.652083333334</v>
      </c>
      <c r="BK474" s="30">
        <v>46093.595138888886</v>
      </c>
      <c r="BL474" t="s">
        <v>2716</v>
      </c>
      <c r="BM474" t="s">
        <v>1259</v>
      </c>
      <c r="BO474" t="s">
        <v>1265</v>
      </c>
    </row>
    <row r="475" spans="1:68" x14ac:dyDescent="0.25">
      <c r="A475" t="s">
        <v>1248</v>
      </c>
      <c r="B475">
        <v>119795</v>
      </c>
      <c r="C475">
        <v>405</v>
      </c>
      <c r="D475">
        <v>16386</v>
      </c>
      <c r="E475">
        <v>1117</v>
      </c>
      <c r="F475">
        <v>0</v>
      </c>
      <c r="G475" t="s">
        <v>1265</v>
      </c>
      <c r="H475">
        <v>1</v>
      </c>
      <c r="I475" t="s">
        <v>1265</v>
      </c>
      <c r="J475" t="s">
        <v>1265</v>
      </c>
      <c r="K475" t="s">
        <v>3191</v>
      </c>
      <c r="L475" t="s">
        <v>3176</v>
      </c>
      <c r="M475" t="s">
        <v>3190</v>
      </c>
      <c r="N475" t="s">
        <v>3174</v>
      </c>
      <c r="O475">
        <v>14</v>
      </c>
      <c r="P475" t="s">
        <v>4546</v>
      </c>
      <c r="R475">
        <v>0</v>
      </c>
      <c r="S475">
        <v>0</v>
      </c>
      <c r="T475">
        <v>120</v>
      </c>
      <c r="U475">
        <v>0</v>
      </c>
      <c r="V475">
        <v>1080</v>
      </c>
      <c r="W475">
        <v>1080</v>
      </c>
      <c r="X475">
        <v>120</v>
      </c>
      <c r="Y475">
        <v>0</v>
      </c>
      <c r="Z475">
        <v>0</v>
      </c>
      <c r="AA475">
        <v>0</v>
      </c>
      <c r="AE475" s="30">
        <v>45782.333333333336</v>
      </c>
      <c r="AF475" s="30">
        <v>45800.708333333336</v>
      </c>
      <c r="AH475" s="30">
        <v>45782.333333333336</v>
      </c>
      <c r="AI475" s="30">
        <v>45800.708333333336</v>
      </c>
      <c r="AJ475" s="30">
        <v>45782.333333333336</v>
      </c>
      <c r="AK475" s="30">
        <v>45800.708333333336</v>
      </c>
      <c r="AL475" s="30">
        <v>45782.333333333336</v>
      </c>
      <c r="AM475" s="30">
        <v>45800.708333333336</v>
      </c>
      <c r="AN475" s="30">
        <v>45782.333333333336</v>
      </c>
      <c r="AO475" s="30">
        <v>45800.708333333336</v>
      </c>
      <c r="AQ475" t="s">
        <v>3171</v>
      </c>
      <c r="AV475" t="s">
        <v>4545</v>
      </c>
      <c r="AZ475" t="s">
        <v>1266</v>
      </c>
      <c r="BA475">
        <v>0</v>
      </c>
      <c r="BB475">
        <v>0</v>
      </c>
      <c r="BJ475" s="30">
        <v>45953.652083333334</v>
      </c>
      <c r="BK475" s="30">
        <v>46093.730555555558</v>
      </c>
      <c r="BL475" t="s">
        <v>2716</v>
      </c>
      <c r="BM475" t="s">
        <v>1259</v>
      </c>
      <c r="BO475" t="s">
        <v>1265</v>
      </c>
    </row>
    <row r="476" spans="1:68" x14ac:dyDescent="0.25">
      <c r="A476" t="s">
        <v>1248</v>
      </c>
      <c r="B476">
        <v>119796</v>
      </c>
      <c r="C476">
        <v>405</v>
      </c>
      <c r="D476">
        <v>16386</v>
      </c>
      <c r="E476">
        <v>1117</v>
      </c>
      <c r="F476">
        <v>0</v>
      </c>
      <c r="G476" t="s">
        <v>1265</v>
      </c>
      <c r="H476">
        <v>1</v>
      </c>
      <c r="I476" t="s">
        <v>1265</v>
      </c>
      <c r="J476" t="s">
        <v>1265</v>
      </c>
      <c r="K476" t="s">
        <v>3191</v>
      </c>
      <c r="L476" t="s">
        <v>3176</v>
      </c>
      <c r="M476" t="s">
        <v>3190</v>
      </c>
      <c r="N476" t="s">
        <v>3174</v>
      </c>
      <c r="O476">
        <v>15</v>
      </c>
      <c r="P476" t="s">
        <v>4544</v>
      </c>
      <c r="R476">
        <v>0</v>
      </c>
      <c r="S476">
        <v>0</v>
      </c>
      <c r="T476">
        <v>24</v>
      </c>
      <c r="U476">
        <v>0</v>
      </c>
      <c r="V476">
        <v>144</v>
      </c>
      <c r="W476">
        <v>144</v>
      </c>
      <c r="X476">
        <v>24</v>
      </c>
      <c r="Y476">
        <v>0</v>
      </c>
      <c r="Z476">
        <v>0</v>
      </c>
      <c r="AA476">
        <v>0</v>
      </c>
      <c r="AE476" s="30">
        <v>45803.333333333336</v>
      </c>
      <c r="AF476" s="30">
        <v>45805.708333333336</v>
      </c>
      <c r="AH476" s="30">
        <v>45803.333333333336</v>
      </c>
      <c r="AI476" s="30">
        <v>45805.708333333336</v>
      </c>
      <c r="AJ476" s="30">
        <v>45803.333333333336</v>
      </c>
      <c r="AK476" s="30">
        <v>45805.708333333336</v>
      </c>
      <c r="AL476" s="30">
        <v>45803.333333333336</v>
      </c>
      <c r="AM476" s="30">
        <v>45805.708333333336</v>
      </c>
      <c r="AN476" s="30">
        <v>45803.333333333336</v>
      </c>
      <c r="AO476" s="30">
        <v>45805.708333333336</v>
      </c>
      <c r="AQ476" t="s">
        <v>3171</v>
      </c>
      <c r="AV476" t="s">
        <v>4543</v>
      </c>
      <c r="AZ476" t="s">
        <v>1266</v>
      </c>
      <c r="BA476">
        <v>0</v>
      </c>
      <c r="BB476">
        <v>0</v>
      </c>
      <c r="BJ476" s="30">
        <v>45953.652083333334</v>
      </c>
      <c r="BK476" s="30">
        <v>46093.595138888886</v>
      </c>
      <c r="BL476" t="s">
        <v>2716</v>
      </c>
      <c r="BM476" t="s">
        <v>1259</v>
      </c>
      <c r="BO476" t="s">
        <v>1265</v>
      </c>
    </row>
    <row r="477" spans="1:68" x14ac:dyDescent="0.25">
      <c r="A477" t="s">
        <v>1248</v>
      </c>
      <c r="B477">
        <v>119797</v>
      </c>
      <c r="C477">
        <v>405</v>
      </c>
      <c r="D477">
        <v>16387</v>
      </c>
      <c r="E477">
        <v>1117</v>
      </c>
      <c r="F477">
        <v>0</v>
      </c>
      <c r="G477" t="s">
        <v>1265</v>
      </c>
      <c r="H477">
        <v>1</v>
      </c>
      <c r="I477" t="s">
        <v>1265</v>
      </c>
      <c r="J477" t="s">
        <v>1265</v>
      </c>
      <c r="K477" t="s">
        <v>3191</v>
      </c>
      <c r="L477" t="s">
        <v>3176</v>
      </c>
      <c r="M477" t="s">
        <v>3190</v>
      </c>
      <c r="N477" t="s">
        <v>3174</v>
      </c>
      <c r="O477">
        <v>17</v>
      </c>
      <c r="P477" t="s">
        <v>4542</v>
      </c>
      <c r="R477">
        <v>0</v>
      </c>
      <c r="S477">
        <v>0</v>
      </c>
      <c r="T477">
        <v>120</v>
      </c>
      <c r="U477">
        <v>0</v>
      </c>
      <c r="V477">
        <v>720</v>
      </c>
      <c r="W477">
        <v>720</v>
      </c>
      <c r="X477">
        <v>120</v>
      </c>
      <c r="Y477">
        <v>0</v>
      </c>
      <c r="Z477">
        <v>0</v>
      </c>
      <c r="AA477">
        <v>0</v>
      </c>
      <c r="AE477" s="30">
        <v>45806.333333333336</v>
      </c>
      <c r="AF477" s="30">
        <v>45826.708333333336</v>
      </c>
      <c r="AH477" s="30">
        <v>45806.333333333336</v>
      </c>
      <c r="AI477" s="30">
        <v>45826.708333333336</v>
      </c>
      <c r="AJ477" s="30">
        <v>45806.333333333336</v>
      </c>
      <c r="AK477" s="30">
        <v>45826.708333333336</v>
      </c>
      <c r="AL477" s="30">
        <v>45806.333333333336</v>
      </c>
      <c r="AM477" s="30">
        <v>45826.708333333336</v>
      </c>
      <c r="AN477" s="30">
        <v>45806.333333333336</v>
      </c>
      <c r="AO477" s="30">
        <v>45826.708333333336</v>
      </c>
      <c r="AQ477" t="s">
        <v>3171</v>
      </c>
      <c r="AV477" t="s">
        <v>4541</v>
      </c>
      <c r="AZ477" t="s">
        <v>1266</v>
      </c>
      <c r="BA477">
        <v>0</v>
      </c>
      <c r="BB477">
        <v>0</v>
      </c>
      <c r="BJ477" s="30">
        <v>45953.652083333334</v>
      </c>
      <c r="BK477" s="30">
        <v>46093.729861111111</v>
      </c>
      <c r="BL477" t="s">
        <v>2716</v>
      </c>
      <c r="BM477" t="s">
        <v>1259</v>
      </c>
      <c r="BO477" t="s">
        <v>1265</v>
      </c>
    </row>
    <row r="478" spans="1:68" x14ac:dyDescent="0.25">
      <c r="A478" t="s">
        <v>1248</v>
      </c>
      <c r="B478">
        <v>119798</v>
      </c>
      <c r="C478">
        <v>405</v>
      </c>
      <c r="D478">
        <v>16387</v>
      </c>
      <c r="E478">
        <v>1117</v>
      </c>
      <c r="F478">
        <v>0</v>
      </c>
      <c r="G478" t="s">
        <v>1265</v>
      </c>
      <c r="H478">
        <v>1</v>
      </c>
      <c r="I478" t="s">
        <v>1265</v>
      </c>
      <c r="J478" t="s">
        <v>1265</v>
      </c>
      <c r="K478" t="s">
        <v>3191</v>
      </c>
      <c r="L478" t="s">
        <v>3176</v>
      </c>
      <c r="M478" t="s">
        <v>3190</v>
      </c>
      <c r="N478" t="s">
        <v>3174</v>
      </c>
      <c r="O478">
        <v>18</v>
      </c>
      <c r="P478" t="s">
        <v>4540</v>
      </c>
      <c r="R478">
        <v>0</v>
      </c>
      <c r="S478">
        <v>0</v>
      </c>
      <c r="T478">
        <v>96</v>
      </c>
      <c r="U478">
        <v>0</v>
      </c>
      <c r="V478">
        <v>672</v>
      </c>
      <c r="W478">
        <v>672</v>
      </c>
      <c r="X478">
        <v>96</v>
      </c>
      <c r="Y478">
        <v>0</v>
      </c>
      <c r="Z478">
        <v>0</v>
      </c>
      <c r="AA478">
        <v>0</v>
      </c>
      <c r="AE478" s="30">
        <v>45827.333333333336</v>
      </c>
      <c r="AF478" s="30">
        <v>45842.708333333336</v>
      </c>
      <c r="AH478" s="30">
        <v>45827.333333333336</v>
      </c>
      <c r="AI478" s="30">
        <v>45842.708333333336</v>
      </c>
      <c r="AJ478" s="30">
        <v>45827.333333333336</v>
      </c>
      <c r="AK478" s="30">
        <v>45842.708333333336</v>
      </c>
      <c r="AL478" s="30">
        <v>45827.333333333336</v>
      </c>
      <c r="AM478" s="30">
        <v>45842.708333333336</v>
      </c>
      <c r="AN478" s="30">
        <v>45827.333333333336</v>
      </c>
      <c r="AO478" s="30">
        <v>45842.708333333336</v>
      </c>
      <c r="AQ478" t="s">
        <v>3171</v>
      </c>
      <c r="AV478" t="s">
        <v>4539</v>
      </c>
      <c r="AZ478" t="s">
        <v>1266</v>
      </c>
      <c r="BA478">
        <v>0</v>
      </c>
      <c r="BB478">
        <v>0</v>
      </c>
      <c r="BJ478" s="30">
        <v>45953.652083333334</v>
      </c>
      <c r="BK478" s="30">
        <v>46093.729861111111</v>
      </c>
      <c r="BL478" t="s">
        <v>2716</v>
      </c>
      <c r="BM478" t="s">
        <v>1259</v>
      </c>
      <c r="BO478" t="s">
        <v>1265</v>
      </c>
    </row>
    <row r="479" spans="1:68" x14ac:dyDescent="0.25">
      <c r="A479" t="s">
        <v>1248</v>
      </c>
      <c r="B479">
        <v>119799</v>
      </c>
      <c r="C479">
        <v>405</v>
      </c>
      <c r="D479">
        <v>16388</v>
      </c>
      <c r="E479">
        <v>1117</v>
      </c>
      <c r="F479">
        <v>0</v>
      </c>
      <c r="G479" t="s">
        <v>1265</v>
      </c>
      <c r="H479">
        <v>1</v>
      </c>
      <c r="I479" t="s">
        <v>1265</v>
      </c>
      <c r="J479" t="s">
        <v>1265</v>
      </c>
      <c r="K479" t="s">
        <v>3191</v>
      </c>
      <c r="L479" t="s">
        <v>3176</v>
      </c>
      <c r="M479" t="s">
        <v>3190</v>
      </c>
      <c r="N479" t="s">
        <v>3174</v>
      </c>
      <c r="O479">
        <v>21</v>
      </c>
      <c r="P479" t="s">
        <v>4538</v>
      </c>
      <c r="R479">
        <v>0</v>
      </c>
      <c r="S479">
        <v>0</v>
      </c>
      <c r="T479">
        <v>104</v>
      </c>
      <c r="U479">
        <v>0</v>
      </c>
      <c r="V479">
        <v>624</v>
      </c>
      <c r="W479">
        <v>624</v>
      </c>
      <c r="X479">
        <v>104</v>
      </c>
      <c r="Y479">
        <v>0</v>
      </c>
      <c r="Z479">
        <v>0</v>
      </c>
      <c r="AA479">
        <v>0</v>
      </c>
      <c r="AE479" s="30">
        <v>45859.333333333336</v>
      </c>
      <c r="AF479" s="30">
        <v>45875.708333333336</v>
      </c>
      <c r="AH479" s="30">
        <v>45859.333333333336</v>
      </c>
      <c r="AI479" s="30">
        <v>45875.708333333336</v>
      </c>
      <c r="AJ479" s="30">
        <v>45859.333333333336</v>
      </c>
      <c r="AK479" s="30">
        <v>45875.708333333336</v>
      </c>
      <c r="AL479" s="30">
        <v>45859.333333333336</v>
      </c>
      <c r="AM479" s="30">
        <v>45875.708333333336</v>
      </c>
      <c r="AN479" s="30">
        <v>45859.333333333336</v>
      </c>
      <c r="AO479" s="30">
        <v>45875.708333333336</v>
      </c>
      <c r="AQ479" t="s">
        <v>3171</v>
      </c>
      <c r="AV479" t="s">
        <v>4537</v>
      </c>
      <c r="AZ479" t="s">
        <v>1266</v>
      </c>
      <c r="BA479">
        <v>0</v>
      </c>
      <c r="BB479">
        <v>0</v>
      </c>
      <c r="BJ479" s="30">
        <v>45953.652083333334</v>
      </c>
      <c r="BK479" s="30">
        <v>46093.729861111111</v>
      </c>
      <c r="BL479" t="s">
        <v>2716</v>
      </c>
      <c r="BM479" t="s">
        <v>1259</v>
      </c>
      <c r="BO479" t="s">
        <v>1265</v>
      </c>
    </row>
    <row r="480" spans="1:68" x14ac:dyDescent="0.25">
      <c r="A480" t="s">
        <v>1248</v>
      </c>
      <c r="B480">
        <v>119800</v>
      </c>
      <c r="C480">
        <v>405</v>
      </c>
      <c r="D480">
        <v>16388</v>
      </c>
      <c r="E480">
        <v>1117</v>
      </c>
      <c r="F480">
        <v>0</v>
      </c>
      <c r="G480" t="s">
        <v>1265</v>
      </c>
      <c r="H480">
        <v>1</v>
      </c>
      <c r="I480" t="s">
        <v>1265</v>
      </c>
      <c r="J480" t="s">
        <v>1265</v>
      </c>
      <c r="K480" t="s">
        <v>3191</v>
      </c>
      <c r="L480" t="s">
        <v>3176</v>
      </c>
      <c r="M480" t="s">
        <v>3190</v>
      </c>
      <c r="N480" t="s">
        <v>3174</v>
      </c>
      <c r="O480">
        <v>22</v>
      </c>
      <c r="P480" t="s">
        <v>4536</v>
      </c>
      <c r="R480">
        <v>2392</v>
      </c>
      <c r="S480">
        <v>0</v>
      </c>
      <c r="T480">
        <v>80</v>
      </c>
      <c r="U480">
        <v>0</v>
      </c>
      <c r="V480">
        <v>480</v>
      </c>
      <c r="W480">
        <v>480</v>
      </c>
      <c r="X480">
        <v>80</v>
      </c>
      <c r="Y480">
        <v>0</v>
      </c>
      <c r="Z480">
        <v>0</v>
      </c>
      <c r="AA480">
        <v>0</v>
      </c>
      <c r="AE480" s="30">
        <v>46302.333333333336</v>
      </c>
      <c r="AF480" s="30">
        <v>46315.708333333336</v>
      </c>
      <c r="AH480" s="30">
        <v>45876.333333333336</v>
      </c>
      <c r="AI480" s="30">
        <v>45889.708333333336</v>
      </c>
      <c r="AJ480" s="30">
        <v>45876.333333333336</v>
      </c>
      <c r="AK480" s="30">
        <v>45889.708333333336</v>
      </c>
      <c r="AL480" s="30">
        <v>45876.333333333336</v>
      </c>
      <c r="AM480" s="30">
        <v>45889.708333333336</v>
      </c>
      <c r="AN480" s="30">
        <v>46302.333333333336</v>
      </c>
      <c r="AO480" s="30">
        <v>46315.708333333336</v>
      </c>
      <c r="AQ480" t="s">
        <v>3171</v>
      </c>
      <c r="AV480" t="s">
        <v>4535</v>
      </c>
      <c r="AZ480" t="s">
        <v>1265</v>
      </c>
      <c r="BA480">
        <v>0</v>
      </c>
      <c r="BB480">
        <v>0</v>
      </c>
      <c r="BJ480" s="30">
        <v>45953.652083333334</v>
      </c>
      <c r="BK480" s="30">
        <v>46093.729861111111</v>
      </c>
      <c r="BL480" t="s">
        <v>2716</v>
      </c>
      <c r="BM480" t="s">
        <v>1259</v>
      </c>
      <c r="BO480" t="s">
        <v>1265</v>
      </c>
    </row>
    <row r="481" spans="1:67" x14ac:dyDescent="0.25">
      <c r="A481" t="s">
        <v>1248</v>
      </c>
      <c r="B481">
        <v>119801</v>
      </c>
      <c r="C481">
        <v>405</v>
      </c>
      <c r="D481">
        <v>16389</v>
      </c>
      <c r="E481">
        <v>1117</v>
      </c>
      <c r="F481">
        <v>0</v>
      </c>
      <c r="G481" t="s">
        <v>1265</v>
      </c>
      <c r="H481">
        <v>1</v>
      </c>
      <c r="I481" t="s">
        <v>1265</v>
      </c>
      <c r="J481" t="s">
        <v>1265</v>
      </c>
      <c r="K481" t="s">
        <v>3191</v>
      </c>
      <c r="L481" t="s">
        <v>3176</v>
      </c>
      <c r="M481" t="s">
        <v>3190</v>
      </c>
      <c r="N481" t="s">
        <v>3174</v>
      </c>
      <c r="O481">
        <v>24</v>
      </c>
      <c r="P481" t="s">
        <v>4534</v>
      </c>
      <c r="R481">
        <v>3192</v>
      </c>
      <c r="S481">
        <v>3192</v>
      </c>
      <c r="T481">
        <v>24</v>
      </c>
      <c r="U481">
        <v>0</v>
      </c>
      <c r="V481">
        <v>216</v>
      </c>
      <c r="W481">
        <v>216</v>
      </c>
      <c r="X481">
        <v>24</v>
      </c>
      <c r="Y481">
        <v>0</v>
      </c>
      <c r="Z481">
        <v>0</v>
      </c>
      <c r="AA481">
        <v>0</v>
      </c>
      <c r="AE481" s="30">
        <v>46462.333333333336</v>
      </c>
      <c r="AF481" s="30">
        <v>46464.708333333336</v>
      </c>
      <c r="AH481" s="30">
        <v>45890.333333333336</v>
      </c>
      <c r="AI481" s="30">
        <v>45894.708333333336</v>
      </c>
      <c r="AJ481" s="30">
        <v>45890.333333333336</v>
      </c>
      <c r="AK481" s="30">
        <v>45894.708333333336</v>
      </c>
      <c r="AL481" s="30">
        <v>45890.333333333336</v>
      </c>
      <c r="AM481" s="30">
        <v>45894.708333333336</v>
      </c>
      <c r="AN481" s="30">
        <v>46462.333333333336</v>
      </c>
      <c r="AO481" s="30">
        <v>46464.708333333336</v>
      </c>
      <c r="AQ481" t="s">
        <v>3171</v>
      </c>
      <c r="AV481" t="s">
        <v>4533</v>
      </c>
      <c r="AZ481" t="s">
        <v>1265</v>
      </c>
      <c r="BA481">
        <v>0</v>
      </c>
      <c r="BB481">
        <v>0</v>
      </c>
      <c r="BJ481" s="30">
        <v>45953.652083333334</v>
      </c>
      <c r="BK481" s="30">
        <v>46093.59652777778</v>
      </c>
      <c r="BL481" t="s">
        <v>2716</v>
      </c>
      <c r="BM481" t="s">
        <v>1259</v>
      </c>
      <c r="BO481" t="s">
        <v>1265</v>
      </c>
    </row>
    <row r="482" spans="1:67" x14ac:dyDescent="0.25">
      <c r="A482" t="s">
        <v>1248</v>
      </c>
      <c r="B482">
        <v>119802</v>
      </c>
      <c r="C482">
        <v>405</v>
      </c>
      <c r="D482">
        <v>32357</v>
      </c>
      <c r="E482">
        <v>1117</v>
      </c>
      <c r="F482">
        <v>0</v>
      </c>
      <c r="G482" t="s">
        <v>1265</v>
      </c>
      <c r="H482">
        <v>1</v>
      </c>
      <c r="I482" t="s">
        <v>1265</v>
      </c>
      <c r="J482" t="s">
        <v>1265</v>
      </c>
      <c r="K482" t="s">
        <v>3191</v>
      </c>
      <c r="L482" t="s">
        <v>3176</v>
      </c>
      <c r="M482" t="s">
        <v>3190</v>
      </c>
      <c r="N482" t="s">
        <v>3174</v>
      </c>
      <c r="O482">
        <v>26</v>
      </c>
      <c r="P482" t="s">
        <v>4532</v>
      </c>
      <c r="R482">
        <v>136</v>
      </c>
      <c r="S482">
        <v>0</v>
      </c>
      <c r="T482">
        <v>160</v>
      </c>
      <c r="U482">
        <v>0</v>
      </c>
      <c r="V482">
        <v>1280</v>
      </c>
      <c r="W482">
        <v>1280</v>
      </c>
      <c r="X482">
        <v>160</v>
      </c>
      <c r="Y482">
        <v>0</v>
      </c>
      <c r="Z482">
        <v>0</v>
      </c>
      <c r="AA482">
        <v>0</v>
      </c>
      <c r="AE482" s="30">
        <v>45820.333333333336</v>
      </c>
      <c r="AF482" s="30">
        <v>45847.708333333336</v>
      </c>
      <c r="AH482" s="30">
        <v>45797.333333333336</v>
      </c>
      <c r="AI482" s="30">
        <v>45824.708333333336</v>
      </c>
      <c r="AJ482" s="30">
        <v>45797.333333333336</v>
      </c>
      <c r="AK482" s="30">
        <v>45824.708333333336</v>
      </c>
      <c r="AL482" s="30">
        <v>45797.333333333336</v>
      </c>
      <c r="AM482" s="30">
        <v>45824.708333333336</v>
      </c>
      <c r="AN482" s="30">
        <v>45820.333333333336</v>
      </c>
      <c r="AO482" s="30">
        <v>45847.708333333336</v>
      </c>
      <c r="AQ482" t="s">
        <v>3171</v>
      </c>
      <c r="AV482" t="s">
        <v>4531</v>
      </c>
      <c r="AZ482" t="s">
        <v>1265</v>
      </c>
      <c r="BA482">
        <v>0</v>
      </c>
      <c r="BB482">
        <v>0</v>
      </c>
      <c r="BJ482" s="30">
        <v>45953.652083333334</v>
      </c>
      <c r="BK482" s="30">
        <v>46093.595138888886</v>
      </c>
      <c r="BL482" t="s">
        <v>2716</v>
      </c>
      <c r="BM482" t="s">
        <v>1259</v>
      </c>
      <c r="BO482" t="s">
        <v>1265</v>
      </c>
    </row>
    <row r="483" spans="1:67" x14ac:dyDescent="0.25">
      <c r="A483" t="s">
        <v>1248</v>
      </c>
      <c r="B483">
        <v>119803</v>
      </c>
      <c r="C483">
        <v>405</v>
      </c>
      <c r="D483">
        <v>16381</v>
      </c>
      <c r="E483">
        <v>1117</v>
      </c>
      <c r="F483">
        <v>0</v>
      </c>
      <c r="G483" t="s">
        <v>1265</v>
      </c>
      <c r="H483">
        <v>1</v>
      </c>
      <c r="I483" t="s">
        <v>1265</v>
      </c>
      <c r="J483" t="s">
        <v>1265</v>
      </c>
      <c r="K483" t="s">
        <v>3191</v>
      </c>
      <c r="L483" t="s">
        <v>3176</v>
      </c>
      <c r="M483" t="s">
        <v>3190</v>
      </c>
      <c r="N483" t="s">
        <v>3174</v>
      </c>
      <c r="O483">
        <v>28</v>
      </c>
      <c r="P483" t="s">
        <v>4530</v>
      </c>
      <c r="R483">
        <v>136</v>
      </c>
      <c r="S483">
        <v>0</v>
      </c>
      <c r="T483">
        <v>56</v>
      </c>
      <c r="U483">
        <v>0</v>
      </c>
      <c r="V483">
        <v>392</v>
      </c>
      <c r="W483">
        <v>392</v>
      </c>
      <c r="X483">
        <v>56</v>
      </c>
      <c r="Y483">
        <v>0</v>
      </c>
      <c r="Z483">
        <v>0</v>
      </c>
      <c r="AA483">
        <v>0</v>
      </c>
      <c r="AE483" s="30">
        <v>45848.333333333336</v>
      </c>
      <c r="AF483" s="30">
        <v>45856.708333333336</v>
      </c>
      <c r="AH483" s="30">
        <v>45825.333333333336</v>
      </c>
      <c r="AI483" s="30">
        <v>45833.708333333336</v>
      </c>
      <c r="AJ483" s="30">
        <v>45825.333333333336</v>
      </c>
      <c r="AK483" s="30">
        <v>45833.708333333336</v>
      </c>
      <c r="AL483" s="30">
        <v>45825.333333333336</v>
      </c>
      <c r="AM483" s="30">
        <v>45833.708333333336</v>
      </c>
      <c r="AN483" s="30">
        <v>45848.333333333336</v>
      </c>
      <c r="AO483" s="30">
        <v>45856.708333333336</v>
      </c>
      <c r="AQ483" t="s">
        <v>3171</v>
      </c>
      <c r="AV483" t="s">
        <v>4529</v>
      </c>
      <c r="AZ483" t="s">
        <v>1265</v>
      </c>
      <c r="BA483">
        <v>0</v>
      </c>
      <c r="BB483">
        <v>0</v>
      </c>
      <c r="BJ483" s="30">
        <v>45953.652083333334</v>
      </c>
      <c r="BK483" s="30">
        <v>46093.595138888886</v>
      </c>
      <c r="BL483" t="s">
        <v>2716</v>
      </c>
      <c r="BM483" t="s">
        <v>1259</v>
      </c>
      <c r="BO483" t="s">
        <v>1265</v>
      </c>
    </row>
    <row r="484" spans="1:67" x14ac:dyDescent="0.25">
      <c r="A484" t="s">
        <v>1248</v>
      </c>
      <c r="B484">
        <v>119804</v>
      </c>
      <c r="C484">
        <v>405</v>
      </c>
      <c r="D484">
        <v>16381</v>
      </c>
      <c r="E484">
        <v>1117</v>
      </c>
      <c r="F484">
        <v>0</v>
      </c>
      <c r="G484" t="s">
        <v>1265</v>
      </c>
      <c r="H484">
        <v>1</v>
      </c>
      <c r="I484" t="s">
        <v>1265</v>
      </c>
      <c r="J484" t="s">
        <v>1265</v>
      </c>
      <c r="K484" t="s">
        <v>3191</v>
      </c>
      <c r="L484" t="s">
        <v>3176</v>
      </c>
      <c r="M484" t="s">
        <v>3190</v>
      </c>
      <c r="N484" t="s">
        <v>3174</v>
      </c>
      <c r="O484">
        <v>29</v>
      </c>
      <c r="P484" t="s">
        <v>4528</v>
      </c>
      <c r="R484">
        <v>136</v>
      </c>
      <c r="S484">
        <v>0</v>
      </c>
      <c r="T484">
        <v>80</v>
      </c>
      <c r="U484">
        <v>0</v>
      </c>
      <c r="V484">
        <v>624</v>
      </c>
      <c r="W484">
        <v>624</v>
      </c>
      <c r="X484">
        <v>80</v>
      </c>
      <c r="Y484">
        <v>0</v>
      </c>
      <c r="Z484">
        <v>0</v>
      </c>
      <c r="AA484">
        <v>0</v>
      </c>
      <c r="AE484" s="30">
        <v>45859.333333333336</v>
      </c>
      <c r="AF484" s="30">
        <v>45870.708333333336</v>
      </c>
      <c r="AH484" s="30">
        <v>45834.333333333336</v>
      </c>
      <c r="AI484" s="30">
        <v>45847.708333333336</v>
      </c>
      <c r="AJ484" s="30">
        <v>45834.333333333336</v>
      </c>
      <c r="AK484" s="30">
        <v>45847.708333333336</v>
      </c>
      <c r="AL484" s="30">
        <v>45834.333333333336</v>
      </c>
      <c r="AM484" s="30">
        <v>45847.708333333336</v>
      </c>
      <c r="AN484" s="30">
        <v>45859.333333333336</v>
      </c>
      <c r="AO484" s="30">
        <v>45870.708333333336</v>
      </c>
      <c r="AQ484" t="s">
        <v>3171</v>
      </c>
      <c r="AV484" t="s">
        <v>4527</v>
      </c>
      <c r="AZ484" t="s">
        <v>1265</v>
      </c>
      <c r="BA484">
        <v>0</v>
      </c>
      <c r="BB484">
        <v>0</v>
      </c>
      <c r="BJ484" s="30">
        <v>45953.652083333334</v>
      </c>
      <c r="BK484" s="30">
        <v>46093.595138888886</v>
      </c>
      <c r="BL484" t="s">
        <v>2716</v>
      </c>
      <c r="BM484" t="s">
        <v>1259</v>
      </c>
      <c r="BO484" t="s">
        <v>1265</v>
      </c>
    </row>
    <row r="485" spans="1:67" x14ac:dyDescent="0.25">
      <c r="A485" t="s">
        <v>1248</v>
      </c>
      <c r="B485">
        <v>119805</v>
      </c>
      <c r="C485">
        <v>405</v>
      </c>
      <c r="D485">
        <v>16381</v>
      </c>
      <c r="E485">
        <v>1117</v>
      </c>
      <c r="F485">
        <v>0</v>
      </c>
      <c r="G485" t="s">
        <v>1265</v>
      </c>
      <c r="H485">
        <v>1</v>
      </c>
      <c r="I485" t="s">
        <v>1265</v>
      </c>
      <c r="J485" t="s">
        <v>1265</v>
      </c>
      <c r="K485" t="s">
        <v>3191</v>
      </c>
      <c r="L485" t="s">
        <v>3176</v>
      </c>
      <c r="M485" t="s">
        <v>3190</v>
      </c>
      <c r="N485" t="s">
        <v>3174</v>
      </c>
      <c r="O485">
        <v>30</v>
      </c>
      <c r="P485" t="s">
        <v>4526</v>
      </c>
      <c r="R485">
        <v>3592</v>
      </c>
      <c r="S485">
        <v>0</v>
      </c>
      <c r="T485">
        <v>80</v>
      </c>
      <c r="U485">
        <v>0</v>
      </c>
      <c r="V485">
        <v>480</v>
      </c>
      <c r="W485">
        <v>480</v>
      </c>
      <c r="X485">
        <v>80</v>
      </c>
      <c r="Y485">
        <v>0</v>
      </c>
      <c r="Z485">
        <v>0</v>
      </c>
      <c r="AA485">
        <v>0</v>
      </c>
      <c r="AE485" s="30">
        <v>46491.333333333336</v>
      </c>
      <c r="AF485" s="30">
        <v>46504.708333333336</v>
      </c>
      <c r="AH485" s="30">
        <v>45848.333333333336</v>
      </c>
      <c r="AI485" s="30">
        <v>45861.708333333336</v>
      </c>
      <c r="AJ485" s="30">
        <v>45848.333333333336</v>
      </c>
      <c r="AK485" s="30">
        <v>45861.708333333336</v>
      </c>
      <c r="AL485" s="30">
        <v>45848.333333333336</v>
      </c>
      <c r="AM485" s="30">
        <v>45861.708333333336</v>
      </c>
      <c r="AN485" s="30">
        <v>46491.333333333336</v>
      </c>
      <c r="AO485" s="30">
        <v>46504.708333333336</v>
      </c>
      <c r="AQ485" t="s">
        <v>3171</v>
      </c>
      <c r="AV485" t="s">
        <v>4525</v>
      </c>
      <c r="AZ485" t="s">
        <v>1265</v>
      </c>
      <c r="BA485">
        <v>0</v>
      </c>
      <c r="BB485">
        <v>0</v>
      </c>
      <c r="BJ485" s="30">
        <v>45953.652083333334</v>
      </c>
      <c r="BK485" s="30">
        <v>46093.59375</v>
      </c>
      <c r="BL485" t="s">
        <v>2716</v>
      </c>
      <c r="BM485" t="s">
        <v>1259</v>
      </c>
      <c r="BO485" t="s">
        <v>1265</v>
      </c>
    </row>
    <row r="486" spans="1:67" x14ac:dyDescent="0.25">
      <c r="A486" t="s">
        <v>1248</v>
      </c>
      <c r="B486">
        <v>119806</v>
      </c>
      <c r="C486">
        <v>405</v>
      </c>
      <c r="D486">
        <v>16381</v>
      </c>
      <c r="E486">
        <v>1117</v>
      </c>
      <c r="F486">
        <v>0</v>
      </c>
      <c r="G486" t="s">
        <v>1265</v>
      </c>
      <c r="H486">
        <v>1</v>
      </c>
      <c r="I486" t="s">
        <v>1265</v>
      </c>
      <c r="J486" t="s">
        <v>1265</v>
      </c>
      <c r="K486" t="s">
        <v>3191</v>
      </c>
      <c r="L486" t="s">
        <v>3176</v>
      </c>
      <c r="M486" t="s">
        <v>3190</v>
      </c>
      <c r="N486" t="s">
        <v>3174</v>
      </c>
      <c r="O486">
        <v>31</v>
      </c>
      <c r="P486" t="s">
        <v>4524</v>
      </c>
      <c r="R486">
        <v>3592</v>
      </c>
      <c r="S486">
        <v>0</v>
      </c>
      <c r="T486">
        <v>24</v>
      </c>
      <c r="U486">
        <v>0</v>
      </c>
      <c r="V486">
        <v>216</v>
      </c>
      <c r="W486">
        <v>216</v>
      </c>
      <c r="X486">
        <v>24</v>
      </c>
      <c r="Y486">
        <v>0</v>
      </c>
      <c r="Z486">
        <v>0</v>
      </c>
      <c r="AA486">
        <v>0</v>
      </c>
      <c r="AE486" s="30">
        <v>46505.333333333336</v>
      </c>
      <c r="AF486" s="30">
        <v>46507.708333333336</v>
      </c>
      <c r="AH486" s="30">
        <v>45862.333333333336</v>
      </c>
      <c r="AI486" s="30">
        <v>45866.708333333336</v>
      </c>
      <c r="AJ486" s="30">
        <v>45862.333333333336</v>
      </c>
      <c r="AK486" s="30">
        <v>45866.708333333336</v>
      </c>
      <c r="AL486" s="30">
        <v>45862.333333333336</v>
      </c>
      <c r="AM486" s="30">
        <v>45866.708333333336</v>
      </c>
      <c r="AN486" s="30">
        <v>46505.333333333336</v>
      </c>
      <c r="AO486" s="30">
        <v>46507.708333333336</v>
      </c>
      <c r="AQ486" t="s">
        <v>3171</v>
      </c>
      <c r="AV486" t="s">
        <v>4523</v>
      </c>
      <c r="AZ486" t="s">
        <v>1265</v>
      </c>
      <c r="BA486">
        <v>0</v>
      </c>
      <c r="BB486">
        <v>0</v>
      </c>
      <c r="BJ486" s="30">
        <v>45953.652083333334</v>
      </c>
      <c r="BK486" s="30">
        <v>46093.59375</v>
      </c>
      <c r="BL486" t="s">
        <v>2716</v>
      </c>
      <c r="BM486" t="s">
        <v>1259</v>
      </c>
      <c r="BO486" t="s">
        <v>1265</v>
      </c>
    </row>
    <row r="487" spans="1:67" x14ac:dyDescent="0.25">
      <c r="A487" t="s">
        <v>1248</v>
      </c>
      <c r="B487">
        <v>119807</v>
      </c>
      <c r="C487">
        <v>405</v>
      </c>
      <c r="D487">
        <v>16381</v>
      </c>
      <c r="E487">
        <v>1117</v>
      </c>
      <c r="F487">
        <v>0</v>
      </c>
      <c r="G487" t="s">
        <v>1265</v>
      </c>
      <c r="H487">
        <v>1</v>
      </c>
      <c r="I487" t="s">
        <v>1265</v>
      </c>
      <c r="J487" t="s">
        <v>1265</v>
      </c>
      <c r="K487" t="s">
        <v>3191</v>
      </c>
      <c r="L487" t="s">
        <v>3176</v>
      </c>
      <c r="M487" t="s">
        <v>3190</v>
      </c>
      <c r="N487" t="s">
        <v>3174</v>
      </c>
      <c r="O487">
        <v>32</v>
      </c>
      <c r="P487" t="s">
        <v>4522</v>
      </c>
      <c r="R487">
        <v>3592</v>
      </c>
      <c r="S487">
        <v>3592</v>
      </c>
      <c r="T487">
        <v>64</v>
      </c>
      <c r="U487">
        <v>0</v>
      </c>
      <c r="V487">
        <v>320</v>
      </c>
      <c r="W487">
        <v>320</v>
      </c>
      <c r="X487">
        <v>64</v>
      </c>
      <c r="Y487">
        <v>0</v>
      </c>
      <c r="Z487">
        <v>0</v>
      </c>
      <c r="AA487">
        <v>0</v>
      </c>
      <c r="AE487" s="30">
        <v>46510.333333333336</v>
      </c>
      <c r="AF487" s="30">
        <v>46519.708333333336</v>
      </c>
      <c r="AH487" s="30">
        <v>45867.333333333336</v>
      </c>
      <c r="AI487" s="30">
        <v>45876.708333333336</v>
      </c>
      <c r="AJ487" s="30">
        <v>45867.333333333336</v>
      </c>
      <c r="AK487" s="30">
        <v>45876.708333333336</v>
      </c>
      <c r="AL487" s="30">
        <v>45867.333333333336</v>
      </c>
      <c r="AM487" s="30">
        <v>45876.708333333336</v>
      </c>
      <c r="AN487" s="30">
        <v>46510.333333333336</v>
      </c>
      <c r="AO487" s="30">
        <v>46519.708333333336</v>
      </c>
      <c r="AQ487" t="s">
        <v>3171</v>
      </c>
      <c r="AV487" t="s">
        <v>4521</v>
      </c>
      <c r="AZ487" t="s">
        <v>1265</v>
      </c>
      <c r="BA487">
        <v>0</v>
      </c>
      <c r="BB487">
        <v>0</v>
      </c>
      <c r="BJ487" s="30">
        <v>45953.652083333334</v>
      </c>
      <c r="BK487" s="30">
        <v>46093.595138888886</v>
      </c>
      <c r="BL487" t="s">
        <v>2716</v>
      </c>
      <c r="BM487" t="s">
        <v>1259</v>
      </c>
      <c r="BO487" t="s">
        <v>1265</v>
      </c>
    </row>
    <row r="488" spans="1:67" x14ac:dyDescent="0.25">
      <c r="A488" t="s">
        <v>1248</v>
      </c>
      <c r="B488">
        <v>119808</v>
      </c>
      <c r="C488">
        <v>405</v>
      </c>
      <c r="D488">
        <v>16368</v>
      </c>
      <c r="E488">
        <v>1117</v>
      </c>
      <c r="F488">
        <v>0</v>
      </c>
      <c r="G488" t="s">
        <v>1265</v>
      </c>
      <c r="H488">
        <v>0</v>
      </c>
      <c r="I488" t="s">
        <v>1265</v>
      </c>
      <c r="J488" t="s">
        <v>1265</v>
      </c>
      <c r="K488" t="s">
        <v>3191</v>
      </c>
      <c r="L488" t="s">
        <v>4189</v>
      </c>
      <c r="M488" t="s">
        <v>4188</v>
      </c>
      <c r="N488" t="s">
        <v>3174</v>
      </c>
      <c r="O488">
        <v>2</v>
      </c>
      <c r="P488" t="s">
        <v>4520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s="30">
        <v>45614.333333333336</v>
      </c>
      <c r="AE488" s="30">
        <v>45614.333333333336</v>
      </c>
      <c r="AF488" s="30">
        <v>45614.333333333336</v>
      </c>
      <c r="AH488" s="30">
        <v>45614.333333333336</v>
      </c>
      <c r="AI488" s="30">
        <v>45614.333333333336</v>
      </c>
      <c r="AJ488" s="30">
        <v>45614.333333333336</v>
      </c>
      <c r="AK488" s="30">
        <v>45614.333333333336</v>
      </c>
      <c r="AL488" s="30">
        <v>45614.333333333336</v>
      </c>
      <c r="AM488" s="30">
        <v>45614.333333333336</v>
      </c>
      <c r="AN488" s="30">
        <v>45614.333333333336</v>
      </c>
      <c r="AO488" s="30">
        <v>45614.333333333336</v>
      </c>
      <c r="AP488" t="s">
        <v>4519</v>
      </c>
      <c r="AQ488" t="s">
        <v>3171</v>
      </c>
      <c r="AV488" t="s">
        <v>4518</v>
      </c>
      <c r="AZ488" t="s">
        <v>1266</v>
      </c>
      <c r="BA488">
        <v>0</v>
      </c>
      <c r="BB488">
        <v>0</v>
      </c>
      <c r="BJ488" s="30">
        <v>45953.652083333334</v>
      </c>
      <c r="BK488" s="30">
        <v>46093.595138888886</v>
      </c>
      <c r="BL488" t="s">
        <v>2716</v>
      </c>
      <c r="BM488" t="s">
        <v>1259</v>
      </c>
      <c r="BO488" t="s">
        <v>1265</v>
      </c>
    </row>
    <row r="489" spans="1:67" x14ac:dyDescent="0.25">
      <c r="A489" t="s">
        <v>1248</v>
      </c>
      <c r="B489">
        <v>119809</v>
      </c>
      <c r="C489">
        <v>405</v>
      </c>
      <c r="D489">
        <v>16368</v>
      </c>
      <c r="E489">
        <v>1117</v>
      </c>
      <c r="F489">
        <v>0</v>
      </c>
      <c r="G489" t="s">
        <v>1265</v>
      </c>
      <c r="H489">
        <v>0</v>
      </c>
      <c r="I489" t="s">
        <v>1265</v>
      </c>
      <c r="J489" t="s">
        <v>1265</v>
      </c>
      <c r="K489" t="s">
        <v>3191</v>
      </c>
      <c r="L489" t="s">
        <v>4189</v>
      </c>
      <c r="M489" t="s">
        <v>4188</v>
      </c>
      <c r="N489" t="s">
        <v>3174</v>
      </c>
      <c r="O489">
        <v>3</v>
      </c>
      <c r="P489" t="s">
        <v>4517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E489" s="30">
        <v>45614.333333333336</v>
      </c>
      <c r="AF489" s="30">
        <v>45614.333333333336</v>
      </c>
      <c r="AH489" s="30">
        <v>45614.333333333336</v>
      </c>
      <c r="AI489" s="30">
        <v>45614.333333333336</v>
      </c>
      <c r="AJ489" s="30">
        <v>45614.333333333336</v>
      </c>
      <c r="AK489" s="30">
        <v>45614.333333333336</v>
      </c>
      <c r="AL489" s="30">
        <v>45614.333333333336</v>
      </c>
      <c r="AM489" s="30">
        <v>45614.333333333336</v>
      </c>
      <c r="AN489" s="30">
        <v>45614.333333333336</v>
      </c>
      <c r="AO489" s="30">
        <v>45614.333333333336</v>
      </c>
      <c r="AQ489" t="s">
        <v>3171</v>
      </c>
      <c r="AV489" t="s">
        <v>4516</v>
      </c>
      <c r="AZ489" t="s">
        <v>1266</v>
      </c>
      <c r="BA489">
        <v>0</v>
      </c>
      <c r="BB489">
        <v>0</v>
      </c>
      <c r="BJ489" s="30">
        <v>45953.652083333334</v>
      </c>
      <c r="BK489" s="30">
        <v>46093.595138888886</v>
      </c>
      <c r="BL489" t="s">
        <v>2716</v>
      </c>
      <c r="BM489" t="s">
        <v>1259</v>
      </c>
      <c r="BO489" t="s">
        <v>1265</v>
      </c>
    </row>
    <row r="490" spans="1:67" x14ac:dyDescent="0.25">
      <c r="A490" t="s">
        <v>1248</v>
      </c>
      <c r="B490">
        <v>119810</v>
      </c>
      <c r="C490">
        <v>405</v>
      </c>
      <c r="D490">
        <v>16390</v>
      </c>
      <c r="E490">
        <v>1117</v>
      </c>
      <c r="F490">
        <v>0</v>
      </c>
      <c r="G490" t="s">
        <v>1265</v>
      </c>
      <c r="H490">
        <v>1</v>
      </c>
      <c r="I490" t="s">
        <v>1265</v>
      </c>
      <c r="J490" t="s">
        <v>1265</v>
      </c>
      <c r="K490" t="s">
        <v>3191</v>
      </c>
      <c r="L490" t="s">
        <v>3176</v>
      </c>
      <c r="M490" t="s">
        <v>3190</v>
      </c>
      <c r="N490" t="s">
        <v>3174</v>
      </c>
      <c r="O490">
        <v>65</v>
      </c>
      <c r="P490" t="s">
        <v>4515</v>
      </c>
      <c r="R490">
        <v>264</v>
      </c>
      <c r="S490">
        <v>0</v>
      </c>
      <c r="T490">
        <v>112</v>
      </c>
      <c r="U490">
        <v>0</v>
      </c>
      <c r="V490">
        <v>800</v>
      </c>
      <c r="W490">
        <v>800</v>
      </c>
      <c r="X490">
        <v>112</v>
      </c>
      <c r="Y490">
        <v>0</v>
      </c>
      <c r="Z490">
        <v>0</v>
      </c>
      <c r="AA490">
        <v>0</v>
      </c>
      <c r="AE490" s="30">
        <v>45734.333333333336</v>
      </c>
      <c r="AF490" s="30">
        <v>45751.708333333336</v>
      </c>
      <c r="AH490" s="30">
        <v>45687.333333333336</v>
      </c>
      <c r="AI490" s="30">
        <v>45706.708333333336</v>
      </c>
      <c r="AJ490" s="30">
        <v>45687.333333333336</v>
      </c>
      <c r="AK490" s="30">
        <v>45706.708333333336</v>
      </c>
      <c r="AL490" s="30">
        <v>45687.333333333336</v>
      </c>
      <c r="AM490" s="30">
        <v>45706.708333333336</v>
      </c>
      <c r="AN490" s="30">
        <v>45734.333333333336</v>
      </c>
      <c r="AO490" s="30">
        <v>45751.708333333336</v>
      </c>
      <c r="AQ490" t="s">
        <v>3171</v>
      </c>
      <c r="AV490" t="s">
        <v>4514</v>
      </c>
      <c r="AZ490" t="s">
        <v>1265</v>
      </c>
      <c r="BA490">
        <v>0</v>
      </c>
      <c r="BB490">
        <v>0</v>
      </c>
      <c r="BJ490" s="30">
        <v>45953.652083333334</v>
      </c>
      <c r="BK490" s="30">
        <v>46093.595138888886</v>
      </c>
      <c r="BL490" t="s">
        <v>2716</v>
      </c>
      <c r="BM490" t="s">
        <v>1259</v>
      </c>
      <c r="BO490" t="s">
        <v>1265</v>
      </c>
    </row>
    <row r="491" spans="1:67" x14ac:dyDescent="0.25">
      <c r="A491" t="s">
        <v>1248</v>
      </c>
      <c r="B491">
        <v>119811</v>
      </c>
      <c r="C491">
        <v>405</v>
      </c>
      <c r="D491">
        <v>16390</v>
      </c>
      <c r="E491">
        <v>1117</v>
      </c>
      <c r="F491">
        <v>0</v>
      </c>
      <c r="G491" t="s">
        <v>1265</v>
      </c>
      <c r="H491">
        <v>1</v>
      </c>
      <c r="I491" t="s">
        <v>1265</v>
      </c>
      <c r="J491" t="s">
        <v>1265</v>
      </c>
      <c r="K491" t="s">
        <v>3191</v>
      </c>
      <c r="L491" t="s">
        <v>3176</v>
      </c>
      <c r="M491" t="s">
        <v>3190</v>
      </c>
      <c r="N491" t="s">
        <v>3174</v>
      </c>
      <c r="O491">
        <v>66</v>
      </c>
      <c r="P491" t="s">
        <v>4513</v>
      </c>
      <c r="R491">
        <v>264</v>
      </c>
      <c r="S491">
        <v>0</v>
      </c>
      <c r="T491">
        <v>80</v>
      </c>
      <c r="U491">
        <v>0</v>
      </c>
      <c r="V491">
        <v>896</v>
      </c>
      <c r="W491">
        <v>896</v>
      </c>
      <c r="X491">
        <v>80</v>
      </c>
      <c r="Y491">
        <v>0</v>
      </c>
      <c r="Z491">
        <v>0</v>
      </c>
      <c r="AA491">
        <v>0</v>
      </c>
      <c r="AE491" s="30">
        <v>45754.333333333336</v>
      </c>
      <c r="AF491" s="30">
        <v>45765.708333333336</v>
      </c>
      <c r="AH491" s="30">
        <v>45707.333333333336</v>
      </c>
      <c r="AI491" s="30">
        <v>45720.708333333336</v>
      </c>
      <c r="AJ491" s="30">
        <v>45707.333333333336</v>
      </c>
      <c r="AK491" s="30">
        <v>45720.708333333336</v>
      </c>
      <c r="AL491" s="30">
        <v>45707.333333333336</v>
      </c>
      <c r="AM491" s="30">
        <v>45720.708333333336</v>
      </c>
      <c r="AN491" s="30">
        <v>45754.333333333336</v>
      </c>
      <c r="AO491" s="30">
        <v>45765.708333333336</v>
      </c>
      <c r="AQ491" t="s">
        <v>3171</v>
      </c>
      <c r="AV491" t="s">
        <v>4512</v>
      </c>
      <c r="AZ491" t="s">
        <v>1265</v>
      </c>
      <c r="BA491">
        <v>0</v>
      </c>
      <c r="BB491">
        <v>0</v>
      </c>
      <c r="BJ491" s="30">
        <v>45953.652083333334</v>
      </c>
      <c r="BK491" s="30">
        <v>46093.595138888886</v>
      </c>
      <c r="BL491" t="s">
        <v>2716</v>
      </c>
      <c r="BM491" t="s">
        <v>1259</v>
      </c>
      <c r="BO491" t="s">
        <v>1265</v>
      </c>
    </row>
    <row r="492" spans="1:67" x14ac:dyDescent="0.25">
      <c r="A492" t="s">
        <v>1248</v>
      </c>
      <c r="B492">
        <v>119812</v>
      </c>
      <c r="C492">
        <v>405</v>
      </c>
      <c r="D492">
        <v>32360</v>
      </c>
      <c r="E492">
        <v>1117</v>
      </c>
      <c r="F492">
        <v>0</v>
      </c>
      <c r="G492" t="s">
        <v>1265</v>
      </c>
      <c r="H492">
        <v>1</v>
      </c>
      <c r="I492" t="s">
        <v>1265</v>
      </c>
      <c r="J492" t="s">
        <v>1265</v>
      </c>
      <c r="K492" t="s">
        <v>3191</v>
      </c>
      <c r="L492" t="s">
        <v>3176</v>
      </c>
      <c r="M492" t="s">
        <v>3190</v>
      </c>
      <c r="N492" t="s">
        <v>3174</v>
      </c>
      <c r="O492">
        <v>258</v>
      </c>
      <c r="P492" t="s">
        <v>4511</v>
      </c>
      <c r="R492">
        <v>0</v>
      </c>
      <c r="S492">
        <v>0</v>
      </c>
      <c r="T492">
        <v>320</v>
      </c>
      <c r="U492">
        <v>0</v>
      </c>
      <c r="V492">
        <v>2200</v>
      </c>
      <c r="W492">
        <v>2200</v>
      </c>
      <c r="X492">
        <v>320</v>
      </c>
      <c r="Y492">
        <v>0</v>
      </c>
      <c r="Z492">
        <v>0</v>
      </c>
      <c r="AA492">
        <v>0</v>
      </c>
      <c r="AE492" s="30">
        <v>46409.333333333336</v>
      </c>
      <c r="AF492" s="30">
        <v>46464.708333333336</v>
      </c>
      <c r="AH492" s="30">
        <v>46409.333333333336</v>
      </c>
      <c r="AI492" s="30">
        <v>46464.708333333336</v>
      </c>
      <c r="AJ492" s="30">
        <v>46409.333333333336</v>
      </c>
      <c r="AK492" s="30">
        <v>46464.708333333336</v>
      </c>
      <c r="AL492" s="30">
        <v>46409.333333333336</v>
      </c>
      <c r="AM492" s="30">
        <v>46464.708333333336</v>
      </c>
      <c r="AN492" s="30">
        <v>46409.333333333336</v>
      </c>
      <c r="AO492" s="30">
        <v>46464.708333333336</v>
      </c>
      <c r="AQ492" t="s">
        <v>3171</v>
      </c>
      <c r="AV492" t="s">
        <v>4510</v>
      </c>
      <c r="AZ492" t="s">
        <v>1266</v>
      </c>
      <c r="BA492">
        <v>0</v>
      </c>
      <c r="BB492">
        <v>0</v>
      </c>
      <c r="BJ492" s="30">
        <v>45953.652083333334</v>
      </c>
      <c r="BK492" s="30">
        <v>46093.600694444445</v>
      </c>
      <c r="BL492" t="s">
        <v>2716</v>
      </c>
      <c r="BM492" t="s">
        <v>1259</v>
      </c>
      <c r="BO492" t="s">
        <v>1265</v>
      </c>
    </row>
    <row r="493" spans="1:67" x14ac:dyDescent="0.25">
      <c r="A493" t="s">
        <v>1248</v>
      </c>
      <c r="B493">
        <v>119813</v>
      </c>
      <c r="C493">
        <v>405</v>
      </c>
      <c r="D493">
        <v>32365</v>
      </c>
      <c r="E493">
        <v>1117</v>
      </c>
      <c r="F493">
        <v>0</v>
      </c>
      <c r="G493" t="s">
        <v>1265</v>
      </c>
      <c r="H493">
        <v>1</v>
      </c>
      <c r="I493" t="s">
        <v>1265</v>
      </c>
      <c r="J493" t="s">
        <v>1265</v>
      </c>
      <c r="K493" t="s">
        <v>3191</v>
      </c>
      <c r="L493" t="s">
        <v>3176</v>
      </c>
      <c r="M493" t="s">
        <v>3190</v>
      </c>
      <c r="N493" t="s">
        <v>3174</v>
      </c>
      <c r="O493">
        <v>259</v>
      </c>
      <c r="P493" t="s">
        <v>4509</v>
      </c>
      <c r="R493">
        <v>0</v>
      </c>
      <c r="S493">
        <v>0</v>
      </c>
      <c r="T493">
        <v>320</v>
      </c>
      <c r="U493">
        <v>0</v>
      </c>
      <c r="V493">
        <v>2240</v>
      </c>
      <c r="W493">
        <v>2240</v>
      </c>
      <c r="X493">
        <v>320</v>
      </c>
      <c r="Y493">
        <v>0</v>
      </c>
      <c r="Z493">
        <v>0</v>
      </c>
      <c r="AA493">
        <v>0</v>
      </c>
      <c r="AE493" s="30">
        <v>46409.333333333336</v>
      </c>
      <c r="AF493" s="30">
        <v>46464.708333333336</v>
      </c>
      <c r="AH493" s="30">
        <v>46409.333333333336</v>
      </c>
      <c r="AI493" s="30">
        <v>46464.708333333336</v>
      </c>
      <c r="AJ493" s="30">
        <v>46409.333333333336</v>
      </c>
      <c r="AK493" s="30">
        <v>46464.708333333336</v>
      </c>
      <c r="AL493" s="30">
        <v>46409.333333333336</v>
      </c>
      <c r="AM493" s="30">
        <v>46464.708333333336</v>
      </c>
      <c r="AN493" s="30">
        <v>46409.333333333336</v>
      </c>
      <c r="AO493" s="30">
        <v>46464.708333333336</v>
      </c>
      <c r="AQ493" t="s">
        <v>3171</v>
      </c>
      <c r="AV493" t="s">
        <v>4508</v>
      </c>
      <c r="AZ493" t="s">
        <v>1266</v>
      </c>
      <c r="BA493">
        <v>0</v>
      </c>
      <c r="BB493">
        <v>0</v>
      </c>
      <c r="BJ493" s="30">
        <v>45953.652083333334</v>
      </c>
      <c r="BK493" s="30">
        <v>46093.59652777778</v>
      </c>
      <c r="BL493" t="s">
        <v>2716</v>
      </c>
      <c r="BM493" t="s">
        <v>1259</v>
      </c>
      <c r="BO493" t="s">
        <v>1265</v>
      </c>
    </row>
    <row r="494" spans="1:67" x14ac:dyDescent="0.25">
      <c r="A494" t="s">
        <v>1248</v>
      </c>
      <c r="B494">
        <v>119814</v>
      </c>
      <c r="C494">
        <v>405</v>
      </c>
      <c r="D494">
        <v>32361</v>
      </c>
      <c r="E494">
        <v>1117</v>
      </c>
      <c r="F494">
        <v>0</v>
      </c>
      <c r="G494" t="s">
        <v>1265</v>
      </c>
      <c r="H494">
        <v>1</v>
      </c>
      <c r="I494" t="s">
        <v>1265</v>
      </c>
      <c r="J494" t="s">
        <v>1265</v>
      </c>
      <c r="K494" t="s">
        <v>3191</v>
      </c>
      <c r="L494" t="s">
        <v>3176</v>
      </c>
      <c r="M494" t="s">
        <v>3190</v>
      </c>
      <c r="N494" t="s">
        <v>3174</v>
      </c>
      <c r="O494">
        <v>260</v>
      </c>
      <c r="P494" t="s">
        <v>4507</v>
      </c>
      <c r="R494">
        <v>0</v>
      </c>
      <c r="S494">
        <v>0</v>
      </c>
      <c r="T494">
        <v>440</v>
      </c>
      <c r="U494">
        <v>0</v>
      </c>
      <c r="V494">
        <v>3960</v>
      </c>
      <c r="W494">
        <v>3960</v>
      </c>
      <c r="X494">
        <v>440</v>
      </c>
      <c r="Y494">
        <v>0</v>
      </c>
      <c r="Z494">
        <v>0</v>
      </c>
      <c r="AA494">
        <v>0</v>
      </c>
      <c r="AE494" s="30">
        <v>46416.333333333336</v>
      </c>
      <c r="AF494" s="30">
        <v>46493.708333333336</v>
      </c>
      <c r="AH494" s="30">
        <v>46416.333333333336</v>
      </c>
      <c r="AI494" s="30">
        <v>46493.708333333336</v>
      </c>
      <c r="AJ494" s="30">
        <v>46416.333333333336</v>
      </c>
      <c r="AK494" s="30">
        <v>46493.708333333336</v>
      </c>
      <c r="AL494" s="30">
        <v>46416.333333333336</v>
      </c>
      <c r="AM494" s="30">
        <v>46493.708333333336</v>
      </c>
      <c r="AN494" s="30">
        <v>46416.333333333336</v>
      </c>
      <c r="AO494" s="30">
        <v>46493.708333333336</v>
      </c>
      <c r="AQ494" t="s">
        <v>3171</v>
      </c>
      <c r="AV494" t="s">
        <v>4506</v>
      </c>
      <c r="AZ494" t="s">
        <v>1266</v>
      </c>
      <c r="BA494">
        <v>0</v>
      </c>
      <c r="BB494">
        <v>0</v>
      </c>
      <c r="BJ494" s="30">
        <v>45953.652083333334</v>
      </c>
      <c r="BK494" s="30">
        <v>46093.59652777778</v>
      </c>
      <c r="BL494" t="s">
        <v>2716</v>
      </c>
      <c r="BM494" t="s">
        <v>1259</v>
      </c>
      <c r="BO494" t="s">
        <v>1265</v>
      </c>
    </row>
    <row r="495" spans="1:67" x14ac:dyDescent="0.25">
      <c r="A495" t="s">
        <v>1248</v>
      </c>
      <c r="B495">
        <v>119815</v>
      </c>
      <c r="C495">
        <v>405</v>
      </c>
      <c r="D495">
        <v>32359</v>
      </c>
      <c r="E495">
        <v>1117</v>
      </c>
      <c r="F495">
        <v>0</v>
      </c>
      <c r="G495" t="s">
        <v>1265</v>
      </c>
      <c r="H495">
        <v>1</v>
      </c>
      <c r="I495" t="s">
        <v>1265</v>
      </c>
      <c r="J495" t="s">
        <v>1265</v>
      </c>
      <c r="K495" t="s">
        <v>3191</v>
      </c>
      <c r="L495" t="s">
        <v>3176</v>
      </c>
      <c r="M495" t="s">
        <v>3190</v>
      </c>
      <c r="N495" t="s">
        <v>3174</v>
      </c>
      <c r="O495">
        <v>261</v>
      </c>
      <c r="P495" t="s">
        <v>4505</v>
      </c>
      <c r="R495">
        <v>0</v>
      </c>
      <c r="S495">
        <v>0</v>
      </c>
      <c r="T495">
        <v>240</v>
      </c>
      <c r="U495">
        <v>0</v>
      </c>
      <c r="V495">
        <v>1728</v>
      </c>
      <c r="W495">
        <v>1728</v>
      </c>
      <c r="X495">
        <v>240</v>
      </c>
      <c r="Y495">
        <v>0</v>
      </c>
      <c r="Z495">
        <v>0</v>
      </c>
      <c r="AA495">
        <v>0</v>
      </c>
      <c r="AE495" s="30">
        <v>46423.333333333336</v>
      </c>
      <c r="AF495" s="30">
        <v>46464.708333333336</v>
      </c>
      <c r="AH495" s="30">
        <v>46423.333333333336</v>
      </c>
      <c r="AI495" s="30">
        <v>46464.708333333336</v>
      </c>
      <c r="AJ495" s="30">
        <v>46423.333333333336</v>
      </c>
      <c r="AK495" s="30">
        <v>46464.708333333336</v>
      </c>
      <c r="AL495" s="30">
        <v>46423.333333333336</v>
      </c>
      <c r="AM495" s="30">
        <v>46464.708333333336</v>
      </c>
      <c r="AN495" s="30">
        <v>46423.333333333336</v>
      </c>
      <c r="AO495" s="30">
        <v>46464.708333333336</v>
      </c>
      <c r="AQ495" t="s">
        <v>3171</v>
      </c>
      <c r="AV495" t="s">
        <v>4504</v>
      </c>
      <c r="AZ495" t="s">
        <v>1266</v>
      </c>
      <c r="BA495">
        <v>0</v>
      </c>
      <c r="BB495">
        <v>0</v>
      </c>
      <c r="BJ495" s="30">
        <v>45953.652083333334</v>
      </c>
      <c r="BK495" s="30">
        <v>46093.59652777778</v>
      </c>
      <c r="BL495" t="s">
        <v>2716</v>
      </c>
      <c r="BM495" t="s">
        <v>1259</v>
      </c>
      <c r="BO495" t="s">
        <v>1265</v>
      </c>
    </row>
    <row r="496" spans="1:67" x14ac:dyDescent="0.25">
      <c r="A496" t="s">
        <v>1248</v>
      </c>
      <c r="B496">
        <v>119816</v>
      </c>
      <c r="C496">
        <v>405</v>
      </c>
      <c r="D496">
        <v>32362</v>
      </c>
      <c r="E496">
        <v>1117</v>
      </c>
      <c r="F496">
        <v>0</v>
      </c>
      <c r="G496" t="s">
        <v>1265</v>
      </c>
      <c r="H496">
        <v>1</v>
      </c>
      <c r="I496" t="s">
        <v>1265</v>
      </c>
      <c r="J496" t="s">
        <v>1265</v>
      </c>
      <c r="K496" t="s">
        <v>3191</v>
      </c>
      <c r="L496" t="s">
        <v>3176</v>
      </c>
      <c r="M496" t="s">
        <v>3190</v>
      </c>
      <c r="N496" t="s">
        <v>3174</v>
      </c>
      <c r="O496">
        <v>262</v>
      </c>
      <c r="P496" t="s">
        <v>4503</v>
      </c>
      <c r="R496">
        <v>264</v>
      </c>
      <c r="S496">
        <v>264</v>
      </c>
      <c r="T496">
        <v>240</v>
      </c>
      <c r="U496">
        <v>0</v>
      </c>
      <c r="V496">
        <v>1680</v>
      </c>
      <c r="W496">
        <v>1680</v>
      </c>
      <c r="X496">
        <v>240</v>
      </c>
      <c r="Y496">
        <v>0</v>
      </c>
      <c r="Z496">
        <v>0</v>
      </c>
      <c r="AA496">
        <v>0</v>
      </c>
      <c r="AE496" s="30">
        <v>46478.333333333336</v>
      </c>
      <c r="AF496" s="30">
        <v>46519.708333333336</v>
      </c>
      <c r="AH496" s="30">
        <v>46430.333333333336</v>
      </c>
      <c r="AI496" s="30">
        <v>46471.708333333336</v>
      </c>
      <c r="AJ496" s="30">
        <v>46430.333333333336</v>
      </c>
      <c r="AK496" s="30">
        <v>46471.708333333336</v>
      </c>
      <c r="AL496" s="30">
        <v>46430.333333333336</v>
      </c>
      <c r="AM496" s="30">
        <v>46471.708333333336</v>
      </c>
      <c r="AN496" s="30">
        <v>46478.333333333336</v>
      </c>
      <c r="AO496" s="30">
        <v>46519.708333333336</v>
      </c>
      <c r="AQ496" t="s">
        <v>3171</v>
      </c>
      <c r="AV496" t="s">
        <v>4502</v>
      </c>
      <c r="AZ496" t="s">
        <v>1265</v>
      </c>
      <c r="BA496">
        <v>0</v>
      </c>
      <c r="BB496">
        <v>0</v>
      </c>
      <c r="BJ496" s="30">
        <v>45953.652083333334</v>
      </c>
      <c r="BK496" s="30">
        <v>46093.59652777778</v>
      </c>
      <c r="BL496" t="s">
        <v>2716</v>
      </c>
      <c r="BM496" t="s">
        <v>1259</v>
      </c>
      <c r="BO496" t="s">
        <v>1265</v>
      </c>
    </row>
    <row r="497" spans="1:67" x14ac:dyDescent="0.25">
      <c r="A497" t="s">
        <v>1248</v>
      </c>
      <c r="B497">
        <v>119817</v>
      </c>
      <c r="C497">
        <v>405</v>
      </c>
      <c r="D497">
        <v>16374</v>
      </c>
      <c r="E497">
        <v>1117</v>
      </c>
      <c r="F497">
        <v>0</v>
      </c>
      <c r="G497" t="s">
        <v>1265</v>
      </c>
      <c r="H497">
        <v>1</v>
      </c>
      <c r="I497" t="s">
        <v>1265</v>
      </c>
      <c r="J497" t="s">
        <v>1265</v>
      </c>
      <c r="K497" t="s">
        <v>3191</v>
      </c>
      <c r="L497" t="s">
        <v>3176</v>
      </c>
      <c r="M497" t="s">
        <v>3190</v>
      </c>
      <c r="N497" t="s">
        <v>3174</v>
      </c>
      <c r="O497">
        <v>266</v>
      </c>
      <c r="P497" t="s">
        <v>4501</v>
      </c>
      <c r="R497">
        <v>0</v>
      </c>
      <c r="S497">
        <v>0</v>
      </c>
      <c r="T497">
        <v>240</v>
      </c>
      <c r="U497">
        <v>0</v>
      </c>
      <c r="V497">
        <v>1440</v>
      </c>
      <c r="W497">
        <v>1440</v>
      </c>
      <c r="X497">
        <v>240</v>
      </c>
      <c r="Y497">
        <v>0</v>
      </c>
      <c r="Z497">
        <v>0</v>
      </c>
      <c r="AA497">
        <v>0</v>
      </c>
      <c r="AE497" s="30">
        <v>46478.333333333336</v>
      </c>
      <c r="AF497" s="30">
        <v>46519.708333333336</v>
      </c>
      <c r="AH497" s="30">
        <v>46478.333333333336</v>
      </c>
      <c r="AI497" s="30">
        <v>46519.708333333336</v>
      </c>
      <c r="AJ497" s="30">
        <v>46478.333333333336</v>
      </c>
      <c r="AK497" s="30">
        <v>46519.708333333336</v>
      </c>
      <c r="AL497" s="30">
        <v>46478.333333333336</v>
      </c>
      <c r="AM497" s="30">
        <v>46519.708333333336</v>
      </c>
      <c r="AN497" s="30">
        <v>46478.333333333336</v>
      </c>
      <c r="AO497" s="30">
        <v>46519.708333333336</v>
      </c>
      <c r="AQ497" t="s">
        <v>3171</v>
      </c>
      <c r="AV497" t="s">
        <v>4500</v>
      </c>
      <c r="AZ497" t="s">
        <v>1266</v>
      </c>
      <c r="BA497">
        <v>0</v>
      </c>
      <c r="BB497">
        <v>0</v>
      </c>
      <c r="BJ497" s="30">
        <v>45953.652083333334</v>
      </c>
      <c r="BK497" s="30">
        <v>46093.59652777778</v>
      </c>
      <c r="BL497" t="s">
        <v>2716</v>
      </c>
      <c r="BM497" t="s">
        <v>1259</v>
      </c>
      <c r="BO497" t="s">
        <v>1265</v>
      </c>
    </row>
    <row r="498" spans="1:67" x14ac:dyDescent="0.25">
      <c r="A498" t="s">
        <v>1248</v>
      </c>
      <c r="B498">
        <v>119818</v>
      </c>
      <c r="C498">
        <v>405</v>
      </c>
      <c r="D498">
        <v>32370</v>
      </c>
      <c r="E498">
        <v>1117</v>
      </c>
      <c r="F498">
        <v>0</v>
      </c>
      <c r="G498" t="s">
        <v>1265</v>
      </c>
      <c r="H498">
        <v>1</v>
      </c>
      <c r="I498" t="s">
        <v>1265</v>
      </c>
      <c r="J498" t="s">
        <v>1265</v>
      </c>
      <c r="K498" t="s">
        <v>3191</v>
      </c>
      <c r="L498" t="s">
        <v>3176</v>
      </c>
      <c r="M498" t="s">
        <v>3190</v>
      </c>
      <c r="N498" t="s">
        <v>3174</v>
      </c>
      <c r="O498">
        <v>267</v>
      </c>
      <c r="P498" t="s">
        <v>4499</v>
      </c>
      <c r="R498">
        <v>40</v>
      </c>
      <c r="S498">
        <v>0</v>
      </c>
      <c r="T498">
        <v>160</v>
      </c>
      <c r="U498">
        <v>0</v>
      </c>
      <c r="V498">
        <v>1440</v>
      </c>
      <c r="W498">
        <v>1440</v>
      </c>
      <c r="X498">
        <v>160</v>
      </c>
      <c r="Y498">
        <v>0</v>
      </c>
      <c r="Z498">
        <v>0</v>
      </c>
      <c r="AA498">
        <v>0</v>
      </c>
      <c r="AE498" s="30">
        <v>46485.333333333336</v>
      </c>
      <c r="AF498" s="30">
        <v>46512.708333333336</v>
      </c>
      <c r="AH498" s="30">
        <v>46478.333333333336</v>
      </c>
      <c r="AI498" s="30">
        <v>46505.708333333336</v>
      </c>
      <c r="AJ498" s="30">
        <v>46478.333333333336</v>
      </c>
      <c r="AK498" s="30">
        <v>46505.708333333336</v>
      </c>
      <c r="AL498" s="30">
        <v>46478.333333333336</v>
      </c>
      <c r="AM498" s="30">
        <v>46505.708333333336</v>
      </c>
      <c r="AN498" s="30">
        <v>46485.333333333336</v>
      </c>
      <c r="AO498" s="30">
        <v>46512.708333333336</v>
      </c>
      <c r="AQ498" t="s">
        <v>3171</v>
      </c>
      <c r="AV498" t="s">
        <v>4498</v>
      </c>
      <c r="AZ498" t="s">
        <v>1265</v>
      </c>
      <c r="BA498">
        <v>0</v>
      </c>
      <c r="BB498">
        <v>0</v>
      </c>
      <c r="BJ498" s="30">
        <v>45953.652083333334</v>
      </c>
      <c r="BK498" s="30">
        <v>46093.59652777778</v>
      </c>
      <c r="BL498" t="s">
        <v>2716</v>
      </c>
      <c r="BM498" t="s">
        <v>1259</v>
      </c>
      <c r="BO498" t="s">
        <v>1265</v>
      </c>
    </row>
    <row r="499" spans="1:67" x14ac:dyDescent="0.25">
      <c r="A499" t="s">
        <v>1248</v>
      </c>
      <c r="B499">
        <v>119819</v>
      </c>
      <c r="C499">
        <v>405</v>
      </c>
      <c r="D499">
        <v>16375</v>
      </c>
      <c r="E499">
        <v>1117</v>
      </c>
      <c r="F499">
        <v>0</v>
      </c>
      <c r="G499" t="s">
        <v>1265</v>
      </c>
      <c r="H499">
        <v>1</v>
      </c>
      <c r="I499" t="s">
        <v>1265</v>
      </c>
      <c r="J499" t="s">
        <v>1265</v>
      </c>
      <c r="K499" t="s">
        <v>3191</v>
      </c>
      <c r="L499" t="s">
        <v>3176</v>
      </c>
      <c r="M499" t="s">
        <v>3190</v>
      </c>
      <c r="N499" t="s">
        <v>3174</v>
      </c>
      <c r="O499">
        <v>264</v>
      </c>
      <c r="P499" t="s">
        <v>4497</v>
      </c>
      <c r="R499">
        <v>0</v>
      </c>
      <c r="S499">
        <v>0</v>
      </c>
      <c r="T499">
        <v>64</v>
      </c>
      <c r="U499">
        <v>0</v>
      </c>
      <c r="V499">
        <v>256</v>
      </c>
      <c r="W499">
        <v>256</v>
      </c>
      <c r="X499">
        <v>64</v>
      </c>
      <c r="Y499">
        <v>0</v>
      </c>
      <c r="Z499">
        <v>0</v>
      </c>
      <c r="AA499">
        <v>0</v>
      </c>
      <c r="AE499" s="30">
        <v>46465.333333333336</v>
      </c>
      <c r="AF499" s="30">
        <v>46477.708333333336</v>
      </c>
      <c r="AH499" s="30">
        <v>46465.333333333336</v>
      </c>
      <c r="AI499" s="30">
        <v>46477.708333333336</v>
      </c>
      <c r="AJ499" s="30">
        <v>46465.333333333336</v>
      </c>
      <c r="AK499" s="30">
        <v>46477.708333333336</v>
      </c>
      <c r="AL499" s="30">
        <v>46465.333333333336</v>
      </c>
      <c r="AM499" s="30">
        <v>46477.708333333336</v>
      </c>
      <c r="AN499" s="30">
        <v>46465.333333333336</v>
      </c>
      <c r="AO499" s="30">
        <v>46477.708333333336</v>
      </c>
      <c r="AQ499" t="s">
        <v>3171</v>
      </c>
      <c r="AV499" t="s">
        <v>4496</v>
      </c>
      <c r="AZ499" t="s">
        <v>1266</v>
      </c>
      <c r="BA499">
        <v>0</v>
      </c>
      <c r="BB499">
        <v>0</v>
      </c>
      <c r="BJ499" s="30">
        <v>45953.652083333334</v>
      </c>
      <c r="BK499" s="30">
        <v>46093.59652777778</v>
      </c>
      <c r="BL499" t="s">
        <v>2716</v>
      </c>
      <c r="BM499" t="s">
        <v>1259</v>
      </c>
      <c r="BO499" t="s">
        <v>1265</v>
      </c>
    </row>
    <row r="500" spans="1:67" x14ac:dyDescent="0.25">
      <c r="A500" t="s">
        <v>1248</v>
      </c>
      <c r="B500">
        <v>119820</v>
      </c>
      <c r="C500">
        <v>405</v>
      </c>
      <c r="D500">
        <v>16368</v>
      </c>
      <c r="E500">
        <v>1117</v>
      </c>
      <c r="F500">
        <v>0</v>
      </c>
      <c r="G500" t="s">
        <v>1265</v>
      </c>
      <c r="H500">
        <v>0</v>
      </c>
      <c r="I500" t="s">
        <v>1265</v>
      </c>
      <c r="J500" t="s">
        <v>1265</v>
      </c>
      <c r="K500" t="s">
        <v>3191</v>
      </c>
      <c r="L500" t="s">
        <v>4189</v>
      </c>
      <c r="M500" t="s">
        <v>4188</v>
      </c>
      <c r="N500" t="s">
        <v>3174</v>
      </c>
      <c r="O500">
        <v>4</v>
      </c>
      <c r="P500" t="s">
        <v>4495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E500" s="30">
        <v>45614.333333333336</v>
      </c>
      <c r="AF500" s="30">
        <v>45614.333333333336</v>
      </c>
      <c r="AH500" s="30">
        <v>45614.333333333336</v>
      </c>
      <c r="AI500" s="30">
        <v>45614.333333333336</v>
      </c>
      <c r="AJ500" s="30">
        <v>45614.333333333336</v>
      </c>
      <c r="AK500" s="30">
        <v>45614.333333333336</v>
      </c>
      <c r="AL500" s="30">
        <v>45614.333333333336</v>
      </c>
      <c r="AM500" s="30">
        <v>45614.333333333336</v>
      </c>
      <c r="AN500" s="30">
        <v>45614.333333333336</v>
      </c>
      <c r="AO500" s="30">
        <v>45614.333333333336</v>
      </c>
      <c r="AQ500" t="s">
        <v>3171</v>
      </c>
      <c r="AV500" t="s">
        <v>4494</v>
      </c>
      <c r="AZ500" t="s">
        <v>1266</v>
      </c>
      <c r="BA500">
        <v>0</v>
      </c>
      <c r="BB500">
        <v>0</v>
      </c>
      <c r="BJ500" s="30">
        <v>45953.652083333334</v>
      </c>
      <c r="BK500" s="30">
        <v>46093.595138888886</v>
      </c>
      <c r="BL500" t="s">
        <v>2716</v>
      </c>
      <c r="BM500" t="s">
        <v>1259</v>
      </c>
      <c r="BO500" t="s">
        <v>1265</v>
      </c>
    </row>
    <row r="501" spans="1:67" x14ac:dyDescent="0.25">
      <c r="A501" t="s">
        <v>1248</v>
      </c>
      <c r="B501">
        <v>119821</v>
      </c>
      <c r="C501">
        <v>405</v>
      </c>
      <c r="D501">
        <v>16387</v>
      </c>
      <c r="E501">
        <v>1117</v>
      </c>
      <c r="F501">
        <v>0</v>
      </c>
      <c r="G501" t="s">
        <v>1265</v>
      </c>
      <c r="H501">
        <v>1</v>
      </c>
      <c r="I501" t="s">
        <v>1265</v>
      </c>
      <c r="J501" t="s">
        <v>1265</v>
      </c>
      <c r="K501" t="s">
        <v>3191</v>
      </c>
      <c r="L501" t="s">
        <v>3176</v>
      </c>
      <c r="M501" t="s">
        <v>3190</v>
      </c>
      <c r="N501" t="s">
        <v>3174</v>
      </c>
      <c r="O501">
        <v>19</v>
      </c>
      <c r="P501" t="s">
        <v>4493</v>
      </c>
      <c r="R501">
        <v>0</v>
      </c>
      <c r="S501">
        <v>0</v>
      </c>
      <c r="T501">
        <v>80</v>
      </c>
      <c r="U501">
        <v>0</v>
      </c>
      <c r="V501">
        <v>640</v>
      </c>
      <c r="W501">
        <v>640</v>
      </c>
      <c r="X501">
        <v>80</v>
      </c>
      <c r="Y501">
        <v>0</v>
      </c>
      <c r="Z501">
        <v>0</v>
      </c>
      <c r="AA501">
        <v>0</v>
      </c>
      <c r="AE501" s="30">
        <v>45845.333333333336</v>
      </c>
      <c r="AF501" s="30">
        <v>45856.708333333336</v>
      </c>
      <c r="AH501" s="30">
        <v>45845.333333333336</v>
      </c>
      <c r="AI501" s="30">
        <v>45856.708333333336</v>
      </c>
      <c r="AJ501" s="30">
        <v>45845.333333333336</v>
      </c>
      <c r="AK501" s="30">
        <v>45856.708333333336</v>
      </c>
      <c r="AL501" s="30">
        <v>45845.333333333336</v>
      </c>
      <c r="AM501" s="30">
        <v>45856.708333333336</v>
      </c>
      <c r="AN501" s="30">
        <v>45845.333333333336</v>
      </c>
      <c r="AO501" s="30">
        <v>45856.708333333336</v>
      </c>
      <c r="AQ501" t="s">
        <v>3171</v>
      </c>
      <c r="AV501" t="s">
        <v>4492</v>
      </c>
      <c r="AZ501" t="s">
        <v>1266</v>
      </c>
      <c r="BA501">
        <v>0</v>
      </c>
      <c r="BB501">
        <v>0</v>
      </c>
      <c r="BJ501" s="30">
        <v>45953.652083333334</v>
      </c>
      <c r="BK501" s="30">
        <v>46093.729861111111</v>
      </c>
      <c r="BL501" t="s">
        <v>2716</v>
      </c>
      <c r="BM501" t="s">
        <v>1259</v>
      </c>
      <c r="BO501" t="s">
        <v>1265</v>
      </c>
    </row>
    <row r="502" spans="1:67" x14ac:dyDescent="0.25">
      <c r="A502" t="s">
        <v>1248</v>
      </c>
      <c r="B502">
        <v>119822</v>
      </c>
      <c r="C502">
        <v>405</v>
      </c>
      <c r="D502">
        <v>16374</v>
      </c>
      <c r="E502">
        <v>1117</v>
      </c>
      <c r="F502">
        <v>0</v>
      </c>
      <c r="G502" t="s">
        <v>1265</v>
      </c>
      <c r="H502">
        <v>1</v>
      </c>
      <c r="I502" t="s">
        <v>1265</v>
      </c>
      <c r="J502" t="s">
        <v>1265</v>
      </c>
      <c r="K502" t="s">
        <v>3191</v>
      </c>
      <c r="L502" t="s">
        <v>3176</v>
      </c>
      <c r="M502" t="s">
        <v>3190</v>
      </c>
      <c r="N502" t="s">
        <v>3174</v>
      </c>
      <c r="O502">
        <v>268</v>
      </c>
      <c r="P502" t="s">
        <v>4491</v>
      </c>
      <c r="R502">
        <v>40</v>
      </c>
      <c r="S502">
        <v>40</v>
      </c>
      <c r="T502">
        <v>40</v>
      </c>
      <c r="U502">
        <v>0</v>
      </c>
      <c r="V502">
        <v>0</v>
      </c>
      <c r="W502">
        <v>0</v>
      </c>
      <c r="X502">
        <v>40</v>
      </c>
      <c r="Y502">
        <v>0</v>
      </c>
      <c r="Z502">
        <v>0</v>
      </c>
      <c r="AA502">
        <v>0</v>
      </c>
      <c r="AE502" s="30">
        <v>46513.333333333336</v>
      </c>
      <c r="AF502" s="30">
        <v>46519.708333333336</v>
      </c>
      <c r="AH502" s="30">
        <v>46506.333333333336</v>
      </c>
      <c r="AI502" s="30">
        <v>46512.708333333336</v>
      </c>
      <c r="AJ502" s="30">
        <v>46506.333333333336</v>
      </c>
      <c r="AK502" s="30">
        <v>46512.708333333336</v>
      </c>
      <c r="AL502" s="30">
        <v>46506.333333333336</v>
      </c>
      <c r="AM502" s="30">
        <v>46512.708333333336</v>
      </c>
      <c r="AN502" s="30">
        <v>46513.333333333336</v>
      </c>
      <c r="AO502" s="30">
        <v>46519.708333333336</v>
      </c>
      <c r="AQ502" t="s">
        <v>3171</v>
      </c>
      <c r="AV502" t="s">
        <v>4490</v>
      </c>
      <c r="AZ502" t="s">
        <v>1265</v>
      </c>
      <c r="BA502">
        <v>0</v>
      </c>
      <c r="BB502">
        <v>0</v>
      </c>
      <c r="BJ502" s="30">
        <v>45953.652083333334</v>
      </c>
      <c r="BK502" s="30">
        <v>46093.59652777778</v>
      </c>
      <c r="BL502" t="s">
        <v>2716</v>
      </c>
      <c r="BM502" t="s">
        <v>1259</v>
      </c>
      <c r="BO502" t="s">
        <v>1265</v>
      </c>
    </row>
    <row r="503" spans="1:67" x14ac:dyDescent="0.25">
      <c r="A503" t="s">
        <v>1248</v>
      </c>
      <c r="B503">
        <v>119848</v>
      </c>
      <c r="C503">
        <v>405</v>
      </c>
      <c r="D503">
        <v>16399</v>
      </c>
      <c r="E503">
        <v>1117</v>
      </c>
      <c r="F503">
        <v>0</v>
      </c>
      <c r="G503" t="s">
        <v>1265</v>
      </c>
      <c r="H503">
        <v>1</v>
      </c>
      <c r="I503" t="s">
        <v>1265</v>
      </c>
      <c r="J503" t="s">
        <v>1265</v>
      </c>
      <c r="K503" t="s">
        <v>3191</v>
      </c>
      <c r="L503" t="s">
        <v>3176</v>
      </c>
      <c r="M503" t="s">
        <v>3190</v>
      </c>
      <c r="N503" t="s">
        <v>3174</v>
      </c>
      <c r="O503">
        <v>69</v>
      </c>
      <c r="P503" t="s">
        <v>4489</v>
      </c>
      <c r="R503">
        <v>136</v>
      </c>
      <c r="S503">
        <v>0</v>
      </c>
      <c r="T503">
        <v>24</v>
      </c>
      <c r="U503">
        <v>0</v>
      </c>
      <c r="V503">
        <v>448</v>
      </c>
      <c r="W503">
        <v>448</v>
      </c>
      <c r="X503">
        <v>24</v>
      </c>
      <c r="Y503">
        <v>0</v>
      </c>
      <c r="Z503">
        <v>0</v>
      </c>
      <c r="AA503">
        <v>0</v>
      </c>
      <c r="AE503" s="30">
        <v>45813.333333333336</v>
      </c>
      <c r="AF503" s="30">
        <v>45817.708333333336</v>
      </c>
      <c r="AH503" s="30">
        <v>45790.333333333336</v>
      </c>
      <c r="AI503" s="30">
        <v>45792.708333333336</v>
      </c>
      <c r="AJ503" s="30">
        <v>45790.333333333336</v>
      </c>
      <c r="AK503" s="30">
        <v>45792.708333333336</v>
      </c>
      <c r="AL503" s="30">
        <v>45790.333333333336</v>
      </c>
      <c r="AM503" s="30">
        <v>45792.708333333336</v>
      </c>
      <c r="AN503" s="30">
        <v>45813.333333333336</v>
      </c>
      <c r="AO503" s="30">
        <v>45817.708333333336</v>
      </c>
      <c r="AQ503" t="s">
        <v>3171</v>
      </c>
      <c r="AV503" t="s">
        <v>4488</v>
      </c>
      <c r="AZ503" t="s">
        <v>1265</v>
      </c>
      <c r="BA503">
        <v>0</v>
      </c>
      <c r="BB503">
        <v>0</v>
      </c>
      <c r="BJ503" s="30">
        <v>45953.652083333334</v>
      </c>
      <c r="BK503" s="30">
        <v>46093.595138888886</v>
      </c>
      <c r="BL503" t="s">
        <v>2716</v>
      </c>
      <c r="BM503" t="s">
        <v>1259</v>
      </c>
      <c r="BO503" t="s">
        <v>1265</v>
      </c>
    </row>
    <row r="504" spans="1:67" x14ac:dyDescent="0.25">
      <c r="A504" t="s">
        <v>1248</v>
      </c>
      <c r="B504">
        <v>119849</v>
      </c>
      <c r="C504">
        <v>405</v>
      </c>
      <c r="D504">
        <v>16399</v>
      </c>
      <c r="E504">
        <v>1117</v>
      </c>
      <c r="F504">
        <v>0</v>
      </c>
      <c r="G504" t="s">
        <v>1265</v>
      </c>
      <c r="H504">
        <v>1</v>
      </c>
      <c r="I504" t="s">
        <v>1265</v>
      </c>
      <c r="J504" t="s">
        <v>1265</v>
      </c>
      <c r="K504" t="s">
        <v>3191</v>
      </c>
      <c r="L504" t="s">
        <v>3176</v>
      </c>
      <c r="M504" t="s">
        <v>3190</v>
      </c>
      <c r="N504" t="s">
        <v>3174</v>
      </c>
      <c r="O504">
        <v>70</v>
      </c>
      <c r="P504" t="s">
        <v>4487</v>
      </c>
      <c r="R504" t="s">
        <v>3188</v>
      </c>
      <c r="S504">
        <v>0</v>
      </c>
      <c r="T504">
        <v>24</v>
      </c>
      <c r="U504">
        <v>0</v>
      </c>
      <c r="V504">
        <v>448</v>
      </c>
      <c r="W504">
        <v>448</v>
      </c>
      <c r="X504">
        <v>24</v>
      </c>
      <c r="Y504">
        <v>0</v>
      </c>
      <c r="Z504">
        <v>0</v>
      </c>
      <c r="AA504">
        <v>0</v>
      </c>
      <c r="AE504" s="30">
        <v>45849.60833333333</v>
      </c>
      <c r="AF504" s="30">
        <v>45854.60833333333</v>
      </c>
      <c r="AH504" s="30">
        <v>45793.333333333336</v>
      </c>
      <c r="AI504" s="30">
        <v>45797.708333333336</v>
      </c>
      <c r="AJ504" s="30">
        <v>45793.333333333336</v>
      </c>
      <c r="AK504" s="30">
        <v>45797.708333333336</v>
      </c>
      <c r="AL504" s="30">
        <v>45793.333333333336</v>
      </c>
      <c r="AM504" s="30">
        <v>45797.708333333336</v>
      </c>
      <c r="AN504" s="30">
        <v>45849.60833333333</v>
      </c>
      <c r="AO504" s="30">
        <v>45854.60833333333</v>
      </c>
      <c r="AQ504" t="s">
        <v>3171</v>
      </c>
      <c r="AV504" t="s">
        <v>4486</v>
      </c>
      <c r="AZ504" t="s">
        <v>1265</v>
      </c>
      <c r="BA504">
        <v>0</v>
      </c>
      <c r="BB504">
        <v>0</v>
      </c>
      <c r="BJ504" s="30">
        <v>45953.652083333334</v>
      </c>
      <c r="BK504" s="30">
        <v>46093.73333333333</v>
      </c>
      <c r="BL504" t="s">
        <v>2716</v>
      </c>
      <c r="BM504" t="s">
        <v>1259</v>
      </c>
      <c r="BO504" t="s">
        <v>1265</v>
      </c>
    </row>
    <row r="505" spans="1:67" x14ac:dyDescent="0.25">
      <c r="A505" t="s">
        <v>1248</v>
      </c>
      <c r="B505">
        <v>119850</v>
      </c>
      <c r="C505">
        <v>405</v>
      </c>
      <c r="D505">
        <v>16399</v>
      </c>
      <c r="E505">
        <v>1117</v>
      </c>
      <c r="F505">
        <v>0</v>
      </c>
      <c r="G505" t="s">
        <v>1265</v>
      </c>
      <c r="H505">
        <v>1</v>
      </c>
      <c r="I505" t="s">
        <v>1265</v>
      </c>
      <c r="J505" t="s">
        <v>1265</v>
      </c>
      <c r="K505" t="s">
        <v>3191</v>
      </c>
      <c r="L505" t="s">
        <v>3176</v>
      </c>
      <c r="M505" t="s">
        <v>3190</v>
      </c>
      <c r="N505" t="s">
        <v>3174</v>
      </c>
      <c r="O505">
        <v>71</v>
      </c>
      <c r="P505" t="s">
        <v>4485</v>
      </c>
      <c r="R505" t="s">
        <v>3188</v>
      </c>
      <c r="S505">
        <v>0</v>
      </c>
      <c r="T505">
        <v>24</v>
      </c>
      <c r="U505">
        <v>0</v>
      </c>
      <c r="V505">
        <v>448</v>
      </c>
      <c r="W505">
        <v>448</v>
      </c>
      <c r="X505">
        <v>24</v>
      </c>
      <c r="Y505">
        <v>0</v>
      </c>
      <c r="Z505">
        <v>0</v>
      </c>
      <c r="AA505">
        <v>0</v>
      </c>
      <c r="AE505" s="30">
        <v>45854.60833333333</v>
      </c>
      <c r="AF505" s="30">
        <v>45859.60833333333</v>
      </c>
      <c r="AH505" s="30">
        <v>45798.333333333336</v>
      </c>
      <c r="AI505" s="30">
        <v>45800.708333333336</v>
      </c>
      <c r="AJ505" s="30">
        <v>45798.333333333336</v>
      </c>
      <c r="AK505" s="30">
        <v>45800.708333333336</v>
      </c>
      <c r="AL505" s="30">
        <v>45798.333333333336</v>
      </c>
      <c r="AM505" s="30">
        <v>45800.708333333336</v>
      </c>
      <c r="AN505" s="30">
        <v>45854.60833333333</v>
      </c>
      <c r="AO505" s="30">
        <v>45859.60833333333</v>
      </c>
      <c r="AQ505" t="s">
        <v>3171</v>
      </c>
      <c r="AV505" t="s">
        <v>4484</v>
      </c>
      <c r="AZ505" t="s">
        <v>1265</v>
      </c>
      <c r="BA505">
        <v>0</v>
      </c>
      <c r="BB505">
        <v>0</v>
      </c>
      <c r="BJ505" s="30">
        <v>45953.652083333334</v>
      </c>
      <c r="BK505" s="30">
        <v>46093.73333333333</v>
      </c>
      <c r="BL505" t="s">
        <v>2716</v>
      </c>
      <c r="BM505" t="s">
        <v>1259</v>
      </c>
      <c r="BO505" t="s">
        <v>1265</v>
      </c>
    </row>
    <row r="506" spans="1:67" x14ac:dyDescent="0.25">
      <c r="A506" t="s">
        <v>1248</v>
      </c>
      <c r="B506">
        <v>119851</v>
      </c>
      <c r="C506">
        <v>405</v>
      </c>
      <c r="D506">
        <v>16399</v>
      </c>
      <c r="E506">
        <v>1117</v>
      </c>
      <c r="F506">
        <v>0</v>
      </c>
      <c r="G506" t="s">
        <v>1265</v>
      </c>
      <c r="H506">
        <v>1</v>
      </c>
      <c r="I506" t="s">
        <v>1265</v>
      </c>
      <c r="J506" t="s">
        <v>1265</v>
      </c>
      <c r="K506" t="s">
        <v>3191</v>
      </c>
      <c r="L506" t="s">
        <v>3176</v>
      </c>
      <c r="M506" t="s">
        <v>3190</v>
      </c>
      <c r="N506" t="s">
        <v>3174</v>
      </c>
      <c r="O506">
        <v>72</v>
      </c>
      <c r="P506" t="s">
        <v>4483</v>
      </c>
      <c r="R506" t="s">
        <v>3257</v>
      </c>
      <c r="S506">
        <v>0</v>
      </c>
      <c r="T506">
        <v>24</v>
      </c>
      <c r="U506">
        <v>0</v>
      </c>
      <c r="V506">
        <v>448</v>
      </c>
      <c r="W506">
        <v>448</v>
      </c>
      <c r="X506">
        <v>24</v>
      </c>
      <c r="Y506">
        <v>0</v>
      </c>
      <c r="Z506">
        <v>0</v>
      </c>
      <c r="AA506">
        <v>0</v>
      </c>
      <c r="AE506" s="30">
        <v>46003.65</v>
      </c>
      <c r="AF506" s="30">
        <v>46008.65</v>
      </c>
      <c r="AH506" s="30">
        <v>45803.333333333336</v>
      </c>
      <c r="AI506" s="30">
        <v>45805.708333333336</v>
      </c>
      <c r="AJ506" s="30">
        <v>45803.333333333336</v>
      </c>
      <c r="AK506" s="30">
        <v>45805.708333333336</v>
      </c>
      <c r="AL506" s="30">
        <v>45803.333333333336</v>
      </c>
      <c r="AM506" s="30">
        <v>45805.708333333336</v>
      </c>
      <c r="AN506" s="30">
        <v>46003.65</v>
      </c>
      <c r="AO506" s="30">
        <v>46008.65</v>
      </c>
      <c r="AQ506" t="s">
        <v>3171</v>
      </c>
      <c r="AV506" t="s">
        <v>4482</v>
      </c>
      <c r="AZ506" t="s">
        <v>1265</v>
      </c>
      <c r="BA506">
        <v>0</v>
      </c>
      <c r="BB506">
        <v>0</v>
      </c>
      <c r="BJ506" s="30">
        <v>45953.652083333334</v>
      </c>
      <c r="BK506" s="30">
        <v>46093.667361111111</v>
      </c>
      <c r="BL506" t="s">
        <v>2716</v>
      </c>
      <c r="BM506" t="s">
        <v>1259</v>
      </c>
      <c r="BO506" t="s">
        <v>1265</v>
      </c>
    </row>
    <row r="507" spans="1:67" x14ac:dyDescent="0.25">
      <c r="A507" t="s">
        <v>1248</v>
      </c>
      <c r="B507">
        <v>119852</v>
      </c>
      <c r="C507">
        <v>405</v>
      </c>
      <c r="D507">
        <v>16399</v>
      </c>
      <c r="E507">
        <v>1117</v>
      </c>
      <c r="F507">
        <v>0</v>
      </c>
      <c r="G507" t="s">
        <v>1265</v>
      </c>
      <c r="H507">
        <v>1</v>
      </c>
      <c r="I507" t="s">
        <v>1265</v>
      </c>
      <c r="J507" t="s">
        <v>1265</v>
      </c>
      <c r="K507" t="s">
        <v>3191</v>
      </c>
      <c r="L507" t="s">
        <v>3176</v>
      </c>
      <c r="M507" t="s">
        <v>3190</v>
      </c>
      <c r="N507" t="s">
        <v>3174</v>
      </c>
      <c r="O507">
        <v>73</v>
      </c>
      <c r="P507" t="s">
        <v>4481</v>
      </c>
      <c r="R507" t="s">
        <v>3257</v>
      </c>
      <c r="S507">
        <v>0</v>
      </c>
      <c r="T507">
        <v>24</v>
      </c>
      <c r="U507">
        <v>0</v>
      </c>
      <c r="V507">
        <v>448</v>
      </c>
      <c r="W507">
        <v>448</v>
      </c>
      <c r="X507">
        <v>24</v>
      </c>
      <c r="Y507">
        <v>0</v>
      </c>
      <c r="Z507">
        <v>0</v>
      </c>
      <c r="AA507">
        <v>0</v>
      </c>
      <c r="AE507" s="30">
        <v>46008.65</v>
      </c>
      <c r="AF507" s="30">
        <v>46013.65</v>
      </c>
      <c r="AH507" s="30">
        <v>45806.333333333336</v>
      </c>
      <c r="AI507" s="30">
        <v>45810.708333333336</v>
      </c>
      <c r="AJ507" s="30">
        <v>45806.333333333336</v>
      </c>
      <c r="AK507" s="30">
        <v>45810.708333333336</v>
      </c>
      <c r="AL507" s="30">
        <v>45806.333333333336</v>
      </c>
      <c r="AM507" s="30">
        <v>45810.708333333336</v>
      </c>
      <c r="AN507" s="30">
        <v>46008.65</v>
      </c>
      <c r="AO507" s="30">
        <v>46013.65</v>
      </c>
      <c r="AQ507" t="s">
        <v>3171</v>
      </c>
      <c r="AV507" t="s">
        <v>4480</v>
      </c>
      <c r="AZ507" t="s">
        <v>1265</v>
      </c>
      <c r="BA507">
        <v>0</v>
      </c>
      <c r="BB507">
        <v>0</v>
      </c>
      <c r="BJ507" s="30">
        <v>45953.652083333334</v>
      </c>
      <c r="BK507" s="30">
        <v>46093.667361111111</v>
      </c>
      <c r="BL507" t="s">
        <v>2716</v>
      </c>
      <c r="BM507" t="s">
        <v>1259</v>
      </c>
      <c r="BO507" t="s">
        <v>1265</v>
      </c>
    </row>
    <row r="508" spans="1:67" x14ac:dyDescent="0.25">
      <c r="A508" t="s">
        <v>1248</v>
      </c>
      <c r="B508">
        <v>119853</v>
      </c>
      <c r="C508">
        <v>405</v>
      </c>
      <c r="D508">
        <v>16399</v>
      </c>
      <c r="E508">
        <v>1117</v>
      </c>
      <c r="F508">
        <v>0</v>
      </c>
      <c r="G508" t="s">
        <v>1265</v>
      </c>
      <c r="H508">
        <v>1</v>
      </c>
      <c r="I508" t="s">
        <v>1265</v>
      </c>
      <c r="J508" t="s">
        <v>1265</v>
      </c>
      <c r="K508" t="s">
        <v>3191</v>
      </c>
      <c r="L508" t="s">
        <v>3176</v>
      </c>
      <c r="M508" t="s">
        <v>3190</v>
      </c>
      <c r="N508" t="s">
        <v>3174</v>
      </c>
      <c r="O508">
        <v>74</v>
      </c>
      <c r="P508" t="s">
        <v>4479</v>
      </c>
      <c r="R508" t="s">
        <v>3257</v>
      </c>
      <c r="S508">
        <v>0</v>
      </c>
      <c r="T508">
        <v>24</v>
      </c>
      <c r="U508">
        <v>0</v>
      </c>
      <c r="V508">
        <v>448</v>
      </c>
      <c r="W508">
        <v>448</v>
      </c>
      <c r="X508">
        <v>24</v>
      </c>
      <c r="Y508">
        <v>0</v>
      </c>
      <c r="Z508">
        <v>0</v>
      </c>
      <c r="AA508">
        <v>0</v>
      </c>
      <c r="AE508" s="30">
        <v>46013.65</v>
      </c>
      <c r="AF508" s="30">
        <v>46016.65</v>
      </c>
      <c r="AH508" s="30">
        <v>45811.333333333336</v>
      </c>
      <c r="AI508" s="30">
        <v>45813.708333333336</v>
      </c>
      <c r="AJ508" s="30">
        <v>45811.333333333336</v>
      </c>
      <c r="AK508" s="30">
        <v>45813.708333333336</v>
      </c>
      <c r="AL508" s="30">
        <v>45811.333333333336</v>
      </c>
      <c r="AM508" s="30">
        <v>45813.708333333336</v>
      </c>
      <c r="AN508" s="30">
        <v>46013.65</v>
      </c>
      <c r="AO508" s="30">
        <v>46016.65</v>
      </c>
      <c r="AQ508" t="s">
        <v>3171</v>
      </c>
      <c r="AV508" t="s">
        <v>4478</v>
      </c>
      <c r="AZ508" t="s">
        <v>1265</v>
      </c>
      <c r="BA508">
        <v>0</v>
      </c>
      <c r="BB508">
        <v>0</v>
      </c>
      <c r="BJ508" s="30">
        <v>45953.652083333334</v>
      </c>
      <c r="BK508" s="30">
        <v>46093.667361111111</v>
      </c>
      <c r="BL508" t="s">
        <v>2716</v>
      </c>
      <c r="BM508" t="s">
        <v>1259</v>
      </c>
      <c r="BO508" t="s">
        <v>1265</v>
      </c>
    </row>
    <row r="509" spans="1:67" x14ac:dyDescent="0.25">
      <c r="A509" t="s">
        <v>1248</v>
      </c>
      <c r="B509">
        <v>119854</v>
      </c>
      <c r="C509">
        <v>405</v>
      </c>
      <c r="D509">
        <v>16399</v>
      </c>
      <c r="E509">
        <v>1117</v>
      </c>
      <c r="F509">
        <v>0</v>
      </c>
      <c r="G509" t="s">
        <v>1265</v>
      </c>
      <c r="H509">
        <v>1</v>
      </c>
      <c r="I509" t="s">
        <v>1265</v>
      </c>
      <c r="J509" t="s">
        <v>1265</v>
      </c>
      <c r="K509" t="s">
        <v>3191</v>
      </c>
      <c r="L509" t="s">
        <v>3176</v>
      </c>
      <c r="M509" t="s">
        <v>3190</v>
      </c>
      <c r="N509" t="s">
        <v>3174</v>
      </c>
      <c r="O509">
        <v>75</v>
      </c>
      <c r="P509" t="s">
        <v>4477</v>
      </c>
      <c r="R509" t="s">
        <v>4476</v>
      </c>
      <c r="S509">
        <v>0</v>
      </c>
      <c r="T509">
        <v>24</v>
      </c>
      <c r="U509">
        <v>0</v>
      </c>
      <c r="V509">
        <v>448</v>
      </c>
      <c r="W509">
        <v>448</v>
      </c>
      <c r="X509">
        <v>24</v>
      </c>
      <c r="Y509">
        <v>0</v>
      </c>
      <c r="Z509">
        <v>0</v>
      </c>
      <c r="AA509">
        <v>0</v>
      </c>
      <c r="AE509" s="30">
        <v>46064.691666666666</v>
      </c>
      <c r="AF509" s="30">
        <v>46069.691666666666</v>
      </c>
      <c r="AH509" s="30">
        <v>45814.333333333336</v>
      </c>
      <c r="AI509" s="30">
        <v>45818.708333333336</v>
      </c>
      <c r="AJ509" s="30">
        <v>45814.333333333336</v>
      </c>
      <c r="AK509" s="30">
        <v>45818.708333333336</v>
      </c>
      <c r="AL509" s="30">
        <v>45814.333333333336</v>
      </c>
      <c r="AM509" s="30">
        <v>45818.708333333336</v>
      </c>
      <c r="AN509" s="30">
        <v>46064.691666666666</v>
      </c>
      <c r="AO509" s="30">
        <v>46069.691666666666</v>
      </c>
      <c r="AQ509" t="s">
        <v>3171</v>
      </c>
      <c r="AV509" t="s">
        <v>4475</v>
      </c>
      <c r="AZ509" t="s">
        <v>1265</v>
      </c>
      <c r="BA509">
        <v>0</v>
      </c>
      <c r="BB509">
        <v>0</v>
      </c>
      <c r="BJ509" s="30">
        <v>45953.652083333334</v>
      </c>
      <c r="BK509" s="30">
        <v>46093.667361111111</v>
      </c>
      <c r="BL509" t="s">
        <v>2716</v>
      </c>
      <c r="BM509" t="s">
        <v>1259</v>
      </c>
      <c r="BO509" t="s">
        <v>1265</v>
      </c>
    </row>
    <row r="510" spans="1:67" x14ac:dyDescent="0.25">
      <c r="A510" t="s">
        <v>1248</v>
      </c>
      <c r="B510">
        <v>119855</v>
      </c>
      <c r="C510">
        <v>405</v>
      </c>
      <c r="D510">
        <v>16399</v>
      </c>
      <c r="E510">
        <v>1117</v>
      </c>
      <c r="F510">
        <v>0</v>
      </c>
      <c r="G510" t="s">
        <v>1265</v>
      </c>
      <c r="H510">
        <v>1</v>
      </c>
      <c r="I510" t="s">
        <v>1265</v>
      </c>
      <c r="J510" t="s">
        <v>1265</v>
      </c>
      <c r="K510" t="s">
        <v>3191</v>
      </c>
      <c r="L510" t="s">
        <v>3176</v>
      </c>
      <c r="M510" t="s">
        <v>3190</v>
      </c>
      <c r="N510" t="s">
        <v>3174</v>
      </c>
      <c r="O510">
        <v>76</v>
      </c>
      <c r="P510" t="s">
        <v>4474</v>
      </c>
      <c r="R510" t="s">
        <v>4473</v>
      </c>
      <c r="S510">
        <v>0</v>
      </c>
      <c r="T510">
        <v>24</v>
      </c>
      <c r="U510">
        <v>0</v>
      </c>
      <c r="V510">
        <v>448</v>
      </c>
      <c r="W510">
        <v>448</v>
      </c>
      <c r="X510">
        <v>24</v>
      </c>
      <c r="Y510">
        <v>0</v>
      </c>
      <c r="Z510">
        <v>0</v>
      </c>
      <c r="AA510">
        <v>0</v>
      </c>
      <c r="AE510" s="30">
        <v>46080.691666666666</v>
      </c>
      <c r="AF510" s="30">
        <v>46085.691666666666</v>
      </c>
      <c r="AH510" s="30">
        <v>45819.333333333336</v>
      </c>
      <c r="AI510" s="30">
        <v>45821.708333333336</v>
      </c>
      <c r="AJ510" s="30">
        <v>45819.333333333336</v>
      </c>
      <c r="AK510" s="30">
        <v>45821.708333333336</v>
      </c>
      <c r="AL510" s="30">
        <v>45819.333333333336</v>
      </c>
      <c r="AM510" s="30">
        <v>45821.708333333336</v>
      </c>
      <c r="AN510" s="30">
        <v>46080.691666666666</v>
      </c>
      <c r="AO510" s="30">
        <v>46085.691666666666</v>
      </c>
      <c r="AQ510" t="s">
        <v>3171</v>
      </c>
      <c r="AV510" t="s">
        <v>4472</v>
      </c>
      <c r="AZ510" t="s">
        <v>1265</v>
      </c>
      <c r="BA510">
        <v>0</v>
      </c>
      <c r="BB510">
        <v>0</v>
      </c>
      <c r="BJ510" s="30">
        <v>45953.652083333334</v>
      </c>
      <c r="BK510" s="30">
        <v>46093.667361111111</v>
      </c>
      <c r="BL510" t="s">
        <v>2716</v>
      </c>
      <c r="BM510" t="s">
        <v>1259</v>
      </c>
      <c r="BO510" t="s">
        <v>1265</v>
      </c>
    </row>
    <row r="511" spans="1:67" x14ac:dyDescent="0.25">
      <c r="A511" t="s">
        <v>1248</v>
      </c>
      <c r="B511">
        <v>119856</v>
      </c>
      <c r="C511">
        <v>405</v>
      </c>
      <c r="D511">
        <v>16399</v>
      </c>
      <c r="E511">
        <v>1117</v>
      </c>
      <c r="F511">
        <v>0</v>
      </c>
      <c r="G511" t="s">
        <v>1265</v>
      </c>
      <c r="H511">
        <v>1</v>
      </c>
      <c r="I511" t="s">
        <v>1265</v>
      </c>
      <c r="J511" t="s">
        <v>1265</v>
      </c>
      <c r="K511" t="s">
        <v>3191</v>
      </c>
      <c r="L511" t="s">
        <v>3176</v>
      </c>
      <c r="M511" t="s">
        <v>3190</v>
      </c>
      <c r="N511" t="s">
        <v>3174</v>
      </c>
      <c r="O511">
        <v>77</v>
      </c>
      <c r="P511" t="s">
        <v>4471</v>
      </c>
      <c r="R511" t="s">
        <v>3368</v>
      </c>
      <c r="S511">
        <v>0</v>
      </c>
      <c r="T511">
        <v>24</v>
      </c>
      <c r="U511">
        <v>0</v>
      </c>
      <c r="V511">
        <v>448</v>
      </c>
      <c r="W511">
        <v>448</v>
      </c>
      <c r="X511">
        <v>24</v>
      </c>
      <c r="Y511">
        <v>0</v>
      </c>
      <c r="Z511">
        <v>0</v>
      </c>
      <c r="AA511">
        <v>0</v>
      </c>
      <c r="AE511" s="30">
        <v>46098.691666666666</v>
      </c>
      <c r="AF511" s="30">
        <v>46101.691666666666</v>
      </c>
      <c r="AH511" s="30">
        <v>45824.333333333336</v>
      </c>
      <c r="AI511" s="30">
        <v>45826.708333333336</v>
      </c>
      <c r="AJ511" s="30">
        <v>45824.333333333336</v>
      </c>
      <c r="AK511" s="30">
        <v>45826.708333333336</v>
      </c>
      <c r="AL511" s="30">
        <v>45824.333333333336</v>
      </c>
      <c r="AM511" s="30">
        <v>45826.708333333336</v>
      </c>
      <c r="AN511" s="30">
        <v>46098.691666666666</v>
      </c>
      <c r="AO511" s="30">
        <v>46101.691666666666</v>
      </c>
      <c r="AQ511" t="s">
        <v>3171</v>
      </c>
      <c r="AV511" t="s">
        <v>4470</v>
      </c>
      <c r="AZ511" t="s">
        <v>1265</v>
      </c>
      <c r="BA511">
        <v>0</v>
      </c>
      <c r="BB511">
        <v>0</v>
      </c>
      <c r="BJ511" s="30">
        <v>45953.652083333334</v>
      </c>
      <c r="BK511" s="30">
        <v>46093.667361111111</v>
      </c>
      <c r="BL511" t="s">
        <v>2716</v>
      </c>
      <c r="BM511" t="s">
        <v>1259</v>
      </c>
      <c r="BO511" t="s">
        <v>1265</v>
      </c>
    </row>
    <row r="512" spans="1:67" x14ac:dyDescent="0.25">
      <c r="A512" t="s">
        <v>1248</v>
      </c>
      <c r="B512">
        <v>119857</v>
      </c>
      <c r="C512">
        <v>405</v>
      </c>
      <c r="D512">
        <v>16399</v>
      </c>
      <c r="E512">
        <v>1117</v>
      </c>
      <c r="F512">
        <v>0</v>
      </c>
      <c r="G512" t="s">
        <v>1265</v>
      </c>
      <c r="H512">
        <v>1</v>
      </c>
      <c r="I512" t="s">
        <v>1265</v>
      </c>
      <c r="J512" t="s">
        <v>1265</v>
      </c>
      <c r="K512" t="s">
        <v>3191</v>
      </c>
      <c r="L512" t="s">
        <v>3176</v>
      </c>
      <c r="M512" t="s">
        <v>3190</v>
      </c>
      <c r="N512" t="s">
        <v>3174</v>
      </c>
      <c r="O512">
        <v>78</v>
      </c>
      <c r="P512" t="s">
        <v>4469</v>
      </c>
      <c r="R512" t="s">
        <v>4464</v>
      </c>
      <c r="S512">
        <v>0</v>
      </c>
      <c r="T512">
        <v>24</v>
      </c>
      <c r="U512">
        <v>0</v>
      </c>
      <c r="V512">
        <v>448</v>
      </c>
      <c r="W512">
        <v>448</v>
      </c>
      <c r="X512">
        <v>24</v>
      </c>
      <c r="Y512">
        <v>0</v>
      </c>
      <c r="Z512">
        <v>0</v>
      </c>
      <c r="AA512">
        <v>0</v>
      </c>
      <c r="AE512" s="30">
        <v>46106.691666666666</v>
      </c>
      <c r="AF512" s="30">
        <v>46111.691666666666</v>
      </c>
      <c r="AH512" s="30">
        <v>45827.333333333336</v>
      </c>
      <c r="AI512" s="30">
        <v>45831.708333333336</v>
      </c>
      <c r="AJ512" s="30">
        <v>45827.333333333336</v>
      </c>
      <c r="AK512" s="30">
        <v>45831.708333333336</v>
      </c>
      <c r="AL512" s="30">
        <v>45827.333333333336</v>
      </c>
      <c r="AM512" s="30">
        <v>45831.708333333336</v>
      </c>
      <c r="AN512" s="30">
        <v>46106.691666666666</v>
      </c>
      <c r="AO512" s="30">
        <v>46111.691666666666</v>
      </c>
      <c r="AQ512" t="s">
        <v>3171</v>
      </c>
      <c r="AV512" t="s">
        <v>4468</v>
      </c>
      <c r="AZ512" t="s">
        <v>1265</v>
      </c>
      <c r="BA512">
        <v>0</v>
      </c>
      <c r="BB512">
        <v>0</v>
      </c>
      <c r="BJ512" s="30">
        <v>45953.652083333334</v>
      </c>
      <c r="BK512" s="30">
        <v>46093.667361111111</v>
      </c>
      <c r="BL512" t="s">
        <v>2716</v>
      </c>
      <c r="BM512" t="s">
        <v>1259</v>
      </c>
      <c r="BO512" t="s">
        <v>1265</v>
      </c>
    </row>
    <row r="513" spans="1:67" x14ac:dyDescent="0.25">
      <c r="A513" t="s">
        <v>1248</v>
      </c>
      <c r="B513">
        <v>119858</v>
      </c>
      <c r="C513">
        <v>405</v>
      </c>
      <c r="D513">
        <v>16399</v>
      </c>
      <c r="E513">
        <v>1117</v>
      </c>
      <c r="F513">
        <v>0</v>
      </c>
      <c r="G513" t="s">
        <v>1265</v>
      </c>
      <c r="H513">
        <v>1</v>
      </c>
      <c r="I513" t="s">
        <v>1265</v>
      </c>
      <c r="J513" t="s">
        <v>1265</v>
      </c>
      <c r="K513" t="s">
        <v>3191</v>
      </c>
      <c r="L513" t="s">
        <v>3176</v>
      </c>
      <c r="M513" t="s">
        <v>3190</v>
      </c>
      <c r="N513" t="s">
        <v>3174</v>
      </c>
      <c r="O513">
        <v>79</v>
      </c>
      <c r="P513" t="s">
        <v>4467</v>
      </c>
      <c r="R513" t="s">
        <v>4464</v>
      </c>
      <c r="S513">
        <v>0</v>
      </c>
      <c r="T513">
        <v>24</v>
      </c>
      <c r="U513">
        <v>0</v>
      </c>
      <c r="V513">
        <v>448</v>
      </c>
      <c r="W513">
        <v>448</v>
      </c>
      <c r="X513">
        <v>24</v>
      </c>
      <c r="Y513">
        <v>0</v>
      </c>
      <c r="Z513">
        <v>0</v>
      </c>
      <c r="AA513">
        <v>0</v>
      </c>
      <c r="AE513" s="30">
        <v>46111.691666666666</v>
      </c>
      <c r="AF513" s="30">
        <v>46114.691666666666</v>
      </c>
      <c r="AH513" s="30">
        <v>45832.333333333336</v>
      </c>
      <c r="AI513" s="30">
        <v>45834.708333333336</v>
      </c>
      <c r="AJ513" s="30">
        <v>45832.333333333336</v>
      </c>
      <c r="AK513" s="30">
        <v>45834.708333333336</v>
      </c>
      <c r="AL513" s="30">
        <v>45832.333333333336</v>
      </c>
      <c r="AM513" s="30">
        <v>45834.708333333336</v>
      </c>
      <c r="AN513" s="30">
        <v>46111.691666666666</v>
      </c>
      <c r="AO513" s="30">
        <v>46114.691666666666</v>
      </c>
      <c r="AQ513" t="s">
        <v>3171</v>
      </c>
      <c r="AV513" t="s">
        <v>4466</v>
      </c>
      <c r="AZ513" t="s">
        <v>1265</v>
      </c>
      <c r="BA513">
        <v>0</v>
      </c>
      <c r="BB513">
        <v>0</v>
      </c>
      <c r="BJ513" s="30">
        <v>45953.652083333334</v>
      </c>
      <c r="BK513" s="30">
        <v>46093.667361111111</v>
      </c>
      <c r="BL513" t="s">
        <v>2716</v>
      </c>
      <c r="BM513" t="s">
        <v>1259</v>
      </c>
      <c r="BO513" t="s">
        <v>1265</v>
      </c>
    </row>
    <row r="514" spans="1:67" x14ac:dyDescent="0.25">
      <c r="A514" t="s">
        <v>1248</v>
      </c>
      <c r="B514">
        <v>119859</v>
      </c>
      <c r="C514">
        <v>405</v>
      </c>
      <c r="D514">
        <v>16399</v>
      </c>
      <c r="E514">
        <v>1117</v>
      </c>
      <c r="F514">
        <v>0</v>
      </c>
      <c r="G514" t="s">
        <v>1265</v>
      </c>
      <c r="H514">
        <v>1</v>
      </c>
      <c r="I514" t="s">
        <v>1265</v>
      </c>
      <c r="J514" t="s">
        <v>1265</v>
      </c>
      <c r="K514" t="s">
        <v>3191</v>
      </c>
      <c r="L514" t="s">
        <v>3176</v>
      </c>
      <c r="M514" t="s">
        <v>3190</v>
      </c>
      <c r="N514" t="s">
        <v>3174</v>
      </c>
      <c r="O514">
        <v>80</v>
      </c>
      <c r="P514" t="s">
        <v>4465</v>
      </c>
      <c r="R514" t="s">
        <v>4464</v>
      </c>
      <c r="S514">
        <v>0</v>
      </c>
      <c r="T514">
        <v>24</v>
      </c>
      <c r="U514">
        <v>0</v>
      </c>
      <c r="V514">
        <v>448</v>
      </c>
      <c r="W514">
        <v>448</v>
      </c>
      <c r="X514">
        <v>24</v>
      </c>
      <c r="Y514">
        <v>0</v>
      </c>
      <c r="Z514">
        <v>0</v>
      </c>
      <c r="AA514">
        <v>0</v>
      </c>
      <c r="AE514" s="30">
        <v>46114.691666666666</v>
      </c>
      <c r="AF514" s="30">
        <v>46120.691666666666</v>
      </c>
      <c r="AH514" s="30">
        <v>45835.333333333336</v>
      </c>
      <c r="AI514" s="30">
        <v>45839.708333333336</v>
      </c>
      <c r="AJ514" s="30">
        <v>45835.333333333336</v>
      </c>
      <c r="AK514" s="30">
        <v>45839.708333333336</v>
      </c>
      <c r="AL514" s="30">
        <v>45835.333333333336</v>
      </c>
      <c r="AM514" s="30">
        <v>45839.708333333336</v>
      </c>
      <c r="AN514" s="30">
        <v>46114.691666666666</v>
      </c>
      <c r="AO514" s="30">
        <v>46120.691666666666</v>
      </c>
      <c r="AQ514" t="s">
        <v>3171</v>
      </c>
      <c r="AV514" t="s">
        <v>4463</v>
      </c>
      <c r="AZ514" t="s">
        <v>1265</v>
      </c>
      <c r="BA514">
        <v>0</v>
      </c>
      <c r="BB514">
        <v>0</v>
      </c>
      <c r="BJ514" s="30">
        <v>45953.652083333334</v>
      </c>
      <c r="BK514" s="30">
        <v>46093.667361111111</v>
      </c>
      <c r="BL514" t="s">
        <v>2716</v>
      </c>
      <c r="BM514" t="s">
        <v>1259</v>
      </c>
      <c r="BO514" t="s">
        <v>1265</v>
      </c>
    </row>
    <row r="515" spans="1:67" x14ac:dyDescent="0.25">
      <c r="A515" t="s">
        <v>1248</v>
      </c>
      <c r="B515">
        <v>119860</v>
      </c>
      <c r="C515">
        <v>405</v>
      </c>
      <c r="D515">
        <v>16399</v>
      </c>
      <c r="E515">
        <v>1117</v>
      </c>
      <c r="F515">
        <v>0</v>
      </c>
      <c r="G515" t="s">
        <v>1265</v>
      </c>
      <c r="H515">
        <v>1</v>
      </c>
      <c r="I515" t="s">
        <v>1265</v>
      </c>
      <c r="J515" t="s">
        <v>1265</v>
      </c>
      <c r="K515" t="s">
        <v>3191</v>
      </c>
      <c r="L515" t="s">
        <v>3176</v>
      </c>
      <c r="M515" t="s">
        <v>3190</v>
      </c>
      <c r="N515" t="s">
        <v>3174</v>
      </c>
      <c r="O515">
        <v>81</v>
      </c>
      <c r="P515" t="s">
        <v>4462</v>
      </c>
      <c r="R515" t="s">
        <v>4461</v>
      </c>
      <c r="S515">
        <v>0</v>
      </c>
      <c r="T515">
        <v>24</v>
      </c>
      <c r="U515">
        <v>0</v>
      </c>
      <c r="V515">
        <v>448</v>
      </c>
      <c r="W515">
        <v>448</v>
      </c>
      <c r="X515">
        <v>24</v>
      </c>
      <c r="Y515">
        <v>0</v>
      </c>
      <c r="Z515">
        <v>0</v>
      </c>
      <c r="AA515">
        <v>0</v>
      </c>
      <c r="AE515" s="30">
        <v>46168.691666666666</v>
      </c>
      <c r="AF515" s="30">
        <v>46171.691666666666</v>
      </c>
      <c r="AH515" s="30">
        <v>45840.333333333336</v>
      </c>
      <c r="AI515" s="30">
        <v>45842.708333333336</v>
      </c>
      <c r="AJ515" s="30">
        <v>45840.333333333336</v>
      </c>
      <c r="AK515" s="30">
        <v>45842.708333333336</v>
      </c>
      <c r="AL515" s="30">
        <v>45840.333333333336</v>
      </c>
      <c r="AM515" s="30">
        <v>45842.708333333336</v>
      </c>
      <c r="AN515" s="30">
        <v>46168.691666666666</v>
      </c>
      <c r="AO515" s="30">
        <v>46171.691666666666</v>
      </c>
      <c r="AQ515" t="s">
        <v>3171</v>
      </c>
      <c r="AV515" t="s">
        <v>4460</v>
      </c>
      <c r="AZ515" t="s">
        <v>1265</v>
      </c>
      <c r="BA515">
        <v>0</v>
      </c>
      <c r="BB515">
        <v>0</v>
      </c>
      <c r="BJ515" s="30">
        <v>45953.652083333334</v>
      </c>
      <c r="BK515" s="30">
        <v>46093.667361111111</v>
      </c>
      <c r="BL515" t="s">
        <v>2716</v>
      </c>
      <c r="BM515" t="s">
        <v>1259</v>
      </c>
      <c r="BO515" t="s">
        <v>1265</v>
      </c>
    </row>
    <row r="516" spans="1:67" x14ac:dyDescent="0.25">
      <c r="A516" t="s">
        <v>1248</v>
      </c>
      <c r="B516">
        <v>119861</v>
      </c>
      <c r="C516">
        <v>405</v>
      </c>
      <c r="D516">
        <v>16399</v>
      </c>
      <c r="E516">
        <v>1117</v>
      </c>
      <c r="F516">
        <v>0</v>
      </c>
      <c r="G516" t="s">
        <v>1265</v>
      </c>
      <c r="H516">
        <v>1</v>
      </c>
      <c r="I516" t="s">
        <v>1265</v>
      </c>
      <c r="J516" t="s">
        <v>1265</v>
      </c>
      <c r="K516" t="s">
        <v>3191</v>
      </c>
      <c r="L516" t="s">
        <v>3176</v>
      </c>
      <c r="M516" t="s">
        <v>3190</v>
      </c>
      <c r="N516" t="s">
        <v>3174</v>
      </c>
      <c r="O516">
        <v>82</v>
      </c>
      <c r="P516" t="s">
        <v>4459</v>
      </c>
      <c r="R516" t="s">
        <v>4458</v>
      </c>
      <c r="S516">
        <v>0</v>
      </c>
      <c r="T516">
        <v>24</v>
      </c>
      <c r="U516">
        <v>0</v>
      </c>
      <c r="V516">
        <v>448</v>
      </c>
      <c r="W516">
        <v>448</v>
      </c>
      <c r="X516">
        <v>24</v>
      </c>
      <c r="Y516">
        <v>0</v>
      </c>
      <c r="Z516">
        <v>0</v>
      </c>
      <c r="AA516">
        <v>0</v>
      </c>
      <c r="AE516" s="30">
        <v>46185.691666666666</v>
      </c>
      <c r="AF516" s="30">
        <v>46190.691666666666</v>
      </c>
      <c r="AH516" s="30">
        <v>45845.333333333336</v>
      </c>
      <c r="AI516" s="30">
        <v>45847.708333333336</v>
      </c>
      <c r="AJ516" s="30">
        <v>45845.333333333336</v>
      </c>
      <c r="AK516" s="30">
        <v>45847.708333333336</v>
      </c>
      <c r="AL516" s="30">
        <v>45845.333333333336</v>
      </c>
      <c r="AM516" s="30">
        <v>45847.708333333336</v>
      </c>
      <c r="AN516" s="30">
        <v>46185.691666666666</v>
      </c>
      <c r="AO516" s="30">
        <v>46190.691666666666</v>
      </c>
      <c r="AQ516" t="s">
        <v>3171</v>
      </c>
      <c r="AV516" t="s">
        <v>4457</v>
      </c>
      <c r="AZ516" t="s">
        <v>1265</v>
      </c>
      <c r="BA516">
        <v>0</v>
      </c>
      <c r="BB516">
        <v>0</v>
      </c>
      <c r="BJ516" s="30">
        <v>45953.652083333334</v>
      </c>
      <c r="BK516" s="30">
        <v>46093.667361111111</v>
      </c>
      <c r="BL516" t="s">
        <v>2716</v>
      </c>
      <c r="BM516" t="s">
        <v>1259</v>
      </c>
      <c r="BO516" t="s">
        <v>1265</v>
      </c>
    </row>
    <row r="517" spans="1:67" x14ac:dyDescent="0.25">
      <c r="A517" t="s">
        <v>1248</v>
      </c>
      <c r="B517">
        <v>119862</v>
      </c>
      <c r="C517">
        <v>405</v>
      </c>
      <c r="D517">
        <v>16399</v>
      </c>
      <c r="E517">
        <v>1117</v>
      </c>
      <c r="F517">
        <v>0</v>
      </c>
      <c r="G517" t="s">
        <v>1265</v>
      </c>
      <c r="H517">
        <v>1</v>
      </c>
      <c r="I517" t="s">
        <v>1265</v>
      </c>
      <c r="J517" t="s">
        <v>1265</v>
      </c>
      <c r="K517" t="s">
        <v>3191</v>
      </c>
      <c r="L517" t="s">
        <v>3176</v>
      </c>
      <c r="M517" t="s">
        <v>3190</v>
      </c>
      <c r="N517" t="s">
        <v>3174</v>
      </c>
      <c r="O517">
        <v>83</v>
      </c>
      <c r="P517" t="s">
        <v>4456</v>
      </c>
      <c r="R517" t="s">
        <v>4455</v>
      </c>
      <c r="S517">
        <v>0</v>
      </c>
      <c r="T517">
        <v>24</v>
      </c>
      <c r="U517">
        <v>0</v>
      </c>
      <c r="V517">
        <v>448</v>
      </c>
      <c r="W517">
        <v>448</v>
      </c>
      <c r="X517">
        <v>24</v>
      </c>
      <c r="Y517">
        <v>0</v>
      </c>
      <c r="Z517">
        <v>0</v>
      </c>
      <c r="AA517">
        <v>0</v>
      </c>
      <c r="AE517" s="30">
        <v>46203.691666666666</v>
      </c>
      <c r="AF517" s="30">
        <v>46206.691666666666</v>
      </c>
      <c r="AH517" s="30">
        <v>45848.333333333336</v>
      </c>
      <c r="AI517" s="30">
        <v>45852.708333333336</v>
      </c>
      <c r="AJ517" s="30">
        <v>45848.333333333336</v>
      </c>
      <c r="AK517" s="30">
        <v>45852.708333333336</v>
      </c>
      <c r="AL517" s="30">
        <v>45848.333333333336</v>
      </c>
      <c r="AM517" s="30">
        <v>45852.708333333336</v>
      </c>
      <c r="AN517" s="30">
        <v>46203.691666666666</v>
      </c>
      <c r="AO517" s="30">
        <v>46206.691666666666</v>
      </c>
      <c r="AQ517" t="s">
        <v>3171</v>
      </c>
      <c r="AV517" t="s">
        <v>4454</v>
      </c>
      <c r="AZ517" t="s">
        <v>1265</v>
      </c>
      <c r="BA517">
        <v>0</v>
      </c>
      <c r="BB517">
        <v>0</v>
      </c>
      <c r="BJ517" s="30">
        <v>45953.652083333334</v>
      </c>
      <c r="BK517" s="30">
        <v>46093.667361111111</v>
      </c>
      <c r="BL517" t="s">
        <v>2716</v>
      </c>
      <c r="BM517" t="s">
        <v>1259</v>
      </c>
      <c r="BO517" t="s">
        <v>1265</v>
      </c>
    </row>
    <row r="518" spans="1:67" x14ac:dyDescent="0.25">
      <c r="A518" t="s">
        <v>1248</v>
      </c>
      <c r="B518">
        <v>119863</v>
      </c>
      <c r="C518">
        <v>405</v>
      </c>
      <c r="D518">
        <v>16399</v>
      </c>
      <c r="E518">
        <v>1117</v>
      </c>
      <c r="F518">
        <v>0</v>
      </c>
      <c r="G518" t="s">
        <v>1265</v>
      </c>
      <c r="H518">
        <v>1</v>
      </c>
      <c r="I518" t="s">
        <v>1265</v>
      </c>
      <c r="J518" t="s">
        <v>1265</v>
      </c>
      <c r="K518" t="s">
        <v>3191</v>
      </c>
      <c r="L518" t="s">
        <v>3176</v>
      </c>
      <c r="M518" t="s">
        <v>3190</v>
      </c>
      <c r="N518" t="s">
        <v>3174</v>
      </c>
      <c r="O518">
        <v>84</v>
      </c>
      <c r="P518" t="s">
        <v>4453</v>
      </c>
      <c r="R518" t="s">
        <v>3522</v>
      </c>
      <c r="S518">
        <v>0</v>
      </c>
      <c r="T518">
        <v>24</v>
      </c>
      <c r="U518">
        <v>0</v>
      </c>
      <c r="V518">
        <v>448</v>
      </c>
      <c r="W518">
        <v>448</v>
      </c>
      <c r="X518">
        <v>24</v>
      </c>
      <c r="Y518">
        <v>0</v>
      </c>
      <c r="Z518">
        <v>0</v>
      </c>
      <c r="AA518">
        <v>0</v>
      </c>
      <c r="AE518" s="30">
        <v>46211.691666666666</v>
      </c>
      <c r="AF518" s="30">
        <v>46216.691666666666</v>
      </c>
      <c r="AH518" s="30">
        <v>45853.333333333336</v>
      </c>
      <c r="AI518" s="30">
        <v>45855.708333333336</v>
      </c>
      <c r="AJ518" s="30">
        <v>45853.333333333336</v>
      </c>
      <c r="AK518" s="30">
        <v>45855.708333333336</v>
      </c>
      <c r="AL518" s="30">
        <v>45853.333333333336</v>
      </c>
      <c r="AM518" s="30">
        <v>45855.708333333336</v>
      </c>
      <c r="AN518" s="30">
        <v>46211.691666666666</v>
      </c>
      <c r="AO518" s="30">
        <v>46216.691666666666</v>
      </c>
      <c r="AQ518" t="s">
        <v>3171</v>
      </c>
      <c r="AV518" t="s">
        <v>4452</v>
      </c>
      <c r="AZ518" t="s">
        <v>1265</v>
      </c>
      <c r="BA518">
        <v>0</v>
      </c>
      <c r="BB518">
        <v>0</v>
      </c>
      <c r="BJ518" s="30">
        <v>45953.652083333334</v>
      </c>
      <c r="BK518" s="30">
        <v>46093.667361111111</v>
      </c>
      <c r="BL518" t="s">
        <v>2716</v>
      </c>
      <c r="BM518" t="s">
        <v>1259</v>
      </c>
      <c r="BO518" t="s">
        <v>1265</v>
      </c>
    </row>
    <row r="519" spans="1:67" x14ac:dyDescent="0.25">
      <c r="A519" t="s">
        <v>1248</v>
      </c>
      <c r="B519">
        <v>119864</v>
      </c>
      <c r="C519">
        <v>405</v>
      </c>
      <c r="D519">
        <v>16399</v>
      </c>
      <c r="E519">
        <v>1117</v>
      </c>
      <c r="F519">
        <v>0</v>
      </c>
      <c r="G519" t="s">
        <v>1265</v>
      </c>
      <c r="H519">
        <v>1</v>
      </c>
      <c r="I519" t="s">
        <v>1265</v>
      </c>
      <c r="J519" t="s">
        <v>1265</v>
      </c>
      <c r="K519" t="s">
        <v>3191</v>
      </c>
      <c r="L519" t="s">
        <v>3176</v>
      </c>
      <c r="M519" t="s">
        <v>3190</v>
      </c>
      <c r="N519" t="s">
        <v>3174</v>
      </c>
      <c r="O519">
        <v>85</v>
      </c>
      <c r="P519" t="s">
        <v>4451</v>
      </c>
      <c r="R519" t="s">
        <v>3522</v>
      </c>
      <c r="S519">
        <v>0</v>
      </c>
      <c r="T519">
        <v>24</v>
      </c>
      <c r="U519">
        <v>0</v>
      </c>
      <c r="V519">
        <v>448</v>
      </c>
      <c r="W519">
        <v>448</v>
      </c>
      <c r="X519">
        <v>24</v>
      </c>
      <c r="Y519">
        <v>0</v>
      </c>
      <c r="Z519">
        <v>0</v>
      </c>
      <c r="AA519">
        <v>0</v>
      </c>
      <c r="AE519" s="30">
        <v>46216.691666666666</v>
      </c>
      <c r="AF519" s="30">
        <v>46219.691666666666</v>
      </c>
      <c r="AH519" s="30">
        <v>45856.333333333336</v>
      </c>
      <c r="AI519" s="30">
        <v>45860.708333333336</v>
      </c>
      <c r="AJ519" s="30">
        <v>45856.333333333336</v>
      </c>
      <c r="AK519" s="30">
        <v>45860.708333333336</v>
      </c>
      <c r="AL519" s="30">
        <v>45856.333333333336</v>
      </c>
      <c r="AM519" s="30">
        <v>45860.708333333336</v>
      </c>
      <c r="AN519" s="30">
        <v>46216.691666666666</v>
      </c>
      <c r="AO519" s="30">
        <v>46219.691666666666</v>
      </c>
      <c r="AQ519" t="s">
        <v>3171</v>
      </c>
      <c r="AV519" t="s">
        <v>4450</v>
      </c>
      <c r="AZ519" t="s">
        <v>1265</v>
      </c>
      <c r="BA519">
        <v>0</v>
      </c>
      <c r="BB519">
        <v>0</v>
      </c>
      <c r="BJ519" s="30">
        <v>45953.652083333334</v>
      </c>
      <c r="BK519" s="30">
        <v>46093.667361111111</v>
      </c>
      <c r="BL519" t="s">
        <v>2716</v>
      </c>
      <c r="BM519" t="s">
        <v>1259</v>
      </c>
      <c r="BO519" t="s">
        <v>1265</v>
      </c>
    </row>
    <row r="520" spans="1:67" x14ac:dyDescent="0.25">
      <c r="A520" t="s">
        <v>1248</v>
      </c>
      <c r="B520">
        <v>119865</v>
      </c>
      <c r="C520">
        <v>405</v>
      </c>
      <c r="D520">
        <v>16399</v>
      </c>
      <c r="E520">
        <v>1117</v>
      </c>
      <c r="F520">
        <v>0</v>
      </c>
      <c r="G520" t="s">
        <v>1265</v>
      </c>
      <c r="H520">
        <v>1</v>
      </c>
      <c r="I520" t="s">
        <v>1265</v>
      </c>
      <c r="J520" t="s">
        <v>1265</v>
      </c>
      <c r="K520" t="s">
        <v>3191</v>
      </c>
      <c r="L520" t="s">
        <v>3176</v>
      </c>
      <c r="M520" t="s">
        <v>3190</v>
      </c>
      <c r="N520" t="s">
        <v>3174</v>
      </c>
      <c r="O520">
        <v>86</v>
      </c>
      <c r="P520" t="s">
        <v>4449</v>
      </c>
      <c r="R520" t="s">
        <v>3522</v>
      </c>
      <c r="S520">
        <v>0</v>
      </c>
      <c r="T520">
        <v>24</v>
      </c>
      <c r="U520">
        <v>0</v>
      </c>
      <c r="V520">
        <v>448</v>
      </c>
      <c r="W520">
        <v>448</v>
      </c>
      <c r="X520">
        <v>24</v>
      </c>
      <c r="Y520">
        <v>0</v>
      </c>
      <c r="Z520">
        <v>0</v>
      </c>
      <c r="AA520">
        <v>0</v>
      </c>
      <c r="AE520" s="30">
        <v>46219.691666666666</v>
      </c>
      <c r="AF520" s="30">
        <v>46224.691666666666</v>
      </c>
      <c r="AH520" s="30">
        <v>45861.333333333336</v>
      </c>
      <c r="AI520" s="30">
        <v>45863.708333333336</v>
      </c>
      <c r="AJ520" s="30">
        <v>45861.333333333336</v>
      </c>
      <c r="AK520" s="30">
        <v>45863.708333333336</v>
      </c>
      <c r="AL520" s="30">
        <v>45861.333333333336</v>
      </c>
      <c r="AM520" s="30">
        <v>45863.708333333336</v>
      </c>
      <c r="AN520" s="30">
        <v>46219.691666666666</v>
      </c>
      <c r="AO520" s="30">
        <v>46224.691666666666</v>
      </c>
      <c r="AQ520" t="s">
        <v>3171</v>
      </c>
      <c r="AV520" t="s">
        <v>4448</v>
      </c>
      <c r="AZ520" t="s">
        <v>1265</v>
      </c>
      <c r="BA520">
        <v>0</v>
      </c>
      <c r="BB520">
        <v>0</v>
      </c>
      <c r="BJ520" s="30">
        <v>45953.652083333334</v>
      </c>
      <c r="BK520" s="30">
        <v>46093.667361111111</v>
      </c>
      <c r="BL520" t="s">
        <v>2716</v>
      </c>
      <c r="BM520" t="s">
        <v>1259</v>
      </c>
      <c r="BO520" t="s">
        <v>1265</v>
      </c>
    </row>
    <row r="521" spans="1:67" x14ac:dyDescent="0.25">
      <c r="A521" t="s">
        <v>1248</v>
      </c>
      <c r="B521">
        <v>119866</v>
      </c>
      <c r="C521">
        <v>405</v>
      </c>
      <c r="D521">
        <v>16399</v>
      </c>
      <c r="E521">
        <v>1117</v>
      </c>
      <c r="F521">
        <v>0</v>
      </c>
      <c r="G521" t="s">
        <v>1265</v>
      </c>
      <c r="H521">
        <v>1</v>
      </c>
      <c r="I521" t="s">
        <v>1265</v>
      </c>
      <c r="J521" t="s">
        <v>1265</v>
      </c>
      <c r="K521" t="s">
        <v>3191</v>
      </c>
      <c r="L521" t="s">
        <v>3176</v>
      </c>
      <c r="M521" t="s">
        <v>3190</v>
      </c>
      <c r="N521" t="s">
        <v>3174</v>
      </c>
      <c r="O521">
        <v>87</v>
      </c>
      <c r="P521" t="s">
        <v>4447</v>
      </c>
      <c r="R521" s="29">
        <v>237686666666667</v>
      </c>
      <c r="S521">
        <v>0</v>
      </c>
      <c r="T521">
        <v>24</v>
      </c>
      <c r="U521">
        <v>0</v>
      </c>
      <c r="V521">
        <v>448</v>
      </c>
      <c r="W521">
        <v>448</v>
      </c>
      <c r="X521">
        <v>24</v>
      </c>
      <c r="Y521">
        <v>0</v>
      </c>
      <c r="Z521">
        <v>0</v>
      </c>
      <c r="AA521">
        <v>0</v>
      </c>
      <c r="AE521" s="30">
        <v>46288.369444444441</v>
      </c>
      <c r="AF521" s="30">
        <v>46293.369444444441</v>
      </c>
      <c r="AH521" s="30">
        <v>45866.333333333336</v>
      </c>
      <c r="AI521" s="30">
        <v>45868.708333333336</v>
      </c>
      <c r="AJ521" s="30">
        <v>45866.333333333336</v>
      </c>
      <c r="AK521" s="30">
        <v>45868.708333333336</v>
      </c>
      <c r="AL521" s="30">
        <v>45866.333333333336</v>
      </c>
      <c r="AM521" s="30">
        <v>45868.708333333336</v>
      </c>
      <c r="AN521" s="30">
        <v>46288.369444444441</v>
      </c>
      <c r="AO521" s="30">
        <v>46293.369444444441</v>
      </c>
      <c r="AQ521" t="s">
        <v>3171</v>
      </c>
      <c r="AV521" t="s">
        <v>4446</v>
      </c>
      <c r="AZ521" t="s">
        <v>1265</v>
      </c>
      <c r="BA521">
        <v>0</v>
      </c>
      <c r="BB521">
        <v>0</v>
      </c>
      <c r="BJ521" s="30">
        <v>45953.652083333334</v>
      </c>
      <c r="BK521" s="30">
        <v>46093.73333333333</v>
      </c>
      <c r="BL521" t="s">
        <v>2716</v>
      </c>
      <c r="BM521" t="s">
        <v>1259</v>
      </c>
      <c r="BO521" t="s">
        <v>1265</v>
      </c>
    </row>
    <row r="522" spans="1:67" x14ac:dyDescent="0.25">
      <c r="A522" t="s">
        <v>1248</v>
      </c>
      <c r="B522">
        <v>119867</v>
      </c>
      <c r="C522">
        <v>405</v>
      </c>
      <c r="D522">
        <v>16399</v>
      </c>
      <c r="E522">
        <v>1117</v>
      </c>
      <c r="F522">
        <v>0</v>
      </c>
      <c r="G522" t="s">
        <v>1265</v>
      </c>
      <c r="H522">
        <v>1</v>
      </c>
      <c r="I522" t="s">
        <v>1265</v>
      </c>
      <c r="J522" t="s">
        <v>1265</v>
      </c>
      <c r="K522" t="s">
        <v>3191</v>
      </c>
      <c r="L522" t="s">
        <v>3176</v>
      </c>
      <c r="M522" t="s">
        <v>3190</v>
      </c>
      <c r="N522" t="s">
        <v>3174</v>
      </c>
      <c r="O522">
        <v>88</v>
      </c>
      <c r="P522" t="s">
        <v>4445</v>
      </c>
      <c r="R522" s="29">
        <v>237686666666667</v>
      </c>
      <c r="S522">
        <v>0</v>
      </c>
      <c r="T522">
        <v>24</v>
      </c>
      <c r="U522">
        <v>0</v>
      </c>
      <c r="V522">
        <v>448</v>
      </c>
      <c r="W522">
        <v>448</v>
      </c>
      <c r="X522">
        <v>24</v>
      </c>
      <c r="Y522">
        <v>0</v>
      </c>
      <c r="Z522">
        <v>0</v>
      </c>
      <c r="AA522">
        <v>0</v>
      </c>
      <c r="AE522" s="30">
        <v>46293.369444444441</v>
      </c>
      <c r="AF522" s="30">
        <v>46296.369444444441</v>
      </c>
      <c r="AH522" s="30">
        <v>45869.333333333336</v>
      </c>
      <c r="AI522" s="30">
        <v>45873.708333333336</v>
      </c>
      <c r="AJ522" s="30">
        <v>45869.333333333336</v>
      </c>
      <c r="AK522" s="30">
        <v>45873.708333333336</v>
      </c>
      <c r="AL522" s="30">
        <v>45869.333333333336</v>
      </c>
      <c r="AM522" s="30">
        <v>45873.708333333336</v>
      </c>
      <c r="AN522" s="30">
        <v>46293.369444444441</v>
      </c>
      <c r="AO522" s="30">
        <v>46296.369444444441</v>
      </c>
      <c r="AQ522" t="s">
        <v>3171</v>
      </c>
      <c r="AV522" t="s">
        <v>4444</v>
      </c>
      <c r="AZ522" t="s">
        <v>1265</v>
      </c>
      <c r="BA522">
        <v>0</v>
      </c>
      <c r="BB522">
        <v>0</v>
      </c>
      <c r="BJ522" s="30">
        <v>45953.652083333334</v>
      </c>
      <c r="BK522" s="30">
        <v>46093.73333333333</v>
      </c>
      <c r="BL522" t="s">
        <v>2716</v>
      </c>
      <c r="BM522" t="s">
        <v>1259</v>
      </c>
      <c r="BO522" t="s">
        <v>1265</v>
      </c>
    </row>
    <row r="523" spans="1:67" x14ac:dyDescent="0.25">
      <c r="A523" t="s">
        <v>1248</v>
      </c>
      <c r="B523">
        <v>119868</v>
      </c>
      <c r="C523">
        <v>405</v>
      </c>
      <c r="D523">
        <v>16399</v>
      </c>
      <c r="E523">
        <v>1117</v>
      </c>
      <c r="F523">
        <v>0</v>
      </c>
      <c r="G523" t="s">
        <v>1265</v>
      </c>
      <c r="H523">
        <v>1</v>
      </c>
      <c r="I523" t="s">
        <v>1265</v>
      </c>
      <c r="J523" t="s">
        <v>1265</v>
      </c>
      <c r="K523" t="s">
        <v>3191</v>
      </c>
      <c r="L523" t="s">
        <v>3176</v>
      </c>
      <c r="M523" t="s">
        <v>3190</v>
      </c>
      <c r="N523" t="s">
        <v>3174</v>
      </c>
      <c r="O523">
        <v>89</v>
      </c>
      <c r="P523" t="s">
        <v>4443</v>
      </c>
      <c r="R523" s="29">
        <v>244886666666667</v>
      </c>
      <c r="S523">
        <v>0</v>
      </c>
      <c r="T523">
        <v>24</v>
      </c>
      <c r="U523">
        <v>0</v>
      </c>
      <c r="V523">
        <v>448</v>
      </c>
      <c r="W523">
        <v>448</v>
      </c>
      <c r="X523">
        <v>24</v>
      </c>
      <c r="Y523">
        <v>0</v>
      </c>
      <c r="Z523">
        <v>0</v>
      </c>
      <c r="AA523">
        <v>0</v>
      </c>
      <c r="AE523" s="30">
        <v>46309.369444444441</v>
      </c>
      <c r="AF523" s="30">
        <v>46314.369444444441</v>
      </c>
      <c r="AH523" s="30">
        <v>45874.333333333336</v>
      </c>
      <c r="AI523" s="30">
        <v>45876.708333333336</v>
      </c>
      <c r="AJ523" s="30">
        <v>45874.333333333336</v>
      </c>
      <c r="AK523" s="30">
        <v>45876.708333333336</v>
      </c>
      <c r="AL523" s="30">
        <v>45874.333333333336</v>
      </c>
      <c r="AM523" s="30">
        <v>45876.708333333336</v>
      </c>
      <c r="AN523" s="30">
        <v>46309.369444444441</v>
      </c>
      <c r="AO523" s="30">
        <v>46314.369444444441</v>
      </c>
      <c r="AQ523" t="s">
        <v>3171</v>
      </c>
      <c r="AV523" t="s">
        <v>4442</v>
      </c>
      <c r="AZ523" t="s">
        <v>1265</v>
      </c>
      <c r="BA523">
        <v>0</v>
      </c>
      <c r="BB523">
        <v>0</v>
      </c>
      <c r="BJ523" s="30">
        <v>45953.652083333334</v>
      </c>
      <c r="BK523" s="30">
        <v>46093.73333333333</v>
      </c>
      <c r="BL523" t="s">
        <v>2716</v>
      </c>
      <c r="BM523" t="s">
        <v>1259</v>
      </c>
      <c r="BO523" t="s">
        <v>1265</v>
      </c>
    </row>
    <row r="524" spans="1:67" x14ac:dyDescent="0.25">
      <c r="A524" t="s">
        <v>1248</v>
      </c>
      <c r="B524">
        <v>119869</v>
      </c>
      <c r="C524">
        <v>405</v>
      </c>
      <c r="D524">
        <v>16399</v>
      </c>
      <c r="E524">
        <v>1117</v>
      </c>
      <c r="F524">
        <v>0</v>
      </c>
      <c r="G524" t="s">
        <v>1265</v>
      </c>
      <c r="H524">
        <v>1</v>
      </c>
      <c r="I524" t="s">
        <v>1265</v>
      </c>
      <c r="J524" t="s">
        <v>1265</v>
      </c>
      <c r="K524" t="s">
        <v>3191</v>
      </c>
      <c r="L524" t="s">
        <v>3176</v>
      </c>
      <c r="M524" t="s">
        <v>3190</v>
      </c>
      <c r="N524" t="s">
        <v>3174</v>
      </c>
      <c r="O524">
        <v>90</v>
      </c>
      <c r="P524" t="s">
        <v>4441</v>
      </c>
      <c r="R524" s="29">
        <v>252086666666667</v>
      </c>
      <c r="S524">
        <v>0</v>
      </c>
      <c r="T524">
        <v>24</v>
      </c>
      <c r="U524">
        <v>0</v>
      </c>
      <c r="V524">
        <v>448</v>
      </c>
      <c r="W524">
        <v>448</v>
      </c>
      <c r="X524">
        <v>24</v>
      </c>
      <c r="Y524">
        <v>0</v>
      </c>
      <c r="Z524">
        <v>0</v>
      </c>
      <c r="AA524">
        <v>0</v>
      </c>
      <c r="AE524" s="30">
        <v>46325.369444444441</v>
      </c>
      <c r="AF524" s="30">
        <v>46330.369444444441</v>
      </c>
      <c r="AH524" s="30">
        <v>45877.333333333336</v>
      </c>
      <c r="AI524" s="30">
        <v>45881.708333333336</v>
      </c>
      <c r="AJ524" s="30">
        <v>45877.333333333336</v>
      </c>
      <c r="AK524" s="30">
        <v>45881.708333333336</v>
      </c>
      <c r="AL524" s="30">
        <v>45877.333333333336</v>
      </c>
      <c r="AM524" s="30">
        <v>45881.708333333336</v>
      </c>
      <c r="AN524" s="30">
        <v>46325.369444444441</v>
      </c>
      <c r="AO524" s="30">
        <v>46330.369444444441</v>
      </c>
      <c r="AQ524" t="s">
        <v>3171</v>
      </c>
      <c r="AV524" t="s">
        <v>4440</v>
      </c>
      <c r="AZ524" t="s">
        <v>1265</v>
      </c>
      <c r="BA524">
        <v>0</v>
      </c>
      <c r="BB524">
        <v>0</v>
      </c>
      <c r="BJ524" s="30">
        <v>45953.652083333334</v>
      </c>
      <c r="BK524" s="30">
        <v>46093.73333333333</v>
      </c>
      <c r="BL524" t="s">
        <v>2716</v>
      </c>
      <c r="BM524" t="s">
        <v>1259</v>
      </c>
      <c r="BO524" t="s">
        <v>1265</v>
      </c>
    </row>
    <row r="525" spans="1:67" x14ac:dyDescent="0.25">
      <c r="A525" t="s">
        <v>1248</v>
      </c>
      <c r="B525">
        <v>119870</v>
      </c>
      <c r="C525">
        <v>405</v>
      </c>
      <c r="D525">
        <v>16399</v>
      </c>
      <c r="E525">
        <v>1117</v>
      </c>
      <c r="F525">
        <v>0</v>
      </c>
      <c r="G525" t="s">
        <v>1265</v>
      </c>
      <c r="H525">
        <v>1</v>
      </c>
      <c r="I525" t="s">
        <v>1265</v>
      </c>
      <c r="J525" t="s">
        <v>1265</v>
      </c>
      <c r="K525" t="s">
        <v>3191</v>
      </c>
      <c r="L525" t="s">
        <v>3176</v>
      </c>
      <c r="M525" t="s">
        <v>3190</v>
      </c>
      <c r="N525" t="s">
        <v>3174</v>
      </c>
      <c r="O525">
        <v>91</v>
      </c>
      <c r="P525" t="s">
        <v>4439</v>
      </c>
      <c r="R525" s="29">
        <v>259286666666667</v>
      </c>
      <c r="S525">
        <v>0</v>
      </c>
      <c r="T525">
        <v>24</v>
      </c>
      <c r="U525">
        <v>0</v>
      </c>
      <c r="V525">
        <v>448</v>
      </c>
      <c r="W525">
        <v>448</v>
      </c>
      <c r="X525">
        <v>24</v>
      </c>
      <c r="Y525">
        <v>0</v>
      </c>
      <c r="Z525">
        <v>0</v>
      </c>
      <c r="AA525">
        <v>0</v>
      </c>
      <c r="AE525" s="30">
        <v>46343.369444444441</v>
      </c>
      <c r="AF525" s="30">
        <v>46346.369444444441</v>
      </c>
      <c r="AH525" s="30">
        <v>45882.333333333336</v>
      </c>
      <c r="AI525" s="30">
        <v>45884.708333333336</v>
      </c>
      <c r="AJ525" s="30">
        <v>45882.333333333336</v>
      </c>
      <c r="AK525" s="30">
        <v>45884.708333333336</v>
      </c>
      <c r="AL525" s="30">
        <v>45882.333333333336</v>
      </c>
      <c r="AM525" s="30">
        <v>45884.708333333336</v>
      </c>
      <c r="AN525" s="30">
        <v>46343.369444444441</v>
      </c>
      <c r="AO525" s="30">
        <v>46346.369444444441</v>
      </c>
      <c r="AQ525" t="s">
        <v>3171</v>
      </c>
      <c r="AV525" t="s">
        <v>4438</v>
      </c>
      <c r="AZ525" t="s">
        <v>1265</v>
      </c>
      <c r="BA525">
        <v>0</v>
      </c>
      <c r="BB525">
        <v>0</v>
      </c>
      <c r="BJ525" s="30">
        <v>45953.652083333334</v>
      </c>
      <c r="BK525" s="30">
        <v>46093.73333333333</v>
      </c>
      <c r="BL525" t="s">
        <v>2716</v>
      </c>
      <c r="BM525" t="s">
        <v>1259</v>
      </c>
      <c r="BO525" t="s">
        <v>1265</v>
      </c>
    </row>
    <row r="526" spans="1:67" x14ac:dyDescent="0.25">
      <c r="A526" t="s">
        <v>1248</v>
      </c>
      <c r="B526">
        <v>119871</v>
      </c>
      <c r="C526">
        <v>405</v>
      </c>
      <c r="D526">
        <v>16399</v>
      </c>
      <c r="E526">
        <v>1117</v>
      </c>
      <c r="F526">
        <v>0</v>
      </c>
      <c r="G526" t="s">
        <v>1265</v>
      </c>
      <c r="H526">
        <v>1</v>
      </c>
      <c r="I526" t="s">
        <v>1265</v>
      </c>
      <c r="J526" t="s">
        <v>1265</v>
      </c>
      <c r="K526" t="s">
        <v>3191</v>
      </c>
      <c r="L526" t="s">
        <v>3176</v>
      </c>
      <c r="M526" t="s">
        <v>3190</v>
      </c>
      <c r="N526" t="s">
        <v>3174</v>
      </c>
      <c r="O526">
        <v>92</v>
      </c>
      <c r="P526" t="s">
        <v>4437</v>
      </c>
      <c r="R526" s="29">
        <v>266486666666667</v>
      </c>
      <c r="S526">
        <v>0</v>
      </c>
      <c r="T526">
        <v>24</v>
      </c>
      <c r="U526">
        <v>0</v>
      </c>
      <c r="V526">
        <v>448</v>
      </c>
      <c r="W526">
        <v>448</v>
      </c>
      <c r="X526">
        <v>24</v>
      </c>
      <c r="Y526">
        <v>0</v>
      </c>
      <c r="Z526">
        <v>0</v>
      </c>
      <c r="AA526">
        <v>0</v>
      </c>
      <c r="AE526" s="30">
        <v>46359.369444444441</v>
      </c>
      <c r="AF526" s="30">
        <v>46365.369444444441</v>
      </c>
      <c r="AH526" s="30">
        <v>45887.333333333336</v>
      </c>
      <c r="AI526" s="30">
        <v>45889.708333333336</v>
      </c>
      <c r="AJ526" s="30">
        <v>45887.333333333336</v>
      </c>
      <c r="AK526" s="30">
        <v>45889.708333333336</v>
      </c>
      <c r="AL526" s="30">
        <v>45887.333333333336</v>
      </c>
      <c r="AM526" s="30">
        <v>45889.708333333336</v>
      </c>
      <c r="AN526" s="30">
        <v>46359.369444444441</v>
      </c>
      <c r="AO526" s="30">
        <v>46365.369444444441</v>
      </c>
      <c r="AQ526" t="s">
        <v>3171</v>
      </c>
      <c r="AV526" t="s">
        <v>4436</v>
      </c>
      <c r="AZ526" t="s">
        <v>1265</v>
      </c>
      <c r="BA526">
        <v>0</v>
      </c>
      <c r="BB526">
        <v>0</v>
      </c>
      <c r="BJ526" s="30">
        <v>45953.652083333334</v>
      </c>
      <c r="BK526" s="30">
        <v>46093.73333333333</v>
      </c>
      <c r="BL526" t="s">
        <v>2716</v>
      </c>
      <c r="BM526" t="s">
        <v>1259</v>
      </c>
      <c r="BO526" t="s">
        <v>1265</v>
      </c>
    </row>
    <row r="527" spans="1:67" x14ac:dyDescent="0.25">
      <c r="A527" t="s">
        <v>1248</v>
      </c>
      <c r="B527">
        <v>119872</v>
      </c>
      <c r="C527">
        <v>405</v>
      </c>
      <c r="D527">
        <v>16399</v>
      </c>
      <c r="E527">
        <v>1117</v>
      </c>
      <c r="F527">
        <v>0</v>
      </c>
      <c r="G527" t="s">
        <v>1265</v>
      </c>
      <c r="H527">
        <v>1</v>
      </c>
      <c r="I527" t="s">
        <v>1265</v>
      </c>
      <c r="J527" t="s">
        <v>1265</v>
      </c>
      <c r="K527" t="s">
        <v>3191</v>
      </c>
      <c r="L527" t="s">
        <v>3176</v>
      </c>
      <c r="M527" t="s">
        <v>3190</v>
      </c>
      <c r="N527" t="s">
        <v>3174</v>
      </c>
      <c r="O527">
        <v>93</v>
      </c>
      <c r="P527" t="s">
        <v>4435</v>
      </c>
      <c r="R527" s="29">
        <v>273686666666667</v>
      </c>
      <c r="S527">
        <v>0</v>
      </c>
      <c r="T527">
        <v>24</v>
      </c>
      <c r="U527">
        <v>0</v>
      </c>
      <c r="V527">
        <v>448</v>
      </c>
      <c r="W527">
        <v>448</v>
      </c>
      <c r="X527">
        <v>24</v>
      </c>
      <c r="Y527">
        <v>0</v>
      </c>
      <c r="Z527">
        <v>0</v>
      </c>
      <c r="AA527">
        <v>0</v>
      </c>
      <c r="AE527" s="30">
        <v>46378.369444444441</v>
      </c>
      <c r="AF527" s="30">
        <v>46384.369444444441</v>
      </c>
      <c r="AH527" s="30">
        <v>45890.333333333336</v>
      </c>
      <c r="AI527" s="30">
        <v>45894.708333333336</v>
      </c>
      <c r="AJ527" s="30">
        <v>45890.333333333336</v>
      </c>
      <c r="AK527" s="30">
        <v>45894.708333333336</v>
      </c>
      <c r="AL527" s="30">
        <v>45890.333333333336</v>
      </c>
      <c r="AM527" s="30">
        <v>45894.708333333336</v>
      </c>
      <c r="AN527" s="30">
        <v>46378.369444444441</v>
      </c>
      <c r="AO527" s="30">
        <v>46384.369444444441</v>
      </c>
      <c r="AQ527" t="s">
        <v>3171</v>
      </c>
      <c r="AV527" t="s">
        <v>4434</v>
      </c>
      <c r="AZ527" t="s">
        <v>1265</v>
      </c>
      <c r="BA527">
        <v>0</v>
      </c>
      <c r="BB527">
        <v>0</v>
      </c>
      <c r="BJ527" s="30">
        <v>45953.652083333334</v>
      </c>
      <c r="BK527" s="30">
        <v>46093.73333333333</v>
      </c>
      <c r="BL527" t="s">
        <v>2716</v>
      </c>
      <c r="BM527" t="s">
        <v>1259</v>
      </c>
      <c r="BO527" t="s">
        <v>1265</v>
      </c>
    </row>
    <row r="528" spans="1:67" x14ac:dyDescent="0.25">
      <c r="A528" t="s">
        <v>1248</v>
      </c>
      <c r="B528">
        <v>119873</v>
      </c>
      <c r="C528">
        <v>405</v>
      </c>
      <c r="D528">
        <v>16402</v>
      </c>
      <c r="E528">
        <v>1117</v>
      </c>
      <c r="F528">
        <v>0</v>
      </c>
      <c r="G528" t="s">
        <v>1265</v>
      </c>
      <c r="H528">
        <v>1</v>
      </c>
      <c r="I528" t="s">
        <v>1265</v>
      </c>
      <c r="J528" t="s">
        <v>1265</v>
      </c>
      <c r="K528" t="s">
        <v>3191</v>
      </c>
      <c r="L528" t="s">
        <v>3176</v>
      </c>
      <c r="M528" t="s">
        <v>3190</v>
      </c>
      <c r="N528" t="s">
        <v>3174</v>
      </c>
      <c r="O528">
        <v>207</v>
      </c>
      <c r="P528" t="s">
        <v>4433</v>
      </c>
      <c r="R528">
        <v>0</v>
      </c>
      <c r="S528">
        <v>0</v>
      </c>
      <c r="T528">
        <v>32</v>
      </c>
      <c r="U528">
        <v>0</v>
      </c>
      <c r="V528">
        <v>840</v>
      </c>
      <c r="W528">
        <v>840</v>
      </c>
      <c r="X528">
        <v>32</v>
      </c>
      <c r="Y528">
        <v>0</v>
      </c>
      <c r="Z528">
        <v>0</v>
      </c>
      <c r="AA528">
        <v>0</v>
      </c>
      <c r="AE528" s="30">
        <v>45894.333333333336</v>
      </c>
      <c r="AF528" s="30">
        <v>45897.708333333336</v>
      </c>
      <c r="AH528" s="30">
        <v>45894.333333333336</v>
      </c>
      <c r="AI528" s="30">
        <v>45897.708333333336</v>
      </c>
      <c r="AJ528" s="30">
        <v>45894.333333333336</v>
      </c>
      <c r="AK528" s="30">
        <v>45897.708333333336</v>
      </c>
      <c r="AL528" s="30">
        <v>45894.333333333336</v>
      </c>
      <c r="AM528" s="30">
        <v>45897.708333333336</v>
      </c>
      <c r="AN528" s="30">
        <v>45894.333333333336</v>
      </c>
      <c r="AO528" s="30">
        <v>45897.708333333336</v>
      </c>
      <c r="AQ528" t="s">
        <v>3171</v>
      </c>
      <c r="AV528" t="s">
        <v>4432</v>
      </c>
      <c r="AZ528" t="s">
        <v>1266</v>
      </c>
      <c r="BA528">
        <v>0</v>
      </c>
      <c r="BB528">
        <v>0</v>
      </c>
      <c r="BJ528" s="30">
        <v>45953.652083333334</v>
      </c>
      <c r="BK528" s="30">
        <v>46093.595138888886</v>
      </c>
      <c r="BL528" t="s">
        <v>2716</v>
      </c>
      <c r="BM528" t="s">
        <v>1259</v>
      </c>
      <c r="BO528" t="s">
        <v>1265</v>
      </c>
    </row>
    <row r="529" spans="1:67" x14ac:dyDescent="0.25">
      <c r="A529" t="s">
        <v>1248</v>
      </c>
      <c r="B529">
        <v>119874</v>
      </c>
      <c r="C529">
        <v>405</v>
      </c>
      <c r="D529">
        <v>16402</v>
      </c>
      <c r="E529">
        <v>1117</v>
      </c>
      <c r="F529">
        <v>0</v>
      </c>
      <c r="G529" t="s">
        <v>1265</v>
      </c>
      <c r="H529">
        <v>1</v>
      </c>
      <c r="I529" t="s">
        <v>1265</v>
      </c>
      <c r="J529" t="s">
        <v>1265</v>
      </c>
      <c r="K529" t="s">
        <v>3191</v>
      </c>
      <c r="L529" t="s">
        <v>3176</v>
      </c>
      <c r="M529" t="s">
        <v>3190</v>
      </c>
      <c r="N529" t="s">
        <v>3174</v>
      </c>
      <c r="O529">
        <v>208</v>
      </c>
      <c r="P529" t="s">
        <v>4431</v>
      </c>
      <c r="R529">
        <v>736</v>
      </c>
      <c r="S529">
        <v>0</v>
      </c>
      <c r="T529">
        <v>32</v>
      </c>
      <c r="U529">
        <v>0</v>
      </c>
      <c r="V529">
        <v>840</v>
      </c>
      <c r="W529">
        <v>840</v>
      </c>
      <c r="X529">
        <v>32</v>
      </c>
      <c r="Y529">
        <v>0</v>
      </c>
      <c r="Z529">
        <v>0</v>
      </c>
      <c r="AA529">
        <v>0</v>
      </c>
      <c r="AE529" s="30">
        <v>46030.333333333336</v>
      </c>
      <c r="AF529" s="30">
        <v>46035.708333333336</v>
      </c>
      <c r="AH529" s="30">
        <v>45898.333333333336</v>
      </c>
      <c r="AI529" s="30">
        <v>45903.708333333336</v>
      </c>
      <c r="AJ529" s="30">
        <v>45898.333333333336</v>
      </c>
      <c r="AK529" s="30">
        <v>45903.708333333336</v>
      </c>
      <c r="AL529" s="30">
        <v>45898.333333333336</v>
      </c>
      <c r="AM529" s="30">
        <v>45903.708333333336</v>
      </c>
      <c r="AN529" s="30">
        <v>46030.333333333336</v>
      </c>
      <c r="AO529" s="30">
        <v>46035.708333333336</v>
      </c>
      <c r="AQ529" t="s">
        <v>3171</v>
      </c>
      <c r="AV529" t="s">
        <v>4430</v>
      </c>
      <c r="AZ529" t="s">
        <v>1265</v>
      </c>
      <c r="BA529">
        <v>0</v>
      </c>
      <c r="BB529">
        <v>0</v>
      </c>
      <c r="BJ529" s="30">
        <v>45953.652083333334</v>
      </c>
      <c r="BK529" s="30">
        <v>46093.73333333333</v>
      </c>
      <c r="BL529" t="s">
        <v>2716</v>
      </c>
      <c r="BM529" t="s">
        <v>1259</v>
      </c>
      <c r="BO529" t="s">
        <v>1265</v>
      </c>
    </row>
    <row r="530" spans="1:67" x14ac:dyDescent="0.25">
      <c r="A530" t="s">
        <v>1248</v>
      </c>
      <c r="B530">
        <v>119875</v>
      </c>
      <c r="C530">
        <v>405</v>
      </c>
      <c r="D530">
        <v>16402</v>
      </c>
      <c r="E530">
        <v>1117</v>
      </c>
      <c r="F530">
        <v>0</v>
      </c>
      <c r="G530" t="s">
        <v>1265</v>
      </c>
      <c r="H530">
        <v>1</v>
      </c>
      <c r="I530" t="s">
        <v>1265</v>
      </c>
      <c r="J530" t="s">
        <v>1265</v>
      </c>
      <c r="K530" t="s">
        <v>3191</v>
      </c>
      <c r="L530" t="s">
        <v>3176</v>
      </c>
      <c r="M530" t="s">
        <v>3190</v>
      </c>
      <c r="N530" t="s">
        <v>3174</v>
      </c>
      <c r="O530">
        <v>209</v>
      </c>
      <c r="P530" t="s">
        <v>4429</v>
      </c>
      <c r="R530">
        <v>736</v>
      </c>
      <c r="S530">
        <v>0</v>
      </c>
      <c r="T530">
        <v>32</v>
      </c>
      <c r="U530">
        <v>0</v>
      </c>
      <c r="V530">
        <v>840</v>
      </c>
      <c r="W530">
        <v>840</v>
      </c>
      <c r="X530">
        <v>32</v>
      </c>
      <c r="Y530">
        <v>0</v>
      </c>
      <c r="Z530">
        <v>0</v>
      </c>
      <c r="AA530">
        <v>0</v>
      </c>
      <c r="AE530" s="30">
        <v>46036.333333333336</v>
      </c>
      <c r="AF530" s="30">
        <v>46041.708333333336</v>
      </c>
      <c r="AH530" s="30">
        <v>45904.333333333336</v>
      </c>
      <c r="AI530" s="30">
        <v>45909.708333333336</v>
      </c>
      <c r="AJ530" s="30">
        <v>45904.333333333336</v>
      </c>
      <c r="AK530" s="30">
        <v>45909.708333333336</v>
      </c>
      <c r="AL530" s="30">
        <v>45904.333333333336</v>
      </c>
      <c r="AM530" s="30">
        <v>45909.708333333336</v>
      </c>
      <c r="AN530" s="30">
        <v>46036.333333333336</v>
      </c>
      <c r="AO530" s="30">
        <v>46041.708333333336</v>
      </c>
      <c r="AQ530" t="s">
        <v>3171</v>
      </c>
      <c r="AV530" t="s">
        <v>4428</v>
      </c>
      <c r="AZ530" t="s">
        <v>1265</v>
      </c>
      <c r="BA530">
        <v>0</v>
      </c>
      <c r="BB530">
        <v>0</v>
      </c>
      <c r="BJ530" s="30">
        <v>45953.652083333334</v>
      </c>
      <c r="BK530" s="30">
        <v>46093.73333333333</v>
      </c>
      <c r="BL530" t="s">
        <v>2716</v>
      </c>
      <c r="BM530" t="s">
        <v>1259</v>
      </c>
      <c r="BO530" t="s">
        <v>1265</v>
      </c>
    </row>
    <row r="531" spans="1:67" x14ac:dyDescent="0.25">
      <c r="A531" t="s">
        <v>1248</v>
      </c>
      <c r="B531">
        <v>119876</v>
      </c>
      <c r="C531">
        <v>405</v>
      </c>
      <c r="D531">
        <v>16402</v>
      </c>
      <c r="E531">
        <v>1117</v>
      </c>
      <c r="F531">
        <v>0</v>
      </c>
      <c r="G531" t="s">
        <v>1265</v>
      </c>
      <c r="H531">
        <v>1</v>
      </c>
      <c r="I531" t="s">
        <v>1265</v>
      </c>
      <c r="J531" t="s">
        <v>1265</v>
      </c>
      <c r="K531" t="s">
        <v>3191</v>
      </c>
      <c r="L531" t="s">
        <v>3176</v>
      </c>
      <c r="M531" t="s">
        <v>3190</v>
      </c>
      <c r="N531" t="s">
        <v>3174</v>
      </c>
      <c r="O531">
        <v>210</v>
      </c>
      <c r="P531" t="s">
        <v>4427</v>
      </c>
      <c r="R531">
        <v>800</v>
      </c>
      <c r="S531">
        <v>0</v>
      </c>
      <c r="T531">
        <v>32</v>
      </c>
      <c r="U531">
        <v>0</v>
      </c>
      <c r="V531">
        <v>840</v>
      </c>
      <c r="W531">
        <v>840</v>
      </c>
      <c r="X531">
        <v>32</v>
      </c>
      <c r="Y531">
        <v>0</v>
      </c>
      <c r="Z531">
        <v>0</v>
      </c>
      <c r="AA531">
        <v>0</v>
      </c>
      <c r="AE531" s="30">
        <v>46052.333333333336</v>
      </c>
      <c r="AF531" s="30">
        <v>46057.708333333336</v>
      </c>
      <c r="AH531" s="30">
        <v>45910.333333333336</v>
      </c>
      <c r="AI531" s="30">
        <v>45915.708333333336</v>
      </c>
      <c r="AJ531" s="30">
        <v>45910.333333333336</v>
      </c>
      <c r="AK531" s="30">
        <v>45915.708333333336</v>
      </c>
      <c r="AL531" s="30">
        <v>45910.333333333336</v>
      </c>
      <c r="AM531" s="30">
        <v>45915.708333333336</v>
      </c>
      <c r="AN531" s="30">
        <v>46052.333333333336</v>
      </c>
      <c r="AO531" s="30">
        <v>46057.708333333336</v>
      </c>
      <c r="AQ531" t="s">
        <v>3171</v>
      </c>
      <c r="AV531" t="s">
        <v>4426</v>
      </c>
      <c r="AZ531" t="s">
        <v>1265</v>
      </c>
      <c r="BA531">
        <v>0</v>
      </c>
      <c r="BB531">
        <v>0</v>
      </c>
      <c r="BJ531" s="30">
        <v>45953.652083333334</v>
      </c>
      <c r="BK531" s="30">
        <v>46093.667361111111</v>
      </c>
      <c r="BL531" t="s">
        <v>2716</v>
      </c>
      <c r="BM531" t="s">
        <v>1259</v>
      </c>
      <c r="BO531" t="s">
        <v>1265</v>
      </c>
    </row>
    <row r="532" spans="1:67" x14ac:dyDescent="0.25">
      <c r="A532" t="s">
        <v>1248</v>
      </c>
      <c r="B532">
        <v>119877</v>
      </c>
      <c r="C532">
        <v>405</v>
      </c>
      <c r="D532">
        <v>16402</v>
      </c>
      <c r="E532">
        <v>1117</v>
      </c>
      <c r="F532">
        <v>0</v>
      </c>
      <c r="G532" t="s">
        <v>1265</v>
      </c>
      <c r="H532">
        <v>1</v>
      </c>
      <c r="I532" t="s">
        <v>1265</v>
      </c>
      <c r="J532" t="s">
        <v>1265</v>
      </c>
      <c r="K532" t="s">
        <v>3191</v>
      </c>
      <c r="L532" t="s">
        <v>3176</v>
      </c>
      <c r="M532" t="s">
        <v>3190</v>
      </c>
      <c r="N532" t="s">
        <v>3174</v>
      </c>
      <c r="O532">
        <v>211</v>
      </c>
      <c r="P532" t="s">
        <v>4425</v>
      </c>
      <c r="R532">
        <v>864</v>
      </c>
      <c r="S532">
        <v>0</v>
      </c>
      <c r="T532">
        <v>32</v>
      </c>
      <c r="U532">
        <v>0</v>
      </c>
      <c r="V532">
        <v>840</v>
      </c>
      <c r="W532">
        <v>840</v>
      </c>
      <c r="X532">
        <v>32</v>
      </c>
      <c r="Y532">
        <v>0</v>
      </c>
      <c r="Z532">
        <v>0</v>
      </c>
      <c r="AA532">
        <v>0</v>
      </c>
      <c r="AE532" s="30">
        <v>46070.333333333336</v>
      </c>
      <c r="AF532" s="30">
        <v>46073.708333333336</v>
      </c>
      <c r="AH532" s="30">
        <v>45916.333333333336</v>
      </c>
      <c r="AI532" s="30">
        <v>45919.708333333336</v>
      </c>
      <c r="AJ532" s="30">
        <v>45916.333333333336</v>
      </c>
      <c r="AK532" s="30">
        <v>45919.708333333336</v>
      </c>
      <c r="AL532" s="30">
        <v>45916.333333333336</v>
      </c>
      <c r="AM532" s="30">
        <v>45919.708333333336</v>
      </c>
      <c r="AN532" s="30">
        <v>46070.333333333336</v>
      </c>
      <c r="AO532" s="30">
        <v>46073.708333333336</v>
      </c>
      <c r="AQ532" t="s">
        <v>3171</v>
      </c>
      <c r="AV532" t="s">
        <v>4424</v>
      </c>
      <c r="AZ532" t="s">
        <v>1265</v>
      </c>
      <c r="BA532">
        <v>0</v>
      </c>
      <c r="BB532">
        <v>0</v>
      </c>
      <c r="BJ532" s="30">
        <v>45953.652083333334</v>
      </c>
      <c r="BK532" s="30">
        <v>46093.667361111111</v>
      </c>
      <c r="BL532" t="s">
        <v>2716</v>
      </c>
      <c r="BM532" t="s">
        <v>1259</v>
      </c>
      <c r="BO532" t="s">
        <v>1265</v>
      </c>
    </row>
    <row r="533" spans="1:67" x14ac:dyDescent="0.25">
      <c r="A533" t="s">
        <v>1248</v>
      </c>
      <c r="B533">
        <v>119878</v>
      </c>
      <c r="C533">
        <v>405</v>
      </c>
      <c r="D533">
        <v>16402</v>
      </c>
      <c r="E533">
        <v>1117</v>
      </c>
      <c r="F533">
        <v>0</v>
      </c>
      <c r="G533" t="s">
        <v>1265</v>
      </c>
      <c r="H533">
        <v>1</v>
      </c>
      <c r="I533" t="s">
        <v>1265</v>
      </c>
      <c r="J533" t="s">
        <v>1265</v>
      </c>
      <c r="K533" t="s">
        <v>3191</v>
      </c>
      <c r="L533" t="s">
        <v>3176</v>
      </c>
      <c r="M533" t="s">
        <v>3190</v>
      </c>
      <c r="N533" t="s">
        <v>3174</v>
      </c>
      <c r="O533">
        <v>212</v>
      </c>
      <c r="P533" t="s">
        <v>4423</v>
      </c>
      <c r="R533">
        <v>928</v>
      </c>
      <c r="S533">
        <v>0</v>
      </c>
      <c r="T533">
        <v>32</v>
      </c>
      <c r="U533">
        <v>0</v>
      </c>
      <c r="V533">
        <v>840</v>
      </c>
      <c r="W533">
        <v>840</v>
      </c>
      <c r="X533">
        <v>32</v>
      </c>
      <c r="Y533">
        <v>0</v>
      </c>
      <c r="Z533">
        <v>0</v>
      </c>
      <c r="AA533">
        <v>0</v>
      </c>
      <c r="AE533" s="30">
        <v>46086.333333333336</v>
      </c>
      <c r="AF533" s="30">
        <v>46091.708333333336</v>
      </c>
      <c r="AH533" s="30">
        <v>45922.333333333336</v>
      </c>
      <c r="AI533" s="30">
        <v>45925.708333333336</v>
      </c>
      <c r="AJ533" s="30">
        <v>45922.333333333336</v>
      </c>
      <c r="AK533" s="30">
        <v>45925.708333333336</v>
      </c>
      <c r="AL533" s="30">
        <v>45922.333333333336</v>
      </c>
      <c r="AM533" s="30">
        <v>45925.708333333336</v>
      </c>
      <c r="AN533" s="30">
        <v>46086.333333333336</v>
      </c>
      <c r="AO533" s="30">
        <v>46091.708333333336</v>
      </c>
      <c r="AQ533" t="s">
        <v>3171</v>
      </c>
      <c r="AV533" t="s">
        <v>4422</v>
      </c>
      <c r="AZ533" t="s">
        <v>1265</v>
      </c>
      <c r="BA533">
        <v>0</v>
      </c>
      <c r="BB533">
        <v>0</v>
      </c>
      <c r="BJ533" s="30">
        <v>45953.652083333334</v>
      </c>
      <c r="BK533" s="30">
        <v>46093.667361111111</v>
      </c>
      <c r="BL533" t="s">
        <v>2716</v>
      </c>
      <c r="BM533" t="s">
        <v>1259</v>
      </c>
      <c r="BO533" t="s">
        <v>1265</v>
      </c>
    </row>
    <row r="534" spans="1:67" x14ac:dyDescent="0.25">
      <c r="A534" t="s">
        <v>1248</v>
      </c>
      <c r="B534">
        <v>119879</v>
      </c>
      <c r="C534">
        <v>405</v>
      </c>
      <c r="D534">
        <v>16402</v>
      </c>
      <c r="E534">
        <v>1117</v>
      </c>
      <c r="F534">
        <v>0</v>
      </c>
      <c r="G534" t="s">
        <v>1265</v>
      </c>
      <c r="H534">
        <v>1</v>
      </c>
      <c r="I534" t="s">
        <v>1265</v>
      </c>
      <c r="J534" t="s">
        <v>1265</v>
      </c>
      <c r="K534" t="s">
        <v>3191</v>
      </c>
      <c r="L534" t="s">
        <v>3176</v>
      </c>
      <c r="M534" t="s">
        <v>3190</v>
      </c>
      <c r="N534" t="s">
        <v>3174</v>
      </c>
      <c r="O534">
        <v>213</v>
      </c>
      <c r="P534" t="s">
        <v>4421</v>
      </c>
      <c r="R534">
        <v>992</v>
      </c>
      <c r="S534">
        <v>0</v>
      </c>
      <c r="T534">
        <v>32</v>
      </c>
      <c r="U534">
        <v>0</v>
      </c>
      <c r="V534">
        <v>840</v>
      </c>
      <c r="W534">
        <v>840</v>
      </c>
      <c r="X534">
        <v>32</v>
      </c>
      <c r="Y534">
        <v>0</v>
      </c>
      <c r="Z534">
        <v>0</v>
      </c>
      <c r="AA534">
        <v>0</v>
      </c>
      <c r="AE534" s="30">
        <v>46104.333333333336</v>
      </c>
      <c r="AF534" s="30">
        <v>46107.708333333336</v>
      </c>
      <c r="AH534" s="30">
        <v>45926.333333333336</v>
      </c>
      <c r="AI534" s="30">
        <v>45931.708333333336</v>
      </c>
      <c r="AJ534" s="30">
        <v>45926.333333333336</v>
      </c>
      <c r="AK534" s="30">
        <v>45931.708333333336</v>
      </c>
      <c r="AL534" s="30">
        <v>45926.333333333336</v>
      </c>
      <c r="AM534" s="30">
        <v>45931.708333333336</v>
      </c>
      <c r="AN534" s="30">
        <v>46104.333333333336</v>
      </c>
      <c r="AO534" s="30">
        <v>46107.708333333336</v>
      </c>
      <c r="AQ534" t="s">
        <v>3171</v>
      </c>
      <c r="AV534" t="s">
        <v>4420</v>
      </c>
      <c r="AZ534" t="s">
        <v>1265</v>
      </c>
      <c r="BA534">
        <v>0</v>
      </c>
      <c r="BB534">
        <v>0</v>
      </c>
      <c r="BJ534" s="30">
        <v>45953.652083333334</v>
      </c>
      <c r="BK534" s="30">
        <v>46093.667361111111</v>
      </c>
      <c r="BL534" t="s">
        <v>2716</v>
      </c>
      <c r="BM534" t="s">
        <v>1259</v>
      </c>
      <c r="BO534" t="s">
        <v>1265</v>
      </c>
    </row>
    <row r="535" spans="1:67" x14ac:dyDescent="0.25">
      <c r="A535" t="s">
        <v>1248</v>
      </c>
      <c r="B535">
        <v>119880</v>
      </c>
      <c r="C535">
        <v>405</v>
      </c>
      <c r="D535">
        <v>16402</v>
      </c>
      <c r="E535">
        <v>1117</v>
      </c>
      <c r="F535">
        <v>0</v>
      </c>
      <c r="G535" t="s">
        <v>1265</v>
      </c>
      <c r="H535">
        <v>1</v>
      </c>
      <c r="I535" t="s">
        <v>1265</v>
      </c>
      <c r="J535" t="s">
        <v>1265</v>
      </c>
      <c r="K535" t="s">
        <v>3191</v>
      </c>
      <c r="L535" t="s">
        <v>3176</v>
      </c>
      <c r="M535" t="s">
        <v>3190</v>
      </c>
      <c r="N535" t="s">
        <v>3174</v>
      </c>
      <c r="O535">
        <v>214</v>
      </c>
      <c r="P535" t="s">
        <v>4419</v>
      </c>
      <c r="R535">
        <v>1056</v>
      </c>
      <c r="S535">
        <v>0</v>
      </c>
      <c r="T535">
        <v>32</v>
      </c>
      <c r="U535">
        <v>0</v>
      </c>
      <c r="V535">
        <v>840</v>
      </c>
      <c r="W535">
        <v>840</v>
      </c>
      <c r="X535">
        <v>32</v>
      </c>
      <c r="Y535">
        <v>0</v>
      </c>
      <c r="Z535">
        <v>0</v>
      </c>
      <c r="AA535">
        <v>0</v>
      </c>
      <c r="AE535" s="30">
        <v>46121.333333333336</v>
      </c>
      <c r="AF535" s="30">
        <v>46126.708333333336</v>
      </c>
      <c r="AH535" s="30">
        <v>45932.333333333336</v>
      </c>
      <c r="AI535" s="30">
        <v>45937.708333333336</v>
      </c>
      <c r="AJ535" s="30">
        <v>45932.333333333336</v>
      </c>
      <c r="AK535" s="30">
        <v>45937.708333333336</v>
      </c>
      <c r="AL535" s="30">
        <v>45932.333333333336</v>
      </c>
      <c r="AM535" s="30">
        <v>45937.708333333336</v>
      </c>
      <c r="AN535" s="30">
        <v>46121.333333333336</v>
      </c>
      <c r="AO535" s="30">
        <v>46126.708333333336</v>
      </c>
      <c r="AQ535" t="s">
        <v>3171</v>
      </c>
      <c r="AV535" t="s">
        <v>4418</v>
      </c>
      <c r="AZ535" t="s">
        <v>1265</v>
      </c>
      <c r="BA535">
        <v>0</v>
      </c>
      <c r="BB535">
        <v>0</v>
      </c>
      <c r="BJ535" s="30">
        <v>45953.652083333334</v>
      </c>
      <c r="BK535" s="30">
        <v>46093.667361111111</v>
      </c>
      <c r="BL535" t="s">
        <v>2716</v>
      </c>
      <c r="BM535" t="s">
        <v>1259</v>
      </c>
      <c r="BO535" t="s">
        <v>1265</v>
      </c>
    </row>
    <row r="536" spans="1:67" x14ac:dyDescent="0.25">
      <c r="A536" t="s">
        <v>1248</v>
      </c>
      <c r="B536">
        <v>119881</v>
      </c>
      <c r="C536">
        <v>405</v>
      </c>
      <c r="D536">
        <v>16402</v>
      </c>
      <c r="E536">
        <v>1117</v>
      </c>
      <c r="F536">
        <v>0</v>
      </c>
      <c r="G536" t="s">
        <v>1265</v>
      </c>
      <c r="H536">
        <v>1</v>
      </c>
      <c r="I536" t="s">
        <v>1265</v>
      </c>
      <c r="J536" t="s">
        <v>1265</v>
      </c>
      <c r="K536" t="s">
        <v>3191</v>
      </c>
      <c r="L536" t="s">
        <v>3176</v>
      </c>
      <c r="M536" t="s">
        <v>3190</v>
      </c>
      <c r="N536" t="s">
        <v>3174</v>
      </c>
      <c r="O536">
        <v>215</v>
      </c>
      <c r="P536" t="s">
        <v>4417</v>
      </c>
      <c r="R536">
        <v>1120</v>
      </c>
      <c r="S536">
        <v>0</v>
      </c>
      <c r="T536">
        <v>32</v>
      </c>
      <c r="U536">
        <v>0</v>
      </c>
      <c r="V536">
        <v>840</v>
      </c>
      <c r="W536">
        <v>840</v>
      </c>
      <c r="X536">
        <v>32</v>
      </c>
      <c r="Y536">
        <v>0</v>
      </c>
      <c r="Z536">
        <v>0</v>
      </c>
      <c r="AA536">
        <v>0</v>
      </c>
      <c r="AE536" s="30">
        <v>46139.333333333336</v>
      </c>
      <c r="AF536" s="30">
        <v>46142.708333333336</v>
      </c>
      <c r="AH536" s="30">
        <v>45938.333333333336</v>
      </c>
      <c r="AI536" s="30">
        <v>45943.708333333336</v>
      </c>
      <c r="AJ536" s="30">
        <v>45938.333333333336</v>
      </c>
      <c r="AK536" s="30">
        <v>45943.708333333336</v>
      </c>
      <c r="AL536" s="30">
        <v>45938.333333333336</v>
      </c>
      <c r="AM536" s="30">
        <v>45943.708333333336</v>
      </c>
      <c r="AN536" s="30">
        <v>46139.333333333336</v>
      </c>
      <c r="AO536" s="30">
        <v>46142.708333333336</v>
      </c>
      <c r="AQ536" t="s">
        <v>3171</v>
      </c>
      <c r="AV536" t="s">
        <v>4416</v>
      </c>
      <c r="AZ536" t="s">
        <v>1265</v>
      </c>
      <c r="BA536">
        <v>0</v>
      </c>
      <c r="BB536">
        <v>0</v>
      </c>
      <c r="BJ536" s="30">
        <v>45953.652083333334</v>
      </c>
      <c r="BK536" s="30">
        <v>46093.667361111111</v>
      </c>
      <c r="BL536" t="s">
        <v>2716</v>
      </c>
      <c r="BM536" t="s">
        <v>1259</v>
      </c>
      <c r="BO536" t="s">
        <v>1265</v>
      </c>
    </row>
    <row r="537" spans="1:67" x14ac:dyDescent="0.25">
      <c r="A537" t="s">
        <v>1248</v>
      </c>
      <c r="B537">
        <v>119882</v>
      </c>
      <c r="C537">
        <v>405</v>
      </c>
      <c r="D537">
        <v>16402</v>
      </c>
      <c r="E537">
        <v>1117</v>
      </c>
      <c r="F537">
        <v>0</v>
      </c>
      <c r="G537" t="s">
        <v>1265</v>
      </c>
      <c r="H537">
        <v>1</v>
      </c>
      <c r="I537" t="s">
        <v>1265</v>
      </c>
      <c r="J537" t="s">
        <v>1265</v>
      </c>
      <c r="K537" t="s">
        <v>3191</v>
      </c>
      <c r="L537" t="s">
        <v>3176</v>
      </c>
      <c r="M537" t="s">
        <v>3190</v>
      </c>
      <c r="N537" t="s">
        <v>3174</v>
      </c>
      <c r="O537">
        <v>216</v>
      </c>
      <c r="P537" t="s">
        <v>4415</v>
      </c>
      <c r="R537">
        <v>1184</v>
      </c>
      <c r="S537">
        <v>0</v>
      </c>
      <c r="T537">
        <v>32</v>
      </c>
      <c r="U537">
        <v>0</v>
      </c>
      <c r="V537">
        <v>840</v>
      </c>
      <c r="W537">
        <v>840</v>
      </c>
      <c r="X537">
        <v>32</v>
      </c>
      <c r="Y537">
        <v>0</v>
      </c>
      <c r="Z537">
        <v>0</v>
      </c>
      <c r="AA537">
        <v>0</v>
      </c>
      <c r="AE537" s="30">
        <v>46156.333333333336</v>
      </c>
      <c r="AF537" s="30">
        <v>46161.708333333336</v>
      </c>
      <c r="AH537" s="30">
        <v>45944.333333333336</v>
      </c>
      <c r="AI537" s="30">
        <v>45947.708333333336</v>
      </c>
      <c r="AJ537" s="30">
        <v>45944.333333333336</v>
      </c>
      <c r="AK537" s="30">
        <v>45947.708333333336</v>
      </c>
      <c r="AL537" s="30">
        <v>45944.333333333336</v>
      </c>
      <c r="AM537" s="30">
        <v>45947.708333333336</v>
      </c>
      <c r="AN537" s="30">
        <v>46156.333333333336</v>
      </c>
      <c r="AO537" s="30">
        <v>46161.708333333336</v>
      </c>
      <c r="AQ537" t="s">
        <v>3171</v>
      </c>
      <c r="AV537" t="s">
        <v>4414</v>
      </c>
      <c r="AZ537" t="s">
        <v>1265</v>
      </c>
      <c r="BA537">
        <v>0</v>
      </c>
      <c r="BB537">
        <v>0</v>
      </c>
      <c r="BJ537" s="30">
        <v>45953.652083333334</v>
      </c>
      <c r="BK537" s="30">
        <v>46093.667361111111</v>
      </c>
      <c r="BL537" t="s">
        <v>2716</v>
      </c>
      <c r="BM537" t="s">
        <v>1259</v>
      </c>
      <c r="BO537" t="s">
        <v>1265</v>
      </c>
    </row>
    <row r="538" spans="1:67" x14ac:dyDescent="0.25">
      <c r="A538" t="s">
        <v>1248</v>
      </c>
      <c r="B538">
        <v>119883</v>
      </c>
      <c r="C538">
        <v>405</v>
      </c>
      <c r="D538">
        <v>16402</v>
      </c>
      <c r="E538">
        <v>1117</v>
      </c>
      <c r="F538">
        <v>0</v>
      </c>
      <c r="G538" t="s">
        <v>1265</v>
      </c>
      <c r="H538">
        <v>1</v>
      </c>
      <c r="I538" t="s">
        <v>1265</v>
      </c>
      <c r="J538" t="s">
        <v>1265</v>
      </c>
      <c r="K538" t="s">
        <v>3191</v>
      </c>
      <c r="L538" t="s">
        <v>3176</v>
      </c>
      <c r="M538" t="s">
        <v>3190</v>
      </c>
      <c r="N538" t="s">
        <v>3174</v>
      </c>
      <c r="O538">
        <v>217</v>
      </c>
      <c r="P538" t="s">
        <v>4413</v>
      </c>
      <c r="R538">
        <v>1248</v>
      </c>
      <c r="S538">
        <v>0</v>
      </c>
      <c r="T538">
        <v>32</v>
      </c>
      <c r="U538">
        <v>0</v>
      </c>
      <c r="V538">
        <v>784</v>
      </c>
      <c r="W538">
        <v>784</v>
      </c>
      <c r="X538">
        <v>32</v>
      </c>
      <c r="Y538">
        <v>0</v>
      </c>
      <c r="Z538">
        <v>0</v>
      </c>
      <c r="AA538">
        <v>0</v>
      </c>
      <c r="AE538" s="30">
        <v>46174.333333333336</v>
      </c>
      <c r="AF538" s="30">
        <v>46178.708333333336</v>
      </c>
      <c r="AH538" s="30">
        <v>45950.333333333336</v>
      </c>
      <c r="AI538" s="30">
        <v>45953.708333333336</v>
      </c>
      <c r="AJ538" s="30">
        <v>45950.333333333336</v>
      </c>
      <c r="AK538" s="30">
        <v>45953.708333333336</v>
      </c>
      <c r="AL538" s="30">
        <v>45950.333333333336</v>
      </c>
      <c r="AM538" s="30">
        <v>45953.708333333336</v>
      </c>
      <c r="AN538" s="30">
        <v>46174.333333333336</v>
      </c>
      <c r="AO538" s="30">
        <v>46178.708333333336</v>
      </c>
      <c r="AQ538" t="s">
        <v>3171</v>
      </c>
      <c r="AV538" t="s">
        <v>4412</v>
      </c>
      <c r="AZ538" t="s">
        <v>1265</v>
      </c>
      <c r="BA538">
        <v>0</v>
      </c>
      <c r="BB538">
        <v>0</v>
      </c>
      <c r="BJ538" s="30">
        <v>45953.652083333334</v>
      </c>
      <c r="BK538" s="30">
        <v>46093.667361111111</v>
      </c>
      <c r="BL538" t="s">
        <v>2716</v>
      </c>
      <c r="BM538" t="s">
        <v>1259</v>
      </c>
      <c r="BO538" t="s">
        <v>1265</v>
      </c>
    </row>
    <row r="539" spans="1:67" x14ac:dyDescent="0.25">
      <c r="A539" t="s">
        <v>1248</v>
      </c>
      <c r="B539">
        <v>119884</v>
      </c>
      <c r="C539">
        <v>405</v>
      </c>
      <c r="D539">
        <v>16402</v>
      </c>
      <c r="E539">
        <v>1117</v>
      </c>
      <c r="F539">
        <v>0</v>
      </c>
      <c r="G539" t="s">
        <v>1265</v>
      </c>
      <c r="H539">
        <v>1</v>
      </c>
      <c r="I539" t="s">
        <v>1265</v>
      </c>
      <c r="J539" t="s">
        <v>1265</v>
      </c>
      <c r="K539" t="s">
        <v>3191</v>
      </c>
      <c r="L539" t="s">
        <v>3176</v>
      </c>
      <c r="M539" t="s">
        <v>3190</v>
      </c>
      <c r="N539" t="s">
        <v>3174</v>
      </c>
      <c r="O539">
        <v>218</v>
      </c>
      <c r="P539" t="s">
        <v>4411</v>
      </c>
      <c r="R539">
        <v>1312</v>
      </c>
      <c r="S539">
        <v>0</v>
      </c>
      <c r="T539">
        <v>32</v>
      </c>
      <c r="U539">
        <v>0</v>
      </c>
      <c r="V539">
        <v>784</v>
      </c>
      <c r="W539">
        <v>784</v>
      </c>
      <c r="X539">
        <v>32</v>
      </c>
      <c r="Y539">
        <v>0</v>
      </c>
      <c r="Z539">
        <v>0</v>
      </c>
      <c r="AA539">
        <v>0</v>
      </c>
      <c r="AE539" s="30">
        <v>46191.333333333336</v>
      </c>
      <c r="AF539" s="30">
        <v>46196.708333333336</v>
      </c>
      <c r="AH539" s="30">
        <v>45954.333333333336</v>
      </c>
      <c r="AI539" s="30">
        <v>45959.708333333336</v>
      </c>
      <c r="AJ539" s="30">
        <v>45954.333333333336</v>
      </c>
      <c r="AK539" s="30">
        <v>45959.708333333336</v>
      </c>
      <c r="AL539" s="30">
        <v>45954.333333333336</v>
      </c>
      <c r="AM539" s="30">
        <v>45959.708333333336</v>
      </c>
      <c r="AN539" s="30">
        <v>46191.333333333336</v>
      </c>
      <c r="AO539" s="30">
        <v>46196.708333333336</v>
      </c>
      <c r="AQ539" t="s">
        <v>3171</v>
      </c>
      <c r="AV539" t="s">
        <v>4410</v>
      </c>
      <c r="AZ539" t="s">
        <v>1265</v>
      </c>
      <c r="BA539">
        <v>0</v>
      </c>
      <c r="BB539">
        <v>0</v>
      </c>
      <c r="BJ539" s="30">
        <v>45953.652083333334</v>
      </c>
      <c r="BK539" s="30">
        <v>46093.667361111111</v>
      </c>
      <c r="BL539" t="s">
        <v>2716</v>
      </c>
      <c r="BM539" t="s">
        <v>1259</v>
      </c>
      <c r="BO539" t="s">
        <v>1265</v>
      </c>
    </row>
    <row r="540" spans="1:67" x14ac:dyDescent="0.25">
      <c r="A540" t="s">
        <v>1248</v>
      </c>
      <c r="B540">
        <v>119885</v>
      </c>
      <c r="C540">
        <v>405</v>
      </c>
      <c r="D540">
        <v>16402</v>
      </c>
      <c r="E540">
        <v>1117</v>
      </c>
      <c r="F540">
        <v>0</v>
      </c>
      <c r="G540" t="s">
        <v>1265</v>
      </c>
      <c r="H540">
        <v>1</v>
      </c>
      <c r="I540" t="s">
        <v>1265</v>
      </c>
      <c r="J540" t="s">
        <v>1265</v>
      </c>
      <c r="K540" t="s">
        <v>3191</v>
      </c>
      <c r="L540" t="s">
        <v>3176</v>
      </c>
      <c r="M540" t="s">
        <v>3190</v>
      </c>
      <c r="N540" t="s">
        <v>3174</v>
      </c>
      <c r="O540">
        <v>219</v>
      </c>
      <c r="P540" t="s">
        <v>4409</v>
      </c>
      <c r="R540">
        <v>1376</v>
      </c>
      <c r="S540">
        <v>0</v>
      </c>
      <c r="T540">
        <v>32</v>
      </c>
      <c r="U540">
        <v>0</v>
      </c>
      <c r="V540">
        <v>784</v>
      </c>
      <c r="W540">
        <v>784</v>
      </c>
      <c r="X540">
        <v>32</v>
      </c>
      <c r="Y540">
        <v>0</v>
      </c>
      <c r="Z540">
        <v>0</v>
      </c>
      <c r="AA540">
        <v>0</v>
      </c>
      <c r="AE540" s="30">
        <v>46209.333333333336</v>
      </c>
      <c r="AF540" s="30">
        <v>46212.708333333336</v>
      </c>
      <c r="AH540" s="30">
        <v>45960.333333333336</v>
      </c>
      <c r="AI540" s="30">
        <v>45965.708333333336</v>
      </c>
      <c r="AJ540" s="30">
        <v>45960.333333333336</v>
      </c>
      <c r="AK540" s="30">
        <v>45965.708333333336</v>
      </c>
      <c r="AL540" s="30">
        <v>45960.333333333336</v>
      </c>
      <c r="AM540" s="30">
        <v>45965.708333333336</v>
      </c>
      <c r="AN540" s="30">
        <v>46209.333333333336</v>
      </c>
      <c r="AO540" s="30">
        <v>46212.708333333336</v>
      </c>
      <c r="AQ540" t="s">
        <v>3171</v>
      </c>
      <c r="AV540" t="s">
        <v>4408</v>
      </c>
      <c r="AZ540" t="s">
        <v>1265</v>
      </c>
      <c r="BA540">
        <v>0</v>
      </c>
      <c r="BB540">
        <v>0</v>
      </c>
      <c r="BJ540" s="30">
        <v>45953.652083333334</v>
      </c>
      <c r="BK540" s="30">
        <v>46093.667361111111</v>
      </c>
      <c r="BL540" t="s">
        <v>2716</v>
      </c>
      <c r="BM540" t="s">
        <v>1259</v>
      </c>
      <c r="BO540" t="s">
        <v>1265</v>
      </c>
    </row>
    <row r="541" spans="1:67" x14ac:dyDescent="0.25">
      <c r="A541" t="s">
        <v>1248</v>
      </c>
      <c r="B541">
        <v>119886</v>
      </c>
      <c r="C541">
        <v>405</v>
      </c>
      <c r="D541">
        <v>16402</v>
      </c>
      <c r="E541">
        <v>1117</v>
      </c>
      <c r="F541">
        <v>0</v>
      </c>
      <c r="G541" t="s">
        <v>1265</v>
      </c>
      <c r="H541">
        <v>1</v>
      </c>
      <c r="I541" t="s">
        <v>1265</v>
      </c>
      <c r="J541" t="s">
        <v>1265</v>
      </c>
      <c r="K541" t="s">
        <v>3191</v>
      </c>
      <c r="L541" t="s">
        <v>3176</v>
      </c>
      <c r="M541" t="s">
        <v>3190</v>
      </c>
      <c r="N541" t="s">
        <v>3174</v>
      </c>
      <c r="O541">
        <v>220</v>
      </c>
      <c r="P541" t="s">
        <v>4407</v>
      </c>
      <c r="R541">
        <v>1440</v>
      </c>
      <c r="S541">
        <v>0</v>
      </c>
      <c r="T541">
        <v>32</v>
      </c>
      <c r="U541">
        <v>0</v>
      </c>
      <c r="V541">
        <v>784</v>
      </c>
      <c r="W541">
        <v>784</v>
      </c>
      <c r="X541">
        <v>32</v>
      </c>
      <c r="Y541">
        <v>0</v>
      </c>
      <c r="Z541">
        <v>0</v>
      </c>
      <c r="AA541">
        <v>0</v>
      </c>
      <c r="AE541" s="30">
        <v>46225.333333333336</v>
      </c>
      <c r="AF541" s="30">
        <v>46230.708333333336</v>
      </c>
      <c r="AH541" s="30">
        <v>45966.333333333336</v>
      </c>
      <c r="AI541" s="30">
        <v>45971.708333333336</v>
      </c>
      <c r="AJ541" s="30">
        <v>45966.333333333336</v>
      </c>
      <c r="AK541" s="30">
        <v>45971.708333333336</v>
      </c>
      <c r="AL541" s="30">
        <v>45966.333333333336</v>
      </c>
      <c r="AM541" s="30">
        <v>45971.708333333336</v>
      </c>
      <c r="AN541" s="30">
        <v>46225.333333333336</v>
      </c>
      <c r="AO541" s="30">
        <v>46230.708333333336</v>
      </c>
      <c r="AQ541" t="s">
        <v>3171</v>
      </c>
      <c r="AV541" t="s">
        <v>4406</v>
      </c>
      <c r="AZ541" t="s">
        <v>1265</v>
      </c>
      <c r="BA541">
        <v>0</v>
      </c>
      <c r="BB541">
        <v>0</v>
      </c>
      <c r="BJ541" s="30">
        <v>45953.652083333334</v>
      </c>
      <c r="BK541" s="30">
        <v>46093.667361111111</v>
      </c>
      <c r="BL541" t="s">
        <v>2716</v>
      </c>
      <c r="BM541" t="s">
        <v>1259</v>
      </c>
      <c r="BO541" t="s">
        <v>1265</v>
      </c>
    </row>
    <row r="542" spans="1:67" x14ac:dyDescent="0.25">
      <c r="A542" t="s">
        <v>1248</v>
      </c>
      <c r="B542">
        <v>119887</v>
      </c>
      <c r="C542">
        <v>405</v>
      </c>
      <c r="D542">
        <v>16402</v>
      </c>
      <c r="E542">
        <v>1117</v>
      </c>
      <c r="F542">
        <v>0</v>
      </c>
      <c r="G542" t="s">
        <v>1265</v>
      </c>
      <c r="H542">
        <v>1</v>
      </c>
      <c r="I542" t="s">
        <v>1265</v>
      </c>
      <c r="J542" t="s">
        <v>1265</v>
      </c>
      <c r="K542" t="s">
        <v>3191</v>
      </c>
      <c r="L542" t="s">
        <v>3176</v>
      </c>
      <c r="M542" t="s">
        <v>3190</v>
      </c>
      <c r="N542" t="s">
        <v>3174</v>
      </c>
      <c r="O542">
        <v>221</v>
      </c>
      <c r="P542" t="s">
        <v>4405</v>
      </c>
      <c r="R542">
        <v>1504</v>
      </c>
      <c r="S542">
        <v>0</v>
      </c>
      <c r="T542">
        <v>32</v>
      </c>
      <c r="U542">
        <v>0</v>
      </c>
      <c r="V542">
        <v>784</v>
      </c>
      <c r="W542">
        <v>784</v>
      </c>
      <c r="X542">
        <v>32</v>
      </c>
      <c r="Y542">
        <v>0</v>
      </c>
      <c r="Z542">
        <v>0</v>
      </c>
      <c r="AA542">
        <v>0</v>
      </c>
      <c r="AE542" s="30">
        <v>46241.333333333336</v>
      </c>
      <c r="AF542" s="30">
        <v>46246.708333333336</v>
      </c>
      <c r="AH542" s="30">
        <v>45972.333333333336</v>
      </c>
      <c r="AI542" s="30">
        <v>45975.708333333336</v>
      </c>
      <c r="AJ542" s="30">
        <v>45972.333333333336</v>
      </c>
      <c r="AK542" s="30">
        <v>45975.708333333336</v>
      </c>
      <c r="AL542" s="30">
        <v>45972.333333333336</v>
      </c>
      <c r="AM542" s="30">
        <v>45975.708333333336</v>
      </c>
      <c r="AN542" s="30">
        <v>46241.333333333336</v>
      </c>
      <c r="AO542" s="30">
        <v>46246.708333333336</v>
      </c>
      <c r="AQ542" t="s">
        <v>3171</v>
      </c>
      <c r="AV542" t="s">
        <v>4404</v>
      </c>
      <c r="AZ542" t="s">
        <v>1265</v>
      </c>
      <c r="BA542">
        <v>0</v>
      </c>
      <c r="BB542">
        <v>0</v>
      </c>
      <c r="BJ542" s="30">
        <v>45953.652083333334</v>
      </c>
      <c r="BK542" s="30">
        <v>46093.667361111111</v>
      </c>
      <c r="BL542" t="s">
        <v>2716</v>
      </c>
      <c r="BM542" t="s">
        <v>1259</v>
      </c>
      <c r="BO542" t="s">
        <v>1265</v>
      </c>
    </row>
    <row r="543" spans="1:67" x14ac:dyDescent="0.25">
      <c r="A543" t="s">
        <v>1248</v>
      </c>
      <c r="B543">
        <v>119888</v>
      </c>
      <c r="C543">
        <v>405</v>
      </c>
      <c r="D543">
        <v>16402</v>
      </c>
      <c r="E543">
        <v>1117</v>
      </c>
      <c r="F543">
        <v>0</v>
      </c>
      <c r="G543" t="s">
        <v>1265</v>
      </c>
      <c r="H543">
        <v>1</v>
      </c>
      <c r="I543" t="s">
        <v>1265</v>
      </c>
      <c r="J543" t="s">
        <v>1265</v>
      </c>
      <c r="K543" t="s">
        <v>3191</v>
      </c>
      <c r="L543" t="s">
        <v>3176</v>
      </c>
      <c r="M543" t="s">
        <v>3190</v>
      </c>
      <c r="N543" t="s">
        <v>3174</v>
      </c>
      <c r="O543">
        <v>222</v>
      </c>
      <c r="P543" t="s">
        <v>4403</v>
      </c>
      <c r="R543">
        <v>1568</v>
      </c>
      <c r="S543">
        <v>0</v>
      </c>
      <c r="T543">
        <v>32</v>
      </c>
      <c r="U543">
        <v>0</v>
      </c>
      <c r="V543">
        <v>784</v>
      </c>
      <c r="W543">
        <v>784</v>
      </c>
      <c r="X543">
        <v>32</v>
      </c>
      <c r="Y543">
        <v>0</v>
      </c>
      <c r="Z543">
        <v>0</v>
      </c>
      <c r="AA543">
        <v>0</v>
      </c>
      <c r="AE543" s="30">
        <v>46259.333333333336</v>
      </c>
      <c r="AF543" s="30">
        <v>46262.708333333336</v>
      </c>
      <c r="AH543" s="30">
        <v>45978.333333333336</v>
      </c>
      <c r="AI543" s="30">
        <v>45981.708333333336</v>
      </c>
      <c r="AJ543" s="30">
        <v>45978.333333333336</v>
      </c>
      <c r="AK543" s="30">
        <v>45981.708333333336</v>
      </c>
      <c r="AL543" s="30">
        <v>45978.333333333336</v>
      </c>
      <c r="AM543" s="30">
        <v>45981.708333333336</v>
      </c>
      <c r="AN543" s="30">
        <v>46259.333333333336</v>
      </c>
      <c r="AO543" s="30">
        <v>46262.708333333336</v>
      </c>
      <c r="AQ543" t="s">
        <v>3171</v>
      </c>
      <c r="AV543" t="s">
        <v>4402</v>
      </c>
      <c r="AZ543" t="s">
        <v>1265</v>
      </c>
      <c r="BA543">
        <v>0</v>
      </c>
      <c r="BB543">
        <v>0</v>
      </c>
      <c r="BJ543" s="30">
        <v>45953.652083333334</v>
      </c>
      <c r="BK543" s="30">
        <v>46093.667361111111</v>
      </c>
      <c r="BL543" t="s">
        <v>2716</v>
      </c>
      <c r="BM543" t="s">
        <v>1259</v>
      </c>
      <c r="BO543" t="s">
        <v>1265</v>
      </c>
    </row>
    <row r="544" spans="1:67" x14ac:dyDescent="0.25">
      <c r="A544" t="s">
        <v>1248</v>
      </c>
      <c r="B544">
        <v>119889</v>
      </c>
      <c r="C544">
        <v>405</v>
      </c>
      <c r="D544">
        <v>16402</v>
      </c>
      <c r="E544">
        <v>1117</v>
      </c>
      <c r="F544">
        <v>0</v>
      </c>
      <c r="G544" t="s">
        <v>1265</v>
      </c>
      <c r="H544">
        <v>1</v>
      </c>
      <c r="I544" t="s">
        <v>1265</v>
      </c>
      <c r="J544" t="s">
        <v>1265</v>
      </c>
      <c r="K544" t="s">
        <v>3191</v>
      </c>
      <c r="L544" t="s">
        <v>3176</v>
      </c>
      <c r="M544" t="s">
        <v>3190</v>
      </c>
      <c r="N544" t="s">
        <v>3174</v>
      </c>
      <c r="O544">
        <v>223</v>
      </c>
      <c r="P544" t="s">
        <v>4401</v>
      </c>
      <c r="R544">
        <v>1632</v>
      </c>
      <c r="S544">
        <v>0</v>
      </c>
      <c r="T544">
        <v>32</v>
      </c>
      <c r="U544">
        <v>0</v>
      </c>
      <c r="V544">
        <v>784</v>
      </c>
      <c r="W544">
        <v>784</v>
      </c>
      <c r="X544">
        <v>32</v>
      </c>
      <c r="Y544">
        <v>0</v>
      </c>
      <c r="Z544">
        <v>0</v>
      </c>
      <c r="AA544">
        <v>0</v>
      </c>
      <c r="AE544" s="30">
        <v>46275.333333333336</v>
      </c>
      <c r="AF544" s="30">
        <v>46280.708333333336</v>
      </c>
      <c r="AH544" s="30">
        <v>45982.333333333336</v>
      </c>
      <c r="AI544" s="30">
        <v>45987.708333333336</v>
      </c>
      <c r="AJ544" s="30">
        <v>45982.333333333336</v>
      </c>
      <c r="AK544" s="30">
        <v>45987.708333333336</v>
      </c>
      <c r="AL544" s="30">
        <v>45982.333333333336</v>
      </c>
      <c r="AM544" s="30">
        <v>45987.708333333336</v>
      </c>
      <c r="AN544" s="30">
        <v>46275.333333333336</v>
      </c>
      <c r="AO544" s="30">
        <v>46280.708333333336</v>
      </c>
      <c r="AQ544" t="s">
        <v>3171</v>
      </c>
      <c r="AV544" t="s">
        <v>4400</v>
      </c>
      <c r="AZ544" t="s">
        <v>1265</v>
      </c>
      <c r="BA544">
        <v>0</v>
      </c>
      <c r="BB544">
        <v>0</v>
      </c>
      <c r="BJ544" s="30">
        <v>45953.652083333334</v>
      </c>
      <c r="BK544" s="30">
        <v>46093.667361111111</v>
      </c>
      <c r="BL544" t="s">
        <v>2716</v>
      </c>
      <c r="BM544" t="s">
        <v>1259</v>
      </c>
      <c r="BO544" t="s">
        <v>1265</v>
      </c>
    </row>
    <row r="545" spans="1:67" x14ac:dyDescent="0.25">
      <c r="A545" t="s">
        <v>1248</v>
      </c>
      <c r="B545">
        <v>119890</v>
      </c>
      <c r="C545">
        <v>405</v>
      </c>
      <c r="D545">
        <v>16402</v>
      </c>
      <c r="E545">
        <v>1117</v>
      </c>
      <c r="F545">
        <v>0</v>
      </c>
      <c r="G545" t="s">
        <v>1265</v>
      </c>
      <c r="H545">
        <v>1</v>
      </c>
      <c r="I545" t="s">
        <v>1265</v>
      </c>
      <c r="J545" t="s">
        <v>1265</v>
      </c>
      <c r="K545" t="s">
        <v>3191</v>
      </c>
      <c r="L545" t="s">
        <v>3176</v>
      </c>
      <c r="M545" t="s">
        <v>3190</v>
      </c>
      <c r="N545" t="s">
        <v>3174</v>
      </c>
      <c r="O545">
        <v>224</v>
      </c>
      <c r="P545" t="s">
        <v>4399</v>
      </c>
      <c r="R545">
        <v>1696</v>
      </c>
      <c r="S545">
        <v>0</v>
      </c>
      <c r="T545">
        <v>32</v>
      </c>
      <c r="U545">
        <v>0</v>
      </c>
      <c r="V545">
        <v>784</v>
      </c>
      <c r="W545">
        <v>784</v>
      </c>
      <c r="X545">
        <v>32</v>
      </c>
      <c r="Y545">
        <v>0</v>
      </c>
      <c r="Z545">
        <v>0</v>
      </c>
      <c r="AA545">
        <v>0</v>
      </c>
      <c r="AE545" s="30">
        <v>46293.333333333336</v>
      </c>
      <c r="AF545" s="30">
        <v>46296.708333333336</v>
      </c>
      <c r="AH545" s="30">
        <v>45988.333333333336</v>
      </c>
      <c r="AI545" s="30">
        <v>45993.708333333336</v>
      </c>
      <c r="AJ545" s="30">
        <v>45988.333333333336</v>
      </c>
      <c r="AK545" s="30">
        <v>45993.708333333336</v>
      </c>
      <c r="AL545" s="30">
        <v>45988.333333333336</v>
      </c>
      <c r="AM545" s="30">
        <v>45993.708333333336</v>
      </c>
      <c r="AN545" s="30">
        <v>46293.333333333336</v>
      </c>
      <c r="AO545" s="30">
        <v>46296.708333333336</v>
      </c>
      <c r="AQ545" t="s">
        <v>3171</v>
      </c>
      <c r="AV545" t="s">
        <v>4398</v>
      </c>
      <c r="AZ545" t="s">
        <v>1265</v>
      </c>
      <c r="BA545">
        <v>0</v>
      </c>
      <c r="BB545">
        <v>0</v>
      </c>
      <c r="BJ545" s="30">
        <v>45953.652083333334</v>
      </c>
      <c r="BK545" s="30">
        <v>46093.657638888886</v>
      </c>
      <c r="BL545" t="s">
        <v>2716</v>
      </c>
      <c r="BM545" t="s">
        <v>1259</v>
      </c>
      <c r="BO545" t="s">
        <v>1265</v>
      </c>
    </row>
    <row r="546" spans="1:67" x14ac:dyDescent="0.25">
      <c r="A546" t="s">
        <v>1248</v>
      </c>
      <c r="B546">
        <v>119891</v>
      </c>
      <c r="C546">
        <v>405</v>
      </c>
      <c r="D546">
        <v>16402</v>
      </c>
      <c r="E546">
        <v>1117</v>
      </c>
      <c r="F546">
        <v>0</v>
      </c>
      <c r="G546" t="s">
        <v>1265</v>
      </c>
      <c r="H546">
        <v>1</v>
      </c>
      <c r="I546" t="s">
        <v>1265</v>
      </c>
      <c r="J546" t="s">
        <v>1265</v>
      </c>
      <c r="K546" t="s">
        <v>3191</v>
      </c>
      <c r="L546" t="s">
        <v>3176</v>
      </c>
      <c r="M546" t="s">
        <v>3190</v>
      </c>
      <c r="N546" t="s">
        <v>3174</v>
      </c>
      <c r="O546">
        <v>225</v>
      </c>
      <c r="P546" t="s">
        <v>4397</v>
      </c>
      <c r="R546">
        <v>1760</v>
      </c>
      <c r="S546">
        <v>0</v>
      </c>
      <c r="T546">
        <v>32</v>
      </c>
      <c r="U546">
        <v>0</v>
      </c>
      <c r="V546">
        <v>784</v>
      </c>
      <c r="W546">
        <v>784</v>
      </c>
      <c r="X546">
        <v>32</v>
      </c>
      <c r="Y546">
        <v>0</v>
      </c>
      <c r="Z546">
        <v>0</v>
      </c>
      <c r="AA546">
        <v>0</v>
      </c>
      <c r="AE546" s="30">
        <v>46309.333333333336</v>
      </c>
      <c r="AF546" s="30">
        <v>46314.708333333336</v>
      </c>
      <c r="AH546" s="30">
        <v>45994.333333333336</v>
      </c>
      <c r="AI546" s="30">
        <v>45999.708333333336</v>
      </c>
      <c r="AJ546" s="30">
        <v>45994.333333333336</v>
      </c>
      <c r="AK546" s="30">
        <v>45999.708333333336</v>
      </c>
      <c r="AL546" s="30">
        <v>45994.333333333336</v>
      </c>
      <c r="AM546" s="30">
        <v>45999.708333333336</v>
      </c>
      <c r="AN546" s="30">
        <v>46309.333333333336</v>
      </c>
      <c r="AO546" s="30">
        <v>46314.708333333336</v>
      </c>
      <c r="AQ546" t="s">
        <v>3171</v>
      </c>
      <c r="AV546" t="s">
        <v>4396</v>
      </c>
      <c r="AZ546" t="s">
        <v>1265</v>
      </c>
      <c r="BA546">
        <v>0</v>
      </c>
      <c r="BB546">
        <v>0</v>
      </c>
      <c r="BJ546" s="30">
        <v>45953.652083333334</v>
      </c>
      <c r="BK546" s="30">
        <v>46093.657638888886</v>
      </c>
      <c r="BL546" t="s">
        <v>2716</v>
      </c>
      <c r="BM546" t="s">
        <v>1259</v>
      </c>
      <c r="BO546" t="s">
        <v>1265</v>
      </c>
    </row>
    <row r="547" spans="1:67" x14ac:dyDescent="0.25">
      <c r="A547" t="s">
        <v>1248</v>
      </c>
      <c r="B547">
        <v>119892</v>
      </c>
      <c r="C547">
        <v>405</v>
      </c>
      <c r="D547">
        <v>16402</v>
      </c>
      <c r="E547">
        <v>1117</v>
      </c>
      <c r="F547">
        <v>0</v>
      </c>
      <c r="G547" t="s">
        <v>1265</v>
      </c>
      <c r="H547">
        <v>1</v>
      </c>
      <c r="I547" t="s">
        <v>1265</v>
      </c>
      <c r="J547" t="s">
        <v>1265</v>
      </c>
      <c r="K547" t="s">
        <v>3191</v>
      </c>
      <c r="L547" t="s">
        <v>3176</v>
      </c>
      <c r="M547" t="s">
        <v>3190</v>
      </c>
      <c r="N547" t="s">
        <v>3174</v>
      </c>
      <c r="O547">
        <v>226</v>
      </c>
      <c r="P547" t="s">
        <v>4395</v>
      </c>
      <c r="R547">
        <v>1824</v>
      </c>
      <c r="S547">
        <v>0</v>
      </c>
      <c r="T547">
        <v>32</v>
      </c>
      <c r="U547">
        <v>0</v>
      </c>
      <c r="V547">
        <v>784</v>
      </c>
      <c r="W547">
        <v>784</v>
      </c>
      <c r="X547">
        <v>32</v>
      </c>
      <c r="Y547">
        <v>0</v>
      </c>
      <c r="Z547">
        <v>0</v>
      </c>
      <c r="AA547">
        <v>0</v>
      </c>
      <c r="AE547" s="30">
        <v>46325.333333333336</v>
      </c>
      <c r="AF547" s="30">
        <v>46330.708333333336</v>
      </c>
      <c r="AH547" s="30">
        <v>46000.333333333336</v>
      </c>
      <c r="AI547" s="30">
        <v>46003.708333333336</v>
      </c>
      <c r="AJ547" s="30">
        <v>46000.333333333336</v>
      </c>
      <c r="AK547" s="30">
        <v>46003.708333333336</v>
      </c>
      <c r="AL547" s="30">
        <v>46000.333333333336</v>
      </c>
      <c r="AM547" s="30">
        <v>46003.708333333336</v>
      </c>
      <c r="AN547" s="30">
        <v>46325.333333333336</v>
      </c>
      <c r="AO547" s="30">
        <v>46330.708333333336</v>
      </c>
      <c r="AQ547" t="s">
        <v>3171</v>
      </c>
      <c r="AV547" t="s">
        <v>4394</v>
      </c>
      <c r="AZ547" t="s">
        <v>1265</v>
      </c>
      <c r="BA547">
        <v>0</v>
      </c>
      <c r="BB547">
        <v>0</v>
      </c>
      <c r="BJ547" s="30">
        <v>45953.652083333334</v>
      </c>
      <c r="BK547" s="30">
        <v>46093.657638888886</v>
      </c>
      <c r="BL547" t="s">
        <v>2716</v>
      </c>
      <c r="BM547" t="s">
        <v>1259</v>
      </c>
      <c r="BO547" t="s">
        <v>1265</v>
      </c>
    </row>
    <row r="548" spans="1:67" x14ac:dyDescent="0.25">
      <c r="A548" t="s">
        <v>1248</v>
      </c>
      <c r="B548">
        <v>119893</v>
      </c>
      <c r="C548">
        <v>405</v>
      </c>
      <c r="D548">
        <v>16402</v>
      </c>
      <c r="E548">
        <v>1117</v>
      </c>
      <c r="F548">
        <v>0</v>
      </c>
      <c r="G548" t="s">
        <v>1265</v>
      </c>
      <c r="H548">
        <v>1</v>
      </c>
      <c r="I548" t="s">
        <v>1265</v>
      </c>
      <c r="J548" t="s">
        <v>1265</v>
      </c>
      <c r="K548" t="s">
        <v>3191</v>
      </c>
      <c r="L548" t="s">
        <v>3176</v>
      </c>
      <c r="M548" t="s">
        <v>3190</v>
      </c>
      <c r="N548" t="s">
        <v>3174</v>
      </c>
      <c r="O548">
        <v>227</v>
      </c>
      <c r="P548" t="s">
        <v>4393</v>
      </c>
      <c r="R548">
        <v>1888</v>
      </c>
      <c r="S548">
        <v>0</v>
      </c>
      <c r="T548">
        <v>32</v>
      </c>
      <c r="U548">
        <v>0</v>
      </c>
      <c r="V548">
        <v>784</v>
      </c>
      <c r="W548">
        <v>784</v>
      </c>
      <c r="X548">
        <v>32</v>
      </c>
      <c r="Y548">
        <v>0</v>
      </c>
      <c r="Z548">
        <v>0</v>
      </c>
      <c r="AA548">
        <v>0</v>
      </c>
      <c r="AE548" s="30">
        <v>46343.333333333336</v>
      </c>
      <c r="AF548" s="30">
        <v>46346.708333333336</v>
      </c>
      <c r="AH548" s="30">
        <v>46006.333333333336</v>
      </c>
      <c r="AI548" s="30">
        <v>46009.708333333336</v>
      </c>
      <c r="AJ548" s="30">
        <v>46006.333333333336</v>
      </c>
      <c r="AK548" s="30">
        <v>46009.708333333336</v>
      </c>
      <c r="AL548" s="30">
        <v>46006.333333333336</v>
      </c>
      <c r="AM548" s="30">
        <v>46009.708333333336</v>
      </c>
      <c r="AN548" s="30">
        <v>46343.333333333336</v>
      </c>
      <c r="AO548" s="30">
        <v>46346.708333333336</v>
      </c>
      <c r="AQ548" t="s">
        <v>3171</v>
      </c>
      <c r="AV548" t="s">
        <v>4392</v>
      </c>
      <c r="AZ548" t="s">
        <v>1265</v>
      </c>
      <c r="BA548">
        <v>0</v>
      </c>
      <c r="BB548">
        <v>0</v>
      </c>
      <c r="BJ548" s="30">
        <v>45953.652083333334</v>
      </c>
      <c r="BK548" s="30">
        <v>46093.657638888886</v>
      </c>
      <c r="BL548" t="s">
        <v>2716</v>
      </c>
      <c r="BM548" t="s">
        <v>1259</v>
      </c>
      <c r="BO548" t="s">
        <v>1265</v>
      </c>
    </row>
    <row r="549" spans="1:67" x14ac:dyDescent="0.25">
      <c r="A549" t="s">
        <v>1248</v>
      </c>
      <c r="B549">
        <v>119894</v>
      </c>
      <c r="C549">
        <v>405</v>
      </c>
      <c r="D549">
        <v>16402</v>
      </c>
      <c r="E549">
        <v>1117</v>
      </c>
      <c r="F549">
        <v>0</v>
      </c>
      <c r="G549" t="s">
        <v>1265</v>
      </c>
      <c r="H549">
        <v>1</v>
      </c>
      <c r="I549" t="s">
        <v>1265</v>
      </c>
      <c r="J549" t="s">
        <v>1265</v>
      </c>
      <c r="K549" t="s">
        <v>3191</v>
      </c>
      <c r="L549" t="s">
        <v>3176</v>
      </c>
      <c r="M549" t="s">
        <v>3190</v>
      </c>
      <c r="N549" t="s">
        <v>3174</v>
      </c>
      <c r="O549">
        <v>228</v>
      </c>
      <c r="P549" t="s">
        <v>4391</v>
      </c>
      <c r="R549">
        <v>1952</v>
      </c>
      <c r="S549">
        <v>0</v>
      </c>
      <c r="T549">
        <v>32</v>
      </c>
      <c r="U549">
        <v>0</v>
      </c>
      <c r="V549">
        <v>784</v>
      </c>
      <c r="W549">
        <v>784</v>
      </c>
      <c r="X549">
        <v>32</v>
      </c>
      <c r="Y549">
        <v>0</v>
      </c>
      <c r="Z549">
        <v>0</v>
      </c>
      <c r="AA549">
        <v>0</v>
      </c>
      <c r="AE549" s="30">
        <v>46359.333333333336</v>
      </c>
      <c r="AF549" s="30">
        <v>46365.708333333336</v>
      </c>
      <c r="AH549" s="30">
        <v>46010.333333333336</v>
      </c>
      <c r="AI549" s="30">
        <v>46015.708333333336</v>
      </c>
      <c r="AJ549" s="30">
        <v>46010.333333333336</v>
      </c>
      <c r="AK549" s="30">
        <v>46015.708333333336</v>
      </c>
      <c r="AL549" s="30">
        <v>46010.333333333336</v>
      </c>
      <c r="AM549" s="30">
        <v>46015.708333333336</v>
      </c>
      <c r="AN549" s="30">
        <v>46359.333333333336</v>
      </c>
      <c r="AO549" s="30">
        <v>46365.708333333336</v>
      </c>
      <c r="AQ549" t="s">
        <v>3171</v>
      </c>
      <c r="AV549" t="s">
        <v>4390</v>
      </c>
      <c r="AZ549" t="s">
        <v>1265</v>
      </c>
      <c r="BA549">
        <v>0</v>
      </c>
      <c r="BB549">
        <v>0</v>
      </c>
      <c r="BJ549" s="30">
        <v>45953.652083333334</v>
      </c>
      <c r="BK549" s="30">
        <v>46093.657638888886</v>
      </c>
      <c r="BL549" t="s">
        <v>2716</v>
      </c>
      <c r="BM549" t="s">
        <v>1259</v>
      </c>
      <c r="BO549" t="s">
        <v>1265</v>
      </c>
    </row>
    <row r="550" spans="1:67" x14ac:dyDescent="0.25">
      <c r="A550" t="s">
        <v>1248</v>
      </c>
      <c r="B550">
        <v>119895</v>
      </c>
      <c r="C550">
        <v>405</v>
      </c>
      <c r="D550">
        <v>16402</v>
      </c>
      <c r="E550">
        <v>1117</v>
      </c>
      <c r="F550">
        <v>0</v>
      </c>
      <c r="G550" t="s">
        <v>1265</v>
      </c>
      <c r="H550">
        <v>1</v>
      </c>
      <c r="I550" t="s">
        <v>1265</v>
      </c>
      <c r="J550" t="s">
        <v>1265</v>
      </c>
      <c r="K550" t="s">
        <v>3191</v>
      </c>
      <c r="L550" t="s">
        <v>3176</v>
      </c>
      <c r="M550" t="s">
        <v>3190</v>
      </c>
      <c r="N550" t="s">
        <v>3174</v>
      </c>
      <c r="O550">
        <v>229</v>
      </c>
      <c r="P550" t="s">
        <v>4389</v>
      </c>
      <c r="R550">
        <v>2016</v>
      </c>
      <c r="S550">
        <v>0</v>
      </c>
      <c r="T550">
        <v>32</v>
      </c>
      <c r="U550">
        <v>0</v>
      </c>
      <c r="V550">
        <v>784</v>
      </c>
      <c r="W550">
        <v>784</v>
      </c>
      <c r="X550">
        <v>32</v>
      </c>
      <c r="Y550">
        <v>0</v>
      </c>
      <c r="Z550">
        <v>0</v>
      </c>
      <c r="AA550">
        <v>0</v>
      </c>
      <c r="AE550" s="30">
        <v>46378.333333333336</v>
      </c>
      <c r="AF550" s="30">
        <v>46384.708333333336</v>
      </c>
      <c r="AH550" s="30">
        <v>46016.333333333336</v>
      </c>
      <c r="AI550" s="30">
        <v>46021.708333333336</v>
      </c>
      <c r="AJ550" s="30">
        <v>46016.333333333336</v>
      </c>
      <c r="AK550" s="30">
        <v>46021.708333333336</v>
      </c>
      <c r="AL550" s="30">
        <v>46016.333333333336</v>
      </c>
      <c r="AM550" s="30">
        <v>46021.708333333336</v>
      </c>
      <c r="AN550" s="30">
        <v>46378.333333333336</v>
      </c>
      <c r="AO550" s="30">
        <v>46384.708333333336</v>
      </c>
      <c r="AQ550" t="s">
        <v>3171</v>
      </c>
      <c r="AV550" t="s">
        <v>4388</v>
      </c>
      <c r="AZ550" t="s">
        <v>1265</v>
      </c>
      <c r="BA550">
        <v>0</v>
      </c>
      <c r="BB550">
        <v>0</v>
      </c>
      <c r="BJ550" s="30">
        <v>45953.652083333334</v>
      </c>
      <c r="BK550" s="30">
        <v>46093.657638888886</v>
      </c>
      <c r="BL550" t="s">
        <v>2716</v>
      </c>
      <c r="BM550" t="s">
        <v>1259</v>
      </c>
      <c r="BO550" t="s">
        <v>1265</v>
      </c>
    </row>
    <row r="551" spans="1:67" x14ac:dyDescent="0.25">
      <c r="A551" t="s">
        <v>1248</v>
      </c>
      <c r="B551">
        <v>119896</v>
      </c>
      <c r="C551">
        <v>405</v>
      </c>
      <c r="D551">
        <v>16402</v>
      </c>
      <c r="E551">
        <v>1117</v>
      </c>
      <c r="F551">
        <v>0</v>
      </c>
      <c r="G551" t="s">
        <v>1265</v>
      </c>
      <c r="H551">
        <v>1</v>
      </c>
      <c r="I551" t="s">
        <v>1265</v>
      </c>
      <c r="J551" t="s">
        <v>1265</v>
      </c>
      <c r="K551" t="s">
        <v>3191</v>
      </c>
      <c r="L551" t="s">
        <v>3176</v>
      </c>
      <c r="M551" t="s">
        <v>3190</v>
      </c>
      <c r="N551" t="s">
        <v>3174</v>
      </c>
      <c r="O551">
        <v>230</v>
      </c>
      <c r="P551" t="s">
        <v>4387</v>
      </c>
      <c r="R551">
        <v>2080</v>
      </c>
      <c r="S551">
        <v>0</v>
      </c>
      <c r="T551">
        <v>32</v>
      </c>
      <c r="U551">
        <v>0</v>
      </c>
      <c r="V551">
        <v>784</v>
      </c>
      <c r="W551">
        <v>784</v>
      </c>
      <c r="X551">
        <v>32</v>
      </c>
      <c r="Y551">
        <v>0</v>
      </c>
      <c r="Z551">
        <v>0</v>
      </c>
      <c r="AA551">
        <v>0</v>
      </c>
      <c r="AE551" s="30">
        <v>46399.333333333336</v>
      </c>
      <c r="AF551" s="30">
        <v>46402.708333333336</v>
      </c>
      <c r="AH551" s="30">
        <v>46022.333333333336</v>
      </c>
      <c r="AI551" s="30">
        <v>46029.708333333336</v>
      </c>
      <c r="AJ551" s="30">
        <v>46022.333333333336</v>
      </c>
      <c r="AK551" s="30">
        <v>46029.708333333336</v>
      </c>
      <c r="AL551" s="30">
        <v>46022.333333333336</v>
      </c>
      <c r="AM551" s="30">
        <v>46029.708333333336</v>
      </c>
      <c r="AN551" s="30">
        <v>46399.333333333336</v>
      </c>
      <c r="AO551" s="30">
        <v>46402.708333333336</v>
      </c>
      <c r="AQ551" t="s">
        <v>3171</v>
      </c>
      <c r="AV551" t="s">
        <v>4386</v>
      </c>
      <c r="AZ551" t="s">
        <v>1265</v>
      </c>
      <c r="BA551">
        <v>0</v>
      </c>
      <c r="BB551">
        <v>0</v>
      </c>
      <c r="BJ551" s="30">
        <v>45953.652083333334</v>
      </c>
      <c r="BK551" s="30">
        <v>46093.657638888886</v>
      </c>
      <c r="BL551" t="s">
        <v>2716</v>
      </c>
      <c r="BM551" t="s">
        <v>1259</v>
      </c>
      <c r="BO551" t="s">
        <v>1265</v>
      </c>
    </row>
    <row r="552" spans="1:67" x14ac:dyDescent="0.25">
      <c r="A552" t="s">
        <v>1248</v>
      </c>
      <c r="B552">
        <v>119897</v>
      </c>
      <c r="C552">
        <v>405</v>
      </c>
      <c r="D552">
        <v>16402</v>
      </c>
      <c r="E552">
        <v>1117</v>
      </c>
      <c r="F552">
        <v>0</v>
      </c>
      <c r="G552" t="s">
        <v>1265</v>
      </c>
      <c r="H552">
        <v>1</v>
      </c>
      <c r="I552" t="s">
        <v>1265</v>
      </c>
      <c r="J552" t="s">
        <v>1265</v>
      </c>
      <c r="K552" t="s">
        <v>3191</v>
      </c>
      <c r="L552" t="s">
        <v>3176</v>
      </c>
      <c r="M552" t="s">
        <v>3190</v>
      </c>
      <c r="N552" t="s">
        <v>3174</v>
      </c>
      <c r="O552">
        <v>231</v>
      </c>
      <c r="P552" t="s">
        <v>4385</v>
      </c>
      <c r="R552">
        <v>2144</v>
      </c>
      <c r="S552">
        <v>2144</v>
      </c>
      <c r="T552">
        <v>32</v>
      </c>
      <c r="U552">
        <v>0</v>
      </c>
      <c r="V552">
        <v>784</v>
      </c>
      <c r="W552">
        <v>784</v>
      </c>
      <c r="X552">
        <v>32</v>
      </c>
      <c r="Y552">
        <v>0</v>
      </c>
      <c r="Z552">
        <v>0</v>
      </c>
      <c r="AA552">
        <v>0</v>
      </c>
      <c r="AE552" s="30">
        <v>46415.333333333336</v>
      </c>
      <c r="AF552" s="30">
        <v>46420.708333333336</v>
      </c>
      <c r="AH552" s="30">
        <v>46030.333333333336</v>
      </c>
      <c r="AI552" s="30">
        <v>46035.708333333336</v>
      </c>
      <c r="AJ552" s="30">
        <v>46030.333333333336</v>
      </c>
      <c r="AK552" s="30">
        <v>46035.708333333336</v>
      </c>
      <c r="AL552" s="30">
        <v>46030.333333333336</v>
      </c>
      <c r="AM552" s="30">
        <v>46035.708333333336</v>
      </c>
      <c r="AN552" s="30">
        <v>46415.333333333336</v>
      </c>
      <c r="AO552" s="30">
        <v>46420.708333333336</v>
      </c>
      <c r="AQ552" t="s">
        <v>3171</v>
      </c>
      <c r="AV552" t="s">
        <v>4384</v>
      </c>
      <c r="AZ552" t="s">
        <v>1265</v>
      </c>
      <c r="BA552">
        <v>0</v>
      </c>
      <c r="BB552">
        <v>0</v>
      </c>
      <c r="BJ552" s="30">
        <v>45953.652083333334</v>
      </c>
      <c r="BK552" s="30">
        <v>46093.595138888886</v>
      </c>
      <c r="BL552" t="s">
        <v>2716</v>
      </c>
      <c r="BM552" t="s">
        <v>1259</v>
      </c>
      <c r="BO552" t="s">
        <v>1265</v>
      </c>
    </row>
    <row r="553" spans="1:67" x14ac:dyDescent="0.25">
      <c r="A553" t="s">
        <v>1248</v>
      </c>
      <c r="B553">
        <v>119898</v>
      </c>
      <c r="C553">
        <v>405</v>
      </c>
      <c r="D553">
        <v>16403</v>
      </c>
      <c r="E553">
        <v>1117</v>
      </c>
      <c r="F553">
        <v>0</v>
      </c>
      <c r="G553" t="s">
        <v>1265</v>
      </c>
      <c r="H553">
        <v>1</v>
      </c>
      <c r="I553" t="s">
        <v>1265</v>
      </c>
      <c r="J553" t="s">
        <v>1265</v>
      </c>
      <c r="K553" t="s">
        <v>3191</v>
      </c>
      <c r="L553" t="s">
        <v>3176</v>
      </c>
      <c r="M553" t="s">
        <v>3190</v>
      </c>
      <c r="N553" t="s">
        <v>3174</v>
      </c>
      <c r="O553">
        <v>233</v>
      </c>
      <c r="P553" t="s">
        <v>4383</v>
      </c>
      <c r="R553">
        <v>0</v>
      </c>
      <c r="S553">
        <v>0</v>
      </c>
      <c r="T553">
        <v>96</v>
      </c>
      <c r="U553">
        <v>0</v>
      </c>
      <c r="V553">
        <v>480</v>
      </c>
      <c r="W553">
        <v>480</v>
      </c>
      <c r="X553">
        <v>96</v>
      </c>
      <c r="Y553">
        <v>0</v>
      </c>
      <c r="Z553">
        <v>0</v>
      </c>
      <c r="AA553">
        <v>0</v>
      </c>
      <c r="AE553" s="30">
        <v>46006.333333333336</v>
      </c>
      <c r="AF553" s="30">
        <v>46021.708333333336</v>
      </c>
      <c r="AH553" s="30">
        <v>46006.333333333336</v>
      </c>
      <c r="AI553" s="30">
        <v>46021.708333333336</v>
      </c>
      <c r="AJ553" s="30">
        <v>46006.333333333336</v>
      </c>
      <c r="AK553" s="30">
        <v>46021.708333333336</v>
      </c>
      <c r="AL553" s="30">
        <v>46006.333333333336</v>
      </c>
      <c r="AM553" s="30">
        <v>46021.708333333336</v>
      </c>
      <c r="AN553" s="30">
        <v>46006.333333333336</v>
      </c>
      <c r="AO553" s="30">
        <v>46021.708333333336</v>
      </c>
      <c r="AQ553" t="s">
        <v>3171</v>
      </c>
      <c r="AV553" t="s">
        <v>4382</v>
      </c>
      <c r="AZ553" t="s">
        <v>1266</v>
      </c>
      <c r="BA553">
        <v>0</v>
      </c>
      <c r="BB553">
        <v>0</v>
      </c>
      <c r="BJ553" s="30">
        <v>45953.652083333334</v>
      </c>
      <c r="BK553" s="30">
        <v>46093.595138888886</v>
      </c>
      <c r="BL553" t="s">
        <v>2716</v>
      </c>
      <c r="BM553" t="s">
        <v>1259</v>
      </c>
      <c r="BO553" t="s">
        <v>1265</v>
      </c>
    </row>
    <row r="554" spans="1:67" x14ac:dyDescent="0.25">
      <c r="A554" t="s">
        <v>1248</v>
      </c>
      <c r="B554">
        <v>119899</v>
      </c>
      <c r="C554">
        <v>405</v>
      </c>
      <c r="D554">
        <v>16403</v>
      </c>
      <c r="E554">
        <v>1117</v>
      </c>
      <c r="F554">
        <v>0</v>
      </c>
      <c r="G554" t="s">
        <v>1265</v>
      </c>
      <c r="H554">
        <v>1</v>
      </c>
      <c r="I554" t="s">
        <v>1265</v>
      </c>
      <c r="J554" t="s">
        <v>1265</v>
      </c>
      <c r="K554" t="s">
        <v>3191</v>
      </c>
      <c r="L554" t="s">
        <v>3176</v>
      </c>
      <c r="M554" t="s">
        <v>3190</v>
      </c>
      <c r="N554" t="s">
        <v>3174</v>
      </c>
      <c r="O554">
        <v>234</v>
      </c>
      <c r="P554" t="s">
        <v>4381</v>
      </c>
      <c r="R554">
        <v>0</v>
      </c>
      <c r="S554">
        <v>0</v>
      </c>
      <c r="T554">
        <v>96</v>
      </c>
      <c r="U554">
        <v>0</v>
      </c>
      <c r="V554">
        <v>480</v>
      </c>
      <c r="W554">
        <v>480</v>
      </c>
      <c r="X554">
        <v>96</v>
      </c>
      <c r="Y554">
        <v>0</v>
      </c>
      <c r="Z554">
        <v>0</v>
      </c>
      <c r="AA554">
        <v>0</v>
      </c>
      <c r="AE554" s="30">
        <v>46022.333333333336</v>
      </c>
      <c r="AF554" s="30">
        <v>46041.708333333336</v>
      </c>
      <c r="AH554" s="30">
        <v>46022.333333333336</v>
      </c>
      <c r="AI554" s="30">
        <v>46041.708333333336</v>
      </c>
      <c r="AJ554" s="30">
        <v>46022.333333333336</v>
      </c>
      <c r="AK554" s="30">
        <v>46041.708333333336</v>
      </c>
      <c r="AL554" s="30">
        <v>46022.333333333336</v>
      </c>
      <c r="AM554" s="30">
        <v>46041.708333333336</v>
      </c>
      <c r="AN554" s="30">
        <v>46022.333333333336</v>
      </c>
      <c r="AO554" s="30">
        <v>46041.708333333336</v>
      </c>
      <c r="AQ554" t="s">
        <v>3171</v>
      </c>
      <c r="AV554" t="s">
        <v>4380</v>
      </c>
      <c r="AZ554" t="s">
        <v>1266</v>
      </c>
      <c r="BA554">
        <v>0</v>
      </c>
      <c r="BB554">
        <v>0</v>
      </c>
      <c r="BJ554" s="30">
        <v>45953.652083333334</v>
      </c>
      <c r="BK554" s="30">
        <v>46093.595138888886</v>
      </c>
      <c r="BL554" t="s">
        <v>2716</v>
      </c>
      <c r="BM554" t="s">
        <v>1259</v>
      </c>
      <c r="BO554" t="s">
        <v>1265</v>
      </c>
    </row>
    <row r="555" spans="1:67" x14ac:dyDescent="0.25">
      <c r="A555" t="s">
        <v>1248</v>
      </c>
      <c r="B555">
        <v>119900</v>
      </c>
      <c r="C555">
        <v>405</v>
      </c>
      <c r="D555">
        <v>16403</v>
      </c>
      <c r="E555">
        <v>1117</v>
      </c>
      <c r="F555">
        <v>0</v>
      </c>
      <c r="G555" t="s">
        <v>1265</v>
      </c>
      <c r="H555">
        <v>1</v>
      </c>
      <c r="I555" t="s">
        <v>1265</v>
      </c>
      <c r="J555" t="s">
        <v>1265</v>
      </c>
      <c r="K555" t="s">
        <v>3191</v>
      </c>
      <c r="L555" t="s">
        <v>3176</v>
      </c>
      <c r="M555" t="s">
        <v>3190</v>
      </c>
      <c r="N555" t="s">
        <v>3174</v>
      </c>
      <c r="O555">
        <v>235</v>
      </c>
      <c r="P555" t="s">
        <v>4379</v>
      </c>
      <c r="R555">
        <v>0</v>
      </c>
      <c r="S555">
        <v>0</v>
      </c>
      <c r="T555">
        <v>96</v>
      </c>
      <c r="U555">
        <v>0</v>
      </c>
      <c r="V555">
        <v>480</v>
      </c>
      <c r="W555">
        <v>480</v>
      </c>
      <c r="X555">
        <v>96</v>
      </c>
      <c r="Y555">
        <v>0</v>
      </c>
      <c r="Z555">
        <v>0</v>
      </c>
      <c r="AA555">
        <v>0</v>
      </c>
      <c r="AE555" s="30">
        <v>46042.333333333336</v>
      </c>
      <c r="AF555" s="30">
        <v>46057.708333333336</v>
      </c>
      <c r="AH555" s="30">
        <v>46042.333333333336</v>
      </c>
      <c r="AI555" s="30">
        <v>46057.708333333336</v>
      </c>
      <c r="AJ555" s="30">
        <v>46042.333333333336</v>
      </c>
      <c r="AK555" s="30">
        <v>46057.708333333336</v>
      </c>
      <c r="AL555" s="30">
        <v>46042.333333333336</v>
      </c>
      <c r="AM555" s="30">
        <v>46057.708333333336</v>
      </c>
      <c r="AN555" s="30">
        <v>46042.333333333336</v>
      </c>
      <c r="AO555" s="30">
        <v>46057.708333333336</v>
      </c>
      <c r="AQ555" t="s">
        <v>3171</v>
      </c>
      <c r="AV555" t="s">
        <v>4378</v>
      </c>
      <c r="AZ555" t="s">
        <v>1266</v>
      </c>
      <c r="BA555">
        <v>0</v>
      </c>
      <c r="BB555">
        <v>0</v>
      </c>
      <c r="BJ555" s="30">
        <v>45953.652083333334</v>
      </c>
      <c r="BK555" s="30">
        <v>46093.595138888886</v>
      </c>
      <c r="BL555" t="s">
        <v>2716</v>
      </c>
      <c r="BM555" t="s">
        <v>1259</v>
      </c>
      <c r="BO555" t="s">
        <v>1265</v>
      </c>
    </row>
    <row r="556" spans="1:67" x14ac:dyDescent="0.25">
      <c r="A556" t="s">
        <v>1248</v>
      </c>
      <c r="B556">
        <v>119901</v>
      </c>
      <c r="C556">
        <v>405</v>
      </c>
      <c r="D556">
        <v>16403</v>
      </c>
      <c r="E556">
        <v>1117</v>
      </c>
      <c r="F556">
        <v>0</v>
      </c>
      <c r="G556" t="s">
        <v>1265</v>
      </c>
      <c r="H556">
        <v>1</v>
      </c>
      <c r="I556" t="s">
        <v>1265</v>
      </c>
      <c r="J556" t="s">
        <v>1265</v>
      </c>
      <c r="K556" t="s">
        <v>3191</v>
      </c>
      <c r="L556" t="s">
        <v>3176</v>
      </c>
      <c r="M556" t="s">
        <v>3190</v>
      </c>
      <c r="N556" t="s">
        <v>3174</v>
      </c>
      <c r="O556">
        <v>236</v>
      </c>
      <c r="P556" t="s">
        <v>4377</v>
      </c>
      <c r="R556">
        <v>0</v>
      </c>
      <c r="S556">
        <v>0</v>
      </c>
      <c r="T556">
        <v>96</v>
      </c>
      <c r="U556">
        <v>0</v>
      </c>
      <c r="V556">
        <v>480</v>
      </c>
      <c r="W556">
        <v>480</v>
      </c>
      <c r="X556">
        <v>96</v>
      </c>
      <c r="Y556">
        <v>0</v>
      </c>
      <c r="Z556">
        <v>0</v>
      </c>
      <c r="AA556">
        <v>0</v>
      </c>
      <c r="AE556" s="30">
        <v>46058.333333333336</v>
      </c>
      <c r="AF556" s="30">
        <v>46073.708333333336</v>
      </c>
      <c r="AH556" s="30">
        <v>46058.333333333336</v>
      </c>
      <c r="AI556" s="30">
        <v>46073.708333333336</v>
      </c>
      <c r="AJ556" s="30">
        <v>46058.333333333336</v>
      </c>
      <c r="AK556" s="30">
        <v>46073.708333333336</v>
      </c>
      <c r="AL556" s="30">
        <v>46058.333333333336</v>
      </c>
      <c r="AM556" s="30">
        <v>46073.708333333336</v>
      </c>
      <c r="AN556" s="30">
        <v>46058.333333333336</v>
      </c>
      <c r="AO556" s="30">
        <v>46073.708333333336</v>
      </c>
      <c r="AQ556" t="s">
        <v>3171</v>
      </c>
      <c r="AV556" t="s">
        <v>4376</v>
      </c>
      <c r="AZ556" t="s">
        <v>1266</v>
      </c>
      <c r="BA556">
        <v>0</v>
      </c>
      <c r="BB556">
        <v>0</v>
      </c>
      <c r="BJ556" s="30">
        <v>45953.652083333334</v>
      </c>
      <c r="BK556" s="30">
        <v>46093.595138888886</v>
      </c>
      <c r="BL556" t="s">
        <v>2716</v>
      </c>
      <c r="BM556" t="s">
        <v>1259</v>
      </c>
      <c r="BO556" t="s">
        <v>1265</v>
      </c>
    </row>
    <row r="557" spans="1:67" x14ac:dyDescent="0.25">
      <c r="A557" t="s">
        <v>1248</v>
      </c>
      <c r="B557">
        <v>119902</v>
      </c>
      <c r="C557">
        <v>405</v>
      </c>
      <c r="D557">
        <v>16403</v>
      </c>
      <c r="E557">
        <v>1117</v>
      </c>
      <c r="F557">
        <v>0</v>
      </c>
      <c r="G557" t="s">
        <v>1265</v>
      </c>
      <c r="H557">
        <v>1</v>
      </c>
      <c r="I557" t="s">
        <v>1265</v>
      </c>
      <c r="J557" t="s">
        <v>1265</v>
      </c>
      <c r="K557" t="s">
        <v>3191</v>
      </c>
      <c r="L557" t="s">
        <v>3176</v>
      </c>
      <c r="M557" t="s">
        <v>3190</v>
      </c>
      <c r="N557" t="s">
        <v>3174</v>
      </c>
      <c r="O557">
        <v>237</v>
      </c>
      <c r="P557" t="s">
        <v>4375</v>
      </c>
      <c r="R557">
        <v>0</v>
      </c>
      <c r="S557">
        <v>0</v>
      </c>
      <c r="T557">
        <v>96</v>
      </c>
      <c r="U557">
        <v>0</v>
      </c>
      <c r="V557">
        <v>480</v>
      </c>
      <c r="W557">
        <v>480</v>
      </c>
      <c r="X557">
        <v>96</v>
      </c>
      <c r="Y557">
        <v>0</v>
      </c>
      <c r="Z557">
        <v>0</v>
      </c>
      <c r="AA557">
        <v>0</v>
      </c>
      <c r="AE557" s="30">
        <v>46076.333333333336</v>
      </c>
      <c r="AF557" s="30">
        <v>46091.708333333336</v>
      </c>
      <c r="AH557" s="30">
        <v>46076.333333333336</v>
      </c>
      <c r="AI557" s="30">
        <v>46091.708333333336</v>
      </c>
      <c r="AJ557" s="30">
        <v>46076.333333333336</v>
      </c>
      <c r="AK557" s="30">
        <v>46091.708333333336</v>
      </c>
      <c r="AL557" s="30">
        <v>46076.333333333336</v>
      </c>
      <c r="AM557" s="30">
        <v>46091.708333333336</v>
      </c>
      <c r="AN557" s="30">
        <v>46076.333333333336</v>
      </c>
      <c r="AO557" s="30">
        <v>46091.708333333336</v>
      </c>
      <c r="AQ557" t="s">
        <v>3171</v>
      </c>
      <c r="AV557" t="s">
        <v>4374</v>
      </c>
      <c r="AZ557" t="s">
        <v>1266</v>
      </c>
      <c r="BA557">
        <v>0</v>
      </c>
      <c r="BB557">
        <v>0</v>
      </c>
      <c r="BJ557" s="30">
        <v>45953.652083333334</v>
      </c>
      <c r="BK557" s="30">
        <v>46093.595138888886</v>
      </c>
      <c r="BL557" t="s">
        <v>2716</v>
      </c>
      <c r="BM557" t="s">
        <v>1259</v>
      </c>
      <c r="BO557" t="s">
        <v>1265</v>
      </c>
    </row>
    <row r="558" spans="1:67" x14ac:dyDescent="0.25">
      <c r="A558" t="s">
        <v>1248</v>
      </c>
      <c r="B558">
        <v>119903</v>
      </c>
      <c r="C558">
        <v>405</v>
      </c>
      <c r="D558">
        <v>16403</v>
      </c>
      <c r="E558">
        <v>1117</v>
      </c>
      <c r="F558">
        <v>0</v>
      </c>
      <c r="G558" t="s">
        <v>1265</v>
      </c>
      <c r="H558">
        <v>1</v>
      </c>
      <c r="I558" t="s">
        <v>1265</v>
      </c>
      <c r="J558" t="s">
        <v>1265</v>
      </c>
      <c r="K558" t="s">
        <v>3191</v>
      </c>
      <c r="L558" t="s">
        <v>3176</v>
      </c>
      <c r="M558" t="s">
        <v>3190</v>
      </c>
      <c r="N558" t="s">
        <v>3174</v>
      </c>
      <c r="O558">
        <v>238</v>
      </c>
      <c r="P558" t="s">
        <v>4373</v>
      </c>
      <c r="R558">
        <v>0</v>
      </c>
      <c r="S558">
        <v>0</v>
      </c>
      <c r="T558">
        <v>96</v>
      </c>
      <c r="U558">
        <v>0</v>
      </c>
      <c r="V558">
        <v>480</v>
      </c>
      <c r="W558">
        <v>480</v>
      </c>
      <c r="X558">
        <v>96</v>
      </c>
      <c r="Y558">
        <v>0</v>
      </c>
      <c r="Z558">
        <v>0</v>
      </c>
      <c r="AA558">
        <v>0</v>
      </c>
      <c r="AE558" s="30">
        <v>46092.333333333336</v>
      </c>
      <c r="AF558" s="30">
        <v>46107.708333333336</v>
      </c>
      <c r="AH558" s="30">
        <v>46092.333333333336</v>
      </c>
      <c r="AI558" s="30">
        <v>46107.708333333336</v>
      </c>
      <c r="AJ558" s="30">
        <v>46092.333333333336</v>
      </c>
      <c r="AK558" s="30">
        <v>46107.708333333336</v>
      </c>
      <c r="AL558" s="30">
        <v>46092.333333333336</v>
      </c>
      <c r="AM558" s="30">
        <v>46107.708333333336</v>
      </c>
      <c r="AN558" s="30">
        <v>46092.333333333336</v>
      </c>
      <c r="AO558" s="30">
        <v>46107.708333333336</v>
      </c>
      <c r="AQ558" t="s">
        <v>3171</v>
      </c>
      <c r="AV558" t="s">
        <v>4372</v>
      </c>
      <c r="AZ558" t="s">
        <v>1266</v>
      </c>
      <c r="BA558">
        <v>0</v>
      </c>
      <c r="BB558">
        <v>0</v>
      </c>
      <c r="BJ558" s="30">
        <v>45953.652083333334</v>
      </c>
      <c r="BK558" s="30">
        <v>46093.595138888886</v>
      </c>
      <c r="BL558" t="s">
        <v>2716</v>
      </c>
      <c r="BM558" t="s">
        <v>1259</v>
      </c>
      <c r="BO558" t="s">
        <v>1265</v>
      </c>
    </row>
    <row r="559" spans="1:67" x14ac:dyDescent="0.25">
      <c r="A559" t="s">
        <v>1248</v>
      </c>
      <c r="B559">
        <v>119904</v>
      </c>
      <c r="C559">
        <v>405</v>
      </c>
      <c r="D559">
        <v>16403</v>
      </c>
      <c r="E559">
        <v>1117</v>
      </c>
      <c r="F559">
        <v>0</v>
      </c>
      <c r="G559" t="s">
        <v>1265</v>
      </c>
      <c r="H559">
        <v>1</v>
      </c>
      <c r="I559" t="s">
        <v>1265</v>
      </c>
      <c r="J559" t="s">
        <v>1265</v>
      </c>
      <c r="K559" t="s">
        <v>3191</v>
      </c>
      <c r="L559" t="s">
        <v>3176</v>
      </c>
      <c r="M559" t="s">
        <v>3190</v>
      </c>
      <c r="N559" t="s">
        <v>3174</v>
      </c>
      <c r="O559">
        <v>239</v>
      </c>
      <c r="P559" t="s">
        <v>4371</v>
      </c>
      <c r="R559">
        <v>0</v>
      </c>
      <c r="S559">
        <v>0</v>
      </c>
      <c r="T559">
        <v>96</v>
      </c>
      <c r="U559">
        <v>0</v>
      </c>
      <c r="V559">
        <v>480</v>
      </c>
      <c r="W559">
        <v>480</v>
      </c>
      <c r="X559">
        <v>96</v>
      </c>
      <c r="Y559">
        <v>0</v>
      </c>
      <c r="Z559">
        <v>0</v>
      </c>
      <c r="AA559">
        <v>0</v>
      </c>
      <c r="AE559" s="30">
        <v>46108.333333333336</v>
      </c>
      <c r="AF559" s="30">
        <v>46126.708333333336</v>
      </c>
      <c r="AH559" s="30">
        <v>46108.333333333336</v>
      </c>
      <c r="AI559" s="30">
        <v>46126.708333333336</v>
      </c>
      <c r="AJ559" s="30">
        <v>46108.333333333336</v>
      </c>
      <c r="AK559" s="30">
        <v>46126.708333333336</v>
      </c>
      <c r="AL559" s="30">
        <v>46108.333333333336</v>
      </c>
      <c r="AM559" s="30">
        <v>46126.708333333336</v>
      </c>
      <c r="AN559" s="30">
        <v>46108.333333333336</v>
      </c>
      <c r="AO559" s="30">
        <v>46126.708333333336</v>
      </c>
      <c r="AQ559" t="s">
        <v>3171</v>
      </c>
      <c r="AV559" t="s">
        <v>4370</v>
      </c>
      <c r="AZ559" t="s">
        <v>1266</v>
      </c>
      <c r="BA559">
        <v>0</v>
      </c>
      <c r="BB559">
        <v>0</v>
      </c>
      <c r="BJ559" s="30">
        <v>45953.652083333334</v>
      </c>
      <c r="BK559" s="30">
        <v>46093.595138888886</v>
      </c>
      <c r="BL559" t="s">
        <v>2716</v>
      </c>
      <c r="BM559" t="s">
        <v>1259</v>
      </c>
      <c r="BO559" t="s">
        <v>1265</v>
      </c>
    </row>
    <row r="560" spans="1:67" x14ac:dyDescent="0.25">
      <c r="A560" t="s">
        <v>1248</v>
      </c>
      <c r="B560">
        <v>119905</v>
      </c>
      <c r="C560">
        <v>405</v>
      </c>
      <c r="D560">
        <v>16403</v>
      </c>
      <c r="E560">
        <v>1117</v>
      </c>
      <c r="F560">
        <v>0</v>
      </c>
      <c r="G560" t="s">
        <v>1265</v>
      </c>
      <c r="H560">
        <v>1</v>
      </c>
      <c r="I560" t="s">
        <v>1265</v>
      </c>
      <c r="J560" t="s">
        <v>1265</v>
      </c>
      <c r="K560" t="s">
        <v>3191</v>
      </c>
      <c r="L560" t="s">
        <v>3176</v>
      </c>
      <c r="M560" t="s">
        <v>3190</v>
      </c>
      <c r="N560" t="s">
        <v>3174</v>
      </c>
      <c r="O560">
        <v>240</v>
      </c>
      <c r="P560" t="s">
        <v>4369</v>
      </c>
      <c r="R560">
        <v>0</v>
      </c>
      <c r="S560">
        <v>0</v>
      </c>
      <c r="T560">
        <v>96</v>
      </c>
      <c r="U560">
        <v>0</v>
      </c>
      <c r="V560">
        <v>480</v>
      </c>
      <c r="W560">
        <v>480</v>
      </c>
      <c r="X560">
        <v>96</v>
      </c>
      <c r="Y560">
        <v>0</v>
      </c>
      <c r="Z560">
        <v>0</v>
      </c>
      <c r="AA560">
        <v>0</v>
      </c>
      <c r="AE560" s="30">
        <v>46127.333333333336</v>
      </c>
      <c r="AF560" s="30">
        <v>46142.708333333336</v>
      </c>
      <c r="AH560" s="30">
        <v>46127.333333333336</v>
      </c>
      <c r="AI560" s="30">
        <v>46142.708333333336</v>
      </c>
      <c r="AJ560" s="30">
        <v>46127.333333333336</v>
      </c>
      <c r="AK560" s="30">
        <v>46142.708333333336</v>
      </c>
      <c r="AL560" s="30">
        <v>46127.333333333336</v>
      </c>
      <c r="AM560" s="30">
        <v>46142.708333333336</v>
      </c>
      <c r="AN560" s="30">
        <v>46127.333333333336</v>
      </c>
      <c r="AO560" s="30">
        <v>46142.708333333336</v>
      </c>
      <c r="AQ560" t="s">
        <v>3171</v>
      </c>
      <c r="AV560" t="s">
        <v>4368</v>
      </c>
      <c r="AZ560" t="s">
        <v>1266</v>
      </c>
      <c r="BA560">
        <v>0</v>
      </c>
      <c r="BB560">
        <v>0</v>
      </c>
      <c r="BJ560" s="30">
        <v>45953.652083333334</v>
      </c>
      <c r="BK560" s="30">
        <v>46093.595138888886</v>
      </c>
      <c r="BL560" t="s">
        <v>2716</v>
      </c>
      <c r="BM560" t="s">
        <v>1259</v>
      </c>
      <c r="BO560" t="s">
        <v>1265</v>
      </c>
    </row>
    <row r="561" spans="1:67" x14ac:dyDescent="0.25">
      <c r="A561" t="s">
        <v>1248</v>
      </c>
      <c r="B561">
        <v>119906</v>
      </c>
      <c r="C561">
        <v>405</v>
      </c>
      <c r="D561">
        <v>16403</v>
      </c>
      <c r="E561">
        <v>1117</v>
      </c>
      <c r="F561">
        <v>0</v>
      </c>
      <c r="G561" t="s">
        <v>1265</v>
      </c>
      <c r="H561">
        <v>1</v>
      </c>
      <c r="I561" t="s">
        <v>1265</v>
      </c>
      <c r="J561" t="s">
        <v>1265</v>
      </c>
      <c r="K561" t="s">
        <v>3191</v>
      </c>
      <c r="L561" t="s">
        <v>3176</v>
      </c>
      <c r="M561" t="s">
        <v>3190</v>
      </c>
      <c r="N561" t="s">
        <v>3174</v>
      </c>
      <c r="O561">
        <v>241</v>
      </c>
      <c r="P561" t="s">
        <v>4367</v>
      </c>
      <c r="R561">
        <v>0</v>
      </c>
      <c r="S561">
        <v>0</v>
      </c>
      <c r="T561">
        <v>96</v>
      </c>
      <c r="U561">
        <v>0</v>
      </c>
      <c r="V561">
        <v>480</v>
      </c>
      <c r="W561">
        <v>480</v>
      </c>
      <c r="X561">
        <v>96</v>
      </c>
      <c r="Y561">
        <v>0</v>
      </c>
      <c r="Z561">
        <v>0</v>
      </c>
      <c r="AA561">
        <v>0</v>
      </c>
      <c r="AE561" s="30">
        <v>46146.333333333336</v>
      </c>
      <c r="AF561" s="30">
        <v>46161.708333333336</v>
      </c>
      <c r="AH561" s="30">
        <v>46146.333333333336</v>
      </c>
      <c r="AI561" s="30">
        <v>46161.708333333336</v>
      </c>
      <c r="AJ561" s="30">
        <v>46146.333333333336</v>
      </c>
      <c r="AK561" s="30">
        <v>46161.708333333336</v>
      </c>
      <c r="AL561" s="30">
        <v>46146.333333333336</v>
      </c>
      <c r="AM561" s="30">
        <v>46161.708333333336</v>
      </c>
      <c r="AN561" s="30">
        <v>46146.333333333336</v>
      </c>
      <c r="AO561" s="30">
        <v>46161.708333333336</v>
      </c>
      <c r="AQ561" t="s">
        <v>3171</v>
      </c>
      <c r="AV561" t="s">
        <v>4366</v>
      </c>
      <c r="AZ561" t="s">
        <v>1266</v>
      </c>
      <c r="BA561">
        <v>0</v>
      </c>
      <c r="BB561">
        <v>0</v>
      </c>
      <c r="BJ561" s="30">
        <v>45953.652083333334</v>
      </c>
      <c r="BK561" s="30">
        <v>46093.595138888886</v>
      </c>
      <c r="BL561" t="s">
        <v>2716</v>
      </c>
      <c r="BM561" t="s">
        <v>1259</v>
      </c>
      <c r="BO561" t="s">
        <v>1265</v>
      </c>
    </row>
    <row r="562" spans="1:67" x14ac:dyDescent="0.25">
      <c r="A562" t="s">
        <v>1248</v>
      </c>
      <c r="B562">
        <v>119907</v>
      </c>
      <c r="C562">
        <v>405</v>
      </c>
      <c r="D562">
        <v>16403</v>
      </c>
      <c r="E562">
        <v>1117</v>
      </c>
      <c r="F562">
        <v>0</v>
      </c>
      <c r="G562" t="s">
        <v>1265</v>
      </c>
      <c r="H562">
        <v>1</v>
      </c>
      <c r="I562" t="s">
        <v>1265</v>
      </c>
      <c r="J562" t="s">
        <v>1265</v>
      </c>
      <c r="K562" t="s">
        <v>3191</v>
      </c>
      <c r="L562" t="s">
        <v>3176</v>
      </c>
      <c r="M562" t="s">
        <v>3190</v>
      </c>
      <c r="N562" t="s">
        <v>3174</v>
      </c>
      <c r="O562">
        <v>242</v>
      </c>
      <c r="P562" t="s">
        <v>4365</v>
      </c>
      <c r="R562">
        <v>0</v>
      </c>
      <c r="S562">
        <v>0</v>
      </c>
      <c r="T562">
        <v>96</v>
      </c>
      <c r="U562">
        <v>0</v>
      </c>
      <c r="V562">
        <v>480</v>
      </c>
      <c r="W562">
        <v>480</v>
      </c>
      <c r="X562">
        <v>96</v>
      </c>
      <c r="Y562">
        <v>0</v>
      </c>
      <c r="Z562">
        <v>0</v>
      </c>
      <c r="AA562">
        <v>0</v>
      </c>
      <c r="AE562" s="30">
        <v>46162.333333333336</v>
      </c>
      <c r="AF562" s="30">
        <v>46178.708333333336</v>
      </c>
      <c r="AH562" s="30">
        <v>46162.333333333336</v>
      </c>
      <c r="AI562" s="30">
        <v>46178.708333333336</v>
      </c>
      <c r="AJ562" s="30">
        <v>46162.333333333336</v>
      </c>
      <c r="AK562" s="30">
        <v>46178.708333333336</v>
      </c>
      <c r="AL562" s="30">
        <v>46162.333333333336</v>
      </c>
      <c r="AM562" s="30">
        <v>46178.708333333336</v>
      </c>
      <c r="AN562" s="30">
        <v>46162.333333333336</v>
      </c>
      <c r="AO562" s="30">
        <v>46178.708333333336</v>
      </c>
      <c r="AQ562" t="s">
        <v>3171</v>
      </c>
      <c r="AV562" t="s">
        <v>4364</v>
      </c>
      <c r="AZ562" t="s">
        <v>1266</v>
      </c>
      <c r="BA562">
        <v>0</v>
      </c>
      <c r="BB562">
        <v>0</v>
      </c>
      <c r="BJ562" s="30">
        <v>45953.652083333334</v>
      </c>
      <c r="BK562" s="30">
        <v>46093.595138888886</v>
      </c>
      <c r="BL562" t="s">
        <v>2716</v>
      </c>
      <c r="BM562" t="s">
        <v>1259</v>
      </c>
      <c r="BO562" t="s">
        <v>1265</v>
      </c>
    </row>
    <row r="563" spans="1:67" x14ac:dyDescent="0.25">
      <c r="A563" t="s">
        <v>1248</v>
      </c>
      <c r="B563">
        <v>119908</v>
      </c>
      <c r="C563">
        <v>405</v>
      </c>
      <c r="D563">
        <v>16403</v>
      </c>
      <c r="E563">
        <v>1117</v>
      </c>
      <c r="F563">
        <v>0</v>
      </c>
      <c r="G563" t="s">
        <v>1265</v>
      </c>
      <c r="H563">
        <v>1</v>
      </c>
      <c r="I563" t="s">
        <v>1265</v>
      </c>
      <c r="J563" t="s">
        <v>1265</v>
      </c>
      <c r="K563" t="s">
        <v>3191</v>
      </c>
      <c r="L563" t="s">
        <v>3176</v>
      </c>
      <c r="M563" t="s">
        <v>3190</v>
      </c>
      <c r="N563" t="s">
        <v>3174</v>
      </c>
      <c r="O563">
        <v>243</v>
      </c>
      <c r="P563" t="s">
        <v>4363</v>
      </c>
      <c r="R563">
        <v>0</v>
      </c>
      <c r="S563">
        <v>0</v>
      </c>
      <c r="T563">
        <v>96</v>
      </c>
      <c r="U563">
        <v>0</v>
      </c>
      <c r="V563">
        <v>480</v>
      </c>
      <c r="W563">
        <v>480</v>
      </c>
      <c r="X563">
        <v>96</v>
      </c>
      <c r="Y563">
        <v>0</v>
      </c>
      <c r="Z563">
        <v>0</v>
      </c>
      <c r="AA563">
        <v>0</v>
      </c>
      <c r="AE563" s="30">
        <v>46181.333333333336</v>
      </c>
      <c r="AF563" s="30">
        <v>46196.708333333336</v>
      </c>
      <c r="AH563" s="30">
        <v>46181.333333333336</v>
      </c>
      <c r="AI563" s="30">
        <v>46196.708333333336</v>
      </c>
      <c r="AJ563" s="30">
        <v>46181.333333333336</v>
      </c>
      <c r="AK563" s="30">
        <v>46196.708333333336</v>
      </c>
      <c r="AL563" s="30">
        <v>46181.333333333336</v>
      </c>
      <c r="AM563" s="30">
        <v>46196.708333333336</v>
      </c>
      <c r="AN563" s="30">
        <v>46181.333333333336</v>
      </c>
      <c r="AO563" s="30">
        <v>46196.708333333336</v>
      </c>
      <c r="AQ563" t="s">
        <v>3171</v>
      </c>
      <c r="AV563" t="s">
        <v>4362</v>
      </c>
      <c r="AZ563" t="s">
        <v>1266</v>
      </c>
      <c r="BA563">
        <v>0</v>
      </c>
      <c r="BB563">
        <v>0</v>
      </c>
      <c r="BJ563" s="30">
        <v>45953.652083333334</v>
      </c>
      <c r="BK563" s="30">
        <v>46093.595138888886</v>
      </c>
      <c r="BL563" t="s">
        <v>2716</v>
      </c>
      <c r="BM563" t="s">
        <v>1259</v>
      </c>
      <c r="BO563" t="s">
        <v>1265</v>
      </c>
    </row>
    <row r="564" spans="1:67" x14ac:dyDescent="0.25">
      <c r="A564" t="s">
        <v>1248</v>
      </c>
      <c r="B564">
        <v>119909</v>
      </c>
      <c r="C564">
        <v>405</v>
      </c>
      <c r="D564">
        <v>16403</v>
      </c>
      <c r="E564">
        <v>1117</v>
      </c>
      <c r="F564">
        <v>0</v>
      </c>
      <c r="G564" t="s">
        <v>1265</v>
      </c>
      <c r="H564">
        <v>1</v>
      </c>
      <c r="I564" t="s">
        <v>1265</v>
      </c>
      <c r="J564" t="s">
        <v>1265</v>
      </c>
      <c r="K564" t="s">
        <v>3191</v>
      </c>
      <c r="L564" t="s">
        <v>3176</v>
      </c>
      <c r="M564" t="s">
        <v>3190</v>
      </c>
      <c r="N564" t="s">
        <v>3174</v>
      </c>
      <c r="O564">
        <v>244</v>
      </c>
      <c r="P564" t="s">
        <v>4361</v>
      </c>
      <c r="R564">
        <v>0</v>
      </c>
      <c r="S564">
        <v>0</v>
      </c>
      <c r="T564">
        <v>96</v>
      </c>
      <c r="U564">
        <v>0</v>
      </c>
      <c r="V564">
        <v>480</v>
      </c>
      <c r="W564">
        <v>480</v>
      </c>
      <c r="X564">
        <v>96</v>
      </c>
      <c r="Y564">
        <v>0</v>
      </c>
      <c r="Z564">
        <v>0</v>
      </c>
      <c r="AA564">
        <v>0</v>
      </c>
      <c r="AE564" s="30">
        <v>46197.333333333336</v>
      </c>
      <c r="AF564" s="30">
        <v>46212.708333333336</v>
      </c>
      <c r="AH564" s="30">
        <v>46197.333333333336</v>
      </c>
      <c r="AI564" s="30">
        <v>46212.708333333336</v>
      </c>
      <c r="AJ564" s="30">
        <v>46197.333333333336</v>
      </c>
      <c r="AK564" s="30">
        <v>46212.708333333336</v>
      </c>
      <c r="AL564" s="30">
        <v>46197.333333333336</v>
      </c>
      <c r="AM564" s="30">
        <v>46212.708333333336</v>
      </c>
      <c r="AN564" s="30">
        <v>46197.333333333336</v>
      </c>
      <c r="AO564" s="30">
        <v>46212.708333333336</v>
      </c>
      <c r="AQ564" t="s">
        <v>3171</v>
      </c>
      <c r="AV564" t="s">
        <v>4360</v>
      </c>
      <c r="AZ564" t="s">
        <v>1266</v>
      </c>
      <c r="BA564">
        <v>0</v>
      </c>
      <c r="BB564">
        <v>0</v>
      </c>
      <c r="BJ564" s="30">
        <v>45953.652083333334</v>
      </c>
      <c r="BK564" s="30">
        <v>46093.595138888886</v>
      </c>
      <c r="BL564" t="s">
        <v>2716</v>
      </c>
      <c r="BM564" t="s">
        <v>1259</v>
      </c>
      <c r="BO564" t="s">
        <v>1265</v>
      </c>
    </row>
    <row r="565" spans="1:67" x14ac:dyDescent="0.25">
      <c r="A565" t="s">
        <v>1248</v>
      </c>
      <c r="B565">
        <v>119910</v>
      </c>
      <c r="C565">
        <v>405</v>
      </c>
      <c r="D565">
        <v>16403</v>
      </c>
      <c r="E565">
        <v>1117</v>
      </c>
      <c r="F565">
        <v>0</v>
      </c>
      <c r="G565" t="s">
        <v>1265</v>
      </c>
      <c r="H565">
        <v>1</v>
      </c>
      <c r="I565" t="s">
        <v>1265</v>
      </c>
      <c r="J565" t="s">
        <v>1265</v>
      </c>
      <c r="K565" t="s">
        <v>3191</v>
      </c>
      <c r="L565" t="s">
        <v>3176</v>
      </c>
      <c r="M565" t="s">
        <v>3190</v>
      </c>
      <c r="N565" t="s">
        <v>3174</v>
      </c>
      <c r="O565">
        <v>245</v>
      </c>
      <c r="P565" t="s">
        <v>4359</v>
      </c>
      <c r="R565">
        <v>0</v>
      </c>
      <c r="S565">
        <v>0</v>
      </c>
      <c r="T565">
        <v>96</v>
      </c>
      <c r="U565">
        <v>0</v>
      </c>
      <c r="V565">
        <v>480</v>
      </c>
      <c r="W565">
        <v>480</v>
      </c>
      <c r="X565">
        <v>96</v>
      </c>
      <c r="Y565">
        <v>0</v>
      </c>
      <c r="Z565">
        <v>0</v>
      </c>
      <c r="AA565">
        <v>0</v>
      </c>
      <c r="AE565" s="30">
        <v>46213.333333333336</v>
      </c>
      <c r="AF565" s="30">
        <v>46230.708333333336</v>
      </c>
      <c r="AH565" s="30">
        <v>46213.333333333336</v>
      </c>
      <c r="AI565" s="30">
        <v>46230.708333333336</v>
      </c>
      <c r="AJ565" s="30">
        <v>46213.333333333336</v>
      </c>
      <c r="AK565" s="30">
        <v>46230.708333333336</v>
      </c>
      <c r="AL565" s="30">
        <v>46213.333333333336</v>
      </c>
      <c r="AM565" s="30">
        <v>46230.708333333336</v>
      </c>
      <c r="AN565" s="30">
        <v>46213.333333333336</v>
      </c>
      <c r="AO565" s="30">
        <v>46230.708333333336</v>
      </c>
      <c r="AQ565" t="s">
        <v>3171</v>
      </c>
      <c r="AV565" t="s">
        <v>4358</v>
      </c>
      <c r="AZ565" t="s">
        <v>1266</v>
      </c>
      <c r="BA565">
        <v>0</v>
      </c>
      <c r="BB565">
        <v>0</v>
      </c>
      <c r="BJ565" s="30">
        <v>45953.652083333334</v>
      </c>
      <c r="BK565" s="30">
        <v>46093.595138888886</v>
      </c>
      <c r="BL565" t="s">
        <v>2716</v>
      </c>
      <c r="BM565" t="s">
        <v>1259</v>
      </c>
      <c r="BO565" t="s">
        <v>1265</v>
      </c>
    </row>
    <row r="566" spans="1:67" x14ac:dyDescent="0.25">
      <c r="A566" t="s">
        <v>1248</v>
      </c>
      <c r="B566">
        <v>119911</v>
      </c>
      <c r="C566">
        <v>405</v>
      </c>
      <c r="D566">
        <v>16403</v>
      </c>
      <c r="E566">
        <v>1117</v>
      </c>
      <c r="F566">
        <v>0</v>
      </c>
      <c r="G566" t="s">
        <v>1265</v>
      </c>
      <c r="H566">
        <v>1</v>
      </c>
      <c r="I566" t="s">
        <v>1265</v>
      </c>
      <c r="J566" t="s">
        <v>1265</v>
      </c>
      <c r="K566" t="s">
        <v>3191</v>
      </c>
      <c r="L566" t="s">
        <v>3176</v>
      </c>
      <c r="M566" t="s">
        <v>3190</v>
      </c>
      <c r="N566" t="s">
        <v>3174</v>
      </c>
      <c r="O566">
        <v>246</v>
      </c>
      <c r="P566" t="s">
        <v>4357</v>
      </c>
      <c r="R566">
        <v>0</v>
      </c>
      <c r="S566">
        <v>0</v>
      </c>
      <c r="T566">
        <v>96</v>
      </c>
      <c r="U566">
        <v>0</v>
      </c>
      <c r="V566">
        <v>480</v>
      </c>
      <c r="W566">
        <v>480</v>
      </c>
      <c r="X566">
        <v>96</v>
      </c>
      <c r="Y566">
        <v>0</v>
      </c>
      <c r="Z566">
        <v>0</v>
      </c>
      <c r="AA566">
        <v>0</v>
      </c>
      <c r="AE566" s="30">
        <v>46231.333333333336</v>
      </c>
      <c r="AF566" s="30">
        <v>46246.708333333336</v>
      </c>
      <c r="AH566" s="30">
        <v>46231.333333333336</v>
      </c>
      <c r="AI566" s="30">
        <v>46246.708333333336</v>
      </c>
      <c r="AJ566" s="30">
        <v>46231.333333333336</v>
      </c>
      <c r="AK566" s="30">
        <v>46246.708333333336</v>
      </c>
      <c r="AL566" s="30">
        <v>46231.333333333336</v>
      </c>
      <c r="AM566" s="30">
        <v>46246.708333333336</v>
      </c>
      <c r="AN566" s="30">
        <v>46231.333333333336</v>
      </c>
      <c r="AO566" s="30">
        <v>46246.708333333336</v>
      </c>
      <c r="AQ566" t="s">
        <v>3171</v>
      </c>
      <c r="AV566" t="s">
        <v>4356</v>
      </c>
      <c r="AZ566" t="s">
        <v>1266</v>
      </c>
      <c r="BA566">
        <v>0</v>
      </c>
      <c r="BB566">
        <v>0</v>
      </c>
      <c r="BJ566" s="30">
        <v>45953.652083333334</v>
      </c>
      <c r="BK566" s="30">
        <v>46093.595138888886</v>
      </c>
      <c r="BL566" t="s">
        <v>2716</v>
      </c>
      <c r="BM566" t="s">
        <v>1259</v>
      </c>
      <c r="BO566" t="s">
        <v>1265</v>
      </c>
    </row>
    <row r="567" spans="1:67" x14ac:dyDescent="0.25">
      <c r="A567" t="s">
        <v>1248</v>
      </c>
      <c r="B567">
        <v>119912</v>
      </c>
      <c r="C567">
        <v>405</v>
      </c>
      <c r="D567">
        <v>16403</v>
      </c>
      <c r="E567">
        <v>1117</v>
      </c>
      <c r="F567">
        <v>0</v>
      </c>
      <c r="G567" t="s">
        <v>1265</v>
      </c>
      <c r="H567">
        <v>1</v>
      </c>
      <c r="I567" t="s">
        <v>1265</v>
      </c>
      <c r="J567" t="s">
        <v>1265</v>
      </c>
      <c r="K567" t="s">
        <v>3191</v>
      </c>
      <c r="L567" t="s">
        <v>3176</v>
      </c>
      <c r="M567" t="s">
        <v>3190</v>
      </c>
      <c r="N567" t="s">
        <v>3174</v>
      </c>
      <c r="O567">
        <v>247</v>
      </c>
      <c r="P567" t="s">
        <v>4355</v>
      </c>
      <c r="R567">
        <v>0</v>
      </c>
      <c r="S567">
        <v>0</v>
      </c>
      <c r="T567">
        <v>96</v>
      </c>
      <c r="U567">
        <v>0</v>
      </c>
      <c r="V567">
        <v>480</v>
      </c>
      <c r="W567">
        <v>480</v>
      </c>
      <c r="X567">
        <v>96</v>
      </c>
      <c r="Y567">
        <v>0</v>
      </c>
      <c r="Z567">
        <v>0</v>
      </c>
      <c r="AA567">
        <v>0</v>
      </c>
      <c r="AE567" s="30">
        <v>46247.333333333336</v>
      </c>
      <c r="AF567" s="30">
        <v>46262.708333333336</v>
      </c>
      <c r="AH567" s="30">
        <v>46247.333333333336</v>
      </c>
      <c r="AI567" s="30">
        <v>46262.708333333336</v>
      </c>
      <c r="AJ567" s="30">
        <v>46247.333333333336</v>
      </c>
      <c r="AK567" s="30">
        <v>46262.708333333336</v>
      </c>
      <c r="AL567" s="30">
        <v>46247.333333333336</v>
      </c>
      <c r="AM567" s="30">
        <v>46262.708333333336</v>
      </c>
      <c r="AN567" s="30">
        <v>46247.333333333336</v>
      </c>
      <c r="AO567" s="30">
        <v>46262.708333333336</v>
      </c>
      <c r="AQ567" t="s">
        <v>3171</v>
      </c>
      <c r="AV567" t="s">
        <v>4354</v>
      </c>
      <c r="AZ567" t="s">
        <v>1266</v>
      </c>
      <c r="BA567">
        <v>0</v>
      </c>
      <c r="BB567">
        <v>0</v>
      </c>
      <c r="BJ567" s="30">
        <v>45953.652083333334</v>
      </c>
      <c r="BK567" s="30">
        <v>46093.595138888886</v>
      </c>
      <c r="BL567" t="s">
        <v>2716</v>
      </c>
      <c r="BM567" t="s">
        <v>1259</v>
      </c>
      <c r="BO567" t="s">
        <v>1265</v>
      </c>
    </row>
    <row r="568" spans="1:67" x14ac:dyDescent="0.25">
      <c r="A568" t="s">
        <v>1248</v>
      </c>
      <c r="B568">
        <v>119913</v>
      </c>
      <c r="C568">
        <v>405</v>
      </c>
      <c r="D568">
        <v>16403</v>
      </c>
      <c r="E568">
        <v>1117</v>
      </c>
      <c r="F568">
        <v>0</v>
      </c>
      <c r="G568" t="s">
        <v>1265</v>
      </c>
      <c r="H568">
        <v>1</v>
      </c>
      <c r="I568" t="s">
        <v>1265</v>
      </c>
      <c r="J568" t="s">
        <v>1265</v>
      </c>
      <c r="K568" t="s">
        <v>3191</v>
      </c>
      <c r="L568" t="s">
        <v>3176</v>
      </c>
      <c r="M568" t="s">
        <v>3190</v>
      </c>
      <c r="N568" t="s">
        <v>3174</v>
      </c>
      <c r="O568">
        <v>248</v>
      </c>
      <c r="P568" t="s">
        <v>4353</v>
      </c>
      <c r="R568">
        <v>0</v>
      </c>
      <c r="S568">
        <v>0</v>
      </c>
      <c r="T568">
        <v>96</v>
      </c>
      <c r="U568">
        <v>0</v>
      </c>
      <c r="V568">
        <v>480</v>
      </c>
      <c r="W568">
        <v>480</v>
      </c>
      <c r="X568">
        <v>96</v>
      </c>
      <c r="Y568">
        <v>0</v>
      </c>
      <c r="Z568">
        <v>0</v>
      </c>
      <c r="AA568">
        <v>0</v>
      </c>
      <c r="AE568" s="30">
        <v>46265.333333333336</v>
      </c>
      <c r="AF568" s="30">
        <v>46280.708333333336</v>
      </c>
      <c r="AH568" s="30">
        <v>46265.333333333336</v>
      </c>
      <c r="AI568" s="30">
        <v>46280.708333333336</v>
      </c>
      <c r="AJ568" s="30">
        <v>46265.333333333336</v>
      </c>
      <c r="AK568" s="30">
        <v>46280.708333333336</v>
      </c>
      <c r="AL568" s="30">
        <v>46265.333333333336</v>
      </c>
      <c r="AM568" s="30">
        <v>46280.708333333336</v>
      </c>
      <c r="AN568" s="30">
        <v>46265.333333333336</v>
      </c>
      <c r="AO568" s="30">
        <v>46280.708333333336</v>
      </c>
      <c r="AQ568" t="s">
        <v>3171</v>
      </c>
      <c r="AV568" t="s">
        <v>4352</v>
      </c>
      <c r="AZ568" t="s">
        <v>1266</v>
      </c>
      <c r="BA568">
        <v>0</v>
      </c>
      <c r="BB568">
        <v>0</v>
      </c>
      <c r="BJ568" s="30">
        <v>45953.652083333334</v>
      </c>
      <c r="BK568" s="30">
        <v>46093.595138888886</v>
      </c>
      <c r="BL568" t="s">
        <v>2716</v>
      </c>
      <c r="BM568" t="s">
        <v>1259</v>
      </c>
      <c r="BO568" t="s">
        <v>1265</v>
      </c>
    </row>
    <row r="569" spans="1:67" x14ac:dyDescent="0.25">
      <c r="A569" t="s">
        <v>1248</v>
      </c>
      <c r="B569">
        <v>119914</v>
      </c>
      <c r="C569">
        <v>405</v>
      </c>
      <c r="D569">
        <v>16403</v>
      </c>
      <c r="E569">
        <v>1117</v>
      </c>
      <c r="F569">
        <v>0</v>
      </c>
      <c r="G569" t="s">
        <v>1265</v>
      </c>
      <c r="H569">
        <v>1</v>
      </c>
      <c r="I569" t="s">
        <v>1265</v>
      </c>
      <c r="J569" t="s">
        <v>1265</v>
      </c>
      <c r="K569" t="s">
        <v>3191</v>
      </c>
      <c r="L569" t="s">
        <v>3176</v>
      </c>
      <c r="M569" t="s">
        <v>3190</v>
      </c>
      <c r="N569" t="s">
        <v>3174</v>
      </c>
      <c r="O569">
        <v>249</v>
      </c>
      <c r="P569" t="s">
        <v>4351</v>
      </c>
      <c r="R569">
        <v>0</v>
      </c>
      <c r="S569">
        <v>0</v>
      </c>
      <c r="T569">
        <v>96</v>
      </c>
      <c r="U569">
        <v>0</v>
      </c>
      <c r="V569">
        <v>480</v>
      </c>
      <c r="W569">
        <v>480</v>
      </c>
      <c r="X569">
        <v>96</v>
      </c>
      <c r="Y569">
        <v>0</v>
      </c>
      <c r="Z569">
        <v>0</v>
      </c>
      <c r="AA569">
        <v>0</v>
      </c>
      <c r="AE569" s="30">
        <v>46281.333333333336</v>
      </c>
      <c r="AF569" s="30">
        <v>46296.708333333336</v>
      </c>
      <c r="AH569" s="30">
        <v>46281.333333333336</v>
      </c>
      <c r="AI569" s="30">
        <v>46296.708333333336</v>
      </c>
      <c r="AJ569" s="30">
        <v>46281.333333333336</v>
      </c>
      <c r="AK569" s="30">
        <v>46296.708333333336</v>
      </c>
      <c r="AL569" s="30">
        <v>46281.333333333336</v>
      </c>
      <c r="AM569" s="30">
        <v>46296.708333333336</v>
      </c>
      <c r="AN569" s="30">
        <v>46281.333333333336</v>
      </c>
      <c r="AO569" s="30">
        <v>46296.708333333336</v>
      </c>
      <c r="AQ569" t="s">
        <v>3171</v>
      </c>
      <c r="AV569" t="s">
        <v>4350</v>
      </c>
      <c r="AZ569" t="s">
        <v>1266</v>
      </c>
      <c r="BA569">
        <v>0</v>
      </c>
      <c r="BB569">
        <v>0</v>
      </c>
      <c r="BJ569" s="30">
        <v>45953.652083333334</v>
      </c>
      <c r="BK569" s="30">
        <v>46093.595138888886</v>
      </c>
      <c r="BL569" t="s">
        <v>2716</v>
      </c>
      <c r="BM569" t="s">
        <v>1259</v>
      </c>
      <c r="BO569" t="s">
        <v>1265</v>
      </c>
    </row>
    <row r="570" spans="1:67" x14ac:dyDescent="0.25">
      <c r="A570" t="s">
        <v>1248</v>
      </c>
      <c r="B570">
        <v>119915</v>
      </c>
      <c r="C570">
        <v>405</v>
      </c>
      <c r="D570">
        <v>16403</v>
      </c>
      <c r="E570">
        <v>1117</v>
      </c>
      <c r="F570">
        <v>0</v>
      </c>
      <c r="G570" t="s">
        <v>1265</v>
      </c>
      <c r="H570">
        <v>1</v>
      </c>
      <c r="I570" t="s">
        <v>1265</v>
      </c>
      <c r="J570" t="s">
        <v>1265</v>
      </c>
      <c r="K570" t="s">
        <v>3191</v>
      </c>
      <c r="L570" t="s">
        <v>3176</v>
      </c>
      <c r="M570" t="s">
        <v>3190</v>
      </c>
      <c r="N570" t="s">
        <v>3174</v>
      </c>
      <c r="O570">
        <v>250</v>
      </c>
      <c r="P570" t="s">
        <v>4349</v>
      </c>
      <c r="R570">
        <v>0</v>
      </c>
      <c r="S570">
        <v>0</v>
      </c>
      <c r="T570">
        <v>96</v>
      </c>
      <c r="U570">
        <v>0</v>
      </c>
      <c r="V570">
        <v>480</v>
      </c>
      <c r="W570">
        <v>480</v>
      </c>
      <c r="X570">
        <v>96</v>
      </c>
      <c r="Y570">
        <v>0</v>
      </c>
      <c r="Z570">
        <v>0</v>
      </c>
      <c r="AA570">
        <v>0</v>
      </c>
      <c r="AE570" s="30">
        <v>46297.333333333336</v>
      </c>
      <c r="AF570" s="30">
        <v>46314.708333333336</v>
      </c>
      <c r="AH570" s="30">
        <v>46297.333333333336</v>
      </c>
      <c r="AI570" s="30">
        <v>46314.708333333336</v>
      </c>
      <c r="AJ570" s="30">
        <v>46297.333333333336</v>
      </c>
      <c r="AK570" s="30">
        <v>46314.708333333336</v>
      </c>
      <c r="AL570" s="30">
        <v>46297.333333333336</v>
      </c>
      <c r="AM570" s="30">
        <v>46314.708333333336</v>
      </c>
      <c r="AN570" s="30">
        <v>46297.333333333336</v>
      </c>
      <c r="AO570" s="30">
        <v>46314.708333333336</v>
      </c>
      <c r="AQ570" t="s">
        <v>3171</v>
      </c>
      <c r="AV570" t="s">
        <v>4348</v>
      </c>
      <c r="AZ570" t="s">
        <v>1266</v>
      </c>
      <c r="BA570">
        <v>0</v>
      </c>
      <c r="BB570">
        <v>0</v>
      </c>
      <c r="BJ570" s="30">
        <v>45953.652083333334</v>
      </c>
      <c r="BK570" s="30">
        <v>46093.595138888886</v>
      </c>
      <c r="BL570" t="s">
        <v>2716</v>
      </c>
      <c r="BM570" t="s">
        <v>1259</v>
      </c>
      <c r="BO570" t="s">
        <v>1265</v>
      </c>
    </row>
    <row r="571" spans="1:67" x14ac:dyDescent="0.25">
      <c r="A571" t="s">
        <v>1248</v>
      </c>
      <c r="B571">
        <v>119916</v>
      </c>
      <c r="C571">
        <v>405</v>
      </c>
      <c r="D571">
        <v>16403</v>
      </c>
      <c r="E571">
        <v>1117</v>
      </c>
      <c r="F571">
        <v>0</v>
      </c>
      <c r="G571" t="s">
        <v>1265</v>
      </c>
      <c r="H571">
        <v>1</v>
      </c>
      <c r="I571" t="s">
        <v>1265</v>
      </c>
      <c r="J571" t="s">
        <v>1265</v>
      </c>
      <c r="K571" t="s">
        <v>3191</v>
      </c>
      <c r="L571" t="s">
        <v>3176</v>
      </c>
      <c r="M571" t="s">
        <v>3190</v>
      </c>
      <c r="N571" t="s">
        <v>3174</v>
      </c>
      <c r="O571">
        <v>251</v>
      </c>
      <c r="P571" t="s">
        <v>4347</v>
      </c>
      <c r="R571">
        <v>0</v>
      </c>
      <c r="S571">
        <v>0</v>
      </c>
      <c r="T571">
        <v>96</v>
      </c>
      <c r="U571">
        <v>0</v>
      </c>
      <c r="V571">
        <v>480</v>
      </c>
      <c r="W571">
        <v>480</v>
      </c>
      <c r="X571">
        <v>96</v>
      </c>
      <c r="Y571">
        <v>0</v>
      </c>
      <c r="Z571">
        <v>0</v>
      </c>
      <c r="AA571">
        <v>0</v>
      </c>
      <c r="AE571" s="30">
        <v>46315.333333333336</v>
      </c>
      <c r="AF571" s="30">
        <v>46330.708333333336</v>
      </c>
      <c r="AH571" s="30">
        <v>46315.333333333336</v>
      </c>
      <c r="AI571" s="30">
        <v>46330.708333333336</v>
      </c>
      <c r="AJ571" s="30">
        <v>46315.333333333336</v>
      </c>
      <c r="AK571" s="30">
        <v>46330.708333333336</v>
      </c>
      <c r="AL571" s="30">
        <v>46315.333333333336</v>
      </c>
      <c r="AM571" s="30">
        <v>46330.708333333336</v>
      </c>
      <c r="AN571" s="30">
        <v>46315.333333333336</v>
      </c>
      <c r="AO571" s="30">
        <v>46330.708333333336</v>
      </c>
      <c r="AQ571" t="s">
        <v>3171</v>
      </c>
      <c r="AV571" t="s">
        <v>4346</v>
      </c>
      <c r="AZ571" t="s">
        <v>1266</v>
      </c>
      <c r="BA571">
        <v>0</v>
      </c>
      <c r="BB571">
        <v>0</v>
      </c>
      <c r="BJ571" s="30">
        <v>45953.652083333334</v>
      </c>
      <c r="BK571" s="30">
        <v>46093.595138888886</v>
      </c>
      <c r="BL571" t="s">
        <v>2716</v>
      </c>
      <c r="BM571" t="s">
        <v>1259</v>
      </c>
      <c r="BO571" t="s">
        <v>1265</v>
      </c>
    </row>
    <row r="572" spans="1:67" x14ac:dyDescent="0.25">
      <c r="A572" t="s">
        <v>1248</v>
      </c>
      <c r="B572">
        <v>119917</v>
      </c>
      <c r="C572">
        <v>405</v>
      </c>
      <c r="D572">
        <v>16403</v>
      </c>
      <c r="E572">
        <v>1117</v>
      </c>
      <c r="F572">
        <v>0</v>
      </c>
      <c r="G572" t="s">
        <v>1265</v>
      </c>
      <c r="H572">
        <v>1</v>
      </c>
      <c r="I572" t="s">
        <v>1265</v>
      </c>
      <c r="J572" t="s">
        <v>1265</v>
      </c>
      <c r="K572" t="s">
        <v>3191</v>
      </c>
      <c r="L572" t="s">
        <v>3176</v>
      </c>
      <c r="M572" t="s">
        <v>3190</v>
      </c>
      <c r="N572" t="s">
        <v>3174</v>
      </c>
      <c r="O572">
        <v>252</v>
      </c>
      <c r="P572" t="s">
        <v>4345</v>
      </c>
      <c r="R572">
        <v>0</v>
      </c>
      <c r="S572">
        <v>0</v>
      </c>
      <c r="T572">
        <v>96</v>
      </c>
      <c r="U572">
        <v>0</v>
      </c>
      <c r="V572">
        <v>480</v>
      </c>
      <c r="W572">
        <v>480</v>
      </c>
      <c r="X572">
        <v>96</v>
      </c>
      <c r="Y572">
        <v>0</v>
      </c>
      <c r="Z572">
        <v>0</v>
      </c>
      <c r="AA572">
        <v>0</v>
      </c>
      <c r="AE572" s="30">
        <v>46331.333333333336</v>
      </c>
      <c r="AF572" s="30">
        <v>46346.708333333336</v>
      </c>
      <c r="AH572" s="30">
        <v>46331.333333333336</v>
      </c>
      <c r="AI572" s="30">
        <v>46346.708333333336</v>
      </c>
      <c r="AJ572" s="30">
        <v>46331.333333333336</v>
      </c>
      <c r="AK572" s="30">
        <v>46346.708333333336</v>
      </c>
      <c r="AL572" s="30">
        <v>46331.333333333336</v>
      </c>
      <c r="AM572" s="30">
        <v>46346.708333333336</v>
      </c>
      <c r="AN572" s="30">
        <v>46331.333333333336</v>
      </c>
      <c r="AO572" s="30">
        <v>46346.708333333336</v>
      </c>
      <c r="AQ572" t="s">
        <v>3171</v>
      </c>
      <c r="AV572" t="s">
        <v>4344</v>
      </c>
      <c r="AZ572" t="s">
        <v>1266</v>
      </c>
      <c r="BA572">
        <v>0</v>
      </c>
      <c r="BB572">
        <v>0</v>
      </c>
      <c r="BJ572" s="30">
        <v>45953.652083333334</v>
      </c>
      <c r="BK572" s="30">
        <v>46093.595138888886</v>
      </c>
      <c r="BL572" t="s">
        <v>2716</v>
      </c>
      <c r="BM572" t="s">
        <v>1259</v>
      </c>
      <c r="BO572" t="s">
        <v>1265</v>
      </c>
    </row>
    <row r="573" spans="1:67" x14ac:dyDescent="0.25">
      <c r="A573" t="s">
        <v>1248</v>
      </c>
      <c r="B573">
        <v>119918</v>
      </c>
      <c r="C573">
        <v>405</v>
      </c>
      <c r="D573">
        <v>16403</v>
      </c>
      <c r="E573">
        <v>1117</v>
      </c>
      <c r="F573">
        <v>0</v>
      </c>
      <c r="G573" t="s">
        <v>1265</v>
      </c>
      <c r="H573">
        <v>1</v>
      </c>
      <c r="I573" t="s">
        <v>1265</v>
      </c>
      <c r="J573" t="s">
        <v>1265</v>
      </c>
      <c r="K573" t="s">
        <v>3191</v>
      </c>
      <c r="L573" t="s">
        <v>3176</v>
      </c>
      <c r="M573" t="s">
        <v>3190</v>
      </c>
      <c r="N573" t="s">
        <v>3174</v>
      </c>
      <c r="O573">
        <v>253</v>
      </c>
      <c r="P573" t="s">
        <v>4343</v>
      </c>
      <c r="R573">
        <v>0</v>
      </c>
      <c r="S573">
        <v>0</v>
      </c>
      <c r="T573">
        <v>96</v>
      </c>
      <c r="U573">
        <v>0</v>
      </c>
      <c r="V573">
        <v>480</v>
      </c>
      <c r="W573">
        <v>480</v>
      </c>
      <c r="X573">
        <v>96</v>
      </c>
      <c r="Y573">
        <v>0</v>
      </c>
      <c r="Z573">
        <v>0</v>
      </c>
      <c r="AA573">
        <v>0</v>
      </c>
      <c r="AE573" s="30">
        <v>46349.333333333336</v>
      </c>
      <c r="AF573" s="30">
        <v>46365.708333333336</v>
      </c>
      <c r="AH573" s="30">
        <v>46349.333333333336</v>
      </c>
      <c r="AI573" s="30">
        <v>46365.708333333336</v>
      </c>
      <c r="AJ573" s="30">
        <v>46349.333333333336</v>
      </c>
      <c r="AK573" s="30">
        <v>46365.708333333336</v>
      </c>
      <c r="AL573" s="30">
        <v>46349.333333333336</v>
      </c>
      <c r="AM573" s="30">
        <v>46365.708333333336</v>
      </c>
      <c r="AN573" s="30">
        <v>46349.333333333336</v>
      </c>
      <c r="AO573" s="30">
        <v>46365.708333333336</v>
      </c>
      <c r="AQ573" t="s">
        <v>3171</v>
      </c>
      <c r="AV573" t="s">
        <v>4342</v>
      </c>
      <c r="AZ573" t="s">
        <v>1266</v>
      </c>
      <c r="BA573">
        <v>0</v>
      </c>
      <c r="BB573">
        <v>0</v>
      </c>
      <c r="BJ573" s="30">
        <v>45953.652083333334</v>
      </c>
      <c r="BK573" s="30">
        <v>46093.595138888886</v>
      </c>
      <c r="BL573" t="s">
        <v>2716</v>
      </c>
      <c r="BM573" t="s">
        <v>1259</v>
      </c>
      <c r="BO573" t="s">
        <v>1265</v>
      </c>
    </row>
    <row r="574" spans="1:67" x14ac:dyDescent="0.25">
      <c r="A574" t="s">
        <v>1248</v>
      </c>
      <c r="B574">
        <v>119919</v>
      </c>
      <c r="C574">
        <v>405</v>
      </c>
      <c r="D574">
        <v>16403</v>
      </c>
      <c r="E574">
        <v>1117</v>
      </c>
      <c r="F574">
        <v>0</v>
      </c>
      <c r="G574" t="s">
        <v>1265</v>
      </c>
      <c r="H574">
        <v>1</v>
      </c>
      <c r="I574" t="s">
        <v>1265</v>
      </c>
      <c r="J574" t="s">
        <v>1265</v>
      </c>
      <c r="K574" t="s">
        <v>3191</v>
      </c>
      <c r="L574" t="s">
        <v>3176</v>
      </c>
      <c r="M574" t="s">
        <v>3190</v>
      </c>
      <c r="N574" t="s">
        <v>3174</v>
      </c>
      <c r="O574">
        <v>254</v>
      </c>
      <c r="P574" t="s">
        <v>4341</v>
      </c>
      <c r="R574">
        <v>0</v>
      </c>
      <c r="S574">
        <v>0</v>
      </c>
      <c r="T574">
        <v>96</v>
      </c>
      <c r="U574">
        <v>0</v>
      </c>
      <c r="V574">
        <v>480</v>
      </c>
      <c r="W574">
        <v>480</v>
      </c>
      <c r="X574">
        <v>96</v>
      </c>
      <c r="Y574">
        <v>0</v>
      </c>
      <c r="Z574">
        <v>0</v>
      </c>
      <c r="AA574">
        <v>0</v>
      </c>
      <c r="AE574" s="30">
        <v>46366.333333333336</v>
      </c>
      <c r="AF574" s="30">
        <v>46384.708333333336</v>
      </c>
      <c r="AH574" s="30">
        <v>46366.333333333336</v>
      </c>
      <c r="AI574" s="30">
        <v>46384.708333333336</v>
      </c>
      <c r="AJ574" s="30">
        <v>46366.333333333336</v>
      </c>
      <c r="AK574" s="30">
        <v>46384.708333333336</v>
      </c>
      <c r="AL574" s="30">
        <v>46366.333333333336</v>
      </c>
      <c r="AM574" s="30">
        <v>46384.708333333336</v>
      </c>
      <c r="AN574" s="30">
        <v>46366.333333333336</v>
      </c>
      <c r="AO574" s="30">
        <v>46384.708333333336</v>
      </c>
      <c r="AQ574" t="s">
        <v>3171</v>
      </c>
      <c r="AV574" t="s">
        <v>4340</v>
      </c>
      <c r="AZ574" t="s">
        <v>1266</v>
      </c>
      <c r="BA574">
        <v>0</v>
      </c>
      <c r="BB574">
        <v>0</v>
      </c>
      <c r="BJ574" s="30">
        <v>45953.652083333334</v>
      </c>
      <c r="BK574" s="30">
        <v>46093.595138888886</v>
      </c>
      <c r="BL574" t="s">
        <v>2716</v>
      </c>
      <c r="BM574" t="s">
        <v>1259</v>
      </c>
      <c r="BO574" t="s">
        <v>1265</v>
      </c>
    </row>
    <row r="575" spans="1:67" x14ac:dyDescent="0.25">
      <c r="A575" t="s">
        <v>1248</v>
      </c>
      <c r="B575">
        <v>119920</v>
      </c>
      <c r="C575">
        <v>405</v>
      </c>
      <c r="D575">
        <v>16403</v>
      </c>
      <c r="E575">
        <v>1117</v>
      </c>
      <c r="F575">
        <v>0</v>
      </c>
      <c r="G575" t="s">
        <v>1265</v>
      </c>
      <c r="H575">
        <v>1</v>
      </c>
      <c r="I575" t="s">
        <v>1265</v>
      </c>
      <c r="J575" t="s">
        <v>1265</v>
      </c>
      <c r="K575" t="s">
        <v>3191</v>
      </c>
      <c r="L575" t="s">
        <v>3176</v>
      </c>
      <c r="M575" t="s">
        <v>3190</v>
      </c>
      <c r="N575" t="s">
        <v>3174</v>
      </c>
      <c r="O575">
        <v>255</v>
      </c>
      <c r="P575" t="s">
        <v>4339</v>
      </c>
      <c r="R575">
        <v>0</v>
      </c>
      <c r="S575">
        <v>0</v>
      </c>
      <c r="T575">
        <v>96</v>
      </c>
      <c r="U575">
        <v>0</v>
      </c>
      <c r="V575">
        <v>480</v>
      </c>
      <c r="W575">
        <v>480</v>
      </c>
      <c r="X575">
        <v>96</v>
      </c>
      <c r="Y575">
        <v>0</v>
      </c>
      <c r="Z575">
        <v>0</v>
      </c>
      <c r="AA575">
        <v>0</v>
      </c>
      <c r="AE575" s="30">
        <v>46385.333333333336</v>
      </c>
      <c r="AF575" s="30">
        <v>46402.708333333336</v>
      </c>
      <c r="AH575" s="30">
        <v>46385.333333333336</v>
      </c>
      <c r="AI575" s="30">
        <v>46402.708333333336</v>
      </c>
      <c r="AJ575" s="30">
        <v>46385.333333333336</v>
      </c>
      <c r="AK575" s="30">
        <v>46402.708333333336</v>
      </c>
      <c r="AL575" s="30">
        <v>46385.333333333336</v>
      </c>
      <c r="AM575" s="30">
        <v>46402.708333333336</v>
      </c>
      <c r="AN575" s="30">
        <v>46385.333333333336</v>
      </c>
      <c r="AO575" s="30">
        <v>46402.708333333336</v>
      </c>
      <c r="AQ575" t="s">
        <v>3171</v>
      </c>
      <c r="AV575" t="s">
        <v>4338</v>
      </c>
      <c r="AZ575" t="s">
        <v>1266</v>
      </c>
      <c r="BA575">
        <v>0</v>
      </c>
      <c r="BB575">
        <v>0</v>
      </c>
      <c r="BJ575" s="30">
        <v>45953.652083333334</v>
      </c>
      <c r="BK575" s="30">
        <v>46093.595138888886</v>
      </c>
      <c r="BL575" t="s">
        <v>2716</v>
      </c>
      <c r="BM575" t="s">
        <v>1259</v>
      </c>
      <c r="BO575" t="s">
        <v>1265</v>
      </c>
    </row>
    <row r="576" spans="1:67" x14ac:dyDescent="0.25">
      <c r="A576" t="s">
        <v>1248</v>
      </c>
      <c r="B576">
        <v>119921</v>
      </c>
      <c r="C576">
        <v>405</v>
      </c>
      <c r="D576">
        <v>16403</v>
      </c>
      <c r="E576">
        <v>1117</v>
      </c>
      <c r="F576">
        <v>0</v>
      </c>
      <c r="G576" t="s">
        <v>1265</v>
      </c>
      <c r="H576">
        <v>1</v>
      </c>
      <c r="I576" t="s">
        <v>1265</v>
      </c>
      <c r="J576" t="s">
        <v>1265</v>
      </c>
      <c r="K576" t="s">
        <v>3191</v>
      </c>
      <c r="L576" t="s">
        <v>3176</v>
      </c>
      <c r="M576" t="s">
        <v>3190</v>
      </c>
      <c r="N576" t="s">
        <v>3174</v>
      </c>
      <c r="O576">
        <v>256</v>
      </c>
      <c r="P576" t="s">
        <v>4337</v>
      </c>
      <c r="R576">
        <v>0</v>
      </c>
      <c r="S576">
        <v>0</v>
      </c>
      <c r="T576">
        <v>96</v>
      </c>
      <c r="U576">
        <v>0</v>
      </c>
      <c r="V576">
        <v>480</v>
      </c>
      <c r="W576">
        <v>480</v>
      </c>
      <c r="X576">
        <v>96</v>
      </c>
      <c r="Y576">
        <v>0</v>
      </c>
      <c r="Z576">
        <v>0</v>
      </c>
      <c r="AA576">
        <v>0</v>
      </c>
      <c r="AE576" s="30">
        <v>46405.333333333336</v>
      </c>
      <c r="AF576" s="30">
        <v>46420.708333333336</v>
      </c>
      <c r="AH576" s="30">
        <v>46405.333333333336</v>
      </c>
      <c r="AI576" s="30">
        <v>46420.708333333336</v>
      </c>
      <c r="AJ576" s="30">
        <v>46405.333333333336</v>
      </c>
      <c r="AK576" s="30">
        <v>46420.708333333336</v>
      </c>
      <c r="AL576" s="30">
        <v>46405.333333333336</v>
      </c>
      <c r="AM576" s="30">
        <v>46420.708333333336</v>
      </c>
      <c r="AN576" s="30">
        <v>46405.333333333336</v>
      </c>
      <c r="AO576" s="30">
        <v>46420.708333333336</v>
      </c>
      <c r="AQ576" t="s">
        <v>3171</v>
      </c>
      <c r="AV576" t="s">
        <v>4336</v>
      </c>
      <c r="AZ576" t="s">
        <v>1266</v>
      </c>
      <c r="BA576">
        <v>0</v>
      </c>
      <c r="BB576">
        <v>0</v>
      </c>
      <c r="BJ576" s="30">
        <v>45953.652083333334</v>
      </c>
      <c r="BK576" s="30">
        <v>46093.595138888886</v>
      </c>
      <c r="BL576" t="s">
        <v>2716</v>
      </c>
      <c r="BM576" t="s">
        <v>1259</v>
      </c>
      <c r="BO576" t="s">
        <v>1265</v>
      </c>
    </row>
    <row r="577" spans="1:67" x14ac:dyDescent="0.25">
      <c r="A577" t="s">
        <v>1248</v>
      </c>
      <c r="B577">
        <v>119922</v>
      </c>
      <c r="C577">
        <v>405</v>
      </c>
      <c r="D577">
        <v>16403</v>
      </c>
      <c r="E577">
        <v>1117</v>
      </c>
      <c r="F577">
        <v>0</v>
      </c>
      <c r="G577" t="s">
        <v>1265</v>
      </c>
      <c r="H577">
        <v>1</v>
      </c>
      <c r="I577" t="s">
        <v>1265</v>
      </c>
      <c r="J577" t="s">
        <v>1265</v>
      </c>
      <c r="K577" t="s">
        <v>3191</v>
      </c>
      <c r="L577" t="s">
        <v>3176</v>
      </c>
      <c r="M577" t="s">
        <v>3190</v>
      </c>
      <c r="N577" t="s">
        <v>3174</v>
      </c>
      <c r="O577">
        <v>257</v>
      </c>
      <c r="P577" t="s">
        <v>4335</v>
      </c>
      <c r="R577">
        <v>0</v>
      </c>
      <c r="S577">
        <v>0</v>
      </c>
      <c r="T577">
        <v>96</v>
      </c>
      <c r="U577">
        <v>0</v>
      </c>
      <c r="V577">
        <v>480</v>
      </c>
      <c r="W577">
        <v>480</v>
      </c>
      <c r="X577">
        <v>96</v>
      </c>
      <c r="Y577">
        <v>0</v>
      </c>
      <c r="Z577">
        <v>0</v>
      </c>
      <c r="AA577">
        <v>0</v>
      </c>
      <c r="AE577" s="30">
        <v>46421.333333333336</v>
      </c>
      <c r="AF577" s="30">
        <v>46436.708333333336</v>
      </c>
      <c r="AH577" s="30">
        <v>46421.333333333336</v>
      </c>
      <c r="AI577" s="30">
        <v>46436.708333333336</v>
      </c>
      <c r="AJ577" s="30">
        <v>46421.333333333336</v>
      </c>
      <c r="AK577" s="30">
        <v>46436.708333333336</v>
      </c>
      <c r="AL577" s="30">
        <v>46421.333333333336</v>
      </c>
      <c r="AM577" s="30">
        <v>46436.708333333336</v>
      </c>
      <c r="AN577" s="30">
        <v>46421.333333333336</v>
      </c>
      <c r="AO577" s="30">
        <v>46436.708333333336</v>
      </c>
      <c r="AQ577" t="s">
        <v>3171</v>
      </c>
      <c r="AV577" t="s">
        <v>4334</v>
      </c>
      <c r="AZ577" t="s">
        <v>1266</v>
      </c>
      <c r="BA577">
        <v>0</v>
      </c>
      <c r="BB577">
        <v>0</v>
      </c>
      <c r="BJ577" s="30">
        <v>45953.652083333334</v>
      </c>
      <c r="BK577" s="30">
        <v>46093.595138888886</v>
      </c>
      <c r="BL577" t="s">
        <v>2716</v>
      </c>
      <c r="BM577" t="s">
        <v>1259</v>
      </c>
      <c r="BO577" t="s">
        <v>1265</v>
      </c>
    </row>
    <row r="578" spans="1:67" x14ac:dyDescent="0.25">
      <c r="A578" t="s">
        <v>1248</v>
      </c>
      <c r="B578">
        <v>119923</v>
      </c>
      <c r="C578">
        <v>405</v>
      </c>
      <c r="D578">
        <v>16391</v>
      </c>
      <c r="E578">
        <v>1117</v>
      </c>
      <c r="F578">
        <v>0</v>
      </c>
      <c r="G578" t="s">
        <v>1265</v>
      </c>
      <c r="H578">
        <v>1</v>
      </c>
      <c r="I578" t="s">
        <v>1265</v>
      </c>
      <c r="J578" t="s">
        <v>1265</v>
      </c>
      <c r="K578" t="s">
        <v>3191</v>
      </c>
      <c r="L578" t="s">
        <v>3176</v>
      </c>
      <c r="M578" t="s">
        <v>3190</v>
      </c>
      <c r="N578" t="s">
        <v>3174</v>
      </c>
      <c r="O578">
        <v>36</v>
      </c>
      <c r="P578" t="s">
        <v>4333</v>
      </c>
      <c r="R578">
        <v>0</v>
      </c>
      <c r="S578">
        <v>0</v>
      </c>
      <c r="T578">
        <v>184</v>
      </c>
      <c r="U578">
        <v>0</v>
      </c>
      <c r="V578">
        <v>1320</v>
      </c>
      <c r="W578">
        <v>1320</v>
      </c>
      <c r="X578">
        <v>184</v>
      </c>
      <c r="Y578">
        <v>0</v>
      </c>
      <c r="Z578">
        <v>0</v>
      </c>
      <c r="AA578">
        <v>0</v>
      </c>
      <c r="AE578" s="30">
        <v>45656.333333333336</v>
      </c>
      <c r="AF578" s="30">
        <v>45686.708333333336</v>
      </c>
      <c r="AH578" s="30">
        <v>45656.333333333336</v>
      </c>
      <c r="AI578" s="30">
        <v>45686.708333333336</v>
      </c>
      <c r="AJ578" s="30">
        <v>45656.333333333336</v>
      </c>
      <c r="AK578" s="30">
        <v>45686.708333333336</v>
      </c>
      <c r="AL578" s="30">
        <v>45656.333333333336</v>
      </c>
      <c r="AM578" s="30">
        <v>45686.708333333336</v>
      </c>
      <c r="AN578" s="30">
        <v>45656.333333333336</v>
      </c>
      <c r="AO578" s="30">
        <v>45686.708333333336</v>
      </c>
      <c r="AQ578" t="s">
        <v>3171</v>
      </c>
      <c r="AV578" t="s">
        <v>4332</v>
      </c>
      <c r="AZ578" t="s">
        <v>1266</v>
      </c>
      <c r="BA578">
        <v>0</v>
      </c>
      <c r="BB578">
        <v>0</v>
      </c>
      <c r="BJ578" s="30">
        <v>45953.652083333334</v>
      </c>
      <c r="BK578" s="30">
        <v>46093.595138888886</v>
      </c>
      <c r="BL578" t="s">
        <v>2716</v>
      </c>
      <c r="BM578" t="s">
        <v>1259</v>
      </c>
      <c r="BO578" t="s">
        <v>1265</v>
      </c>
    </row>
    <row r="579" spans="1:67" x14ac:dyDescent="0.25">
      <c r="A579" t="s">
        <v>1248</v>
      </c>
      <c r="B579">
        <v>119924</v>
      </c>
      <c r="C579">
        <v>405</v>
      </c>
      <c r="D579">
        <v>16391</v>
      </c>
      <c r="E579">
        <v>1117</v>
      </c>
      <c r="F579">
        <v>0</v>
      </c>
      <c r="G579" t="s">
        <v>1265</v>
      </c>
      <c r="H579">
        <v>1</v>
      </c>
      <c r="I579" t="s">
        <v>1265</v>
      </c>
      <c r="J579" t="s">
        <v>1265</v>
      </c>
      <c r="K579" t="s">
        <v>3191</v>
      </c>
      <c r="L579" t="s">
        <v>3176</v>
      </c>
      <c r="M579" t="s">
        <v>3190</v>
      </c>
      <c r="N579" t="s">
        <v>3174</v>
      </c>
      <c r="O579">
        <v>37</v>
      </c>
      <c r="P579" t="s">
        <v>4331</v>
      </c>
      <c r="R579">
        <v>0</v>
      </c>
      <c r="S579">
        <v>0</v>
      </c>
      <c r="T579">
        <v>80</v>
      </c>
      <c r="U579">
        <v>0</v>
      </c>
      <c r="V579">
        <v>896</v>
      </c>
      <c r="W579">
        <v>896</v>
      </c>
      <c r="X579">
        <v>80</v>
      </c>
      <c r="Y579">
        <v>0</v>
      </c>
      <c r="Z579">
        <v>0</v>
      </c>
      <c r="AA579">
        <v>0</v>
      </c>
      <c r="AE579" s="30">
        <v>45687.333333333336</v>
      </c>
      <c r="AF579" s="30">
        <v>45700.708333333336</v>
      </c>
      <c r="AH579" s="30">
        <v>45687.333333333336</v>
      </c>
      <c r="AI579" s="30">
        <v>45700.708333333336</v>
      </c>
      <c r="AJ579" s="30">
        <v>45687.333333333336</v>
      </c>
      <c r="AK579" s="30">
        <v>45700.708333333336</v>
      </c>
      <c r="AL579" s="30">
        <v>45687.333333333336</v>
      </c>
      <c r="AM579" s="30">
        <v>45700.708333333336</v>
      </c>
      <c r="AN579" s="30">
        <v>45687.333333333336</v>
      </c>
      <c r="AO579" s="30">
        <v>45700.708333333336</v>
      </c>
      <c r="AQ579" t="s">
        <v>3171</v>
      </c>
      <c r="AV579" t="s">
        <v>4330</v>
      </c>
      <c r="AZ579" t="s">
        <v>1266</v>
      </c>
      <c r="BA579">
        <v>0</v>
      </c>
      <c r="BB579">
        <v>0</v>
      </c>
      <c r="BJ579" s="30">
        <v>45953.652083333334</v>
      </c>
      <c r="BK579" s="30">
        <v>46093.595138888886</v>
      </c>
      <c r="BL579" t="s">
        <v>2716</v>
      </c>
      <c r="BM579" t="s">
        <v>1259</v>
      </c>
      <c r="BO579" t="s">
        <v>1265</v>
      </c>
    </row>
    <row r="580" spans="1:67" x14ac:dyDescent="0.25">
      <c r="A580" t="s">
        <v>1248</v>
      </c>
      <c r="B580">
        <v>119925</v>
      </c>
      <c r="C580">
        <v>405</v>
      </c>
      <c r="D580">
        <v>16400</v>
      </c>
      <c r="E580">
        <v>1117</v>
      </c>
      <c r="F580">
        <v>0</v>
      </c>
      <c r="G580" t="s">
        <v>1265</v>
      </c>
      <c r="H580">
        <v>1</v>
      </c>
      <c r="I580" t="s">
        <v>1265</v>
      </c>
      <c r="J580" t="s">
        <v>1265</v>
      </c>
      <c r="K580" t="s">
        <v>3191</v>
      </c>
      <c r="L580" t="s">
        <v>3176</v>
      </c>
      <c r="M580" t="s">
        <v>3190</v>
      </c>
      <c r="N580" t="s">
        <v>3174</v>
      </c>
      <c r="O580">
        <v>40</v>
      </c>
      <c r="P580" t="s">
        <v>4329</v>
      </c>
      <c r="Q580">
        <v>1979</v>
      </c>
      <c r="R580">
        <v>0</v>
      </c>
      <c r="S580">
        <v>0</v>
      </c>
      <c r="T580">
        <v>24</v>
      </c>
      <c r="U580">
        <v>0</v>
      </c>
      <c r="V580">
        <v>320</v>
      </c>
      <c r="W580">
        <v>320</v>
      </c>
      <c r="X580">
        <v>24</v>
      </c>
      <c r="Y580">
        <v>0</v>
      </c>
      <c r="Z580">
        <v>0</v>
      </c>
      <c r="AA580">
        <v>0</v>
      </c>
      <c r="AE580" s="30">
        <v>45701.333333333336</v>
      </c>
      <c r="AF580" s="30">
        <v>45705.708333333336</v>
      </c>
      <c r="AH580" s="30">
        <v>45701.333333333336</v>
      </c>
      <c r="AI580" s="30">
        <v>45705.708333333336</v>
      </c>
      <c r="AJ580" s="30">
        <v>45701.333333333336</v>
      </c>
      <c r="AK580" s="30">
        <v>45705.708333333336</v>
      </c>
      <c r="AL580" s="30">
        <v>45701.333333333336</v>
      </c>
      <c r="AM580" s="30">
        <v>45705.708333333336</v>
      </c>
      <c r="AN580" s="30">
        <v>45701.333333333336</v>
      </c>
      <c r="AO580" s="30">
        <v>45705.708333333336</v>
      </c>
      <c r="AQ580" t="s">
        <v>3171</v>
      </c>
      <c r="AV580" t="s">
        <v>4328</v>
      </c>
      <c r="AZ580" t="s">
        <v>1266</v>
      </c>
      <c r="BA580">
        <v>0</v>
      </c>
      <c r="BB580">
        <v>0</v>
      </c>
      <c r="BJ580" s="30">
        <v>45953.652083333334</v>
      </c>
      <c r="BK580" s="30">
        <v>46093.595138888886</v>
      </c>
      <c r="BL580" t="s">
        <v>2716</v>
      </c>
      <c r="BM580" t="s">
        <v>1259</v>
      </c>
      <c r="BO580" t="s">
        <v>1265</v>
      </c>
    </row>
    <row r="581" spans="1:67" x14ac:dyDescent="0.25">
      <c r="A581" t="s">
        <v>1248</v>
      </c>
      <c r="B581">
        <v>119926</v>
      </c>
      <c r="C581">
        <v>405</v>
      </c>
      <c r="D581">
        <v>16400</v>
      </c>
      <c r="E581">
        <v>1117</v>
      </c>
      <c r="F581">
        <v>0</v>
      </c>
      <c r="G581" t="s">
        <v>1265</v>
      </c>
      <c r="H581">
        <v>1</v>
      </c>
      <c r="I581" t="s">
        <v>1265</v>
      </c>
      <c r="J581" t="s">
        <v>1265</v>
      </c>
      <c r="K581" t="s">
        <v>3191</v>
      </c>
      <c r="L581" t="s">
        <v>3176</v>
      </c>
      <c r="M581" t="s">
        <v>3190</v>
      </c>
      <c r="N581" t="s">
        <v>3174</v>
      </c>
      <c r="O581">
        <v>41</v>
      </c>
      <c r="P581" t="s">
        <v>4327</v>
      </c>
      <c r="R581">
        <v>0</v>
      </c>
      <c r="S581">
        <v>0</v>
      </c>
      <c r="T581">
        <v>24</v>
      </c>
      <c r="U581">
        <v>0</v>
      </c>
      <c r="V581">
        <v>448</v>
      </c>
      <c r="W581">
        <v>448</v>
      </c>
      <c r="X581">
        <v>24</v>
      </c>
      <c r="Y581">
        <v>0</v>
      </c>
      <c r="Z581">
        <v>0</v>
      </c>
      <c r="AA581">
        <v>0</v>
      </c>
      <c r="AE581" s="30">
        <v>45706.333333333336</v>
      </c>
      <c r="AF581" s="30">
        <v>45708.708333333336</v>
      </c>
      <c r="AH581" s="30">
        <v>45706.333333333336</v>
      </c>
      <c r="AI581" s="30">
        <v>45708.708333333336</v>
      </c>
      <c r="AJ581" s="30">
        <v>45706.333333333336</v>
      </c>
      <c r="AK581" s="30">
        <v>45708.708333333336</v>
      </c>
      <c r="AL581" s="30">
        <v>45706.333333333336</v>
      </c>
      <c r="AM581" s="30">
        <v>45708.708333333336</v>
      </c>
      <c r="AN581" s="30">
        <v>45706.333333333336</v>
      </c>
      <c r="AO581" s="30">
        <v>45708.708333333336</v>
      </c>
      <c r="AQ581" t="s">
        <v>3171</v>
      </c>
      <c r="AV581" t="s">
        <v>4326</v>
      </c>
      <c r="AZ581" t="s">
        <v>1266</v>
      </c>
      <c r="BA581">
        <v>0</v>
      </c>
      <c r="BB581">
        <v>0</v>
      </c>
      <c r="BJ581" s="30">
        <v>45953.652083333334</v>
      </c>
      <c r="BK581" s="30">
        <v>46093.595138888886</v>
      </c>
      <c r="BL581" t="s">
        <v>2716</v>
      </c>
      <c r="BM581" t="s">
        <v>1259</v>
      </c>
      <c r="BO581" t="s">
        <v>1265</v>
      </c>
    </row>
    <row r="582" spans="1:67" x14ac:dyDescent="0.25">
      <c r="A582" t="s">
        <v>1248</v>
      </c>
      <c r="B582">
        <v>119927</v>
      </c>
      <c r="C582">
        <v>405</v>
      </c>
      <c r="D582">
        <v>16400</v>
      </c>
      <c r="E582">
        <v>1117</v>
      </c>
      <c r="F582">
        <v>0</v>
      </c>
      <c r="G582" t="s">
        <v>1265</v>
      </c>
      <c r="H582">
        <v>1</v>
      </c>
      <c r="I582" t="s">
        <v>1265</v>
      </c>
      <c r="J582" t="s">
        <v>1265</v>
      </c>
      <c r="K582" t="s">
        <v>3191</v>
      </c>
      <c r="L582" t="s">
        <v>3176</v>
      </c>
      <c r="M582" t="s">
        <v>3190</v>
      </c>
      <c r="N582" t="s">
        <v>3174</v>
      </c>
      <c r="O582">
        <v>42</v>
      </c>
      <c r="P582" t="s">
        <v>4325</v>
      </c>
      <c r="R582">
        <v>0</v>
      </c>
      <c r="S582">
        <v>0</v>
      </c>
      <c r="T582">
        <v>24</v>
      </c>
      <c r="U582">
        <v>0</v>
      </c>
      <c r="V582">
        <v>448</v>
      </c>
      <c r="W582">
        <v>448</v>
      </c>
      <c r="X582">
        <v>24</v>
      </c>
      <c r="Y582">
        <v>0</v>
      </c>
      <c r="Z582">
        <v>0</v>
      </c>
      <c r="AA582">
        <v>0</v>
      </c>
      <c r="AE582" s="30">
        <v>45709.333333333336</v>
      </c>
      <c r="AF582" s="30">
        <v>45713.708333333336</v>
      </c>
      <c r="AH582" s="30">
        <v>45709.333333333336</v>
      </c>
      <c r="AI582" s="30">
        <v>45713.708333333336</v>
      </c>
      <c r="AJ582" s="30">
        <v>45709.333333333336</v>
      </c>
      <c r="AK582" s="30">
        <v>45713.708333333336</v>
      </c>
      <c r="AL582" s="30">
        <v>45709.333333333336</v>
      </c>
      <c r="AM582" s="30">
        <v>45713.708333333336</v>
      </c>
      <c r="AN582" s="30">
        <v>45709.333333333336</v>
      </c>
      <c r="AO582" s="30">
        <v>45713.708333333336</v>
      </c>
      <c r="AQ582" t="s">
        <v>3171</v>
      </c>
      <c r="AV582" t="s">
        <v>4324</v>
      </c>
      <c r="AZ582" t="s">
        <v>1266</v>
      </c>
      <c r="BA582">
        <v>0</v>
      </c>
      <c r="BB582">
        <v>0</v>
      </c>
      <c r="BJ582" s="30">
        <v>45953.652083333334</v>
      </c>
      <c r="BK582" s="30">
        <v>46093.595138888886</v>
      </c>
      <c r="BL582" t="s">
        <v>2716</v>
      </c>
      <c r="BM582" t="s">
        <v>1259</v>
      </c>
      <c r="BO582" t="s">
        <v>1265</v>
      </c>
    </row>
    <row r="583" spans="1:67" x14ac:dyDescent="0.25">
      <c r="A583" t="s">
        <v>1248</v>
      </c>
      <c r="B583">
        <v>119928</v>
      </c>
      <c r="C583">
        <v>405</v>
      </c>
      <c r="D583">
        <v>16400</v>
      </c>
      <c r="E583">
        <v>1117</v>
      </c>
      <c r="F583">
        <v>0</v>
      </c>
      <c r="G583" t="s">
        <v>1265</v>
      </c>
      <c r="H583">
        <v>1</v>
      </c>
      <c r="I583" t="s">
        <v>1265</v>
      </c>
      <c r="J583" t="s">
        <v>1265</v>
      </c>
      <c r="K583" t="s">
        <v>3191</v>
      </c>
      <c r="L583" t="s">
        <v>3176</v>
      </c>
      <c r="M583" t="s">
        <v>3190</v>
      </c>
      <c r="N583" t="s">
        <v>3174</v>
      </c>
      <c r="O583">
        <v>43</v>
      </c>
      <c r="P583" t="s">
        <v>4323</v>
      </c>
      <c r="R583">
        <v>0</v>
      </c>
      <c r="S583">
        <v>0</v>
      </c>
      <c r="T583">
        <v>24</v>
      </c>
      <c r="U583">
        <v>0</v>
      </c>
      <c r="V583">
        <v>448</v>
      </c>
      <c r="W583">
        <v>448</v>
      </c>
      <c r="X583">
        <v>24</v>
      </c>
      <c r="Y583">
        <v>0</v>
      </c>
      <c r="Z583">
        <v>0</v>
      </c>
      <c r="AA583">
        <v>0</v>
      </c>
      <c r="AE583" s="30">
        <v>45714.333333333336</v>
      </c>
      <c r="AF583" s="30">
        <v>45716.708333333336</v>
      </c>
      <c r="AH583" s="30">
        <v>45714.333333333336</v>
      </c>
      <c r="AI583" s="30">
        <v>45716.708333333336</v>
      </c>
      <c r="AJ583" s="30">
        <v>45714.333333333336</v>
      </c>
      <c r="AK583" s="30">
        <v>45716.708333333336</v>
      </c>
      <c r="AL583" s="30">
        <v>45714.333333333336</v>
      </c>
      <c r="AM583" s="30">
        <v>45716.708333333336</v>
      </c>
      <c r="AN583" s="30">
        <v>45714.333333333336</v>
      </c>
      <c r="AO583" s="30">
        <v>45716.708333333336</v>
      </c>
      <c r="AQ583" t="s">
        <v>3171</v>
      </c>
      <c r="AV583" t="s">
        <v>4322</v>
      </c>
      <c r="AZ583" t="s">
        <v>1266</v>
      </c>
      <c r="BA583">
        <v>0</v>
      </c>
      <c r="BB583">
        <v>0</v>
      </c>
      <c r="BJ583" s="30">
        <v>45953.652083333334</v>
      </c>
      <c r="BK583" s="30">
        <v>46093.595138888886</v>
      </c>
      <c r="BL583" t="s">
        <v>2716</v>
      </c>
      <c r="BM583" t="s">
        <v>1259</v>
      </c>
      <c r="BO583" t="s">
        <v>1265</v>
      </c>
    </row>
    <row r="584" spans="1:67" x14ac:dyDescent="0.25">
      <c r="A584" t="s">
        <v>1248</v>
      </c>
      <c r="B584">
        <v>119929</v>
      </c>
      <c r="C584">
        <v>405</v>
      </c>
      <c r="D584">
        <v>16400</v>
      </c>
      <c r="E584">
        <v>1117</v>
      </c>
      <c r="F584">
        <v>0</v>
      </c>
      <c r="G584" t="s">
        <v>1265</v>
      </c>
      <c r="H584">
        <v>1</v>
      </c>
      <c r="I584" t="s">
        <v>1265</v>
      </c>
      <c r="J584" t="s">
        <v>1265</v>
      </c>
      <c r="K584" t="s">
        <v>3191</v>
      </c>
      <c r="L584" t="s">
        <v>3176</v>
      </c>
      <c r="M584" t="s">
        <v>3190</v>
      </c>
      <c r="N584" t="s">
        <v>3174</v>
      </c>
      <c r="O584">
        <v>44</v>
      </c>
      <c r="P584" t="s">
        <v>4321</v>
      </c>
      <c r="R584">
        <v>0</v>
      </c>
      <c r="S584">
        <v>0</v>
      </c>
      <c r="T584">
        <v>24</v>
      </c>
      <c r="U584">
        <v>0</v>
      </c>
      <c r="V584">
        <v>448</v>
      </c>
      <c r="W584">
        <v>448</v>
      </c>
      <c r="X584">
        <v>24</v>
      </c>
      <c r="Y584">
        <v>0</v>
      </c>
      <c r="Z584">
        <v>0</v>
      </c>
      <c r="AA584">
        <v>0</v>
      </c>
      <c r="AE584" s="30">
        <v>45719.333333333336</v>
      </c>
      <c r="AF584" s="30">
        <v>45721.708333333336</v>
      </c>
      <c r="AH584" s="30">
        <v>45719.333333333336</v>
      </c>
      <c r="AI584" s="30">
        <v>45721.708333333336</v>
      </c>
      <c r="AJ584" s="30">
        <v>45719.333333333336</v>
      </c>
      <c r="AK584" s="30">
        <v>45721.708333333336</v>
      </c>
      <c r="AL584" s="30">
        <v>45719.333333333336</v>
      </c>
      <c r="AM584" s="30">
        <v>45721.708333333336</v>
      </c>
      <c r="AN584" s="30">
        <v>45719.333333333336</v>
      </c>
      <c r="AO584" s="30">
        <v>45721.708333333336</v>
      </c>
      <c r="AQ584" t="s">
        <v>3171</v>
      </c>
      <c r="AV584" t="s">
        <v>4320</v>
      </c>
      <c r="AZ584" t="s">
        <v>1266</v>
      </c>
      <c r="BA584">
        <v>0</v>
      </c>
      <c r="BB584">
        <v>0</v>
      </c>
      <c r="BJ584" s="30">
        <v>45953.652083333334</v>
      </c>
      <c r="BK584" s="30">
        <v>46093.595138888886</v>
      </c>
      <c r="BL584" t="s">
        <v>2716</v>
      </c>
      <c r="BM584" t="s">
        <v>1259</v>
      </c>
      <c r="BO584" t="s">
        <v>1265</v>
      </c>
    </row>
    <row r="585" spans="1:67" x14ac:dyDescent="0.25">
      <c r="A585" t="s">
        <v>1248</v>
      </c>
      <c r="B585">
        <v>119930</v>
      </c>
      <c r="C585">
        <v>405</v>
      </c>
      <c r="D585">
        <v>16400</v>
      </c>
      <c r="E585">
        <v>1117</v>
      </c>
      <c r="F585">
        <v>0</v>
      </c>
      <c r="G585" t="s">
        <v>1265</v>
      </c>
      <c r="H585">
        <v>1</v>
      </c>
      <c r="I585" t="s">
        <v>1265</v>
      </c>
      <c r="J585" t="s">
        <v>1265</v>
      </c>
      <c r="K585" t="s">
        <v>3191</v>
      </c>
      <c r="L585" t="s">
        <v>3176</v>
      </c>
      <c r="M585" t="s">
        <v>3190</v>
      </c>
      <c r="N585" t="s">
        <v>3174</v>
      </c>
      <c r="O585">
        <v>45</v>
      </c>
      <c r="P585" t="s">
        <v>4319</v>
      </c>
      <c r="R585">
        <v>0</v>
      </c>
      <c r="S585">
        <v>0</v>
      </c>
      <c r="T585">
        <v>24</v>
      </c>
      <c r="U585">
        <v>0</v>
      </c>
      <c r="V585">
        <v>448</v>
      </c>
      <c r="W585">
        <v>448</v>
      </c>
      <c r="X585">
        <v>24</v>
      </c>
      <c r="Y585">
        <v>0</v>
      </c>
      <c r="Z585">
        <v>0</v>
      </c>
      <c r="AA585">
        <v>0</v>
      </c>
      <c r="AE585" s="30">
        <v>45722.333333333336</v>
      </c>
      <c r="AF585" s="30">
        <v>45726.708333333336</v>
      </c>
      <c r="AH585" s="30">
        <v>45722.333333333336</v>
      </c>
      <c r="AI585" s="30">
        <v>45726.708333333336</v>
      </c>
      <c r="AJ585" s="30">
        <v>45722.333333333336</v>
      </c>
      <c r="AK585" s="30">
        <v>45726.708333333336</v>
      </c>
      <c r="AL585" s="30">
        <v>45722.333333333336</v>
      </c>
      <c r="AM585" s="30">
        <v>45726.708333333336</v>
      </c>
      <c r="AN585" s="30">
        <v>45722.333333333336</v>
      </c>
      <c r="AO585" s="30">
        <v>45726.708333333336</v>
      </c>
      <c r="AQ585" t="s">
        <v>3171</v>
      </c>
      <c r="AV585" t="s">
        <v>4318</v>
      </c>
      <c r="AZ585" t="s">
        <v>1266</v>
      </c>
      <c r="BA585">
        <v>0</v>
      </c>
      <c r="BB585">
        <v>0</v>
      </c>
      <c r="BJ585" s="30">
        <v>45953.652083333334</v>
      </c>
      <c r="BK585" s="30">
        <v>46093.595138888886</v>
      </c>
      <c r="BL585" t="s">
        <v>2716</v>
      </c>
      <c r="BM585" t="s">
        <v>1259</v>
      </c>
      <c r="BO585" t="s">
        <v>1265</v>
      </c>
    </row>
    <row r="586" spans="1:67" x14ac:dyDescent="0.25">
      <c r="A586" t="s">
        <v>1248</v>
      </c>
      <c r="B586">
        <v>119931</v>
      </c>
      <c r="C586">
        <v>405</v>
      </c>
      <c r="D586">
        <v>16400</v>
      </c>
      <c r="E586">
        <v>1117</v>
      </c>
      <c r="F586">
        <v>0</v>
      </c>
      <c r="G586" t="s">
        <v>1265</v>
      </c>
      <c r="H586">
        <v>1</v>
      </c>
      <c r="I586" t="s">
        <v>1265</v>
      </c>
      <c r="J586" t="s">
        <v>1265</v>
      </c>
      <c r="K586" t="s">
        <v>3191</v>
      </c>
      <c r="L586" t="s">
        <v>3176</v>
      </c>
      <c r="M586" t="s">
        <v>3190</v>
      </c>
      <c r="N586" t="s">
        <v>3174</v>
      </c>
      <c r="O586">
        <v>46</v>
      </c>
      <c r="P586" t="s">
        <v>4317</v>
      </c>
      <c r="R586">
        <v>0</v>
      </c>
      <c r="S586">
        <v>0</v>
      </c>
      <c r="T586">
        <v>24</v>
      </c>
      <c r="U586">
        <v>0</v>
      </c>
      <c r="V586">
        <v>448</v>
      </c>
      <c r="W586">
        <v>448</v>
      </c>
      <c r="X586">
        <v>24</v>
      </c>
      <c r="Y586">
        <v>0</v>
      </c>
      <c r="Z586">
        <v>0</v>
      </c>
      <c r="AA586">
        <v>0</v>
      </c>
      <c r="AE586" s="30">
        <v>45727.333333333336</v>
      </c>
      <c r="AF586" s="30">
        <v>45729.708333333336</v>
      </c>
      <c r="AH586" s="30">
        <v>45727.333333333336</v>
      </c>
      <c r="AI586" s="30">
        <v>45729.708333333336</v>
      </c>
      <c r="AJ586" s="30">
        <v>45727.333333333336</v>
      </c>
      <c r="AK586" s="30">
        <v>45729.708333333336</v>
      </c>
      <c r="AL586" s="30">
        <v>45727.333333333336</v>
      </c>
      <c r="AM586" s="30">
        <v>45729.708333333336</v>
      </c>
      <c r="AN586" s="30">
        <v>45727.333333333336</v>
      </c>
      <c r="AO586" s="30">
        <v>45729.708333333336</v>
      </c>
      <c r="AQ586" t="s">
        <v>3171</v>
      </c>
      <c r="AV586" t="s">
        <v>4316</v>
      </c>
      <c r="AZ586" t="s">
        <v>1266</v>
      </c>
      <c r="BA586">
        <v>0</v>
      </c>
      <c r="BB586">
        <v>0</v>
      </c>
      <c r="BJ586" s="30">
        <v>45953.652083333334</v>
      </c>
      <c r="BK586" s="30">
        <v>46093.595138888886</v>
      </c>
      <c r="BL586" t="s">
        <v>2716</v>
      </c>
      <c r="BM586" t="s">
        <v>1259</v>
      </c>
      <c r="BO586" t="s">
        <v>1265</v>
      </c>
    </row>
    <row r="587" spans="1:67" x14ac:dyDescent="0.25">
      <c r="A587" t="s">
        <v>1248</v>
      </c>
      <c r="B587">
        <v>119932</v>
      </c>
      <c r="C587">
        <v>405</v>
      </c>
      <c r="D587">
        <v>16400</v>
      </c>
      <c r="E587">
        <v>1117</v>
      </c>
      <c r="F587">
        <v>0</v>
      </c>
      <c r="G587" t="s">
        <v>1265</v>
      </c>
      <c r="H587">
        <v>1</v>
      </c>
      <c r="I587" t="s">
        <v>1265</v>
      </c>
      <c r="J587" t="s">
        <v>1265</v>
      </c>
      <c r="K587" t="s">
        <v>3191</v>
      </c>
      <c r="L587" t="s">
        <v>3176</v>
      </c>
      <c r="M587" t="s">
        <v>3190</v>
      </c>
      <c r="N587" t="s">
        <v>3174</v>
      </c>
      <c r="O587">
        <v>47</v>
      </c>
      <c r="P587" t="s">
        <v>4315</v>
      </c>
      <c r="R587">
        <v>0</v>
      </c>
      <c r="S587">
        <v>0</v>
      </c>
      <c r="T587">
        <v>24</v>
      </c>
      <c r="U587">
        <v>0</v>
      </c>
      <c r="V587">
        <v>448</v>
      </c>
      <c r="W587">
        <v>448</v>
      </c>
      <c r="X587">
        <v>24</v>
      </c>
      <c r="Y587">
        <v>0</v>
      </c>
      <c r="Z587">
        <v>0</v>
      </c>
      <c r="AA587">
        <v>0</v>
      </c>
      <c r="AE587" s="30">
        <v>45730.333333333336</v>
      </c>
      <c r="AF587" s="30">
        <v>45734.708333333336</v>
      </c>
      <c r="AH587" s="30">
        <v>45730.333333333336</v>
      </c>
      <c r="AI587" s="30">
        <v>45734.708333333336</v>
      </c>
      <c r="AJ587" s="30">
        <v>45730.333333333336</v>
      </c>
      <c r="AK587" s="30">
        <v>45734.708333333336</v>
      </c>
      <c r="AL587" s="30">
        <v>45730.333333333336</v>
      </c>
      <c r="AM587" s="30">
        <v>45734.708333333336</v>
      </c>
      <c r="AN587" s="30">
        <v>45730.333333333336</v>
      </c>
      <c r="AO587" s="30">
        <v>45734.708333333336</v>
      </c>
      <c r="AQ587" t="s">
        <v>3171</v>
      </c>
      <c r="AV587" t="s">
        <v>4314</v>
      </c>
      <c r="AZ587" t="s">
        <v>1266</v>
      </c>
      <c r="BA587">
        <v>0</v>
      </c>
      <c r="BB587">
        <v>0</v>
      </c>
      <c r="BJ587" s="30">
        <v>45953.652083333334</v>
      </c>
      <c r="BK587" s="30">
        <v>46093.595138888886</v>
      </c>
      <c r="BL587" t="s">
        <v>2716</v>
      </c>
      <c r="BM587" t="s">
        <v>1259</v>
      </c>
      <c r="BO587" t="s">
        <v>1265</v>
      </c>
    </row>
    <row r="588" spans="1:67" x14ac:dyDescent="0.25">
      <c r="A588" t="s">
        <v>1248</v>
      </c>
      <c r="B588">
        <v>119933</v>
      </c>
      <c r="C588">
        <v>405</v>
      </c>
      <c r="D588">
        <v>16400</v>
      </c>
      <c r="E588">
        <v>1117</v>
      </c>
      <c r="F588">
        <v>0</v>
      </c>
      <c r="G588" t="s">
        <v>1265</v>
      </c>
      <c r="H588">
        <v>1</v>
      </c>
      <c r="I588" t="s">
        <v>1265</v>
      </c>
      <c r="J588" t="s">
        <v>1265</v>
      </c>
      <c r="K588" t="s">
        <v>3191</v>
      </c>
      <c r="L588" t="s">
        <v>3176</v>
      </c>
      <c r="M588" t="s">
        <v>3190</v>
      </c>
      <c r="N588" t="s">
        <v>3174</v>
      </c>
      <c r="O588">
        <v>48</v>
      </c>
      <c r="P588" t="s">
        <v>4313</v>
      </c>
      <c r="R588">
        <v>0</v>
      </c>
      <c r="S588">
        <v>0</v>
      </c>
      <c r="T588">
        <v>24</v>
      </c>
      <c r="U588">
        <v>0</v>
      </c>
      <c r="V588">
        <v>448</v>
      </c>
      <c r="W588">
        <v>448</v>
      </c>
      <c r="X588">
        <v>24</v>
      </c>
      <c r="Y588">
        <v>0</v>
      </c>
      <c r="Z588">
        <v>0</v>
      </c>
      <c r="AA588">
        <v>0</v>
      </c>
      <c r="AE588" s="30">
        <v>45735.333333333336</v>
      </c>
      <c r="AF588" s="30">
        <v>45737.708333333336</v>
      </c>
      <c r="AH588" s="30">
        <v>45735.333333333336</v>
      </c>
      <c r="AI588" s="30">
        <v>45737.708333333336</v>
      </c>
      <c r="AJ588" s="30">
        <v>45735.333333333336</v>
      </c>
      <c r="AK588" s="30">
        <v>45737.708333333336</v>
      </c>
      <c r="AL588" s="30">
        <v>45735.333333333336</v>
      </c>
      <c r="AM588" s="30">
        <v>45737.708333333336</v>
      </c>
      <c r="AN588" s="30">
        <v>45735.333333333336</v>
      </c>
      <c r="AO588" s="30">
        <v>45737.708333333336</v>
      </c>
      <c r="AQ588" t="s">
        <v>3171</v>
      </c>
      <c r="AV588" t="s">
        <v>4312</v>
      </c>
      <c r="AZ588" t="s">
        <v>1266</v>
      </c>
      <c r="BA588">
        <v>0</v>
      </c>
      <c r="BB588">
        <v>0</v>
      </c>
      <c r="BJ588" s="30">
        <v>45953.652083333334</v>
      </c>
      <c r="BK588" s="30">
        <v>46093.595138888886</v>
      </c>
      <c r="BL588" t="s">
        <v>2716</v>
      </c>
      <c r="BM588" t="s">
        <v>1259</v>
      </c>
      <c r="BO588" t="s">
        <v>1265</v>
      </c>
    </row>
    <row r="589" spans="1:67" x14ac:dyDescent="0.25">
      <c r="A589" t="s">
        <v>1248</v>
      </c>
      <c r="B589">
        <v>119934</v>
      </c>
      <c r="C589">
        <v>405</v>
      </c>
      <c r="D589">
        <v>16400</v>
      </c>
      <c r="E589">
        <v>1117</v>
      </c>
      <c r="F589">
        <v>0</v>
      </c>
      <c r="G589" t="s">
        <v>1265</v>
      </c>
      <c r="H589">
        <v>1</v>
      </c>
      <c r="I589" t="s">
        <v>1265</v>
      </c>
      <c r="J589" t="s">
        <v>1265</v>
      </c>
      <c r="K589" t="s">
        <v>3191</v>
      </c>
      <c r="L589" t="s">
        <v>3176</v>
      </c>
      <c r="M589" t="s">
        <v>3190</v>
      </c>
      <c r="N589" t="s">
        <v>3174</v>
      </c>
      <c r="O589">
        <v>49</v>
      </c>
      <c r="P589" t="s">
        <v>4311</v>
      </c>
      <c r="R589">
        <v>0</v>
      </c>
      <c r="S589">
        <v>0</v>
      </c>
      <c r="T589">
        <v>24</v>
      </c>
      <c r="U589">
        <v>0</v>
      </c>
      <c r="V589">
        <v>448</v>
      </c>
      <c r="W589">
        <v>448</v>
      </c>
      <c r="X589">
        <v>24</v>
      </c>
      <c r="Y589">
        <v>0</v>
      </c>
      <c r="Z589">
        <v>0</v>
      </c>
      <c r="AA589">
        <v>0</v>
      </c>
      <c r="AE589" s="30">
        <v>45740.333333333336</v>
      </c>
      <c r="AF589" s="30">
        <v>45742.708333333336</v>
      </c>
      <c r="AH589" s="30">
        <v>45740.333333333336</v>
      </c>
      <c r="AI589" s="30">
        <v>45742.708333333336</v>
      </c>
      <c r="AJ589" s="30">
        <v>45740.333333333336</v>
      </c>
      <c r="AK589" s="30">
        <v>45742.708333333336</v>
      </c>
      <c r="AL589" s="30">
        <v>45740.333333333336</v>
      </c>
      <c r="AM589" s="30">
        <v>45742.708333333336</v>
      </c>
      <c r="AN589" s="30">
        <v>45740.333333333336</v>
      </c>
      <c r="AO589" s="30">
        <v>45742.708333333336</v>
      </c>
      <c r="AQ589" t="s">
        <v>3171</v>
      </c>
      <c r="AV589" t="s">
        <v>4310</v>
      </c>
      <c r="AZ589" t="s">
        <v>1266</v>
      </c>
      <c r="BA589">
        <v>0</v>
      </c>
      <c r="BB589">
        <v>0</v>
      </c>
      <c r="BJ589" s="30">
        <v>45953.652083333334</v>
      </c>
      <c r="BK589" s="30">
        <v>46093.595138888886</v>
      </c>
      <c r="BL589" t="s">
        <v>2716</v>
      </c>
      <c r="BM589" t="s">
        <v>1259</v>
      </c>
      <c r="BO589" t="s">
        <v>1265</v>
      </c>
    </row>
    <row r="590" spans="1:67" x14ac:dyDescent="0.25">
      <c r="A590" t="s">
        <v>1248</v>
      </c>
      <c r="B590">
        <v>119935</v>
      </c>
      <c r="C590">
        <v>405</v>
      </c>
      <c r="D590">
        <v>16400</v>
      </c>
      <c r="E590">
        <v>1117</v>
      </c>
      <c r="F590">
        <v>0</v>
      </c>
      <c r="G590" t="s">
        <v>1265</v>
      </c>
      <c r="H590">
        <v>1</v>
      </c>
      <c r="I590" t="s">
        <v>1265</v>
      </c>
      <c r="J590" t="s">
        <v>1265</v>
      </c>
      <c r="K590" t="s">
        <v>3191</v>
      </c>
      <c r="L590" t="s">
        <v>3176</v>
      </c>
      <c r="M590" t="s">
        <v>3190</v>
      </c>
      <c r="N590" t="s">
        <v>3174</v>
      </c>
      <c r="O590">
        <v>50</v>
      </c>
      <c r="P590" t="s">
        <v>4309</v>
      </c>
      <c r="R590">
        <v>0</v>
      </c>
      <c r="S590">
        <v>0</v>
      </c>
      <c r="T590">
        <v>24</v>
      </c>
      <c r="U590">
        <v>0</v>
      </c>
      <c r="V590">
        <v>448</v>
      </c>
      <c r="W590">
        <v>448</v>
      </c>
      <c r="X590">
        <v>24</v>
      </c>
      <c r="Y590">
        <v>0</v>
      </c>
      <c r="Z590">
        <v>0</v>
      </c>
      <c r="AA590">
        <v>0</v>
      </c>
      <c r="AE590" s="30">
        <v>45743.333333333336</v>
      </c>
      <c r="AF590" s="30">
        <v>45747.708333333336</v>
      </c>
      <c r="AH590" s="30">
        <v>45743.333333333336</v>
      </c>
      <c r="AI590" s="30">
        <v>45747.708333333336</v>
      </c>
      <c r="AJ590" s="30">
        <v>45743.333333333336</v>
      </c>
      <c r="AK590" s="30">
        <v>45747.708333333336</v>
      </c>
      <c r="AL590" s="30">
        <v>45743.333333333336</v>
      </c>
      <c r="AM590" s="30">
        <v>45747.708333333336</v>
      </c>
      <c r="AN590" s="30">
        <v>45743.333333333336</v>
      </c>
      <c r="AO590" s="30">
        <v>45747.708333333336</v>
      </c>
      <c r="AQ590" t="s">
        <v>3171</v>
      </c>
      <c r="AV590" t="s">
        <v>4308</v>
      </c>
      <c r="AZ590" t="s">
        <v>1266</v>
      </c>
      <c r="BA590">
        <v>0</v>
      </c>
      <c r="BB590">
        <v>0</v>
      </c>
      <c r="BJ590" s="30">
        <v>45953.652083333334</v>
      </c>
      <c r="BK590" s="30">
        <v>46093.595138888886</v>
      </c>
      <c r="BL590" t="s">
        <v>2716</v>
      </c>
      <c r="BM590" t="s">
        <v>1259</v>
      </c>
      <c r="BO590" t="s">
        <v>1265</v>
      </c>
    </row>
    <row r="591" spans="1:67" x14ac:dyDescent="0.25">
      <c r="A591" t="s">
        <v>1248</v>
      </c>
      <c r="B591">
        <v>119936</v>
      </c>
      <c r="C591">
        <v>405</v>
      </c>
      <c r="D591">
        <v>16400</v>
      </c>
      <c r="E591">
        <v>1117</v>
      </c>
      <c r="F591">
        <v>0</v>
      </c>
      <c r="G591" t="s">
        <v>1265</v>
      </c>
      <c r="H591">
        <v>1</v>
      </c>
      <c r="I591" t="s">
        <v>1265</v>
      </c>
      <c r="J591" t="s">
        <v>1265</v>
      </c>
      <c r="K591" t="s">
        <v>3191</v>
      </c>
      <c r="L591" t="s">
        <v>3176</v>
      </c>
      <c r="M591" t="s">
        <v>3190</v>
      </c>
      <c r="N591" t="s">
        <v>3174</v>
      </c>
      <c r="O591">
        <v>51</v>
      </c>
      <c r="P591" t="s">
        <v>4307</v>
      </c>
      <c r="R591">
        <v>0</v>
      </c>
      <c r="S591">
        <v>0</v>
      </c>
      <c r="T591">
        <v>24</v>
      </c>
      <c r="U591">
        <v>0</v>
      </c>
      <c r="V591">
        <v>448</v>
      </c>
      <c r="W591">
        <v>448</v>
      </c>
      <c r="X591">
        <v>24</v>
      </c>
      <c r="Y591">
        <v>0</v>
      </c>
      <c r="Z591">
        <v>0</v>
      </c>
      <c r="AA591">
        <v>0</v>
      </c>
      <c r="AE591" s="30">
        <v>45748.333333333336</v>
      </c>
      <c r="AF591" s="30">
        <v>45750.708333333336</v>
      </c>
      <c r="AH591" s="30">
        <v>45748.333333333336</v>
      </c>
      <c r="AI591" s="30">
        <v>45750.708333333336</v>
      </c>
      <c r="AJ591" s="30">
        <v>45748.333333333336</v>
      </c>
      <c r="AK591" s="30">
        <v>45750.708333333336</v>
      </c>
      <c r="AL591" s="30">
        <v>45748.333333333336</v>
      </c>
      <c r="AM591" s="30">
        <v>45750.708333333336</v>
      </c>
      <c r="AN591" s="30">
        <v>45748.333333333336</v>
      </c>
      <c r="AO591" s="30">
        <v>45750.708333333336</v>
      </c>
      <c r="AQ591" t="s">
        <v>3171</v>
      </c>
      <c r="AV591" t="s">
        <v>4306</v>
      </c>
      <c r="AZ591" t="s">
        <v>1266</v>
      </c>
      <c r="BA591">
        <v>0</v>
      </c>
      <c r="BB591">
        <v>0</v>
      </c>
      <c r="BJ591" s="30">
        <v>45953.652083333334</v>
      </c>
      <c r="BK591" s="30">
        <v>46093.595138888886</v>
      </c>
      <c r="BL591" t="s">
        <v>2716</v>
      </c>
      <c r="BM591" t="s">
        <v>1259</v>
      </c>
      <c r="BO591" t="s">
        <v>1265</v>
      </c>
    </row>
    <row r="592" spans="1:67" x14ac:dyDescent="0.25">
      <c r="A592" t="s">
        <v>1248</v>
      </c>
      <c r="B592">
        <v>119937</v>
      </c>
      <c r="C592">
        <v>405</v>
      </c>
      <c r="D592">
        <v>16400</v>
      </c>
      <c r="E592">
        <v>1117</v>
      </c>
      <c r="F592">
        <v>0</v>
      </c>
      <c r="G592" t="s">
        <v>1265</v>
      </c>
      <c r="H592">
        <v>1</v>
      </c>
      <c r="I592" t="s">
        <v>1265</v>
      </c>
      <c r="J592" t="s">
        <v>1265</v>
      </c>
      <c r="K592" t="s">
        <v>3191</v>
      </c>
      <c r="L592" t="s">
        <v>3176</v>
      </c>
      <c r="M592" t="s">
        <v>3190</v>
      </c>
      <c r="N592" t="s">
        <v>3174</v>
      </c>
      <c r="O592">
        <v>52</v>
      </c>
      <c r="P592" t="s">
        <v>4305</v>
      </c>
      <c r="R592">
        <v>0</v>
      </c>
      <c r="S592">
        <v>0</v>
      </c>
      <c r="T592">
        <v>24</v>
      </c>
      <c r="U592">
        <v>0</v>
      </c>
      <c r="V592">
        <v>448</v>
      </c>
      <c r="W592">
        <v>448</v>
      </c>
      <c r="X592">
        <v>24</v>
      </c>
      <c r="Y592">
        <v>0</v>
      </c>
      <c r="Z592">
        <v>0</v>
      </c>
      <c r="AA592">
        <v>0</v>
      </c>
      <c r="AE592" s="30">
        <v>45751.333333333336</v>
      </c>
      <c r="AF592" s="30">
        <v>45755.708333333336</v>
      </c>
      <c r="AH592" s="30">
        <v>45751.333333333336</v>
      </c>
      <c r="AI592" s="30">
        <v>45755.708333333336</v>
      </c>
      <c r="AJ592" s="30">
        <v>45751.333333333336</v>
      </c>
      <c r="AK592" s="30">
        <v>45755.708333333336</v>
      </c>
      <c r="AL592" s="30">
        <v>45751.333333333336</v>
      </c>
      <c r="AM592" s="30">
        <v>45755.708333333336</v>
      </c>
      <c r="AN592" s="30">
        <v>45751.333333333336</v>
      </c>
      <c r="AO592" s="30">
        <v>45755.708333333336</v>
      </c>
      <c r="AQ592" t="s">
        <v>3171</v>
      </c>
      <c r="AV592" t="s">
        <v>4304</v>
      </c>
      <c r="AZ592" t="s">
        <v>1266</v>
      </c>
      <c r="BA592">
        <v>0</v>
      </c>
      <c r="BB592">
        <v>0</v>
      </c>
      <c r="BJ592" s="30">
        <v>45953.652083333334</v>
      </c>
      <c r="BK592" s="30">
        <v>46093.595138888886</v>
      </c>
      <c r="BL592" t="s">
        <v>2716</v>
      </c>
      <c r="BM592" t="s">
        <v>1259</v>
      </c>
      <c r="BO592" t="s">
        <v>1265</v>
      </c>
    </row>
    <row r="593" spans="1:67" x14ac:dyDescent="0.25">
      <c r="A593" t="s">
        <v>1248</v>
      </c>
      <c r="B593">
        <v>119938</v>
      </c>
      <c r="C593">
        <v>405</v>
      </c>
      <c r="D593">
        <v>16400</v>
      </c>
      <c r="E593">
        <v>1117</v>
      </c>
      <c r="F593">
        <v>0</v>
      </c>
      <c r="G593" t="s">
        <v>1265</v>
      </c>
      <c r="H593">
        <v>1</v>
      </c>
      <c r="I593" t="s">
        <v>1265</v>
      </c>
      <c r="J593" t="s">
        <v>1265</v>
      </c>
      <c r="K593" t="s">
        <v>3191</v>
      </c>
      <c r="L593" t="s">
        <v>3176</v>
      </c>
      <c r="M593" t="s">
        <v>3190</v>
      </c>
      <c r="N593" t="s">
        <v>3174</v>
      </c>
      <c r="O593">
        <v>53</v>
      </c>
      <c r="P593" t="s">
        <v>4303</v>
      </c>
      <c r="R593">
        <v>0</v>
      </c>
      <c r="S593">
        <v>0</v>
      </c>
      <c r="T593">
        <v>24</v>
      </c>
      <c r="U593">
        <v>0</v>
      </c>
      <c r="V593">
        <v>448</v>
      </c>
      <c r="W593">
        <v>448</v>
      </c>
      <c r="X593">
        <v>24</v>
      </c>
      <c r="Y593">
        <v>0</v>
      </c>
      <c r="Z593">
        <v>0</v>
      </c>
      <c r="AA593">
        <v>0</v>
      </c>
      <c r="AE593" s="30">
        <v>45756.333333333336</v>
      </c>
      <c r="AF593" s="30">
        <v>45758.708333333336</v>
      </c>
      <c r="AH593" s="30">
        <v>45756.333333333336</v>
      </c>
      <c r="AI593" s="30">
        <v>45758.708333333336</v>
      </c>
      <c r="AJ593" s="30">
        <v>45756.333333333336</v>
      </c>
      <c r="AK593" s="30">
        <v>45758.708333333336</v>
      </c>
      <c r="AL593" s="30">
        <v>45756.333333333336</v>
      </c>
      <c r="AM593" s="30">
        <v>45758.708333333336</v>
      </c>
      <c r="AN593" s="30">
        <v>45756.333333333336</v>
      </c>
      <c r="AO593" s="30">
        <v>45758.708333333336</v>
      </c>
      <c r="AQ593" t="s">
        <v>3171</v>
      </c>
      <c r="AV593" t="s">
        <v>4302</v>
      </c>
      <c r="AZ593" t="s">
        <v>1266</v>
      </c>
      <c r="BA593">
        <v>0</v>
      </c>
      <c r="BB593">
        <v>0</v>
      </c>
      <c r="BJ593" s="30">
        <v>45953.652083333334</v>
      </c>
      <c r="BK593" s="30">
        <v>46093.595138888886</v>
      </c>
      <c r="BL593" t="s">
        <v>2716</v>
      </c>
      <c r="BM593" t="s">
        <v>1259</v>
      </c>
      <c r="BO593" t="s">
        <v>1265</v>
      </c>
    </row>
    <row r="594" spans="1:67" x14ac:dyDescent="0.25">
      <c r="A594" t="s">
        <v>1248</v>
      </c>
      <c r="B594">
        <v>119939</v>
      </c>
      <c r="C594">
        <v>405</v>
      </c>
      <c r="D594">
        <v>16400</v>
      </c>
      <c r="E594">
        <v>1117</v>
      </c>
      <c r="F594">
        <v>0</v>
      </c>
      <c r="G594" t="s">
        <v>1265</v>
      </c>
      <c r="H594">
        <v>1</v>
      </c>
      <c r="I594" t="s">
        <v>1265</v>
      </c>
      <c r="J594" t="s">
        <v>1265</v>
      </c>
      <c r="K594" t="s">
        <v>3191</v>
      </c>
      <c r="L594" t="s">
        <v>3176</v>
      </c>
      <c r="M594" t="s">
        <v>3190</v>
      </c>
      <c r="N594" t="s">
        <v>3174</v>
      </c>
      <c r="O594">
        <v>54</v>
      </c>
      <c r="P594" t="s">
        <v>4301</v>
      </c>
      <c r="R594">
        <v>0</v>
      </c>
      <c r="S594">
        <v>0</v>
      </c>
      <c r="T594">
        <v>24</v>
      </c>
      <c r="U594">
        <v>0</v>
      </c>
      <c r="V594">
        <v>448</v>
      </c>
      <c r="W594">
        <v>448</v>
      </c>
      <c r="X594">
        <v>24</v>
      </c>
      <c r="Y594">
        <v>0</v>
      </c>
      <c r="Z594">
        <v>0</v>
      </c>
      <c r="AA594">
        <v>0</v>
      </c>
      <c r="AE594" s="30">
        <v>45761.333333333336</v>
      </c>
      <c r="AF594" s="30">
        <v>45763.708333333336</v>
      </c>
      <c r="AH594" s="30">
        <v>45761.333333333336</v>
      </c>
      <c r="AI594" s="30">
        <v>45763.708333333336</v>
      </c>
      <c r="AJ594" s="30">
        <v>45761.333333333336</v>
      </c>
      <c r="AK594" s="30">
        <v>45763.708333333336</v>
      </c>
      <c r="AL594" s="30">
        <v>45761.333333333336</v>
      </c>
      <c r="AM594" s="30">
        <v>45763.708333333336</v>
      </c>
      <c r="AN594" s="30">
        <v>45761.333333333336</v>
      </c>
      <c r="AO594" s="30">
        <v>45763.708333333336</v>
      </c>
      <c r="AQ594" t="s">
        <v>3171</v>
      </c>
      <c r="AV594" t="s">
        <v>4300</v>
      </c>
      <c r="AZ594" t="s">
        <v>1266</v>
      </c>
      <c r="BA594">
        <v>0</v>
      </c>
      <c r="BB594">
        <v>0</v>
      </c>
      <c r="BJ594" s="30">
        <v>45953.652083333334</v>
      </c>
      <c r="BK594" s="30">
        <v>46093.595138888886</v>
      </c>
      <c r="BL594" t="s">
        <v>2716</v>
      </c>
      <c r="BM594" t="s">
        <v>1259</v>
      </c>
      <c r="BO594" t="s">
        <v>1265</v>
      </c>
    </row>
    <row r="595" spans="1:67" x14ac:dyDescent="0.25">
      <c r="A595" t="s">
        <v>1248</v>
      </c>
      <c r="B595">
        <v>119940</v>
      </c>
      <c r="C595">
        <v>405</v>
      </c>
      <c r="D595">
        <v>16400</v>
      </c>
      <c r="E595">
        <v>1117</v>
      </c>
      <c r="F595">
        <v>0</v>
      </c>
      <c r="G595" t="s">
        <v>1265</v>
      </c>
      <c r="H595">
        <v>1</v>
      </c>
      <c r="I595" t="s">
        <v>1265</v>
      </c>
      <c r="J595" t="s">
        <v>1265</v>
      </c>
      <c r="K595" t="s">
        <v>3191</v>
      </c>
      <c r="L595" t="s">
        <v>3176</v>
      </c>
      <c r="M595" t="s">
        <v>3190</v>
      </c>
      <c r="N595" t="s">
        <v>3174</v>
      </c>
      <c r="O595">
        <v>55</v>
      </c>
      <c r="P595" t="s">
        <v>4299</v>
      </c>
      <c r="R595">
        <v>0</v>
      </c>
      <c r="S595">
        <v>0</v>
      </c>
      <c r="T595">
        <v>24</v>
      </c>
      <c r="U595">
        <v>0</v>
      </c>
      <c r="V595">
        <v>448</v>
      </c>
      <c r="W595">
        <v>448</v>
      </c>
      <c r="X595">
        <v>24</v>
      </c>
      <c r="Y595">
        <v>0</v>
      </c>
      <c r="Z595">
        <v>0</v>
      </c>
      <c r="AA595">
        <v>0</v>
      </c>
      <c r="AE595" s="30">
        <v>45764.333333333336</v>
      </c>
      <c r="AF595" s="30">
        <v>45768.708333333336</v>
      </c>
      <c r="AH595" s="30">
        <v>45764.333333333336</v>
      </c>
      <c r="AI595" s="30">
        <v>45768.708333333336</v>
      </c>
      <c r="AJ595" s="30">
        <v>45764.333333333336</v>
      </c>
      <c r="AK595" s="30">
        <v>45768.708333333336</v>
      </c>
      <c r="AL595" s="30">
        <v>45764.333333333336</v>
      </c>
      <c r="AM595" s="30">
        <v>45768.708333333336</v>
      </c>
      <c r="AN595" s="30">
        <v>45764.333333333336</v>
      </c>
      <c r="AO595" s="30">
        <v>45768.708333333336</v>
      </c>
      <c r="AQ595" t="s">
        <v>3171</v>
      </c>
      <c r="AV595" t="s">
        <v>4298</v>
      </c>
      <c r="AZ595" t="s">
        <v>1266</v>
      </c>
      <c r="BA595">
        <v>0</v>
      </c>
      <c r="BB595">
        <v>0</v>
      </c>
      <c r="BJ595" s="30">
        <v>45953.652083333334</v>
      </c>
      <c r="BK595" s="30">
        <v>46093.595138888886</v>
      </c>
      <c r="BL595" t="s">
        <v>2716</v>
      </c>
      <c r="BM595" t="s">
        <v>1259</v>
      </c>
      <c r="BO595" t="s">
        <v>1265</v>
      </c>
    </row>
    <row r="596" spans="1:67" x14ac:dyDescent="0.25">
      <c r="A596" t="s">
        <v>1248</v>
      </c>
      <c r="B596">
        <v>119941</v>
      </c>
      <c r="C596">
        <v>405</v>
      </c>
      <c r="D596">
        <v>16400</v>
      </c>
      <c r="E596">
        <v>1117</v>
      </c>
      <c r="F596">
        <v>0</v>
      </c>
      <c r="G596" t="s">
        <v>1265</v>
      </c>
      <c r="H596">
        <v>1</v>
      </c>
      <c r="I596" t="s">
        <v>1265</v>
      </c>
      <c r="J596" t="s">
        <v>1265</v>
      </c>
      <c r="K596" t="s">
        <v>3191</v>
      </c>
      <c r="L596" t="s">
        <v>3176</v>
      </c>
      <c r="M596" t="s">
        <v>3190</v>
      </c>
      <c r="N596" t="s">
        <v>3174</v>
      </c>
      <c r="O596">
        <v>56</v>
      </c>
      <c r="P596" t="s">
        <v>4297</v>
      </c>
      <c r="R596">
        <v>0</v>
      </c>
      <c r="S596">
        <v>0</v>
      </c>
      <c r="T596">
        <v>24</v>
      </c>
      <c r="U596">
        <v>0</v>
      </c>
      <c r="V596">
        <v>448</v>
      </c>
      <c r="W596">
        <v>448</v>
      </c>
      <c r="X596">
        <v>24</v>
      </c>
      <c r="Y596">
        <v>0</v>
      </c>
      <c r="Z596">
        <v>0</v>
      </c>
      <c r="AA596">
        <v>0</v>
      </c>
      <c r="AE596" s="30">
        <v>45769.333333333336</v>
      </c>
      <c r="AF596" s="30">
        <v>45771.708333333336</v>
      </c>
      <c r="AH596" s="30">
        <v>45769.333333333336</v>
      </c>
      <c r="AI596" s="30">
        <v>45771.708333333336</v>
      </c>
      <c r="AJ596" s="30">
        <v>45769.333333333336</v>
      </c>
      <c r="AK596" s="30">
        <v>45771.708333333336</v>
      </c>
      <c r="AL596" s="30">
        <v>45769.333333333336</v>
      </c>
      <c r="AM596" s="30">
        <v>45771.708333333336</v>
      </c>
      <c r="AN596" s="30">
        <v>45769.333333333336</v>
      </c>
      <c r="AO596" s="30">
        <v>45771.708333333336</v>
      </c>
      <c r="AQ596" t="s">
        <v>3171</v>
      </c>
      <c r="AV596" t="s">
        <v>4296</v>
      </c>
      <c r="AZ596" t="s">
        <v>1266</v>
      </c>
      <c r="BA596">
        <v>0</v>
      </c>
      <c r="BB596">
        <v>0</v>
      </c>
      <c r="BJ596" s="30">
        <v>45953.652083333334</v>
      </c>
      <c r="BK596" s="30">
        <v>46093.595138888886</v>
      </c>
      <c r="BL596" t="s">
        <v>2716</v>
      </c>
      <c r="BM596" t="s">
        <v>1259</v>
      </c>
      <c r="BO596" t="s">
        <v>1265</v>
      </c>
    </row>
    <row r="597" spans="1:67" x14ac:dyDescent="0.25">
      <c r="A597" t="s">
        <v>1248</v>
      </c>
      <c r="B597">
        <v>119942</v>
      </c>
      <c r="C597">
        <v>405</v>
      </c>
      <c r="D597">
        <v>16400</v>
      </c>
      <c r="E597">
        <v>1117</v>
      </c>
      <c r="F597">
        <v>0</v>
      </c>
      <c r="G597" t="s">
        <v>1265</v>
      </c>
      <c r="H597">
        <v>1</v>
      </c>
      <c r="I597" t="s">
        <v>1265</v>
      </c>
      <c r="J597" t="s">
        <v>1265</v>
      </c>
      <c r="K597" t="s">
        <v>3191</v>
      </c>
      <c r="L597" t="s">
        <v>3176</v>
      </c>
      <c r="M597" t="s">
        <v>3190</v>
      </c>
      <c r="N597" t="s">
        <v>3174</v>
      </c>
      <c r="O597">
        <v>57</v>
      </c>
      <c r="P597" t="s">
        <v>4295</v>
      </c>
      <c r="R597">
        <v>0</v>
      </c>
      <c r="S597">
        <v>0</v>
      </c>
      <c r="T597">
        <v>24</v>
      </c>
      <c r="U597">
        <v>0</v>
      </c>
      <c r="V597">
        <v>448</v>
      </c>
      <c r="W597">
        <v>448</v>
      </c>
      <c r="X597">
        <v>24</v>
      </c>
      <c r="Y597">
        <v>0</v>
      </c>
      <c r="Z597">
        <v>0</v>
      </c>
      <c r="AA597">
        <v>0</v>
      </c>
      <c r="AE597" s="30">
        <v>45772.333333333336</v>
      </c>
      <c r="AF597" s="30">
        <v>45776.708333333336</v>
      </c>
      <c r="AH597" s="30">
        <v>45772.333333333336</v>
      </c>
      <c r="AI597" s="30">
        <v>45776.708333333336</v>
      </c>
      <c r="AJ597" s="30">
        <v>45772.333333333336</v>
      </c>
      <c r="AK597" s="30">
        <v>45776.708333333336</v>
      </c>
      <c r="AL597" s="30">
        <v>45772.333333333336</v>
      </c>
      <c r="AM597" s="30">
        <v>45776.708333333336</v>
      </c>
      <c r="AN597" s="30">
        <v>45772.333333333336</v>
      </c>
      <c r="AO597" s="30">
        <v>45776.708333333336</v>
      </c>
      <c r="AQ597" t="s">
        <v>3171</v>
      </c>
      <c r="AV597" t="s">
        <v>4294</v>
      </c>
      <c r="AZ597" t="s">
        <v>1266</v>
      </c>
      <c r="BA597">
        <v>0</v>
      </c>
      <c r="BB597">
        <v>0</v>
      </c>
      <c r="BJ597" s="30">
        <v>45953.652083333334</v>
      </c>
      <c r="BK597" s="30">
        <v>46093.595138888886</v>
      </c>
      <c r="BL597" t="s">
        <v>2716</v>
      </c>
      <c r="BM597" t="s">
        <v>1259</v>
      </c>
      <c r="BO597" t="s">
        <v>1265</v>
      </c>
    </row>
    <row r="598" spans="1:67" x14ac:dyDescent="0.25">
      <c r="A598" t="s">
        <v>1248</v>
      </c>
      <c r="B598">
        <v>119943</v>
      </c>
      <c r="C598">
        <v>405</v>
      </c>
      <c r="D598">
        <v>16400</v>
      </c>
      <c r="E598">
        <v>1117</v>
      </c>
      <c r="F598">
        <v>0</v>
      </c>
      <c r="G598" t="s">
        <v>1265</v>
      </c>
      <c r="H598">
        <v>1</v>
      </c>
      <c r="I598" t="s">
        <v>1265</v>
      </c>
      <c r="J598" t="s">
        <v>1265</v>
      </c>
      <c r="K598" t="s">
        <v>3191</v>
      </c>
      <c r="L598" t="s">
        <v>3176</v>
      </c>
      <c r="M598" t="s">
        <v>3190</v>
      </c>
      <c r="N598" t="s">
        <v>3174</v>
      </c>
      <c r="O598">
        <v>58</v>
      </c>
      <c r="P598" t="s">
        <v>4293</v>
      </c>
      <c r="R598">
        <v>0</v>
      </c>
      <c r="S598">
        <v>0</v>
      </c>
      <c r="T598">
        <v>24</v>
      </c>
      <c r="U598">
        <v>0</v>
      </c>
      <c r="V598">
        <v>448</v>
      </c>
      <c r="W598">
        <v>448</v>
      </c>
      <c r="X598">
        <v>24</v>
      </c>
      <c r="Y598">
        <v>0</v>
      </c>
      <c r="Z598">
        <v>0</v>
      </c>
      <c r="AA598">
        <v>0</v>
      </c>
      <c r="AE598" s="30">
        <v>45777.333333333336</v>
      </c>
      <c r="AF598" s="30">
        <v>45779.708333333336</v>
      </c>
      <c r="AH598" s="30">
        <v>45777.333333333336</v>
      </c>
      <c r="AI598" s="30">
        <v>45779.708333333336</v>
      </c>
      <c r="AJ598" s="30">
        <v>45777.333333333336</v>
      </c>
      <c r="AK598" s="30">
        <v>45779.708333333336</v>
      </c>
      <c r="AL598" s="30">
        <v>45777.333333333336</v>
      </c>
      <c r="AM598" s="30">
        <v>45779.708333333336</v>
      </c>
      <c r="AN598" s="30">
        <v>45777.333333333336</v>
      </c>
      <c r="AO598" s="30">
        <v>45779.708333333336</v>
      </c>
      <c r="AQ598" t="s">
        <v>3171</v>
      </c>
      <c r="AV598" t="s">
        <v>4292</v>
      </c>
      <c r="AZ598" t="s">
        <v>1266</v>
      </c>
      <c r="BA598">
        <v>0</v>
      </c>
      <c r="BB598">
        <v>0</v>
      </c>
      <c r="BJ598" s="30">
        <v>45953.652083333334</v>
      </c>
      <c r="BK598" s="30">
        <v>46093.595138888886</v>
      </c>
      <c r="BL598" t="s">
        <v>2716</v>
      </c>
      <c r="BM598" t="s">
        <v>1259</v>
      </c>
      <c r="BO598" t="s">
        <v>1265</v>
      </c>
    </row>
    <row r="599" spans="1:67" x14ac:dyDescent="0.25">
      <c r="A599" t="s">
        <v>1248</v>
      </c>
      <c r="B599">
        <v>119944</v>
      </c>
      <c r="C599">
        <v>405</v>
      </c>
      <c r="D599">
        <v>16400</v>
      </c>
      <c r="E599">
        <v>1117</v>
      </c>
      <c r="F599">
        <v>0</v>
      </c>
      <c r="G599" t="s">
        <v>1265</v>
      </c>
      <c r="H599">
        <v>1</v>
      </c>
      <c r="I599" t="s">
        <v>1265</v>
      </c>
      <c r="J599" t="s">
        <v>1265</v>
      </c>
      <c r="K599" t="s">
        <v>3191</v>
      </c>
      <c r="L599" t="s">
        <v>3176</v>
      </c>
      <c r="M599" t="s">
        <v>3190</v>
      </c>
      <c r="N599" t="s">
        <v>3174</v>
      </c>
      <c r="O599">
        <v>59</v>
      </c>
      <c r="P599" t="s">
        <v>4291</v>
      </c>
      <c r="R599">
        <v>136</v>
      </c>
      <c r="S599">
        <v>0</v>
      </c>
      <c r="T599">
        <v>24</v>
      </c>
      <c r="U599">
        <v>0</v>
      </c>
      <c r="V599">
        <v>448</v>
      </c>
      <c r="W599">
        <v>448</v>
      </c>
      <c r="X599">
        <v>24</v>
      </c>
      <c r="Y599">
        <v>0</v>
      </c>
      <c r="Z599">
        <v>0</v>
      </c>
      <c r="AA599">
        <v>0</v>
      </c>
      <c r="AE599" s="30">
        <v>45805.333333333336</v>
      </c>
      <c r="AF599" s="30">
        <v>45807.708333333336</v>
      </c>
      <c r="AH599" s="30">
        <v>45782.333333333336</v>
      </c>
      <c r="AI599" s="30">
        <v>45784.708333333336</v>
      </c>
      <c r="AJ599" s="30">
        <v>45782.333333333336</v>
      </c>
      <c r="AK599" s="30">
        <v>45784.708333333336</v>
      </c>
      <c r="AL599" s="30">
        <v>45782.333333333336</v>
      </c>
      <c r="AM599" s="30">
        <v>45784.708333333336</v>
      </c>
      <c r="AN599" s="30">
        <v>45805.333333333336</v>
      </c>
      <c r="AO599" s="30">
        <v>45807.708333333336</v>
      </c>
      <c r="AQ599" t="s">
        <v>3171</v>
      </c>
      <c r="AV599" t="s">
        <v>4290</v>
      </c>
      <c r="AZ599" t="s">
        <v>1265</v>
      </c>
      <c r="BA599">
        <v>0</v>
      </c>
      <c r="BB599">
        <v>0</v>
      </c>
      <c r="BJ599" s="30">
        <v>45953.652083333334</v>
      </c>
      <c r="BK599" s="30">
        <v>46093.595138888886</v>
      </c>
      <c r="BL599" t="s">
        <v>2716</v>
      </c>
      <c r="BM599" t="s">
        <v>1259</v>
      </c>
      <c r="BO599" t="s">
        <v>1265</v>
      </c>
    </row>
    <row r="600" spans="1:67" x14ac:dyDescent="0.25">
      <c r="A600" t="s">
        <v>1248</v>
      </c>
      <c r="B600">
        <v>119945</v>
      </c>
      <c r="C600">
        <v>405</v>
      </c>
      <c r="D600">
        <v>16400</v>
      </c>
      <c r="E600">
        <v>1117</v>
      </c>
      <c r="F600">
        <v>0</v>
      </c>
      <c r="G600" t="s">
        <v>1265</v>
      </c>
      <c r="H600">
        <v>1</v>
      </c>
      <c r="I600" t="s">
        <v>1265</v>
      </c>
      <c r="J600" t="s">
        <v>1265</v>
      </c>
      <c r="K600" t="s">
        <v>3191</v>
      </c>
      <c r="L600" t="s">
        <v>3176</v>
      </c>
      <c r="M600" t="s">
        <v>3190</v>
      </c>
      <c r="N600" t="s">
        <v>3174</v>
      </c>
      <c r="O600">
        <v>60</v>
      </c>
      <c r="P600" t="s">
        <v>4289</v>
      </c>
      <c r="R600">
        <v>136</v>
      </c>
      <c r="S600">
        <v>0</v>
      </c>
      <c r="T600">
        <v>24</v>
      </c>
      <c r="U600">
        <v>0</v>
      </c>
      <c r="V600">
        <v>448</v>
      </c>
      <c r="W600">
        <v>448</v>
      </c>
      <c r="X600">
        <v>24</v>
      </c>
      <c r="Y600">
        <v>0</v>
      </c>
      <c r="Z600">
        <v>0</v>
      </c>
      <c r="AA600">
        <v>0</v>
      </c>
      <c r="AE600" s="30">
        <v>45810.333333333336</v>
      </c>
      <c r="AF600" s="30">
        <v>45812.708333333336</v>
      </c>
      <c r="AH600" s="30">
        <v>45785.333333333336</v>
      </c>
      <c r="AI600" s="30">
        <v>45789.708333333336</v>
      </c>
      <c r="AJ600" s="30">
        <v>45785.333333333336</v>
      </c>
      <c r="AK600" s="30">
        <v>45789.708333333336</v>
      </c>
      <c r="AL600" s="30">
        <v>45785.333333333336</v>
      </c>
      <c r="AM600" s="30">
        <v>45789.708333333336</v>
      </c>
      <c r="AN600" s="30">
        <v>45810.333333333336</v>
      </c>
      <c r="AO600" s="30">
        <v>45812.708333333336</v>
      </c>
      <c r="AQ600" t="s">
        <v>3171</v>
      </c>
      <c r="AV600" t="s">
        <v>4288</v>
      </c>
      <c r="AZ600" t="s">
        <v>1265</v>
      </c>
      <c r="BA600">
        <v>0</v>
      </c>
      <c r="BB600">
        <v>0</v>
      </c>
      <c r="BJ600" s="30">
        <v>45953.652083333334</v>
      </c>
      <c r="BK600" s="30">
        <v>46093.595138888886</v>
      </c>
      <c r="BL600" t="s">
        <v>2716</v>
      </c>
      <c r="BM600" t="s">
        <v>1259</v>
      </c>
      <c r="BO600" t="s">
        <v>1265</v>
      </c>
    </row>
    <row r="601" spans="1:67" x14ac:dyDescent="0.25">
      <c r="A601" t="s">
        <v>1248</v>
      </c>
      <c r="B601">
        <v>119967</v>
      </c>
      <c r="C601">
        <v>405</v>
      </c>
      <c r="D601">
        <v>16405</v>
      </c>
      <c r="E601">
        <v>1117</v>
      </c>
      <c r="F601">
        <v>0</v>
      </c>
      <c r="G601" t="s">
        <v>1265</v>
      </c>
      <c r="H601">
        <v>1</v>
      </c>
      <c r="I601" t="s">
        <v>1265</v>
      </c>
      <c r="J601" t="s">
        <v>1265</v>
      </c>
      <c r="K601" t="s">
        <v>3191</v>
      </c>
      <c r="L601" t="s">
        <v>3176</v>
      </c>
      <c r="M601" t="s">
        <v>3190</v>
      </c>
      <c r="N601" t="s">
        <v>3174</v>
      </c>
      <c r="O601">
        <v>126</v>
      </c>
      <c r="P601" t="s">
        <v>4287</v>
      </c>
      <c r="R601">
        <v>144</v>
      </c>
      <c r="S601">
        <v>0</v>
      </c>
      <c r="T601">
        <v>32</v>
      </c>
      <c r="U601">
        <v>0</v>
      </c>
      <c r="V601">
        <v>471</v>
      </c>
      <c r="W601">
        <v>471</v>
      </c>
      <c r="X601">
        <v>32</v>
      </c>
      <c r="Y601">
        <v>0</v>
      </c>
      <c r="Z601">
        <v>0</v>
      </c>
      <c r="AA601">
        <v>0</v>
      </c>
      <c r="AE601" s="30">
        <v>45769.333333333336</v>
      </c>
      <c r="AF601" s="30">
        <v>45772.708333333336</v>
      </c>
      <c r="AH601" s="30">
        <v>45743.333333333336</v>
      </c>
      <c r="AI601" s="30">
        <v>45748.708333333336</v>
      </c>
      <c r="AJ601" s="30">
        <v>45743.333333333336</v>
      </c>
      <c r="AK601" s="30">
        <v>45748.708333333336</v>
      </c>
      <c r="AL601" s="30">
        <v>45743.333333333336</v>
      </c>
      <c r="AM601" s="30">
        <v>45748.708333333336</v>
      </c>
      <c r="AN601" s="30">
        <v>45769.333333333336</v>
      </c>
      <c r="AO601" s="30">
        <v>45772.708333333336</v>
      </c>
      <c r="AQ601" t="s">
        <v>3171</v>
      </c>
      <c r="AV601" t="s">
        <v>4286</v>
      </c>
      <c r="AZ601" t="s">
        <v>1265</v>
      </c>
      <c r="BA601">
        <v>0</v>
      </c>
      <c r="BB601">
        <v>0</v>
      </c>
      <c r="BJ601" s="30">
        <v>45953.652083333334</v>
      </c>
      <c r="BK601" s="30">
        <v>46093.595138888886</v>
      </c>
      <c r="BL601" t="s">
        <v>2716</v>
      </c>
      <c r="BM601" t="s">
        <v>1259</v>
      </c>
      <c r="BO601" t="s">
        <v>1265</v>
      </c>
    </row>
    <row r="602" spans="1:67" x14ac:dyDescent="0.25">
      <c r="A602" t="s">
        <v>1248</v>
      </c>
      <c r="B602">
        <v>119968</v>
      </c>
      <c r="C602">
        <v>405</v>
      </c>
      <c r="D602">
        <v>16405</v>
      </c>
      <c r="E602">
        <v>1117</v>
      </c>
      <c r="F602">
        <v>0</v>
      </c>
      <c r="G602" t="s">
        <v>1265</v>
      </c>
      <c r="H602">
        <v>1</v>
      </c>
      <c r="I602" t="s">
        <v>1265</v>
      </c>
      <c r="J602" t="s">
        <v>1265</v>
      </c>
      <c r="K602" t="s">
        <v>3191</v>
      </c>
      <c r="L602" t="s">
        <v>3176</v>
      </c>
      <c r="M602" t="s">
        <v>3190</v>
      </c>
      <c r="N602" t="s">
        <v>3174</v>
      </c>
      <c r="O602">
        <v>127</v>
      </c>
      <c r="P602" t="s">
        <v>4285</v>
      </c>
      <c r="R602">
        <v>144</v>
      </c>
      <c r="S602">
        <v>0</v>
      </c>
      <c r="T602">
        <v>32</v>
      </c>
      <c r="U602">
        <v>0</v>
      </c>
      <c r="V602">
        <v>896</v>
      </c>
      <c r="W602">
        <v>896</v>
      </c>
      <c r="X602">
        <v>32</v>
      </c>
      <c r="Y602">
        <v>0</v>
      </c>
      <c r="Z602">
        <v>0</v>
      </c>
      <c r="AA602">
        <v>0</v>
      </c>
      <c r="AE602" s="30">
        <v>45775.333333333336</v>
      </c>
      <c r="AF602" s="30">
        <v>45778.708333333336</v>
      </c>
      <c r="AH602" s="30">
        <v>45749.333333333336</v>
      </c>
      <c r="AI602" s="30">
        <v>45754.708333333336</v>
      </c>
      <c r="AJ602" s="30">
        <v>45749.333333333336</v>
      </c>
      <c r="AK602" s="30">
        <v>45754.708333333336</v>
      </c>
      <c r="AL602" s="30">
        <v>45749.333333333336</v>
      </c>
      <c r="AM602" s="30">
        <v>45754.708333333336</v>
      </c>
      <c r="AN602" s="30">
        <v>45775.333333333336</v>
      </c>
      <c r="AO602" s="30">
        <v>45778.708333333336</v>
      </c>
      <c r="AQ602" t="s">
        <v>3171</v>
      </c>
      <c r="AV602" t="s">
        <v>4284</v>
      </c>
      <c r="AZ602" t="s">
        <v>1265</v>
      </c>
      <c r="BA602">
        <v>0</v>
      </c>
      <c r="BB602">
        <v>0</v>
      </c>
      <c r="BJ602" s="30">
        <v>45953.652083333334</v>
      </c>
      <c r="BK602" s="30">
        <v>46093.595138888886</v>
      </c>
      <c r="BL602" t="s">
        <v>2716</v>
      </c>
      <c r="BM602" t="s">
        <v>1259</v>
      </c>
      <c r="BO602" t="s">
        <v>1265</v>
      </c>
    </row>
    <row r="603" spans="1:67" x14ac:dyDescent="0.25">
      <c r="A603" t="s">
        <v>1248</v>
      </c>
      <c r="B603">
        <v>119969</v>
      </c>
      <c r="C603">
        <v>405</v>
      </c>
      <c r="D603">
        <v>16405</v>
      </c>
      <c r="E603">
        <v>1117</v>
      </c>
      <c r="F603">
        <v>0</v>
      </c>
      <c r="G603" t="s">
        <v>1265</v>
      </c>
      <c r="H603">
        <v>1</v>
      </c>
      <c r="I603" t="s">
        <v>1265</v>
      </c>
      <c r="J603" t="s">
        <v>1265</v>
      </c>
      <c r="K603" t="s">
        <v>3191</v>
      </c>
      <c r="L603" t="s">
        <v>3176</v>
      </c>
      <c r="M603" t="s">
        <v>3190</v>
      </c>
      <c r="N603" t="s">
        <v>3174</v>
      </c>
      <c r="O603">
        <v>128</v>
      </c>
      <c r="P603" t="s">
        <v>4283</v>
      </c>
      <c r="R603">
        <v>144</v>
      </c>
      <c r="S603">
        <v>0</v>
      </c>
      <c r="T603">
        <v>32</v>
      </c>
      <c r="U603">
        <v>0</v>
      </c>
      <c r="V603">
        <v>896</v>
      </c>
      <c r="W603">
        <v>896</v>
      </c>
      <c r="X603">
        <v>32</v>
      </c>
      <c r="Y603">
        <v>0</v>
      </c>
      <c r="Z603">
        <v>0</v>
      </c>
      <c r="AA603">
        <v>0</v>
      </c>
      <c r="AE603" s="30">
        <v>45779.333333333336</v>
      </c>
      <c r="AF603" s="30">
        <v>45784.708333333336</v>
      </c>
      <c r="AH603" s="30">
        <v>45755.333333333336</v>
      </c>
      <c r="AI603" s="30">
        <v>45758.708333333336</v>
      </c>
      <c r="AJ603" s="30">
        <v>45755.333333333336</v>
      </c>
      <c r="AK603" s="30">
        <v>45758.708333333336</v>
      </c>
      <c r="AL603" s="30">
        <v>45755.333333333336</v>
      </c>
      <c r="AM603" s="30">
        <v>45758.708333333336</v>
      </c>
      <c r="AN603" s="30">
        <v>45779.333333333336</v>
      </c>
      <c r="AO603" s="30">
        <v>45784.708333333336</v>
      </c>
      <c r="AQ603" t="s">
        <v>3171</v>
      </c>
      <c r="AV603" t="s">
        <v>4282</v>
      </c>
      <c r="AZ603" t="s">
        <v>1265</v>
      </c>
      <c r="BA603">
        <v>0</v>
      </c>
      <c r="BB603">
        <v>0</v>
      </c>
      <c r="BJ603" s="30">
        <v>45953.652083333334</v>
      </c>
      <c r="BK603" s="30">
        <v>46093.595138888886</v>
      </c>
      <c r="BL603" t="s">
        <v>2716</v>
      </c>
      <c r="BM603" t="s">
        <v>1259</v>
      </c>
      <c r="BO603" t="s">
        <v>1265</v>
      </c>
    </row>
    <row r="604" spans="1:67" x14ac:dyDescent="0.25">
      <c r="A604" t="s">
        <v>1248</v>
      </c>
      <c r="B604">
        <v>119970</v>
      </c>
      <c r="C604">
        <v>405</v>
      </c>
      <c r="D604">
        <v>16405</v>
      </c>
      <c r="E604">
        <v>1117</v>
      </c>
      <c r="F604">
        <v>0</v>
      </c>
      <c r="G604" t="s">
        <v>1265</v>
      </c>
      <c r="H604">
        <v>1</v>
      </c>
      <c r="I604" t="s">
        <v>1265</v>
      </c>
      <c r="J604" t="s">
        <v>1265</v>
      </c>
      <c r="K604" t="s">
        <v>3191</v>
      </c>
      <c r="L604" t="s">
        <v>3176</v>
      </c>
      <c r="M604" t="s">
        <v>3190</v>
      </c>
      <c r="N604" t="s">
        <v>3174</v>
      </c>
      <c r="O604">
        <v>129</v>
      </c>
      <c r="P604" t="s">
        <v>4281</v>
      </c>
      <c r="R604">
        <v>144</v>
      </c>
      <c r="S604">
        <v>0</v>
      </c>
      <c r="T604">
        <v>32</v>
      </c>
      <c r="U604">
        <v>0</v>
      </c>
      <c r="V604">
        <v>896</v>
      </c>
      <c r="W604">
        <v>896</v>
      </c>
      <c r="X604">
        <v>32</v>
      </c>
      <c r="Y604">
        <v>0</v>
      </c>
      <c r="Z604">
        <v>0</v>
      </c>
      <c r="AA604">
        <v>0</v>
      </c>
      <c r="AE604" s="30">
        <v>45785.333333333336</v>
      </c>
      <c r="AF604" s="30">
        <v>45790.708333333336</v>
      </c>
      <c r="AH604" s="30">
        <v>45761.333333333336</v>
      </c>
      <c r="AI604" s="30">
        <v>45764.708333333336</v>
      </c>
      <c r="AJ604" s="30">
        <v>45761.333333333336</v>
      </c>
      <c r="AK604" s="30">
        <v>45764.708333333336</v>
      </c>
      <c r="AL604" s="30">
        <v>45761.333333333336</v>
      </c>
      <c r="AM604" s="30">
        <v>45764.708333333336</v>
      </c>
      <c r="AN604" s="30">
        <v>45785.333333333336</v>
      </c>
      <c r="AO604" s="30">
        <v>45790.708333333336</v>
      </c>
      <c r="AQ604" t="s">
        <v>3171</v>
      </c>
      <c r="AV604" t="s">
        <v>4280</v>
      </c>
      <c r="AZ604" t="s">
        <v>1265</v>
      </c>
      <c r="BA604">
        <v>0</v>
      </c>
      <c r="BB604">
        <v>0</v>
      </c>
      <c r="BJ604" s="30">
        <v>45953.652083333334</v>
      </c>
      <c r="BK604" s="30">
        <v>46093.595138888886</v>
      </c>
      <c r="BL604" t="s">
        <v>2716</v>
      </c>
      <c r="BM604" t="s">
        <v>1259</v>
      </c>
      <c r="BO604" t="s">
        <v>1265</v>
      </c>
    </row>
    <row r="605" spans="1:67" x14ac:dyDescent="0.25">
      <c r="A605" t="s">
        <v>1248</v>
      </c>
      <c r="B605">
        <v>119971</v>
      </c>
      <c r="C605">
        <v>405</v>
      </c>
      <c r="D605">
        <v>16405</v>
      </c>
      <c r="E605">
        <v>1117</v>
      </c>
      <c r="F605">
        <v>0</v>
      </c>
      <c r="G605" t="s">
        <v>1265</v>
      </c>
      <c r="H605">
        <v>1</v>
      </c>
      <c r="I605" t="s">
        <v>1265</v>
      </c>
      <c r="J605" t="s">
        <v>1265</v>
      </c>
      <c r="K605" t="s">
        <v>3191</v>
      </c>
      <c r="L605" t="s">
        <v>3176</v>
      </c>
      <c r="M605" t="s">
        <v>3190</v>
      </c>
      <c r="N605" t="s">
        <v>3174</v>
      </c>
      <c r="O605">
        <v>130</v>
      </c>
      <c r="P605" t="s">
        <v>4279</v>
      </c>
      <c r="R605">
        <v>144</v>
      </c>
      <c r="S605">
        <v>0</v>
      </c>
      <c r="T605">
        <v>32</v>
      </c>
      <c r="U605">
        <v>0</v>
      </c>
      <c r="V605">
        <v>896</v>
      </c>
      <c r="W605">
        <v>896</v>
      </c>
      <c r="X605">
        <v>32</v>
      </c>
      <c r="Y605">
        <v>0</v>
      </c>
      <c r="Z605">
        <v>0</v>
      </c>
      <c r="AA605">
        <v>0</v>
      </c>
      <c r="AE605" s="30">
        <v>45791.333333333336</v>
      </c>
      <c r="AF605" s="30">
        <v>45796.708333333336</v>
      </c>
      <c r="AH605" s="30">
        <v>45765.333333333336</v>
      </c>
      <c r="AI605" s="30">
        <v>45770.708333333336</v>
      </c>
      <c r="AJ605" s="30">
        <v>45765.333333333336</v>
      </c>
      <c r="AK605" s="30">
        <v>45770.708333333336</v>
      </c>
      <c r="AL605" s="30">
        <v>45765.333333333336</v>
      </c>
      <c r="AM605" s="30">
        <v>45770.708333333336</v>
      </c>
      <c r="AN605" s="30">
        <v>45791.333333333336</v>
      </c>
      <c r="AO605" s="30">
        <v>45796.708333333336</v>
      </c>
      <c r="AQ605" t="s">
        <v>3171</v>
      </c>
      <c r="AV605" t="s">
        <v>4278</v>
      </c>
      <c r="AZ605" t="s">
        <v>1265</v>
      </c>
      <c r="BA605">
        <v>0</v>
      </c>
      <c r="BB605">
        <v>0</v>
      </c>
      <c r="BJ605" s="30">
        <v>45953.652083333334</v>
      </c>
      <c r="BK605" s="30">
        <v>46093.595138888886</v>
      </c>
      <c r="BL605" t="s">
        <v>2716</v>
      </c>
      <c r="BM605" t="s">
        <v>1259</v>
      </c>
      <c r="BO605" t="s">
        <v>1265</v>
      </c>
    </row>
    <row r="606" spans="1:67" x14ac:dyDescent="0.25">
      <c r="A606" t="s">
        <v>1248</v>
      </c>
      <c r="B606">
        <v>119972</v>
      </c>
      <c r="C606">
        <v>405</v>
      </c>
      <c r="D606">
        <v>16405</v>
      </c>
      <c r="E606">
        <v>1117</v>
      </c>
      <c r="F606">
        <v>0</v>
      </c>
      <c r="G606" t="s">
        <v>1265</v>
      </c>
      <c r="H606">
        <v>1</v>
      </c>
      <c r="I606" t="s">
        <v>1265</v>
      </c>
      <c r="J606" t="s">
        <v>1265</v>
      </c>
      <c r="K606" t="s">
        <v>3191</v>
      </c>
      <c r="L606" t="s">
        <v>3176</v>
      </c>
      <c r="M606" t="s">
        <v>3190</v>
      </c>
      <c r="N606" t="s">
        <v>3174</v>
      </c>
      <c r="O606">
        <v>131</v>
      </c>
      <c r="P606" t="s">
        <v>4277</v>
      </c>
      <c r="R606">
        <v>144</v>
      </c>
      <c r="S606">
        <v>0</v>
      </c>
      <c r="T606">
        <v>32</v>
      </c>
      <c r="U606">
        <v>0</v>
      </c>
      <c r="V606">
        <v>896</v>
      </c>
      <c r="W606">
        <v>896</v>
      </c>
      <c r="X606">
        <v>32</v>
      </c>
      <c r="Y606">
        <v>0</v>
      </c>
      <c r="Z606">
        <v>0</v>
      </c>
      <c r="AA606">
        <v>0</v>
      </c>
      <c r="AE606" s="30">
        <v>45797.333333333336</v>
      </c>
      <c r="AF606" s="30">
        <v>45800.708333333336</v>
      </c>
      <c r="AH606" s="30">
        <v>45771.333333333336</v>
      </c>
      <c r="AI606" s="30">
        <v>45776.708333333336</v>
      </c>
      <c r="AJ606" s="30">
        <v>45771.333333333336</v>
      </c>
      <c r="AK606" s="30">
        <v>45776.708333333336</v>
      </c>
      <c r="AL606" s="30">
        <v>45771.333333333336</v>
      </c>
      <c r="AM606" s="30">
        <v>45776.708333333336</v>
      </c>
      <c r="AN606" s="30">
        <v>45797.333333333336</v>
      </c>
      <c r="AO606" s="30">
        <v>45800.708333333336</v>
      </c>
      <c r="AQ606" t="s">
        <v>3171</v>
      </c>
      <c r="AV606" t="s">
        <v>4276</v>
      </c>
      <c r="AZ606" t="s">
        <v>1265</v>
      </c>
      <c r="BA606">
        <v>0</v>
      </c>
      <c r="BB606">
        <v>0</v>
      </c>
      <c r="BJ606" s="30">
        <v>45953.652083333334</v>
      </c>
      <c r="BK606" s="30">
        <v>46093.595138888886</v>
      </c>
      <c r="BL606" t="s">
        <v>2716</v>
      </c>
      <c r="BM606" t="s">
        <v>1259</v>
      </c>
      <c r="BO606" t="s">
        <v>1265</v>
      </c>
    </row>
    <row r="607" spans="1:67" x14ac:dyDescent="0.25">
      <c r="A607" t="s">
        <v>1248</v>
      </c>
      <c r="B607">
        <v>119973</v>
      </c>
      <c r="C607">
        <v>405</v>
      </c>
      <c r="D607">
        <v>16405</v>
      </c>
      <c r="E607">
        <v>1117</v>
      </c>
      <c r="F607">
        <v>0</v>
      </c>
      <c r="G607" t="s">
        <v>1265</v>
      </c>
      <c r="H607">
        <v>1</v>
      </c>
      <c r="I607" t="s">
        <v>1265</v>
      </c>
      <c r="J607" t="s">
        <v>1265</v>
      </c>
      <c r="K607" t="s">
        <v>3191</v>
      </c>
      <c r="L607" t="s">
        <v>3176</v>
      </c>
      <c r="M607" t="s">
        <v>3190</v>
      </c>
      <c r="N607" t="s">
        <v>3174</v>
      </c>
      <c r="O607">
        <v>132</v>
      </c>
      <c r="P607" t="s">
        <v>4275</v>
      </c>
      <c r="R607">
        <v>144</v>
      </c>
      <c r="S607">
        <v>0</v>
      </c>
      <c r="T607">
        <v>32</v>
      </c>
      <c r="U607">
        <v>0</v>
      </c>
      <c r="V607">
        <v>896</v>
      </c>
      <c r="W607">
        <v>896</v>
      </c>
      <c r="X607">
        <v>32</v>
      </c>
      <c r="Y607">
        <v>0</v>
      </c>
      <c r="Z607">
        <v>0</v>
      </c>
      <c r="AA607">
        <v>0</v>
      </c>
      <c r="AE607" s="30">
        <v>45803.333333333336</v>
      </c>
      <c r="AF607" s="30">
        <v>45806.708333333336</v>
      </c>
      <c r="AH607" s="30">
        <v>45777.333333333336</v>
      </c>
      <c r="AI607" s="30">
        <v>45782.708333333336</v>
      </c>
      <c r="AJ607" s="30">
        <v>45777.333333333336</v>
      </c>
      <c r="AK607" s="30">
        <v>45782.708333333336</v>
      </c>
      <c r="AL607" s="30">
        <v>45777.333333333336</v>
      </c>
      <c r="AM607" s="30">
        <v>45782.708333333336</v>
      </c>
      <c r="AN607" s="30">
        <v>45803.333333333336</v>
      </c>
      <c r="AO607" s="30">
        <v>45806.708333333336</v>
      </c>
      <c r="AQ607" t="s">
        <v>3171</v>
      </c>
      <c r="AV607" t="s">
        <v>4274</v>
      </c>
      <c r="AZ607" t="s">
        <v>1265</v>
      </c>
      <c r="BA607">
        <v>0</v>
      </c>
      <c r="BB607">
        <v>0</v>
      </c>
      <c r="BJ607" s="30">
        <v>45953.652083333334</v>
      </c>
      <c r="BK607" s="30">
        <v>46093.595138888886</v>
      </c>
      <c r="BL607" t="s">
        <v>2716</v>
      </c>
      <c r="BM607" t="s">
        <v>1259</v>
      </c>
      <c r="BO607" t="s">
        <v>1265</v>
      </c>
    </row>
    <row r="608" spans="1:67" x14ac:dyDescent="0.25">
      <c r="A608" t="s">
        <v>1248</v>
      </c>
      <c r="B608">
        <v>119974</v>
      </c>
      <c r="C608">
        <v>405</v>
      </c>
      <c r="D608">
        <v>16405</v>
      </c>
      <c r="E608">
        <v>1117</v>
      </c>
      <c r="F608">
        <v>0</v>
      </c>
      <c r="G608" t="s">
        <v>1265</v>
      </c>
      <c r="H608">
        <v>1</v>
      </c>
      <c r="I608" t="s">
        <v>1265</v>
      </c>
      <c r="J608" t="s">
        <v>1265</v>
      </c>
      <c r="K608" t="s">
        <v>3191</v>
      </c>
      <c r="L608" t="s">
        <v>3176</v>
      </c>
      <c r="M608" t="s">
        <v>3190</v>
      </c>
      <c r="N608" t="s">
        <v>3174</v>
      </c>
      <c r="O608">
        <v>133</v>
      </c>
      <c r="P608" t="s">
        <v>4273</v>
      </c>
      <c r="R608">
        <v>144</v>
      </c>
      <c r="S608">
        <v>0</v>
      </c>
      <c r="T608">
        <v>32</v>
      </c>
      <c r="U608">
        <v>0</v>
      </c>
      <c r="V608">
        <v>896</v>
      </c>
      <c r="W608">
        <v>896</v>
      </c>
      <c r="X608">
        <v>32</v>
      </c>
      <c r="Y608">
        <v>0</v>
      </c>
      <c r="Z608">
        <v>0</v>
      </c>
      <c r="AA608">
        <v>0</v>
      </c>
      <c r="AE608" s="30">
        <v>45807.333333333336</v>
      </c>
      <c r="AF608" s="30">
        <v>45812.708333333336</v>
      </c>
      <c r="AH608" s="30">
        <v>45783.333333333336</v>
      </c>
      <c r="AI608" s="30">
        <v>45786.708333333336</v>
      </c>
      <c r="AJ608" s="30">
        <v>45783.333333333336</v>
      </c>
      <c r="AK608" s="30">
        <v>45786.708333333336</v>
      </c>
      <c r="AL608" s="30">
        <v>45783.333333333336</v>
      </c>
      <c r="AM608" s="30">
        <v>45786.708333333336</v>
      </c>
      <c r="AN608" s="30">
        <v>45807.333333333336</v>
      </c>
      <c r="AO608" s="30">
        <v>45812.708333333336</v>
      </c>
      <c r="AQ608" t="s">
        <v>3171</v>
      </c>
      <c r="AV608" t="s">
        <v>4272</v>
      </c>
      <c r="AZ608" t="s">
        <v>1265</v>
      </c>
      <c r="BA608">
        <v>0</v>
      </c>
      <c r="BB608">
        <v>0</v>
      </c>
      <c r="BJ608" s="30">
        <v>45953.652083333334</v>
      </c>
      <c r="BK608" s="30">
        <v>46093.595138888886</v>
      </c>
      <c r="BL608" t="s">
        <v>2716</v>
      </c>
      <c r="BM608" t="s">
        <v>1259</v>
      </c>
      <c r="BO608" t="s">
        <v>1265</v>
      </c>
    </row>
    <row r="609" spans="1:67" x14ac:dyDescent="0.25">
      <c r="A609" t="s">
        <v>1248</v>
      </c>
      <c r="B609">
        <v>119975</v>
      </c>
      <c r="C609">
        <v>405</v>
      </c>
      <c r="D609">
        <v>16405</v>
      </c>
      <c r="E609">
        <v>1117</v>
      </c>
      <c r="F609">
        <v>0</v>
      </c>
      <c r="G609" t="s">
        <v>1265</v>
      </c>
      <c r="H609">
        <v>1</v>
      </c>
      <c r="I609" t="s">
        <v>1265</v>
      </c>
      <c r="J609" t="s">
        <v>1265</v>
      </c>
      <c r="K609" t="s">
        <v>3191</v>
      </c>
      <c r="L609" t="s">
        <v>3176</v>
      </c>
      <c r="M609" t="s">
        <v>3190</v>
      </c>
      <c r="N609" t="s">
        <v>3174</v>
      </c>
      <c r="O609">
        <v>134</v>
      </c>
      <c r="P609" t="s">
        <v>4271</v>
      </c>
      <c r="R609">
        <v>144</v>
      </c>
      <c r="S609">
        <v>0</v>
      </c>
      <c r="T609">
        <v>32</v>
      </c>
      <c r="U609">
        <v>0</v>
      </c>
      <c r="V609">
        <v>896</v>
      </c>
      <c r="W609">
        <v>896</v>
      </c>
      <c r="X609">
        <v>32</v>
      </c>
      <c r="Y609">
        <v>0</v>
      </c>
      <c r="Z609">
        <v>0</v>
      </c>
      <c r="AA609">
        <v>0</v>
      </c>
      <c r="AE609" s="30">
        <v>45813.333333333336</v>
      </c>
      <c r="AF609" s="30">
        <v>45818.708333333336</v>
      </c>
      <c r="AH609" s="30">
        <v>45789.333333333336</v>
      </c>
      <c r="AI609" s="30">
        <v>45792.708333333336</v>
      </c>
      <c r="AJ609" s="30">
        <v>45789.333333333336</v>
      </c>
      <c r="AK609" s="30">
        <v>45792.708333333336</v>
      </c>
      <c r="AL609" s="30">
        <v>45789.333333333336</v>
      </c>
      <c r="AM609" s="30">
        <v>45792.708333333336</v>
      </c>
      <c r="AN609" s="30">
        <v>45813.333333333336</v>
      </c>
      <c r="AO609" s="30">
        <v>45818.708333333336</v>
      </c>
      <c r="AQ609" t="s">
        <v>3171</v>
      </c>
      <c r="AV609" t="s">
        <v>4270</v>
      </c>
      <c r="AZ609" t="s">
        <v>1265</v>
      </c>
      <c r="BA609">
        <v>0</v>
      </c>
      <c r="BB609">
        <v>0</v>
      </c>
      <c r="BJ609" s="30">
        <v>45953.652083333334</v>
      </c>
      <c r="BK609" s="30">
        <v>46093.595138888886</v>
      </c>
      <c r="BL609" t="s">
        <v>2716</v>
      </c>
      <c r="BM609" t="s">
        <v>1259</v>
      </c>
      <c r="BO609" t="s">
        <v>1265</v>
      </c>
    </row>
    <row r="610" spans="1:67" x14ac:dyDescent="0.25">
      <c r="A610" t="s">
        <v>1248</v>
      </c>
      <c r="B610">
        <v>119976</v>
      </c>
      <c r="C610">
        <v>405</v>
      </c>
      <c r="D610">
        <v>16405</v>
      </c>
      <c r="E610">
        <v>1117</v>
      </c>
      <c r="F610">
        <v>0</v>
      </c>
      <c r="G610" t="s">
        <v>1265</v>
      </c>
      <c r="H610">
        <v>1</v>
      </c>
      <c r="I610" t="s">
        <v>1265</v>
      </c>
      <c r="J610" t="s">
        <v>1265</v>
      </c>
      <c r="K610" t="s">
        <v>3191</v>
      </c>
      <c r="L610" t="s">
        <v>3176</v>
      </c>
      <c r="M610" t="s">
        <v>3190</v>
      </c>
      <c r="N610" t="s">
        <v>3174</v>
      </c>
      <c r="O610">
        <v>135</v>
      </c>
      <c r="P610" t="s">
        <v>4269</v>
      </c>
      <c r="R610">
        <v>144</v>
      </c>
      <c r="S610">
        <v>0</v>
      </c>
      <c r="T610">
        <v>32</v>
      </c>
      <c r="U610">
        <v>0</v>
      </c>
      <c r="V610">
        <v>896</v>
      </c>
      <c r="W610">
        <v>896</v>
      </c>
      <c r="X610">
        <v>32</v>
      </c>
      <c r="Y610">
        <v>0</v>
      </c>
      <c r="Z610">
        <v>0</v>
      </c>
      <c r="AA610">
        <v>0</v>
      </c>
      <c r="AE610" s="30">
        <v>45819.333333333336</v>
      </c>
      <c r="AF610" s="30">
        <v>45824.708333333336</v>
      </c>
      <c r="AH610" s="30">
        <v>45793.333333333336</v>
      </c>
      <c r="AI610" s="30">
        <v>45798.708333333336</v>
      </c>
      <c r="AJ610" s="30">
        <v>45793.333333333336</v>
      </c>
      <c r="AK610" s="30">
        <v>45798.708333333336</v>
      </c>
      <c r="AL610" s="30">
        <v>45793.333333333336</v>
      </c>
      <c r="AM610" s="30">
        <v>45798.708333333336</v>
      </c>
      <c r="AN610" s="30">
        <v>45819.333333333336</v>
      </c>
      <c r="AO610" s="30">
        <v>45824.708333333336</v>
      </c>
      <c r="AQ610" t="s">
        <v>3171</v>
      </c>
      <c r="AV610" t="s">
        <v>4268</v>
      </c>
      <c r="AZ610" t="s">
        <v>1265</v>
      </c>
      <c r="BA610">
        <v>0</v>
      </c>
      <c r="BB610">
        <v>0</v>
      </c>
      <c r="BJ610" s="30">
        <v>45953.652083333334</v>
      </c>
      <c r="BK610" s="30">
        <v>46093.595138888886</v>
      </c>
      <c r="BL610" t="s">
        <v>2716</v>
      </c>
      <c r="BM610" t="s">
        <v>1259</v>
      </c>
      <c r="BO610" t="s">
        <v>1265</v>
      </c>
    </row>
    <row r="611" spans="1:67" x14ac:dyDescent="0.25">
      <c r="A611" t="s">
        <v>1248</v>
      </c>
      <c r="B611">
        <v>119977</v>
      </c>
      <c r="C611">
        <v>405</v>
      </c>
      <c r="D611">
        <v>16405</v>
      </c>
      <c r="E611">
        <v>1117</v>
      </c>
      <c r="F611">
        <v>0</v>
      </c>
      <c r="G611" t="s">
        <v>1265</v>
      </c>
      <c r="H611">
        <v>1</v>
      </c>
      <c r="I611" t="s">
        <v>1265</v>
      </c>
      <c r="J611" t="s">
        <v>1265</v>
      </c>
      <c r="K611" t="s">
        <v>3191</v>
      </c>
      <c r="L611" t="s">
        <v>3176</v>
      </c>
      <c r="M611" t="s">
        <v>3190</v>
      </c>
      <c r="N611" t="s">
        <v>3174</v>
      </c>
      <c r="O611">
        <v>136</v>
      </c>
      <c r="P611" t="s">
        <v>4267</v>
      </c>
      <c r="R611">
        <v>144</v>
      </c>
      <c r="S611">
        <v>0</v>
      </c>
      <c r="T611">
        <v>32</v>
      </c>
      <c r="U611">
        <v>0</v>
      </c>
      <c r="V611">
        <v>896</v>
      </c>
      <c r="W611">
        <v>896</v>
      </c>
      <c r="X611">
        <v>32</v>
      </c>
      <c r="Y611">
        <v>0</v>
      </c>
      <c r="Z611">
        <v>0</v>
      </c>
      <c r="AA611">
        <v>0</v>
      </c>
      <c r="AE611" s="30">
        <v>45825.333333333336</v>
      </c>
      <c r="AF611" s="30">
        <v>45828.708333333336</v>
      </c>
      <c r="AH611" s="30">
        <v>45799.333333333336</v>
      </c>
      <c r="AI611" s="30">
        <v>45804.708333333336</v>
      </c>
      <c r="AJ611" s="30">
        <v>45799.333333333336</v>
      </c>
      <c r="AK611" s="30">
        <v>45804.708333333336</v>
      </c>
      <c r="AL611" s="30">
        <v>45799.333333333336</v>
      </c>
      <c r="AM611" s="30">
        <v>45804.708333333336</v>
      </c>
      <c r="AN611" s="30">
        <v>45825.333333333336</v>
      </c>
      <c r="AO611" s="30">
        <v>45828.708333333336</v>
      </c>
      <c r="AQ611" t="s">
        <v>3171</v>
      </c>
      <c r="AV611" t="s">
        <v>4266</v>
      </c>
      <c r="AZ611" t="s">
        <v>1265</v>
      </c>
      <c r="BA611">
        <v>0</v>
      </c>
      <c r="BB611">
        <v>0</v>
      </c>
      <c r="BJ611" s="30">
        <v>45953.652083333334</v>
      </c>
      <c r="BK611" s="30">
        <v>46093.595138888886</v>
      </c>
      <c r="BL611" t="s">
        <v>2716</v>
      </c>
      <c r="BM611" t="s">
        <v>1259</v>
      </c>
      <c r="BO611" t="s">
        <v>1265</v>
      </c>
    </row>
    <row r="612" spans="1:67" x14ac:dyDescent="0.25">
      <c r="A612" t="s">
        <v>1248</v>
      </c>
      <c r="B612">
        <v>119978</v>
      </c>
      <c r="C612">
        <v>405</v>
      </c>
      <c r="D612">
        <v>16405</v>
      </c>
      <c r="E612">
        <v>1117</v>
      </c>
      <c r="F612">
        <v>0</v>
      </c>
      <c r="G612" t="s">
        <v>1265</v>
      </c>
      <c r="H612">
        <v>1</v>
      </c>
      <c r="I612" t="s">
        <v>1265</v>
      </c>
      <c r="J612" t="s">
        <v>1265</v>
      </c>
      <c r="K612" t="s">
        <v>3191</v>
      </c>
      <c r="L612" t="s">
        <v>3176</v>
      </c>
      <c r="M612" t="s">
        <v>3190</v>
      </c>
      <c r="N612" t="s">
        <v>3174</v>
      </c>
      <c r="O612">
        <v>137</v>
      </c>
      <c r="P612" t="s">
        <v>4265</v>
      </c>
      <c r="R612">
        <v>144</v>
      </c>
      <c r="S612">
        <v>0</v>
      </c>
      <c r="T612">
        <v>32</v>
      </c>
      <c r="U612">
        <v>0</v>
      </c>
      <c r="V612">
        <v>896</v>
      </c>
      <c r="W612">
        <v>896</v>
      </c>
      <c r="X612">
        <v>32</v>
      </c>
      <c r="Y612">
        <v>0</v>
      </c>
      <c r="Z612">
        <v>0</v>
      </c>
      <c r="AA612">
        <v>0</v>
      </c>
      <c r="AE612" s="30">
        <v>45831.333333333336</v>
      </c>
      <c r="AF612" s="30">
        <v>45834.708333333336</v>
      </c>
      <c r="AH612" s="30">
        <v>45805.333333333336</v>
      </c>
      <c r="AI612" s="30">
        <v>45810.708333333336</v>
      </c>
      <c r="AJ612" s="30">
        <v>45805.333333333336</v>
      </c>
      <c r="AK612" s="30">
        <v>45810.708333333336</v>
      </c>
      <c r="AL612" s="30">
        <v>45805.333333333336</v>
      </c>
      <c r="AM612" s="30">
        <v>45810.708333333336</v>
      </c>
      <c r="AN612" s="30">
        <v>45831.333333333336</v>
      </c>
      <c r="AO612" s="30">
        <v>45834.708333333336</v>
      </c>
      <c r="AQ612" t="s">
        <v>3171</v>
      </c>
      <c r="AV612" t="s">
        <v>4264</v>
      </c>
      <c r="AZ612" t="s">
        <v>1265</v>
      </c>
      <c r="BA612">
        <v>0</v>
      </c>
      <c r="BB612">
        <v>0</v>
      </c>
      <c r="BJ612" s="30">
        <v>45953.652083333334</v>
      </c>
      <c r="BK612" s="30">
        <v>46093.595138888886</v>
      </c>
      <c r="BL612" t="s">
        <v>2716</v>
      </c>
      <c r="BM612" t="s">
        <v>1259</v>
      </c>
      <c r="BO612" t="s">
        <v>1265</v>
      </c>
    </row>
    <row r="613" spans="1:67" x14ac:dyDescent="0.25">
      <c r="A613" t="s">
        <v>1248</v>
      </c>
      <c r="B613">
        <v>119979</v>
      </c>
      <c r="C613">
        <v>405</v>
      </c>
      <c r="D613">
        <v>16405</v>
      </c>
      <c r="E613">
        <v>1117</v>
      </c>
      <c r="F613">
        <v>0</v>
      </c>
      <c r="G613" t="s">
        <v>1265</v>
      </c>
      <c r="H613">
        <v>1</v>
      </c>
      <c r="I613" t="s">
        <v>1265</v>
      </c>
      <c r="J613" t="s">
        <v>1265</v>
      </c>
      <c r="K613" t="s">
        <v>3191</v>
      </c>
      <c r="L613" t="s">
        <v>3176</v>
      </c>
      <c r="M613" t="s">
        <v>3190</v>
      </c>
      <c r="N613" t="s">
        <v>3174</v>
      </c>
      <c r="O613">
        <v>138</v>
      </c>
      <c r="P613" t="s">
        <v>4263</v>
      </c>
      <c r="R613">
        <v>144</v>
      </c>
      <c r="S613">
        <v>0</v>
      </c>
      <c r="T613">
        <v>32</v>
      </c>
      <c r="U613">
        <v>0</v>
      </c>
      <c r="V613">
        <v>896</v>
      </c>
      <c r="W613">
        <v>896</v>
      </c>
      <c r="X613">
        <v>32</v>
      </c>
      <c r="Y613">
        <v>0</v>
      </c>
      <c r="Z613">
        <v>0</v>
      </c>
      <c r="AA613">
        <v>0</v>
      </c>
      <c r="AE613" s="30">
        <v>45835.333333333336</v>
      </c>
      <c r="AF613" s="30">
        <v>45840.708333333336</v>
      </c>
      <c r="AH613" s="30">
        <v>45811.333333333336</v>
      </c>
      <c r="AI613" s="30">
        <v>45814.708333333336</v>
      </c>
      <c r="AJ613" s="30">
        <v>45811.333333333336</v>
      </c>
      <c r="AK613" s="30">
        <v>45814.708333333336</v>
      </c>
      <c r="AL613" s="30">
        <v>45811.333333333336</v>
      </c>
      <c r="AM613" s="30">
        <v>45814.708333333336</v>
      </c>
      <c r="AN613" s="30">
        <v>45835.333333333336</v>
      </c>
      <c r="AO613" s="30">
        <v>45840.708333333336</v>
      </c>
      <c r="AQ613" t="s">
        <v>3171</v>
      </c>
      <c r="AV613" t="s">
        <v>4262</v>
      </c>
      <c r="AZ613" t="s">
        <v>1265</v>
      </c>
      <c r="BA613">
        <v>0</v>
      </c>
      <c r="BB613">
        <v>0</v>
      </c>
      <c r="BJ613" s="30">
        <v>45953.652083333334</v>
      </c>
      <c r="BK613" s="30">
        <v>46093.595138888886</v>
      </c>
      <c r="BL613" t="s">
        <v>2716</v>
      </c>
      <c r="BM613" t="s">
        <v>1259</v>
      </c>
      <c r="BO613" t="s">
        <v>1265</v>
      </c>
    </row>
    <row r="614" spans="1:67" x14ac:dyDescent="0.25">
      <c r="A614" t="s">
        <v>1248</v>
      </c>
      <c r="B614">
        <v>119980</v>
      </c>
      <c r="C614">
        <v>405</v>
      </c>
      <c r="D614">
        <v>16405</v>
      </c>
      <c r="E614">
        <v>1117</v>
      </c>
      <c r="F614">
        <v>0</v>
      </c>
      <c r="G614" t="s">
        <v>1265</v>
      </c>
      <c r="H614">
        <v>1</v>
      </c>
      <c r="I614" t="s">
        <v>1265</v>
      </c>
      <c r="J614" t="s">
        <v>1265</v>
      </c>
      <c r="K614" t="s">
        <v>3191</v>
      </c>
      <c r="L614" t="s">
        <v>3176</v>
      </c>
      <c r="M614" t="s">
        <v>3190</v>
      </c>
      <c r="N614" t="s">
        <v>3174</v>
      </c>
      <c r="O614">
        <v>139</v>
      </c>
      <c r="P614" t="s">
        <v>4261</v>
      </c>
      <c r="R614">
        <v>144</v>
      </c>
      <c r="S614">
        <v>0</v>
      </c>
      <c r="T614">
        <v>32</v>
      </c>
      <c r="U614">
        <v>0</v>
      </c>
      <c r="V614">
        <v>896</v>
      </c>
      <c r="W614">
        <v>896</v>
      </c>
      <c r="X614">
        <v>32</v>
      </c>
      <c r="Y614">
        <v>0</v>
      </c>
      <c r="Z614">
        <v>0</v>
      </c>
      <c r="AA614">
        <v>0</v>
      </c>
      <c r="AE614" s="30">
        <v>45841.333333333336</v>
      </c>
      <c r="AF614" s="30">
        <v>45846.708333333336</v>
      </c>
      <c r="AH614" s="30">
        <v>45817.333333333336</v>
      </c>
      <c r="AI614" s="30">
        <v>45820.708333333336</v>
      </c>
      <c r="AJ614" s="30">
        <v>45817.333333333336</v>
      </c>
      <c r="AK614" s="30">
        <v>45820.708333333336</v>
      </c>
      <c r="AL614" s="30">
        <v>45817.333333333336</v>
      </c>
      <c r="AM614" s="30">
        <v>45820.708333333336</v>
      </c>
      <c r="AN614" s="30">
        <v>45841.333333333336</v>
      </c>
      <c r="AO614" s="30">
        <v>45846.708333333336</v>
      </c>
      <c r="AQ614" t="s">
        <v>3171</v>
      </c>
      <c r="AV614" t="s">
        <v>4260</v>
      </c>
      <c r="AZ614" t="s">
        <v>1265</v>
      </c>
      <c r="BA614">
        <v>0</v>
      </c>
      <c r="BB614">
        <v>0</v>
      </c>
      <c r="BJ614" s="30">
        <v>45953.652083333334</v>
      </c>
      <c r="BK614" s="30">
        <v>46093.595138888886</v>
      </c>
      <c r="BL614" t="s">
        <v>2716</v>
      </c>
      <c r="BM614" t="s">
        <v>1259</v>
      </c>
      <c r="BO614" t="s">
        <v>1265</v>
      </c>
    </row>
    <row r="615" spans="1:67" x14ac:dyDescent="0.25">
      <c r="A615" t="s">
        <v>1248</v>
      </c>
      <c r="B615">
        <v>119981</v>
      </c>
      <c r="C615">
        <v>405</v>
      </c>
      <c r="D615">
        <v>16405</v>
      </c>
      <c r="E615">
        <v>1117</v>
      </c>
      <c r="F615">
        <v>0</v>
      </c>
      <c r="G615" t="s">
        <v>1265</v>
      </c>
      <c r="H615">
        <v>1</v>
      </c>
      <c r="I615" t="s">
        <v>1265</v>
      </c>
      <c r="J615" t="s">
        <v>1265</v>
      </c>
      <c r="K615" t="s">
        <v>3191</v>
      </c>
      <c r="L615" t="s">
        <v>3176</v>
      </c>
      <c r="M615" t="s">
        <v>3190</v>
      </c>
      <c r="N615" t="s">
        <v>3174</v>
      </c>
      <c r="O615">
        <v>140</v>
      </c>
      <c r="P615" t="s">
        <v>4259</v>
      </c>
      <c r="R615">
        <v>144</v>
      </c>
      <c r="S615">
        <v>0</v>
      </c>
      <c r="T615">
        <v>32</v>
      </c>
      <c r="U615">
        <v>0</v>
      </c>
      <c r="V615">
        <v>896</v>
      </c>
      <c r="W615">
        <v>896</v>
      </c>
      <c r="X615">
        <v>32</v>
      </c>
      <c r="Y615">
        <v>0</v>
      </c>
      <c r="Z615">
        <v>0</v>
      </c>
      <c r="AA615">
        <v>0</v>
      </c>
      <c r="AE615" s="30">
        <v>45847.333333333336</v>
      </c>
      <c r="AF615" s="30">
        <v>45852.708333333336</v>
      </c>
      <c r="AH615" s="30">
        <v>45821.333333333336</v>
      </c>
      <c r="AI615" s="30">
        <v>45826.708333333336</v>
      </c>
      <c r="AJ615" s="30">
        <v>45821.333333333336</v>
      </c>
      <c r="AK615" s="30">
        <v>45826.708333333336</v>
      </c>
      <c r="AL615" s="30">
        <v>45821.333333333336</v>
      </c>
      <c r="AM615" s="30">
        <v>45826.708333333336</v>
      </c>
      <c r="AN615" s="30">
        <v>45847.333333333336</v>
      </c>
      <c r="AO615" s="30">
        <v>45852.708333333336</v>
      </c>
      <c r="AQ615" t="s">
        <v>3171</v>
      </c>
      <c r="AV615" t="s">
        <v>4258</v>
      </c>
      <c r="AZ615" t="s">
        <v>1265</v>
      </c>
      <c r="BA615">
        <v>0</v>
      </c>
      <c r="BB615">
        <v>0</v>
      </c>
      <c r="BJ615" s="30">
        <v>45953.652083333334</v>
      </c>
      <c r="BK615" s="30">
        <v>46093.595138888886</v>
      </c>
      <c r="BL615" t="s">
        <v>2716</v>
      </c>
      <c r="BM615" t="s">
        <v>1259</v>
      </c>
      <c r="BO615" t="s">
        <v>1265</v>
      </c>
    </row>
    <row r="616" spans="1:67" x14ac:dyDescent="0.25">
      <c r="A616" t="s">
        <v>1248</v>
      </c>
      <c r="B616">
        <v>119982</v>
      </c>
      <c r="C616">
        <v>405</v>
      </c>
      <c r="D616">
        <v>16405</v>
      </c>
      <c r="E616">
        <v>1117</v>
      </c>
      <c r="F616">
        <v>0</v>
      </c>
      <c r="G616" t="s">
        <v>1265</v>
      </c>
      <c r="H616">
        <v>1</v>
      </c>
      <c r="I616" t="s">
        <v>1265</v>
      </c>
      <c r="J616" t="s">
        <v>1265</v>
      </c>
      <c r="K616" t="s">
        <v>3191</v>
      </c>
      <c r="L616" t="s">
        <v>3176</v>
      </c>
      <c r="M616" t="s">
        <v>3190</v>
      </c>
      <c r="N616" t="s">
        <v>3174</v>
      </c>
      <c r="O616">
        <v>141</v>
      </c>
      <c r="P616" t="s">
        <v>4257</v>
      </c>
      <c r="R616">
        <v>144</v>
      </c>
      <c r="S616">
        <v>0</v>
      </c>
      <c r="T616">
        <v>32</v>
      </c>
      <c r="U616">
        <v>0</v>
      </c>
      <c r="V616">
        <v>840</v>
      </c>
      <c r="W616">
        <v>840</v>
      </c>
      <c r="X616">
        <v>32</v>
      </c>
      <c r="Y616">
        <v>0</v>
      </c>
      <c r="Z616">
        <v>0</v>
      </c>
      <c r="AA616">
        <v>0</v>
      </c>
      <c r="AE616" s="30">
        <v>45853.333333333336</v>
      </c>
      <c r="AF616" s="30">
        <v>45856.708333333336</v>
      </c>
      <c r="AH616" s="30">
        <v>45827.333333333336</v>
      </c>
      <c r="AI616" s="30">
        <v>45832.708333333336</v>
      </c>
      <c r="AJ616" s="30">
        <v>45827.333333333336</v>
      </c>
      <c r="AK616" s="30">
        <v>45832.708333333336</v>
      </c>
      <c r="AL616" s="30">
        <v>45827.333333333336</v>
      </c>
      <c r="AM616" s="30">
        <v>45832.708333333336</v>
      </c>
      <c r="AN616" s="30">
        <v>45853.333333333336</v>
      </c>
      <c r="AO616" s="30">
        <v>45856.708333333336</v>
      </c>
      <c r="AQ616" t="s">
        <v>3171</v>
      </c>
      <c r="AV616" t="s">
        <v>4256</v>
      </c>
      <c r="AZ616" t="s">
        <v>1265</v>
      </c>
      <c r="BA616">
        <v>0</v>
      </c>
      <c r="BB616">
        <v>0</v>
      </c>
      <c r="BJ616" s="30">
        <v>45953.652083333334</v>
      </c>
      <c r="BK616" s="30">
        <v>46093.595138888886</v>
      </c>
      <c r="BL616" t="s">
        <v>2716</v>
      </c>
      <c r="BM616" t="s">
        <v>1259</v>
      </c>
      <c r="BO616" t="s">
        <v>1265</v>
      </c>
    </row>
    <row r="617" spans="1:67" x14ac:dyDescent="0.25">
      <c r="A617" t="s">
        <v>1248</v>
      </c>
      <c r="B617">
        <v>119983</v>
      </c>
      <c r="C617">
        <v>405</v>
      </c>
      <c r="D617">
        <v>16405</v>
      </c>
      <c r="E617">
        <v>1117</v>
      </c>
      <c r="F617">
        <v>0</v>
      </c>
      <c r="G617" t="s">
        <v>1265</v>
      </c>
      <c r="H617">
        <v>1</v>
      </c>
      <c r="I617" t="s">
        <v>1265</v>
      </c>
      <c r="J617" t="s">
        <v>1265</v>
      </c>
      <c r="K617" t="s">
        <v>3191</v>
      </c>
      <c r="L617" t="s">
        <v>3176</v>
      </c>
      <c r="M617" t="s">
        <v>3190</v>
      </c>
      <c r="N617" t="s">
        <v>3174</v>
      </c>
      <c r="O617">
        <v>142</v>
      </c>
      <c r="P617" t="s">
        <v>4255</v>
      </c>
      <c r="R617">
        <v>144</v>
      </c>
      <c r="S617">
        <v>0</v>
      </c>
      <c r="T617">
        <v>32</v>
      </c>
      <c r="U617">
        <v>0</v>
      </c>
      <c r="V617">
        <v>840</v>
      </c>
      <c r="W617">
        <v>840</v>
      </c>
      <c r="X617">
        <v>32</v>
      </c>
      <c r="Y617">
        <v>0</v>
      </c>
      <c r="Z617">
        <v>0</v>
      </c>
      <c r="AA617">
        <v>0</v>
      </c>
      <c r="AE617" s="30">
        <v>45859.333333333336</v>
      </c>
      <c r="AF617" s="30">
        <v>45862.708333333336</v>
      </c>
      <c r="AH617" s="30">
        <v>45833.333333333336</v>
      </c>
      <c r="AI617" s="30">
        <v>45838.708333333336</v>
      </c>
      <c r="AJ617" s="30">
        <v>45833.333333333336</v>
      </c>
      <c r="AK617" s="30">
        <v>45838.708333333336</v>
      </c>
      <c r="AL617" s="30">
        <v>45833.333333333336</v>
      </c>
      <c r="AM617" s="30">
        <v>45838.708333333336</v>
      </c>
      <c r="AN617" s="30">
        <v>45859.333333333336</v>
      </c>
      <c r="AO617" s="30">
        <v>45862.708333333336</v>
      </c>
      <c r="AQ617" t="s">
        <v>3171</v>
      </c>
      <c r="AV617" t="s">
        <v>4254</v>
      </c>
      <c r="AZ617" t="s">
        <v>1265</v>
      </c>
      <c r="BA617">
        <v>0</v>
      </c>
      <c r="BB617">
        <v>0</v>
      </c>
      <c r="BJ617" s="30">
        <v>45953.652083333334</v>
      </c>
      <c r="BK617" s="30">
        <v>46093.595138888886</v>
      </c>
      <c r="BL617" t="s">
        <v>2716</v>
      </c>
      <c r="BM617" t="s">
        <v>1259</v>
      </c>
      <c r="BO617" t="s">
        <v>1265</v>
      </c>
    </row>
    <row r="618" spans="1:67" x14ac:dyDescent="0.25">
      <c r="A618" t="s">
        <v>1248</v>
      </c>
      <c r="B618">
        <v>119984</v>
      </c>
      <c r="C618">
        <v>405</v>
      </c>
      <c r="D618">
        <v>16405</v>
      </c>
      <c r="E618">
        <v>1117</v>
      </c>
      <c r="F618">
        <v>0</v>
      </c>
      <c r="G618" t="s">
        <v>1265</v>
      </c>
      <c r="H618">
        <v>1</v>
      </c>
      <c r="I618" t="s">
        <v>1265</v>
      </c>
      <c r="J618" t="s">
        <v>1265</v>
      </c>
      <c r="K618" t="s">
        <v>3191</v>
      </c>
      <c r="L618" t="s">
        <v>3176</v>
      </c>
      <c r="M618" t="s">
        <v>3190</v>
      </c>
      <c r="N618" t="s">
        <v>3174</v>
      </c>
      <c r="O618">
        <v>143</v>
      </c>
      <c r="P618" t="s">
        <v>4253</v>
      </c>
      <c r="R618">
        <v>184</v>
      </c>
      <c r="S618">
        <v>184</v>
      </c>
      <c r="T618">
        <v>32</v>
      </c>
      <c r="U618">
        <v>0</v>
      </c>
      <c r="V618">
        <v>840</v>
      </c>
      <c r="W618">
        <v>840</v>
      </c>
      <c r="X618">
        <v>32</v>
      </c>
      <c r="Y618">
        <v>0</v>
      </c>
      <c r="Z618">
        <v>0</v>
      </c>
      <c r="AA618">
        <v>0</v>
      </c>
      <c r="AE618" s="30">
        <v>45870.333333333336</v>
      </c>
      <c r="AF618" s="30">
        <v>45875.708333333336</v>
      </c>
      <c r="AH618" s="30">
        <v>45839.333333333336</v>
      </c>
      <c r="AI618" s="30">
        <v>45842.708333333336</v>
      </c>
      <c r="AJ618" s="30">
        <v>45839.333333333336</v>
      </c>
      <c r="AK618" s="30">
        <v>45842.708333333336</v>
      </c>
      <c r="AL618" s="30">
        <v>45839.333333333336</v>
      </c>
      <c r="AM618" s="30">
        <v>45842.708333333336</v>
      </c>
      <c r="AN618" s="30">
        <v>45870.333333333336</v>
      </c>
      <c r="AO618" s="30">
        <v>45875.708333333336</v>
      </c>
      <c r="AQ618" t="s">
        <v>3171</v>
      </c>
      <c r="AV618" t="s">
        <v>4252</v>
      </c>
      <c r="AZ618" t="s">
        <v>1265</v>
      </c>
      <c r="BA618">
        <v>0</v>
      </c>
      <c r="BB618">
        <v>0</v>
      </c>
      <c r="BJ618" s="30">
        <v>45953.652083333334</v>
      </c>
      <c r="BK618" s="30">
        <v>46093.595138888886</v>
      </c>
      <c r="BL618" t="s">
        <v>2716</v>
      </c>
      <c r="BM618" t="s">
        <v>1259</v>
      </c>
      <c r="BO618" t="s">
        <v>1265</v>
      </c>
    </row>
    <row r="619" spans="1:67" x14ac:dyDescent="0.25">
      <c r="A619" t="s">
        <v>1248</v>
      </c>
      <c r="B619">
        <v>119985</v>
      </c>
      <c r="C619">
        <v>405</v>
      </c>
      <c r="D619">
        <v>16405</v>
      </c>
      <c r="E619">
        <v>1117</v>
      </c>
      <c r="F619">
        <v>0</v>
      </c>
      <c r="G619" t="s">
        <v>1265</v>
      </c>
      <c r="H619">
        <v>1</v>
      </c>
      <c r="I619" t="s">
        <v>1265</v>
      </c>
      <c r="J619" t="s">
        <v>1265</v>
      </c>
      <c r="K619" t="s">
        <v>3191</v>
      </c>
      <c r="L619" t="s">
        <v>3176</v>
      </c>
      <c r="M619" t="s">
        <v>3190</v>
      </c>
      <c r="N619" t="s">
        <v>3174</v>
      </c>
      <c r="O619">
        <v>144</v>
      </c>
      <c r="P619" t="s">
        <v>4251</v>
      </c>
      <c r="R619">
        <v>0</v>
      </c>
      <c r="S619">
        <v>0</v>
      </c>
      <c r="T619">
        <v>32</v>
      </c>
      <c r="U619">
        <v>0</v>
      </c>
      <c r="V619">
        <v>840</v>
      </c>
      <c r="W619">
        <v>840</v>
      </c>
      <c r="X619">
        <v>32</v>
      </c>
      <c r="Y619">
        <v>0</v>
      </c>
      <c r="Z619">
        <v>0</v>
      </c>
      <c r="AA619">
        <v>0</v>
      </c>
      <c r="AE619" s="30">
        <v>45876.333333333336</v>
      </c>
      <c r="AF619" s="30">
        <v>45881.708333333336</v>
      </c>
      <c r="AH619" s="30">
        <v>45876.333333333336</v>
      </c>
      <c r="AI619" s="30">
        <v>45881.708333333336</v>
      </c>
      <c r="AJ619" s="30">
        <v>45876.333333333336</v>
      </c>
      <c r="AK619" s="30">
        <v>45881.708333333336</v>
      </c>
      <c r="AL619" s="30">
        <v>45876.333333333336</v>
      </c>
      <c r="AM619" s="30">
        <v>45881.708333333336</v>
      </c>
      <c r="AN619" s="30">
        <v>45876.333333333336</v>
      </c>
      <c r="AO619" s="30">
        <v>45881.708333333336</v>
      </c>
      <c r="AQ619" t="s">
        <v>3171</v>
      </c>
      <c r="AV619" t="s">
        <v>4250</v>
      </c>
      <c r="AZ619" t="s">
        <v>1266</v>
      </c>
      <c r="BA619">
        <v>0</v>
      </c>
      <c r="BB619">
        <v>0</v>
      </c>
      <c r="BJ619" s="30">
        <v>45953.652083333334</v>
      </c>
      <c r="BK619" s="30">
        <v>46093.732638888891</v>
      </c>
      <c r="BL619" t="s">
        <v>2716</v>
      </c>
      <c r="BM619" t="s">
        <v>1259</v>
      </c>
      <c r="BO619" t="s">
        <v>1265</v>
      </c>
    </row>
    <row r="620" spans="1:67" x14ac:dyDescent="0.25">
      <c r="A620" t="s">
        <v>1248</v>
      </c>
      <c r="B620">
        <v>119986</v>
      </c>
      <c r="C620">
        <v>405</v>
      </c>
      <c r="D620">
        <v>16405</v>
      </c>
      <c r="E620">
        <v>1117</v>
      </c>
      <c r="F620">
        <v>0</v>
      </c>
      <c r="G620" t="s">
        <v>1265</v>
      </c>
      <c r="H620">
        <v>1</v>
      </c>
      <c r="I620" t="s">
        <v>1265</v>
      </c>
      <c r="J620" t="s">
        <v>1265</v>
      </c>
      <c r="K620" t="s">
        <v>3191</v>
      </c>
      <c r="L620" t="s">
        <v>3176</v>
      </c>
      <c r="M620" t="s">
        <v>3190</v>
      </c>
      <c r="N620" t="s">
        <v>3174</v>
      </c>
      <c r="O620">
        <v>145</v>
      </c>
      <c r="P620" t="s">
        <v>4249</v>
      </c>
      <c r="R620">
        <v>0</v>
      </c>
      <c r="S620">
        <v>0</v>
      </c>
      <c r="T620">
        <v>32</v>
      </c>
      <c r="U620">
        <v>0</v>
      </c>
      <c r="V620">
        <v>840</v>
      </c>
      <c r="W620">
        <v>840</v>
      </c>
      <c r="X620">
        <v>32</v>
      </c>
      <c r="Y620">
        <v>0</v>
      </c>
      <c r="Z620">
        <v>0</v>
      </c>
      <c r="AA620">
        <v>0</v>
      </c>
      <c r="AE620" s="30">
        <v>45882.333333333336</v>
      </c>
      <c r="AF620" s="30">
        <v>45887.708333333336</v>
      </c>
      <c r="AH620" s="30">
        <v>45882.333333333336</v>
      </c>
      <c r="AI620" s="30">
        <v>45887.708333333336</v>
      </c>
      <c r="AJ620" s="30">
        <v>45882.333333333336</v>
      </c>
      <c r="AK620" s="30">
        <v>45887.708333333336</v>
      </c>
      <c r="AL620" s="30">
        <v>45882.333333333336</v>
      </c>
      <c r="AM620" s="30">
        <v>45887.708333333336</v>
      </c>
      <c r="AN620" s="30">
        <v>45882.333333333336</v>
      </c>
      <c r="AO620" s="30">
        <v>45887.708333333336</v>
      </c>
      <c r="AQ620" t="s">
        <v>3171</v>
      </c>
      <c r="AV620" t="s">
        <v>4248</v>
      </c>
      <c r="AZ620" t="s">
        <v>1266</v>
      </c>
      <c r="BA620">
        <v>0</v>
      </c>
      <c r="BB620">
        <v>0</v>
      </c>
      <c r="BJ620" s="30">
        <v>45953.652083333334</v>
      </c>
      <c r="BK620" s="30">
        <v>46093.595138888886</v>
      </c>
      <c r="BL620" t="s">
        <v>2716</v>
      </c>
      <c r="BM620" t="s">
        <v>1259</v>
      </c>
      <c r="BO620" t="s">
        <v>1265</v>
      </c>
    </row>
    <row r="621" spans="1:67" x14ac:dyDescent="0.25">
      <c r="A621" t="s">
        <v>1248</v>
      </c>
      <c r="B621">
        <v>119987</v>
      </c>
      <c r="C621">
        <v>405</v>
      </c>
      <c r="D621">
        <v>16405</v>
      </c>
      <c r="E621">
        <v>1117</v>
      </c>
      <c r="F621">
        <v>0</v>
      </c>
      <c r="G621" t="s">
        <v>1265</v>
      </c>
      <c r="H621">
        <v>1</v>
      </c>
      <c r="I621" t="s">
        <v>1265</v>
      </c>
      <c r="J621" t="s">
        <v>1265</v>
      </c>
      <c r="K621" t="s">
        <v>3191</v>
      </c>
      <c r="L621" t="s">
        <v>3176</v>
      </c>
      <c r="M621" t="s">
        <v>3190</v>
      </c>
      <c r="N621" t="s">
        <v>3174</v>
      </c>
      <c r="O621">
        <v>146</v>
      </c>
      <c r="P621" t="s">
        <v>4247</v>
      </c>
      <c r="R621">
        <v>0</v>
      </c>
      <c r="S621">
        <v>0</v>
      </c>
      <c r="T621">
        <v>32</v>
      </c>
      <c r="U621">
        <v>0</v>
      </c>
      <c r="V621">
        <v>840</v>
      </c>
      <c r="W621">
        <v>840</v>
      </c>
      <c r="X621">
        <v>32</v>
      </c>
      <c r="Y621">
        <v>0</v>
      </c>
      <c r="Z621">
        <v>0</v>
      </c>
      <c r="AA621">
        <v>0</v>
      </c>
      <c r="AE621" s="30">
        <v>45888.333333333336</v>
      </c>
      <c r="AF621" s="30">
        <v>45891.708333333336</v>
      </c>
      <c r="AH621" s="30">
        <v>45888.333333333336</v>
      </c>
      <c r="AI621" s="30">
        <v>45891.708333333336</v>
      </c>
      <c r="AJ621" s="30">
        <v>45888.333333333336</v>
      </c>
      <c r="AK621" s="30">
        <v>45891.708333333336</v>
      </c>
      <c r="AL621" s="30">
        <v>45888.333333333336</v>
      </c>
      <c r="AM621" s="30">
        <v>45891.708333333336</v>
      </c>
      <c r="AN621" s="30">
        <v>45888.333333333336</v>
      </c>
      <c r="AO621" s="30">
        <v>45891.708333333336</v>
      </c>
      <c r="AQ621" t="s">
        <v>3171</v>
      </c>
      <c r="AV621" t="s">
        <v>4246</v>
      </c>
      <c r="AZ621" t="s">
        <v>1266</v>
      </c>
      <c r="BA621">
        <v>0</v>
      </c>
      <c r="BB621">
        <v>0</v>
      </c>
      <c r="BJ621" s="30">
        <v>45953.652083333334</v>
      </c>
      <c r="BK621" s="30">
        <v>46093.595138888886</v>
      </c>
      <c r="BL621" t="s">
        <v>2716</v>
      </c>
      <c r="BM621" t="s">
        <v>1259</v>
      </c>
      <c r="BO621" t="s">
        <v>1265</v>
      </c>
    </row>
    <row r="622" spans="1:67" x14ac:dyDescent="0.25">
      <c r="A622" t="s">
        <v>1248</v>
      </c>
      <c r="B622">
        <v>119988</v>
      </c>
      <c r="C622">
        <v>405</v>
      </c>
      <c r="D622">
        <v>16406</v>
      </c>
      <c r="E622">
        <v>1117</v>
      </c>
      <c r="F622">
        <v>0</v>
      </c>
      <c r="G622" t="s">
        <v>1265</v>
      </c>
      <c r="H622">
        <v>1</v>
      </c>
      <c r="I622" t="s">
        <v>1265</v>
      </c>
      <c r="J622" t="s">
        <v>1265</v>
      </c>
      <c r="K622" t="s">
        <v>3191</v>
      </c>
      <c r="L622" t="s">
        <v>3176</v>
      </c>
      <c r="M622" t="s">
        <v>3190</v>
      </c>
      <c r="N622" t="s">
        <v>3174</v>
      </c>
      <c r="O622">
        <v>148</v>
      </c>
      <c r="P622" t="s">
        <v>4245</v>
      </c>
      <c r="R622">
        <v>840</v>
      </c>
      <c r="S622">
        <v>0</v>
      </c>
      <c r="T622">
        <v>120</v>
      </c>
      <c r="U622">
        <v>0</v>
      </c>
      <c r="V622">
        <v>600</v>
      </c>
      <c r="W622">
        <v>600</v>
      </c>
      <c r="X622">
        <v>120</v>
      </c>
      <c r="Y622">
        <v>0</v>
      </c>
      <c r="Z622">
        <v>0</v>
      </c>
      <c r="AA622">
        <v>0</v>
      </c>
      <c r="AE622" s="30">
        <v>45974.333333333336</v>
      </c>
      <c r="AF622" s="30">
        <v>45994.708333333336</v>
      </c>
      <c r="AH622" s="30">
        <v>45827.333333333336</v>
      </c>
      <c r="AI622" s="30">
        <v>45847.708333333336</v>
      </c>
      <c r="AJ622" s="30">
        <v>45827.333333333336</v>
      </c>
      <c r="AK622" s="30">
        <v>45847.708333333336</v>
      </c>
      <c r="AL622" s="30">
        <v>45827.333333333336</v>
      </c>
      <c r="AM622" s="30">
        <v>45847.708333333336</v>
      </c>
      <c r="AN622" s="30">
        <v>45974.333333333336</v>
      </c>
      <c r="AO622" s="30">
        <v>45994.708333333336</v>
      </c>
      <c r="AQ622" t="s">
        <v>3171</v>
      </c>
      <c r="AV622" t="s">
        <v>4244</v>
      </c>
      <c r="AZ622" t="s">
        <v>1265</v>
      </c>
      <c r="BA622">
        <v>0</v>
      </c>
      <c r="BB622">
        <v>0</v>
      </c>
      <c r="BJ622" s="30">
        <v>45953.652083333334</v>
      </c>
      <c r="BK622" s="30">
        <v>46093.652083333334</v>
      </c>
      <c r="BL622" t="s">
        <v>2716</v>
      </c>
      <c r="BM622" t="s">
        <v>1259</v>
      </c>
      <c r="BO622" t="s">
        <v>1265</v>
      </c>
    </row>
    <row r="623" spans="1:67" x14ac:dyDescent="0.25">
      <c r="A623" t="s">
        <v>1248</v>
      </c>
      <c r="B623">
        <v>119989</v>
      </c>
      <c r="C623">
        <v>405</v>
      </c>
      <c r="D623">
        <v>16406</v>
      </c>
      <c r="E623">
        <v>1117</v>
      </c>
      <c r="F623">
        <v>0</v>
      </c>
      <c r="G623" t="s">
        <v>1265</v>
      </c>
      <c r="H623">
        <v>1</v>
      </c>
      <c r="I623" t="s">
        <v>1265</v>
      </c>
      <c r="J623" t="s">
        <v>1265</v>
      </c>
      <c r="K623" t="s">
        <v>3191</v>
      </c>
      <c r="L623" t="s">
        <v>3176</v>
      </c>
      <c r="M623" t="s">
        <v>3190</v>
      </c>
      <c r="N623" t="s">
        <v>3174</v>
      </c>
      <c r="O623">
        <v>149</v>
      </c>
      <c r="P623" t="s">
        <v>4243</v>
      </c>
      <c r="R623">
        <v>840</v>
      </c>
      <c r="S623">
        <v>0</v>
      </c>
      <c r="T623">
        <v>112</v>
      </c>
      <c r="U623">
        <v>0</v>
      </c>
      <c r="V623">
        <v>560</v>
      </c>
      <c r="W623">
        <v>560</v>
      </c>
      <c r="X623">
        <v>112</v>
      </c>
      <c r="Y623">
        <v>0</v>
      </c>
      <c r="Z623">
        <v>0</v>
      </c>
      <c r="AA623">
        <v>0</v>
      </c>
      <c r="AE623" s="30">
        <v>45995.333333333336</v>
      </c>
      <c r="AF623" s="30">
        <v>46014.708333333336</v>
      </c>
      <c r="AH623" s="30">
        <v>45848.333333333336</v>
      </c>
      <c r="AI623" s="30">
        <v>45867.708333333336</v>
      </c>
      <c r="AJ623" s="30">
        <v>45848.333333333336</v>
      </c>
      <c r="AK623" s="30">
        <v>45867.708333333336</v>
      </c>
      <c r="AL623" s="30">
        <v>45848.333333333336</v>
      </c>
      <c r="AM623" s="30">
        <v>45867.708333333336</v>
      </c>
      <c r="AN623" s="30">
        <v>45995.333333333336</v>
      </c>
      <c r="AO623" s="30">
        <v>46014.708333333336</v>
      </c>
      <c r="AQ623" t="s">
        <v>3171</v>
      </c>
      <c r="AV623" t="s">
        <v>4242</v>
      </c>
      <c r="AZ623" t="s">
        <v>1265</v>
      </c>
      <c r="BA623">
        <v>0</v>
      </c>
      <c r="BB623">
        <v>0</v>
      </c>
      <c r="BJ623" s="30">
        <v>45953.652083333334</v>
      </c>
      <c r="BK623" s="30">
        <v>46093.652083333334</v>
      </c>
      <c r="BL623" t="s">
        <v>2716</v>
      </c>
      <c r="BM623" t="s">
        <v>1259</v>
      </c>
      <c r="BO623" t="s">
        <v>1265</v>
      </c>
    </row>
    <row r="624" spans="1:67" x14ac:dyDescent="0.25">
      <c r="A624" t="s">
        <v>1248</v>
      </c>
      <c r="B624">
        <v>119990</v>
      </c>
      <c r="C624">
        <v>405</v>
      </c>
      <c r="D624">
        <v>16406</v>
      </c>
      <c r="E624">
        <v>1117</v>
      </c>
      <c r="F624">
        <v>0</v>
      </c>
      <c r="G624" t="s">
        <v>1265</v>
      </c>
      <c r="H624">
        <v>1</v>
      </c>
      <c r="I624" t="s">
        <v>1265</v>
      </c>
      <c r="J624" t="s">
        <v>1265</v>
      </c>
      <c r="K624" t="s">
        <v>3191</v>
      </c>
      <c r="L624" t="s">
        <v>3176</v>
      </c>
      <c r="M624" t="s">
        <v>3190</v>
      </c>
      <c r="N624" t="s">
        <v>3174</v>
      </c>
      <c r="O624">
        <v>150</v>
      </c>
      <c r="P624" t="s">
        <v>4241</v>
      </c>
      <c r="R624">
        <v>840</v>
      </c>
      <c r="S624">
        <v>0</v>
      </c>
      <c r="T624">
        <v>112</v>
      </c>
      <c r="U624">
        <v>0</v>
      </c>
      <c r="V624">
        <v>560</v>
      </c>
      <c r="W624">
        <v>560</v>
      </c>
      <c r="X624">
        <v>112</v>
      </c>
      <c r="Y624">
        <v>0</v>
      </c>
      <c r="Z624">
        <v>0</v>
      </c>
      <c r="AA624">
        <v>0</v>
      </c>
      <c r="AE624" s="30">
        <v>46015.333333333336</v>
      </c>
      <c r="AF624" s="30">
        <v>46036.708333333336</v>
      </c>
      <c r="AH624" s="30">
        <v>45868.333333333336</v>
      </c>
      <c r="AI624" s="30">
        <v>45887.708333333336</v>
      </c>
      <c r="AJ624" s="30">
        <v>45868.333333333336</v>
      </c>
      <c r="AK624" s="30">
        <v>45887.708333333336</v>
      </c>
      <c r="AL624" s="30">
        <v>45868.333333333336</v>
      </c>
      <c r="AM624" s="30">
        <v>45887.708333333336</v>
      </c>
      <c r="AN624" s="30">
        <v>46015.333333333336</v>
      </c>
      <c r="AO624" s="30">
        <v>46036.708333333336</v>
      </c>
      <c r="AQ624" t="s">
        <v>3171</v>
      </c>
      <c r="AV624" t="s">
        <v>4240</v>
      </c>
      <c r="AZ624" t="s">
        <v>1265</v>
      </c>
      <c r="BA624">
        <v>0</v>
      </c>
      <c r="BB624">
        <v>0</v>
      </c>
      <c r="BJ624" s="30">
        <v>45953.652083333334</v>
      </c>
      <c r="BK624" s="30">
        <v>46093.652083333334</v>
      </c>
      <c r="BL624" t="s">
        <v>2716</v>
      </c>
      <c r="BM624" t="s">
        <v>1259</v>
      </c>
      <c r="BO624" t="s">
        <v>1265</v>
      </c>
    </row>
    <row r="625" spans="1:67" x14ac:dyDescent="0.25">
      <c r="A625" t="s">
        <v>1248</v>
      </c>
      <c r="B625">
        <v>119991</v>
      </c>
      <c r="C625">
        <v>405</v>
      </c>
      <c r="D625">
        <v>16406</v>
      </c>
      <c r="E625">
        <v>1117</v>
      </c>
      <c r="F625">
        <v>0</v>
      </c>
      <c r="G625" t="s">
        <v>1265</v>
      </c>
      <c r="H625">
        <v>1</v>
      </c>
      <c r="I625" t="s">
        <v>1265</v>
      </c>
      <c r="J625" t="s">
        <v>1265</v>
      </c>
      <c r="K625" t="s">
        <v>3191</v>
      </c>
      <c r="L625" t="s">
        <v>3176</v>
      </c>
      <c r="M625" t="s">
        <v>3190</v>
      </c>
      <c r="N625" t="s">
        <v>3174</v>
      </c>
      <c r="O625">
        <v>151</v>
      </c>
      <c r="P625" t="s">
        <v>4239</v>
      </c>
      <c r="R625">
        <v>840</v>
      </c>
      <c r="S625">
        <v>0</v>
      </c>
      <c r="T625">
        <v>112</v>
      </c>
      <c r="U625">
        <v>0</v>
      </c>
      <c r="V625">
        <v>560</v>
      </c>
      <c r="W625">
        <v>560</v>
      </c>
      <c r="X625">
        <v>112</v>
      </c>
      <c r="Y625">
        <v>0</v>
      </c>
      <c r="Z625">
        <v>0</v>
      </c>
      <c r="AA625">
        <v>0</v>
      </c>
      <c r="AE625" s="30">
        <v>46037.333333333336</v>
      </c>
      <c r="AF625" s="30">
        <v>46056.708333333336</v>
      </c>
      <c r="AH625" s="30">
        <v>45888.333333333336</v>
      </c>
      <c r="AI625" s="30">
        <v>45905.708333333336</v>
      </c>
      <c r="AJ625" s="30">
        <v>45888.333333333336</v>
      </c>
      <c r="AK625" s="30">
        <v>45905.708333333336</v>
      </c>
      <c r="AL625" s="30">
        <v>45888.333333333336</v>
      </c>
      <c r="AM625" s="30">
        <v>45905.708333333336</v>
      </c>
      <c r="AN625" s="30">
        <v>46037.333333333336</v>
      </c>
      <c r="AO625" s="30">
        <v>46056.708333333336</v>
      </c>
      <c r="AQ625" t="s">
        <v>3171</v>
      </c>
      <c r="AV625" t="s">
        <v>4238</v>
      </c>
      <c r="AZ625" t="s">
        <v>1265</v>
      </c>
      <c r="BA625">
        <v>0</v>
      </c>
      <c r="BB625">
        <v>0</v>
      </c>
      <c r="BJ625" s="30">
        <v>45953.652083333334</v>
      </c>
      <c r="BK625" s="30">
        <v>46093.652083333334</v>
      </c>
      <c r="BL625" t="s">
        <v>2716</v>
      </c>
      <c r="BM625" t="s">
        <v>1259</v>
      </c>
      <c r="BO625" t="s">
        <v>1265</v>
      </c>
    </row>
    <row r="626" spans="1:67" x14ac:dyDescent="0.25">
      <c r="A626" t="s">
        <v>1248</v>
      </c>
      <c r="B626">
        <v>119992</v>
      </c>
      <c r="C626">
        <v>405</v>
      </c>
      <c r="D626">
        <v>16406</v>
      </c>
      <c r="E626">
        <v>1117</v>
      </c>
      <c r="F626">
        <v>0</v>
      </c>
      <c r="G626" t="s">
        <v>1265</v>
      </c>
      <c r="H626">
        <v>1</v>
      </c>
      <c r="I626" t="s">
        <v>1265</v>
      </c>
      <c r="J626" t="s">
        <v>1265</v>
      </c>
      <c r="K626" t="s">
        <v>3191</v>
      </c>
      <c r="L626" t="s">
        <v>3176</v>
      </c>
      <c r="M626" t="s">
        <v>3190</v>
      </c>
      <c r="N626" t="s">
        <v>3174</v>
      </c>
      <c r="O626">
        <v>152</v>
      </c>
      <c r="P626" t="s">
        <v>4237</v>
      </c>
      <c r="R626">
        <v>840</v>
      </c>
      <c r="S626">
        <v>0</v>
      </c>
      <c r="T626">
        <v>112</v>
      </c>
      <c r="U626">
        <v>0</v>
      </c>
      <c r="V626">
        <v>560</v>
      </c>
      <c r="W626">
        <v>560</v>
      </c>
      <c r="X626">
        <v>112</v>
      </c>
      <c r="Y626">
        <v>0</v>
      </c>
      <c r="Z626">
        <v>0</v>
      </c>
      <c r="AA626">
        <v>0</v>
      </c>
      <c r="AE626" s="30">
        <v>46057.333333333336</v>
      </c>
      <c r="AF626" s="30">
        <v>46076.708333333336</v>
      </c>
      <c r="AH626" s="30">
        <v>45908.333333333336</v>
      </c>
      <c r="AI626" s="30">
        <v>45925.708333333336</v>
      </c>
      <c r="AJ626" s="30">
        <v>45908.333333333336</v>
      </c>
      <c r="AK626" s="30">
        <v>45925.708333333336</v>
      </c>
      <c r="AL626" s="30">
        <v>45908.333333333336</v>
      </c>
      <c r="AM626" s="30">
        <v>45925.708333333336</v>
      </c>
      <c r="AN626" s="30">
        <v>46057.333333333336</v>
      </c>
      <c r="AO626" s="30">
        <v>46076.708333333336</v>
      </c>
      <c r="AQ626" t="s">
        <v>3171</v>
      </c>
      <c r="AV626" t="s">
        <v>4236</v>
      </c>
      <c r="AZ626" t="s">
        <v>1265</v>
      </c>
      <c r="BA626">
        <v>0</v>
      </c>
      <c r="BB626">
        <v>0</v>
      </c>
      <c r="BJ626" s="30">
        <v>45953.652083333334</v>
      </c>
      <c r="BK626" s="30">
        <v>46093.652083333334</v>
      </c>
      <c r="BL626" t="s">
        <v>2716</v>
      </c>
      <c r="BM626" t="s">
        <v>1259</v>
      </c>
      <c r="BO626" t="s">
        <v>1265</v>
      </c>
    </row>
    <row r="627" spans="1:67" x14ac:dyDescent="0.25">
      <c r="A627" t="s">
        <v>1248</v>
      </c>
      <c r="B627">
        <v>119993</v>
      </c>
      <c r="C627">
        <v>405</v>
      </c>
      <c r="D627">
        <v>16406</v>
      </c>
      <c r="E627">
        <v>1117</v>
      </c>
      <c r="F627">
        <v>0</v>
      </c>
      <c r="G627" t="s">
        <v>1265</v>
      </c>
      <c r="H627">
        <v>1</v>
      </c>
      <c r="I627" t="s">
        <v>1265</v>
      </c>
      <c r="J627" t="s">
        <v>1265</v>
      </c>
      <c r="K627" t="s">
        <v>3191</v>
      </c>
      <c r="L627" t="s">
        <v>3176</v>
      </c>
      <c r="M627" t="s">
        <v>3190</v>
      </c>
      <c r="N627" t="s">
        <v>3174</v>
      </c>
      <c r="O627">
        <v>153</v>
      </c>
      <c r="P627" t="s">
        <v>4235</v>
      </c>
      <c r="R627">
        <v>840</v>
      </c>
      <c r="S627">
        <v>0</v>
      </c>
      <c r="T627">
        <v>112</v>
      </c>
      <c r="U627">
        <v>0</v>
      </c>
      <c r="V627">
        <v>560</v>
      </c>
      <c r="W627">
        <v>560</v>
      </c>
      <c r="X627">
        <v>112</v>
      </c>
      <c r="Y627">
        <v>0</v>
      </c>
      <c r="Z627">
        <v>0</v>
      </c>
      <c r="AA627">
        <v>0</v>
      </c>
      <c r="AE627" s="30">
        <v>46077.333333333336</v>
      </c>
      <c r="AF627" s="30">
        <v>46094.708333333336</v>
      </c>
      <c r="AH627" s="30">
        <v>45926.333333333336</v>
      </c>
      <c r="AI627" s="30">
        <v>45945.708333333336</v>
      </c>
      <c r="AJ627" s="30">
        <v>45926.333333333336</v>
      </c>
      <c r="AK627" s="30">
        <v>45945.708333333336</v>
      </c>
      <c r="AL627" s="30">
        <v>45926.333333333336</v>
      </c>
      <c r="AM627" s="30">
        <v>45945.708333333336</v>
      </c>
      <c r="AN627" s="30">
        <v>46077.333333333336</v>
      </c>
      <c r="AO627" s="30">
        <v>46094.708333333336</v>
      </c>
      <c r="AQ627" t="s">
        <v>3171</v>
      </c>
      <c r="AV627" t="s">
        <v>4234</v>
      </c>
      <c r="AZ627" t="s">
        <v>1265</v>
      </c>
      <c r="BA627">
        <v>0</v>
      </c>
      <c r="BB627">
        <v>0</v>
      </c>
      <c r="BJ627" s="30">
        <v>45953.652083333334</v>
      </c>
      <c r="BK627" s="30">
        <v>46093.652083333334</v>
      </c>
      <c r="BL627" t="s">
        <v>2716</v>
      </c>
      <c r="BM627" t="s">
        <v>1259</v>
      </c>
      <c r="BO627" t="s">
        <v>1265</v>
      </c>
    </row>
    <row r="628" spans="1:67" x14ac:dyDescent="0.25">
      <c r="A628" t="s">
        <v>1248</v>
      </c>
      <c r="B628">
        <v>119994</v>
      </c>
      <c r="C628">
        <v>405</v>
      </c>
      <c r="D628">
        <v>16406</v>
      </c>
      <c r="E628">
        <v>1117</v>
      </c>
      <c r="F628">
        <v>0</v>
      </c>
      <c r="G628" t="s">
        <v>1265</v>
      </c>
      <c r="H628">
        <v>1</v>
      </c>
      <c r="I628" t="s">
        <v>1265</v>
      </c>
      <c r="J628" t="s">
        <v>1265</v>
      </c>
      <c r="K628" t="s">
        <v>3191</v>
      </c>
      <c r="L628" t="s">
        <v>3176</v>
      </c>
      <c r="M628" t="s">
        <v>3190</v>
      </c>
      <c r="N628" t="s">
        <v>3174</v>
      </c>
      <c r="O628">
        <v>154</v>
      </c>
      <c r="P628" t="s">
        <v>4233</v>
      </c>
      <c r="R628">
        <v>840</v>
      </c>
      <c r="S628">
        <v>0</v>
      </c>
      <c r="T628">
        <v>112</v>
      </c>
      <c r="U628">
        <v>0</v>
      </c>
      <c r="V628">
        <v>560</v>
      </c>
      <c r="W628">
        <v>560</v>
      </c>
      <c r="X628">
        <v>112</v>
      </c>
      <c r="Y628">
        <v>0</v>
      </c>
      <c r="Z628">
        <v>0</v>
      </c>
      <c r="AA628">
        <v>0</v>
      </c>
      <c r="AE628" s="30">
        <v>46097.333333333336</v>
      </c>
      <c r="AF628" s="30">
        <v>46114.708333333336</v>
      </c>
      <c r="AH628" s="30">
        <v>45946.333333333336</v>
      </c>
      <c r="AI628" s="30">
        <v>45965.708333333336</v>
      </c>
      <c r="AJ628" s="30">
        <v>45946.333333333336</v>
      </c>
      <c r="AK628" s="30">
        <v>45965.708333333336</v>
      </c>
      <c r="AL628" s="30">
        <v>45946.333333333336</v>
      </c>
      <c r="AM628" s="30">
        <v>45965.708333333336</v>
      </c>
      <c r="AN628" s="30">
        <v>46097.333333333336</v>
      </c>
      <c r="AO628" s="30">
        <v>46114.708333333336</v>
      </c>
      <c r="AQ628" t="s">
        <v>3171</v>
      </c>
      <c r="AV628" t="s">
        <v>4232</v>
      </c>
      <c r="AZ628" t="s">
        <v>1265</v>
      </c>
      <c r="BA628">
        <v>0</v>
      </c>
      <c r="BB628">
        <v>0</v>
      </c>
      <c r="BJ628" s="30">
        <v>45953.652083333334</v>
      </c>
      <c r="BK628" s="30">
        <v>46093.652083333334</v>
      </c>
      <c r="BL628" t="s">
        <v>2716</v>
      </c>
      <c r="BM628" t="s">
        <v>1259</v>
      </c>
      <c r="BO628" t="s">
        <v>1265</v>
      </c>
    </row>
    <row r="629" spans="1:67" x14ac:dyDescent="0.25">
      <c r="A629" t="s">
        <v>1248</v>
      </c>
      <c r="B629">
        <v>119995</v>
      </c>
      <c r="C629">
        <v>405</v>
      </c>
      <c r="D629">
        <v>16406</v>
      </c>
      <c r="E629">
        <v>1117</v>
      </c>
      <c r="F629">
        <v>0</v>
      </c>
      <c r="G629" t="s">
        <v>1265</v>
      </c>
      <c r="H629">
        <v>1</v>
      </c>
      <c r="I629" t="s">
        <v>1265</v>
      </c>
      <c r="J629" t="s">
        <v>1265</v>
      </c>
      <c r="K629" t="s">
        <v>3191</v>
      </c>
      <c r="L629" t="s">
        <v>3176</v>
      </c>
      <c r="M629" t="s">
        <v>3190</v>
      </c>
      <c r="N629" t="s">
        <v>3174</v>
      </c>
      <c r="O629">
        <v>155</v>
      </c>
      <c r="P629" t="s">
        <v>4231</v>
      </c>
      <c r="R629">
        <v>840</v>
      </c>
      <c r="S629">
        <v>0</v>
      </c>
      <c r="T629">
        <v>112</v>
      </c>
      <c r="U629">
        <v>0</v>
      </c>
      <c r="V629">
        <v>560</v>
      </c>
      <c r="W629">
        <v>560</v>
      </c>
      <c r="X629">
        <v>112</v>
      </c>
      <c r="Y629">
        <v>0</v>
      </c>
      <c r="Z629">
        <v>0</v>
      </c>
      <c r="AA629">
        <v>0</v>
      </c>
      <c r="AE629" s="30">
        <v>46115.333333333336</v>
      </c>
      <c r="AF629" s="30">
        <v>46135.708333333336</v>
      </c>
      <c r="AH629" s="30">
        <v>45966.333333333336</v>
      </c>
      <c r="AI629" s="30">
        <v>45985.708333333336</v>
      </c>
      <c r="AJ629" s="30">
        <v>45966.333333333336</v>
      </c>
      <c r="AK629" s="30">
        <v>45985.708333333336</v>
      </c>
      <c r="AL629" s="30">
        <v>45966.333333333336</v>
      </c>
      <c r="AM629" s="30">
        <v>45985.708333333336</v>
      </c>
      <c r="AN629" s="30">
        <v>46115.333333333336</v>
      </c>
      <c r="AO629" s="30">
        <v>46135.708333333336</v>
      </c>
      <c r="AQ629" t="s">
        <v>3171</v>
      </c>
      <c r="AV629" t="s">
        <v>4230</v>
      </c>
      <c r="AZ629" t="s">
        <v>1265</v>
      </c>
      <c r="BA629">
        <v>0</v>
      </c>
      <c r="BB629">
        <v>0</v>
      </c>
      <c r="BJ629" s="30">
        <v>45953.652083333334</v>
      </c>
      <c r="BK629" s="30">
        <v>46093.652083333334</v>
      </c>
      <c r="BL629" t="s">
        <v>2716</v>
      </c>
      <c r="BM629" t="s">
        <v>1259</v>
      </c>
      <c r="BO629" t="s">
        <v>1265</v>
      </c>
    </row>
    <row r="630" spans="1:67" x14ac:dyDescent="0.25">
      <c r="A630" t="s">
        <v>1248</v>
      </c>
      <c r="B630">
        <v>119996</v>
      </c>
      <c r="C630">
        <v>405</v>
      </c>
      <c r="D630">
        <v>16406</v>
      </c>
      <c r="E630">
        <v>1117</v>
      </c>
      <c r="F630">
        <v>0</v>
      </c>
      <c r="G630" t="s">
        <v>1265</v>
      </c>
      <c r="H630">
        <v>1</v>
      </c>
      <c r="I630" t="s">
        <v>1265</v>
      </c>
      <c r="J630" t="s">
        <v>1265</v>
      </c>
      <c r="K630" t="s">
        <v>3191</v>
      </c>
      <c r="L630" t="s">
        <v>3176</v>
      </c>
      <c r="M630" t="s">
        <v>3190</v>
      </c>
      <c r="N630" t="s">
        <v>3174</v>
      </c>
      <c r="O630">
        <v>156</v>
      </c>
      <c r="P630" t="s">
        <v>4229</v>
      </c>
      <c r="R630">
        <v>840</v>
      </c>
      <c r="S630">
        <v>0</v>
      </c>
      <c r="T630">
        <v>112</v>
      </c>
      <c r="U630">
        <v>0</v>
      </c>
      <c r="V630">
        <v>560</v>
      </c>
      <c r="W630">
        <v>560</v>
      </c>
      <c r="X630">
        <v>112</v>
      </c>
      <c r="Y630">
        <v>0</v>
      </c>
      <c r="Z630">
        <v>0</v>
      </c>
      <c r="AA630">
        <v>0</v>
      </c>
      <c r="AE630" s="30">
        <v>46136.333333333336</v>
      </c>
      <c r="AF630" s="30">
        <v>46156.708333333336</v>
      </c>
      <c r="AH630" s="30">
        <v>45986.333333333336</v>
      </c>
      <c r="AI630" s="30">
        <v>46003.708333333336</v>
      </c>
      <c r="AJ630" s="30">
        <v>45986.333333333336</v>
      </c>
      <c r="AK630" s="30">
        <v>46003.708333333336</v>
      </c>
      <c r="AL630" s="30">
        <v>45986.333333333336</v>
      </c>
      <c r="AM630" s="30">
        <v>46003.708333333336</v>
      </c>
      <c r="AN630" s="30">
        <v>46136.333333333336</v>
      </c>
      <c r="AO630" s="30">
        <v>46156.708333333336</v>
      </c>
      <c r="AQ630" t="s">
        <v>3171</v>
      </c>
      <c r="AV630" t="s">
        <v>4228</v>
      </c>
      <c r="AZ630" t="s">
        <v>1265</v>
      </c>
      <c r="BA630">
        <v>0</v>
      </c>
      <c r="BB630">
        <v>0</v>
      </c>
      <c r="BJ630" s="30">
        <v>45953.652083333334</v>
      </c>
      <c r="BK630" s="30">
        <v>46093.652083333334</v>
      </c>
      <c r="BL630" t="s">
        <v>2716</v>
      </c>
      <c r="BM630" t="s">
        <v>1259</v>
      </c>
      <c r="BO630" t="s">
        <v>1265</v>
      </c>
    </row>
    <row r="631" spans="1:67" x14ac:dyDescent="0.25">
      <c r="A631" t="s">
        <v>1248</v>
      </c>
      <c r="B631">
        <v>119997</v>
      </c>
      <c r="C631">
        <v>405</v>
      </c>
      <c r="D631">
        <v>16406</v>
      </c>
      <c r="E631">
        <v>1117</v>
      </c>
      <c r="F631">
        <v>0</v>
      </c>
      <c r="G631" t="s">
        <v>1265</v>
      </c>
      <c r="H631">
        <v>1</v>
      </c>
      <c r="I631" t="s">
        <v>1265</v>
      </c>
      <c r="J631" t="s">
        <v>1265</v>
      </c>
      <c r="K631" t="s">
        <v>3191</v>
      </c>
      <c r="L631" t="s">
        <v>3176</v>
      </c>
      <c r="M631" t="s">
        <v>3190</v>
      </c>
      <c r="N631" t="s">
        <v>3174</v>
      </c>
      <c r="O631">
        <v>157</v>
      </c>
      <c r="P631" t="s">
        <v>4227</v>
      </c>
      <c r="R631">
        <v>840</v>
      </c>
      <c r="S631">
        <v>0</v>
      </c>
      <c r="T631">
        <v>112</v>
      </c>
      <c r="U631">
        <v>0</v>
      </c>
      <c r="V631">
        <v>560</v>
      </c>
      <c r="W631">
        <v>560</v>
      </c>
      <c r="X631">
        <v>112</v>
      </c>
      <c r="Y631">
        <v>0</v>
      </c>
      <c r="Z631">
        <v>0</v>
      </c>
      <c r="AA631">
        <v>0</v>
      </c>
      <c r="AE631" s="30">
        <v>46157.333333333336</v>
      </c>
      <c r="AF631" s="30">
        <v>46177.708333333336</v>
      </c>
      <c r="AH631" s="30">
        <v>46006.333333333336</v>
      </c>
      <c r="AI631" s="30">
        <v>46024.708333333336</v>
      </c>
      <c r="AJ631" s="30">
        <v>46006.333333333336</v>
      </c>
      <c r="AK631" s="30">
        <v>46024.708333333336</v>
      </c>
      <c r="AL631" s="30">
        <v>46006.333333333336</v>
      </c>
      <c r="AM631" s="30">
        <v>46024.708333333336</v>
      </c>
      <c r="AN631" s="30">
        <v>46157.333333333336</v>
      </c>
      <c r="AO631" s="30">
        <v>46177.708333333336</v>
      </c>
      <c r="AQ631" t="s">
        <v>3171</v>
      </c>
      <c r="AV631" t="s">
        <v>4226</v>
      </c>
      <c r="AZ631" t="s">
        <v>1265</v>
      </c>
      <c r="BA631">
        <v>0</v>
      </c>
      <c r="BB631">
        <v>0</v>
      </c>
      <c r="BJ631" s="30">
        <v>45953.652083333334</v>
      </c>
      <c r="BK631" s="30">
        <v>46093.652083333334</v>
      </c>
      <c r="BL631" t="s">
        <v>2716</v>
      </c>
      <c r="BM631" t="s">
        <v>1259</v>
      </c>
      <c r="BO631" t="s">
        <v>1265</v>
      </c>
    </row>
    <row r="632" spans="1:67" x14ac:dyDescent="0.25">
      <c r="A632" t="s">
        <v>1248</v>
      </c>
      <c r="B632">
        <v>119998</v>
      </c>
      <c r="C632">
        <v>405</v>
      </c>
      <c r="D632">
        <v>16406</v>
      </c>
      <c r="E632">
        <v>1117</v>
      </c>
      <c r="F632">
        <v>0</v>
      </c>
      <c r="G632" t="s">
        <v>1265</v>
      </c>
      <c r="H632">
        <v>1</v>
      </c>
      <c r="I632" t="s">
        <v>1265</v>
      </c>
      <c r="J632" t="s">
        <v>1265</v>
      </c>
      <c r="K632" t="s">
        <v>3191</v>
      </c>
      <c r="L632" t="s">
        <v>3176</v>
      </c>
      <c r="M632" t="s">
        <v>3190</v>
      </c>
      <c r="N632" t="s">
        <v>3174</v>
      </c>
      <c r="O632">
        <v>158</v>
      </c>
      <c r="P632" t="s">
        <v>4225</v>
      </c>
      <c r="R632">
        <v>840</v>
      </c>
      <c r="S632">
        <v>0</v>
      </c>
      <c r="T632">
        <v>112</v>
      </c>
      <c r="U632">
        <v>0</v>
      </c>
      <c r="V632">
        <v>560</v>
      </c>
      <c r="W632">
        <v>560</v>
      </c>
      <c r="X632">
        <v>112</v>
      </c>
      <c r="Y632">
        <v>0</v>
      </c>
      <c r="Z632">
        <v>0</v>
      </c>
      <c r="AA632">
        <v>0</v>
      </c>
      <c r="AE632" s="30">
        <v>46178.333333333336</v>
      </c>
      <c r="AF632" s="30">
        <v>46197.708333333336</v>
      </c>
      <c r="AH632" s="30">
        <v>46027.333333333336</v>
      </c>
      <c r="AI632" s="30">
        <v>46045.708333333336</v>
      </c>
      <c r="AJ632" s="30">
        <v>46027.333333333336</v>
      </c>
      <c r="AK632" s="30">
        <v>46045.708333333336</v>
      </c>
      <c r="AL632" s="30">
        <v>46027.333333333336</v>
      </c>
      <c r="AM632" s="30">
        <v>46045.708333333336</v>
      </c>
      <c r="AN632" s="30">
        <v>46178.333333333336</v>
      </c>
      <c r="AO632" s="30">
        <v>46197.708333333336</v>
      </c>
      <c r="AQ632" t="s">
        <v>3171</v>
      </c>
      <c r="AV632" t="s">
        <v>4224</v>
      </c>
      <c r="AZ632" t="s">
        <v>1265</v>
      </c>
      <c r="BA632">
        <v>0</v>
      </c>
      <c r="BB632">
        <v>0</v>
      </c>
      <c r="BJ632" s="30">
        <v>45953.652083333334</v>
      </c>
      <c r="BK632" s="30">
        <v>46093.652083333334</v>
      </c>
      <c r="BL632" t="s">
        <v>2716</v>
      </c>
      <c r="BM632" t="s">
        <v>1259</v>
      </c>
      <c r="BO632" t="s">
        <v>1265</v>
      </c>
    </row>
    <row r="633" spans="1:67" x14ac:dyDescent="0.25">
      <c r="A633" t="s">
        <v>1248</v>
      </c>
      <c r="B633">
        <v>119999</v>
      </c>
      <c r="C633">
        <v>405</v>
      </c>
      <c r="D633">
        <v>16406</v>
      </c>
      <c r="E633">
        <v>1117</v>
      </c>
      <c r="F633">
        <v>0</v>
      </c>
      <c r="G633" t="s">
        <v>1265</v>
      </c>
      <c r="H633">
        <v>1</v>
      </c>
      <c r="I633" t="s">
        <v>1265</v>
      </c>
      <c r="J633" t="s">
        <v>1265</v>
      </c>
      <c r="K633" t="s">
        <v>3191</v>
      </c>
      <c r="L633" t="s">
        <v>3176</v>
      </c>
      <c r="M633" t="s">
        <v>3190</v>
      </c>
      <c r="N633" t="s">
        <v>3174</v>
      </c>
      <c r="O633">
        <v>159</v>
      </c>
      <c r="P633" t="s">
        <v>4223</v>
      </c>
      <c r="R633">
        <v>840</v>
      </c>
      <c r="S633">
        <v>0</v>
      </c>
      <c r="T633">
        <v>112</v>
      </c>
      <c r="U633">
        <v>0</v>
      </c>
      <c r="V633">
        <v>560</v>
      </c>
      <c r="W633">
        <v>560</v>
      </c>
      <c r="X633">
        <v>112</v>
      </c>
      <c r="Y633">
        <v>0</v>
      </c>
      <c r="Z633">
        <v>0</v>
      </c>
      <c r="AA633">
        <v>0</v>
      </c>
      <c r="AE633" s="30">
        <v>46198.333333333336</v>
      </c>
      <c r="AF633" s="30">
        <v>46217.708333333336</v>
      </c>
      <c r="AH633" s="30">
        <v>46048.333333333336</v>
      </c>
      <c r="AI633" s="30">
        <v>46065.708333333336</v>
      </c>
      <c r="AJ633" s="30">
        <v>46048.333333333336</v>
      </c>
      <c r="AK633" s="30">
        <v>46065.708333333336</v>
      </c>
      <c r="AL633" s="30">
        <v>46048.333333333336</v>
      </c>
      <c r="AM633" s="30">
        <v>46065.708333333336</v>
      </c>
      <c r="AN633" s="30">
        <v>46198.333333333336</v>
      </c>
      <c r="AO633" s="30">
        <v>46217.708333333336</v>
      </c>
      <c r="AQ633" t="s">
        <v>3171</v>
      </c>
      <c r="AV633" t="s">
        <v>4222</v>
      </c>
      <c r="AZ633" t="s">
        <v>1265</v>
      </c>
      <c r="BA633">
        <v>0</v>
      </c>
      <c r="BB633">
        <v>0</v>
      </c>
      <c r="BJ633" s="30">
        <v>45953.652083333334</v>
      </c>
      <c r="BK633" s="30">
        <v>46093.652083333334</v>
      </c>
      <c r="BL633" t="s">
        <v>2716</v>
      </c>
      <c r="BM633" t="s">
        <v>1259</v>
      </c>
      <c r="BO633" t="s">
        <v>1265</v>
      </c>
    </row>
    <row r="634" spans="1:67" x14ac:dyDescent="0.25">
      <c r="A634" t="s">
        <v>1248</v>
      </c>
      <c r="B634">
        <v>120000</v>
      </c>
      <c r="C634">
        <v>405</v>
      </c>
      <c r="D634">
        <v>16406</v>
      </c>
      <c r="E634">
        <v>1117</v>
      </c>
      <c r="F634">
        <v>0</v>
      </c>
      <c r="G634" t="s">
        <v>1265</v>
      </c>
      <c r="H634">
        <v>1</v>
      </c>
      <c r="I634" t="s">
        <v>1265</v>
      </c>
      <c r="J634" t="s">
        <v>1265</v>
      </c>
      <c r="K634" t="s">
        <v>3191</v>
      </c>
      <c r="L634" t="s">
        <v>3176</v>
      </c>
      <c r="M634" t="s">
        <v>3190</v>
      </c>
      <c r="N634" t="s">
        <v>3174</v>
      </c>
      <c r="O634">
        <v>160</v>
      </c>
      <c r="P634" t="s">
        <v>4221</v>
      </c>
      <c r="R634">
        <v>840</v>
      </c>
      <c r="S634">
        <v>0</v>
      </c>
      <c r="T634">
        <v>112</v>
      </c>
      <c r="U634">
        <v>0</v>
      </c>
      <c r="V634">
        <v>560</v>
      </c>
      <c r="W634">
        <v>560</v>
      </c>
      <c r="X634">
        <v>112</v>
      </c>
      <c r="Y634">
        <v>0</v>
      </c>
      <c r="Z634">
        <v>0</v>
      </c>
      <c r="AA634">
        <v>0</v>
      </c>
      <c r="AE634" s="30">
        <v>46218.333333333336</v>
      </c>
      <c r="AF634" s="30">
        <v>46237.708333333336</v>
      </c>
      <c r="AH634" s="30">
        <v>46066.333333333336</v>
      </c>
      <c r="AI634" s="30">
        <v>46085.708333333336</v>
      </c>
      <c r="AJ634" s="30">
        <v>46066.333333333336</v>
      </c>
      <c r="AK634" s="30">
        <v>46085.708333333336</v>
      </c>
      <c r="AL634" s="30">
        <v>46066.333333333336</v>
      </c>
      <c r="AM634" s="30">
        <v>46085.708333333336</v>
      </c>
      <c r="AN634" s="30">
        <v>46218.333333333336</v>
      </c>
      <c r="AO634" s="30">
        <v>46237.708333333336</v>
      </c>
      <c r="AQ634" t="s">
        <v>3171</v>
      </c>
      <c r="AV634" t="s">
        <v>4220</v>
      </c>
      <c r="AZ634" t="s">
        <v>1265</v>
      </c>
      <c r="BA634">
        <v>0</v>
      </c>
      <c r="BB634">
        <v>0</v>
      </c>
      <c r="BJ634" s="30">
        <v>45953.652083333334</v>
      </c>
      <c r="BK634" s="30">
        <v>46093.652083333334</v>
      </c>
      <c r="BL634" t="s">
        <v>2716</v>
      </c>
      <c r="BM634" t="s">
        <v>1259</v>
      </c>
      <c r="BO634" t="s">
        <v>1265</v>
      </c>
    </row>
    <row r="635" spans="1:67" x14ac:dyDescent="0.25">
      <c r="A635" t="s">
        <v>1248</v>
      </c>
      <c r="B635">
        <v>120001</v>
      </c>
      <c r="C635">
        <v>405</v>
      </c>
      <c r="D635">
        <v>16406</v>
      </c>
      <c r="E635">
        <v>1117</v>
      </c>
      <c r="F635">
        <v>0</v>
      </c>
      <c r="G635" t="s">
        <v>1265</v>
      </c>
      <c r="H635">
        <v>1</v>
      </c>
      <c r="I635" t="s">
        <v>1265</v>
      </c>
      <c r="J635" t="s">
        <v>1265</v>
      </c>
      <c r="K635" t="s">
        <v>3191</v>
      </c>
      <c r="L635" t="s">
        <v>3176</v>
      </c>
      <c r="M635" t="s">
        <v>3190</v>
      </c>
      <c r="N635" t="s">
        <v>3174</v>
      </c>
      <c r="O635">
        <v>161</v>
      </c>
      <c r="P635" t="s">
        <v>4219</v>
      </c>
      <c r="R635">
        <v>840</v>
      </c>
      <c r="S635">
        <v>0</v>
      </c>
      <c r="T635">
        <v>112</v>
      </c>
      <c r="U635">
        <v>0</v>
      </c>
      <c r="V635">
        <v>560</v>
      </c>
      <c r="W635">
        <v>560</v>
      </c>
      <c r="X635">
        <v>112</v>
      </c>
      <c r="Y635">
        <v>0</v>
      </c>
      <c r="Z635">
        <v>0</v>
      </c>
      <c r="AA635">
        <v>0</v>
      </c>
      <c r="AE635" s="30">
        <v>46238.333333333336</v>
      </c>
      <c r="AF635" s="30">
        <v>46255.708333333336</v>
      </c>
      <c r="AH635" s="30">
        <v>46086.333333333336</v>
      </c>
      <c r="AI635" s="30">
        <v>46105.708333333336</v>
      </c>
      <c r="AJ635" s="30">
        <v>46086.333333333336</v>
      </c>
      <c r="AK635" s="30">
        <v>46105.708333333336</v>
      </c>
      <c r="AL635" s="30">
        <v>46086.333333333336</v>
      </c>
      <c r="AM635" s="30">
        <v>46105.708333333336</v>
      </c>
      <c r="AN635" s="30">
        <v>46238.333333333336</v>
      </c>
      <c r="AO635" s="30">
        <v>46255.708333333336</v>
      </c>
      <c r="AQ635" t="s">
        <v>3171</v>
      </c>
      <c r="AV635" t="s">
        <v>4218</v>
      </c>
      <c r="AZ635" t="s">
        <v>1265</v>
      </c>
      <c r="BA635">
        <v>0</v>
      </c>
      <c r="BB635">
        <v>0</v>
      </c>
      <c r="BJ635" s="30">
        <v>45953.652083333334</v>
      </c>
      <c r="BK635" s="30">
        <v>46093.652083333334</v>
      </c>
      <c r="BL635" t="s">
        <v>2716</v>
      </c>
      <c r="BM635" t="s">
        <v>1259</v>
      </c>
      <c r="BO635" t="s">
        <v>1265</v>
      </c>
    </row>
    <row r="636" spans="1:67" x14ac:dyDescent="0.25">
      <c r="A636" t="s">
        <v>1248</v>
      </c>
      <c r="B636">
        <v>120002</v>
      </c>
      <c r="C636">
        <v>405</v>
      </c>
      <c r="D636">
        <v>16406</v>
      </c>
      <c r="E636">
        <v>1117</v>
      </c>
      <c r="F636">
        <v>0</v>
      </c>
      <c r="G636" t="s">
        <v>1265</v>
      </c>
      <c r="H636">
        <v>1</v>
      </c>
      <c r="I636" t="s">
        <v>1265</v>
      </c>
      <c r="J636" t="s">
        <v>1265</v>
      </c>
      <c r="K636" t="s">
        <v>3191</v>
      </c>
      <c r="L636" t="s">
        <v>3176</v>
      </c>
      <c r="M636" t="s">
        <v>3190</v>
      </c>
      <c r="N636" t="s">
        <v>3174</v>
      </c>
      <c r="O636">
        <v>162</v>
      </c>
      <c r="P636" t="s">
        <v>4217</v>
      </c>
      <c r="R636">
        <v>840</v>
      </c>
      <c r="S636">
        <v>0</v>
      </c>
      <c r="T636">
        <v>112</v>
      </c>
      <c r="U636">
        <v>0</v>
      </c>
      <c r="V636">
        <v>560</v>
      </c>
      <c r="W636">
        <v>560</v>
      </c>
      <c r="X636">
        <v>112</v>
      </c>
      <c r="Y636">
        <v>0</v>
      </c>
      <c r="Z636">
        <v>0</v>
      </c>
      <c r="AA636">
        <v>0</v>
      </c>
      <c r="AE636" s="30">
        <v>46258.333333333336</v>
      </c>
      <c r="AF636" s="30">
        <v>46275.708333333336</v>
      </c>
      <c r="AH636" s="30">
        <v>46106.333333333336</v>
      </c>
      <c r="AI636" s="30">
        <v>46126.708333333336</v>
      </c>
      <c r="AJ636" s="30">
        <v>46106.333333333336</v>
      </c>
      <c r="AK636" s="30">
        <v>46126.708333333336</v>
      </c>
      <c r="AL636" s="30">
        <v>46106.333333333336</v>
      </c>
      <c r="AM636" s="30">
        <v>46126.708333333336</v>
      </c>
      <c r="AN636" s="30">
        <v>46258.333333333336</v>
      </c>
      <c r="AO636" s="30">
        <v>46275.708333333336</v>
      </c>
      <c r="AQ636" t="s">
        <v>3171</v>
      </c>
      <c r="AV636" t="s">
        <v>4216</v>
      </c>
      <c r="AZ636" t="s">
        <v>1265</v>
      </c>
      <c r="BA636">
        <v>0</v>
      </c>
      <c r="BB636">
        <v>0</v>
      </c>
      <c r="BJ636" s="30">
        <v>45953.652083333334</v>
      </c>
      <c r="BK636" s="30">
        <v>46093.652083333334</v>
      </c>
      <c r="BL636" t="s">
        <v>2716</v>
      </c>
      <c r="BM636" t="s">
        <v>1259</v>
      </c>
      <c r="BO636" t="s">
        <v>1265</v>
      </c>
    </row>
    <row r="637" spans="1:67" x14ac:dyDescent="0.25">
      <c r="A637" t="s">
        <v>1248</v>
      </c>
      <c r="B637">
        <v>120003</v>
      </c>
      <c r="C637">
        <v>405</v>
      </c>
      <c r="D637">
        <v>16406</v>
      </c>
      <c r="E637">
        <v>1117</v>
      </c>
      <c r="F637">
        <v>0</v>
      </c>
      <c r="G637" t="s">
        <v>1265</v>
      </c>
      <c r="H637">
        <v>1</v>
      </c>
      <c r="I637" t="s">
        <v>1265</v>
      </c>
      <c r="J637" t="s">
        <v>1265</v>
      </c>
      <c r="K637" t="s">
        <v>3191</v>
      </c>
      <c r="L637" t="s">
        <v>3176</v>
      </c>
      <c r="M637" t="s">
        <v>3190</v>
      </c>
      <c r="N637" t="s">
        <v>3174</v>
      </c>
      <c r="O637">
        <v>163</v>
      </c>
      <c r="P637" t="s">
        <v>4215</v>
      </c>
      <c r="R637">
        <v>840</v>
      </c>
      <c r="S637">
        <v>0</v>
      </c>
      <c r="T637">
        <v>112</v>
      </c>
      <c r="U637">
        <v>0</v>
      </c>
      <c r="V637">
        <v>560</v>
      </c>
      <c r="W637">
        <v>560</v>
      </c>
      <c r="X637">
        <v>112</v>
      </c>
      <c r="Y637">
        <v>0</v>
      </c>
      <c r="Z637">
        <v>0</v>
      </c>
      <c r="AA637">
        <v>0</v>
      </c>
      <c r="AE637" s="30">
        <v>46276.333333333336</v>
      </c>
      <c r="AF637" s="30">
        <v>46295.708333333336</v>
      </c>
      <c r="AH637" s="30">
        <v>46127.333333333336</v>
      </c>
      <c r="AI637" s="30">
        <v>46147.708333333336</v>
      </c>
      <c r="AJ637" s="30">
        <v>46127.333333333336</v>
      </c>
      <c r="AK637" s="30">
        <v>46147.708333333336</v>
      </c>
      <c r="AL637" s="30">
        <v>46127.333333333336</v>
      </c>
      <c r="AM637" s="30">
        <v>46147.708333333336</v>
      </c>
      <c r="AN637" s="30">
        <v>46276.333333333336</v>
      </c>
      <c r="AO637" s="30">
        <v>46295.708333333336</v>
      </c>
      <c r="AQ637" t="s">
        <v>3171</v>
      </c>
      <c r="AV637" t="s">
        <v>4214</v>
      </c>
      <c r="AZ637" t="s">
        <v>1265</v>
      </c>
      <c r="BA637">
        <v>0</v>
      </c>
      <c r="BB637">
        <v>0</v>
      </c>
      <c r="BJ637" s="30">
        <v>45953.652083333334</v>
      </c>
      <c r="BK637" s="30">
        <v>46093.652083333334</v>
      </c>
      <c r="BL637" t="s">
        <v>2716</v>
      </c>
      <c r="BM637" t="s">
        <v>1259</v>
      </c>
      <c r="BO637" t="s">
        <v>1265</v>
      </c>
    </row>
    <row r="638" spans="1:67" x14ac:dyDescent="0.25">
      <c r="A638" t="s">
        <v>1248</v>
      </c>
      <c r="B638">
        <v>120004</v>
      </c>
      <c r="C638">
        <v>405</v>
      </c>
      <c r="D638">
        <v>16406</v>
      </c>
      <c r="E638">
        <v>1117</v>
      </c>
      <c r="F638">
        <v>0</v>
      </c>
      <c r="G638" t="s">
        <v>1265</v>
      </c>
      <c r="H638">
        <v>1</v>
      </c>
      <c r="I638" t="s">
        <v>1265</v>
      </c>
      <c r="J638" t="s">
        <v>1265</v>
      </c>
      <c r="K638" t="s">
        <v>3191</v>
      </c>
      <c r="L638" t="s">
        <v>3176</v>
      </c>
      <c r="M638" t="s">
        <v>3190</v>
      </c>
      <c r="N638" t="s">
        <v>3174</v>
      </c>
      <c r="O638">
        <v>164</v>
      </c>
      <c r="P638" t="s">
        <v>4213</v>
      </c>
      <c r="R638">
        <v>840</v>
      </c>
      <c r="S638">
        <v>0</v>
      </c>
      <c r="T638">
        <v>112</v>
      </c>
      <c r="U638">
        <v>0</v>
      </c>
      <c r="V638">
        <v>560</v>
      </c>
      <c r="W638">
        <v>560</v>
      </c>
      <c r="X638">
        <v>112</v>
      </c>
      <c r="Y638">
        <v>0</v>
      </c>
      <c r="Z638">
        <v>0</v>
      </c>
      <c r="AA638">
        <v>0</v>
      </c>
      <c r="AE638" s="30">
        <v>46296.333333333336</v>
      </c>
      <c r="AF638" s="30">
        <v>46315.708333333336</v>
      </c>
      <c r="AH638" s="30">
        <v>46148.333333333336</v>
      </c>
      <c r="AI638" s="30">
        <v>46167.708333333336</v>
      </c>
      <c r="AJ638" s="30">
        <v>46148.333333333336</v>
      </c>
      <c r="AK638" s="30">
        <v>46167.708333333336</v>
      </c>
      <c r="AL638" s="30">
        <v>46148.333333333336</v>
      </c>
      <c r="AM638" s="30">
        <v>46167.708333333336</v>
      </c>
      <c r="AN638" s="30">
        <v>46296.333333333336</v>
      </c>
      <c r="AO638" s="30">
        <v>46315.708333333336</v>
      </c>
      <c r="AQ638" t="s">
        <v>3171</v>
      </c>
      <c r="AV638" t="s">
        <v>4212</v>
      </c>
      <c r="AZ638" t="s">
        <v>1265</v>
      </c>
      <c r="BA638">
        <v>0</v>
      </c>
      <c r="BB638">
        <v>0</v>
      </c>
      <c r="BJ638" s="30">
        <v>45953.652083333334</v>
      </c>
      <c r="BK638" s="30">
        <v>46093.652083333334</v>
      </c>
      <c r="BL638" t="s">
        <v>2716</v>
      </c>
      <c r="BM638" t="s">
        <v>1259</v>
      </c>
      <c r="BO638" t="s">
        <v>1265</v>
      </c>
    </row>
    <row r="639" spans="1:67" x14ac:dyDescent="0.25">
      <c r="A639" t="s">
        <v>1248</v>
      </c>
      <c r="B639">
        <v>120005</v>
      </c>
      <c r="C639">
        <v>405</v>
      </c>
      <c r="D639">
        <v>16406</v>
      </c>
      <c r="E639">
        <v>1117</v>
      </c>
      <c r="F639">
        <v>0</v>
      </c>
      <c r="G639" t="s">
        <v>1265</v>
      </c>
      <c r="H639">
        <v>1</v>
      </c>
      <c r="I639" t="s">
        <v>1265</v>
      </c>
      <c r="J639" t="s">
        <v>1265</v>
      </c>
      <c r="K639" t="s">
        <v>3191</v>
      </c>
      <c r="L639" t="s">
        <v>3176</v>
      </c>
      <c r="M639" t="s">
        <v>3190</v>
      </c>
      <c r="N639" t="s">
        <v>3174</v>
      </c>
      <c r="O639">
        <v>165</v>
      </c>
      <c r="P639" t="s">
        <v>4211</v>
      </c>
      <c r="R639">
        <v>840</v>
      </c>
      <c r="S639">
        <v>0</v>
      </c>
      <c r="T639">
        <v>112</v>
      </c>
      <c r="U639">
        <v>0</v>
      </c>
      <c r="V639">
        <v>560</v>
      </c>
      <c r="W639">
        <v>560</v>
      </c>
      <c r="X639">
        <v>112</v>
      </c>
      <c r="Y639">
        <v>0</v>
      </c>
      <c r="Z639">
        <v>0</v>
      </c>
      <c r="AA639">
        <v>0</v>
      </c>
      <c r="AE639" s="30">
        <v>46316.333333333336</v>
      </c>
      <c r="AF639" s="30">
        <v>46335.708333333336</v>
      </c>
      <c r="AH639" s="30">
        <v>46168.333333333336</v>
      </c>
      <c r="AI639" s="30">
        <v>46188.708333333336</v>
      </c>
      <c r="AJ639" s="30">
        <v>46168.333333333336</v>
      </c>
      <c r="AK639" s="30">
        <v>46188.708333333336</v>
      </c>
      <c r="AL639" s="30">
        <v>46168.333333333336</v>
      </c>
      <c r="AM639" s="30">
        <v>46188.708333333336</v>
      </c>
      <c r="AN639" s="30">
        <v>46316.333333333336</v>
      </c>
      <c r="AO639" s="30">
        <v>46335.708333333336</v>
      </c>
      <c r="AQ639" t="s">
        <v>3171</v>
      </c>
      <c r="AV639" t="s">
        <v>4210</v>
      </c>
      <c r="AZ639" t="s">
        <v>1265</v>
      </c>
      <c r="BA639">
        <v>0</v>
      </c>
      <c r="BB639">
        <v>0</v>
      </c>
      <c r="BJ639" s="30">
        <v>45953.652083333334</v>
      </c>
      <c r="BK639" s="30">
        <v>46093.652083333334</v>
      </c>
      <c r="BL639" t="s">
        <v>2716</v>
      </c>
      <c r="BM639" t="s">
        <v>1259</v>
      </c>
      <c r="BO639" t="s">
        <v>1265</v>
      </c>
    </row>
    <row r="640" spans="1:67" x14ac:dyDescent="0.25">
      <c r="A640" t="s">
        <v>1248</v>
      </c>
      <c r="B640">
        <v>120006</v>
      </c>
      <c r="C640">
        <v>405</v>
      </c>
      <c r="D640">
        <v>16406</v>
      </c>
      <c r="E640">
        <v>1117</v>
      </c>
      <c r="F640">
        <v>0</v>
      </c>
      <c r="G640" t="s">
        <v>1265</v>
      </c>
      <c r="H640">
        <v>1</v>
      </c>
      <c r="I640" t="s">
        <v>1265</v>
      </c>
      <c r="J640" t="s">
        <v>1265</v>
      </c>
      <c r="K640" t="s">
        <v>3191</v>
      </c>
      <c r="L640" t="s">
        <v>3176</v>
      </c>
      <c r="M640" t="s">
        <v>3190</v>
      </c>
      <c r="N640" t="s">
        <v>3174</v>
      </c>
      <c r="O640">
        <v>166</v>
      </c>
      <c r="P640" t="s">
        <v>4209</v>
      </c>
      <c r="R640">
        <v>840</v>
      </c>
      <c r="S640">
        <v>0</v>
      </c>
      <c r="T640">
        <v>112</v>
      </c>
      <c r="U640">
        <v>0</v>
      </c>
      <c r="V640">
        <v>560</v>
      </c>
      <c r="W640">
        <v>560</v>
      </c>
      <c r="X640">
        <v>112</v>
      </c>
      <c r="Y640">
        <v>0</v>
      </c>
      <c r="Z640">
        <v>0</v>
      </c>
      <c r="AA640">
        <v>0</v>
      </c>
      <c r="AE640" s="30">
        <v>46336.333333333336</v>
      </c>
      <c r="AF640" s="30">
        <v>46353.708333333336</v>
      </c>
      <c r="AH640" s="30">
        <v>46189.333333333336</v>
      </c>
      <c r="AI640" s="30">
        <v>46206.708333333336</v>
      </c>
      <c r="AJ640" s="30">
        <v>46189.333333333336</v>
      </c>
      <c r="AK640" s="30">
        <v>46206.708333333336</v>
      </c>
      <c r="AL640" s="30">
        <v>46189.333333333336</v>
      </c>
      <c r="AM640" s="30">
        <v>46206.708333333336</v>
      </c>
      <c r="AN640" s="30">
        <v>46336.333333333336</v>
      </c>
      <c r="AO640" s="30">
        <v>46353.708333333336</v>
      </c>
      <c r="AQ640" t="s">
        <v>3171</v>
      </c>
      <c r="AV640" t="s">
        <v>4208</v>
      </c>
      <c r="AZ640" t="s">
        <v>1265</v>
      </c>
      <c r="BA640">
        <v>0</v>
      </c>
      <c r="BB640">
        <v>0</v>
      </c>
      <c r="BJ640" s="30">
        <v>45953.652083333334</v>
      </c>
      <c r="BK640" s="30">
        <v>46093.730555555558</v>
      </c>
      <c r="BL640" t="s">
        <v>2716</v>
      </c>
      <c r="BM640" t="s">
        <v>1259</v>
      </c>
      <c r="BO640" t="s">
        <v>1265</v>
      </c>
    </row>
    <row r="641" spans="1:67" x14ac:dyDescent="0.25">
      <c r="A641" t="s">
        <v>1248</v>
      </c>
      <c r="B641">
        <v>120007</v>
      </c>
      <c r="C641">
        <v>405</v>
      </c>
      <c r="D641">
        <v>16406</v>
      </c>
      <c r="E641">
        <v>1117</v>
      </c>
      <c r="F641">
        <v>0</v>
      </c>
      <c r="G641" t="s">
        <v>1265</v>
      </c>
      <c r="H641">
        <v>1</v>
      </c>
      <c r="I641" t="s">
        <v>1265</v>
      </c>
      <c r="J641" t="s">
        <v>1265</v>
      </c>
      <c r="K641" t="s">
        <v>3191</v>
      </c>
      <c r="L641" t="s">
        <v>3176</v>
      </c>
      <c r="M641" t="s">
        <v>3190</v>
      </c>
      <c r="N641" t="s">
        <v>3174</v>
      </c>
      <c r="O641">
        <v>167</v>
      </c>
      <c r="P641" t="s">
        <v>4207</v>
      </c>
      <c r="R641">
        <v>840</v>
      </c>
      <c r="S641">
        <v>0</v>
      </c>
      <c r="T641">
        <v>112</v>
      </c>
      <c r="U641">
        <v>0</v>
      </c>
      <c r="V641">
        <v>560</v>
      </c>
      <c r="W641">
        <v>560</v>
      </c>
      <c r="X641">
        <v>112</v>
      </c>
      <c r="Y641">
        <v>0</v>
      </c>
      <c r="Z641">
        <v>0</v>
      </c>
      <c r="AA641">
        <v>0</v>
      </c>
      <c r="AE641" s="30">
        <v>46356.333333333336</v>
      </c>
      <c r="AF641" s="30">
        <v>46374.708333333336</v>
      </c>
      <c r="AH641" s="30">
        <v>46209.333333333336</v>
      </c>
      <c r="AI641" s="30">
        <v>46226.708333333336</v>
      </c>
      <c r="AJ641" s="30">
        <v>46209.333333333336</v>
      </c>
      <c r="AK641" s="30">
        <v>46226.708333333336</v>
      </c>
      <c r="AL641" s="30">
        <v>46209.333333333336</v>
      </c>
      <c r="AM641" s="30">
        <v>46226.708333333336</v>
      </c>
      <c r="AN641" s="30">
        <v>46356.333333333336</v>
      </c>
      <c r="AO641" s="30">
        <v>46374.708333333336</v>
      </c>
      <c r="AQ641" t="s">
        <v>3171</v>
      </c>
      <c r="AV641" t="s">
        <v>4206</v>
      </c>
      <c r="AZ641" t="s">
        <v>1265</v>
      </c>
      <c r="BA641">
        <v>0</v>
      </c>
      <c r="BB641">
        <v>0</v>
      </c>
      <c r="BJ641" s="30">
        <v>45953.652083333334</v>
      </c>
      <c r="BK641" s="30">
        <v>46093.652083333334</v>
      </c>
      <c r="BL641" t="s">
        <v>2716</v>
      </c>
      <c r="BM641" t="s">
        <v>1259</v>
      </c>
      <c r="BO641" t="s">
        <v>1265</v>
      </c>
    </row>
    <row r="642" spans="1:67" x14ac:dyDescent="0.25">
      <c r="A642" t="s">
        <v>1248</v>
      </c>
      <c r="B642">
        <v>120008</v>
      </c>
      <c r="C642">
        <v>405</v>
      </c>
      <c r="D642">
        <v>16406</v>
      </c>
      <c r="E642">
        <v>1117</v>
      </c>
      <c r="F642">
        <v>0</v>
      </c>
      <c r="G642" t="s">
        <v>1265</v>
      </c>
      <c r="H642">
        <v>1</v>
      </c>
      <c r="I642" t="s">
        <v>1265</v>
      </c>
      <c r="J642" t="s">
        <v>1265</v>
      </c>
      <c r="K642" t="s">
        <v>3191</v>
      </c>
      <c r="L642" t="s">
        <v>3176</v>
      </c>
      <c r="M642" t="s">
        <v>3190</v>
      </c>
      <c r="N642" t="s">
        <v>3174</v>
      </c>
      <c r="O642">
        <v>168</v>
      </c>
      <c r="P642" t="s">
        <v>4205</v>
      </c>
      <c r="R642">
        <v>840</v>
      </c>
      <c r="S642">
        <v>0</v>
      </c>
      <c r="T642">
        <v>112</v>
      </c>
      <c r="U642">
        <v>0</v>
      </c>
      <c r="V642">
        <v>560</v>
      </c>
      <c r="W642">
        <v>560</v>
      </c>
      <c r="X642">
        <v>112</v>
      </c>
      <c r="Y642">
        <v>0</v>
      </c>
      <c r="Z642">
        <v>0</v>
      </c>
      <c r="AA642">
        <v>0</v>
      </c>
      <c r="AE642" s="30">
        <v>46377.333333333336</v>
      </c>
      <c r="AF642" s="30">
        <v>46399.708333333336</v>
      </c>
      <c r="AH642" s="30">
        <v>46227.333333333336</v>
      </c>
      <c r="AI642" s="30">
        <v>46246.708333333336</v>
      </c>
      <c r="AJ642" s="30">
        <v>46227.333333333336</v>
      </c>
      <c r="AK642" s="30">
        <v>46246.708333333336</v>
      </c>
      <c r="AL642" s="30">
        <v>46227.333333333336</v>
      </c>
      <c r="AM642" s="30">
        <v>46246.708333333336</v>
      </c>
      <c r="AN642" s="30">
        <v>46377.333333333336</v>
      </c>
      <c r="AO642" s="30">
        <v>46399.708333333336</v>
      </c>
      <c r="AQ642" t="s">
        <v>3171</v>
      </c>
      <c r="AV642" t="s">
        <v>4204</v>
      </c>
      <c r="AZ642" t="s">
        <v>1265</v>
      </c>
      <c r="BA642">
        <v>0</v>
      </c>
      <c r="BB642">
        <v>0</v>
      </c>
      <c r="BJ642" s="30">
        <v>45953.652083333334</v>
      </c>
      <c r="BK642" s="30">
        <v>46093.652083333334</v>
      </c>
      <c r="BL642" t="s">
        <v>2716</v>
      </c>
      <c r="BM642" t="s">
        <v>1259</v>
      </c>
      <c r="BO642" t="s">
        <v>1265</v>
      </c>
    </row>
    <row r="643" spans="1:67" x14ac:dyDescent="0.25">
      <c r="A643" t="s">
        <v>1248</v>
      </c>
      <c r="B643">
        <v>120009</v>
      </c>
      <c r="C643">
        <v>405</v>
      </c>
      <c r="D643">
        <v>32360</v>
      </c>
      <c r="E643">
        <v>1117</v>
      </c>
      <c r="F643">
        <v>0</v>
      </c>
      <c r="G643" t="s">
        <v>1265</v>
      </c>
      <c r="H643">
        <v>1</v>
      </c>
      <c r="I643" t="s">
        <v>1265</v>
      </c>
      <c r="J643" t="s">
        <v>1265</v>
      </c>
      <c r="K643" t="s">
        <v>3191</v>
      </c>
      <c r="L643" t="s">
        <v>3176</v>
      </c>
      <c r="M643" t="s">
        <v>3190</v>
      </c>
      <c r="N643" t="s">
        <v>3174</v>
      </c>
      <c r="O643">
        <v>169</v>
      </c>
      <c r="P643" t="s">
        <v>4203</v>
      </c>
      <c r="R643">
        <v>840</v>
      </c>
      <c r="S643">
        <v>0</v>
      </c>
      <c r="T643">
        <v>320</v>
      </c>
      <c r="U643">
        <v>0</v>
      </c>
      <c r="V643">
        <v>2200</v>
      </c>
      <c r="W643">
        <v>2200</v>
      </c>
      <c r="X643">
        <v>320</v>
      </c>
      <c r="Y643">
        <v>0</v>
      </c>
      <c r="Z643">
        <v>0</v>
      </c>
      <c r="AA643">
        <v>0</v>
      </c>
      <c r="AE643" s="30">
        <v>46374.333333333336</v>
      </c>
      <c r="AF643" s="30">
        <v>46434.708333333336</v>
      </c>
      <c r="AH643" s="30">
        <v>46226.333333333336</v>
      </c>
      <c r="AI643" s="30">
        <v>46281.708333333336</v>
      </c>
      <c r="AJ643" s="30">
        <v>46226.333333333336</v>
      </c>
      <c r="AK643" s="30">
        <v>46281.708333333336</v>
      </c>
      <c r="AL643" s="30">
        <v>46226.333333333336</v>
      </c>
      <c r="AM643" s="30">
        <v>46281.708333333336</v>
      </c>
      <c r="AN643" s="30">
        <v>46374.333333333336</v>
      </c>
      <c r="AO643" s="30">
        <v>46434.708333333336</v>
      </c>
      <c r="AQ643" t="s">
        <v>3171</v>
      </c>
      <c r="AV643" t="s">
        <v>4202</v>
      </c>
      <c r="AZ643" t="s">
        <v>1265</v>
      </c>
      <c r="BA643">
        <v>0</v>
      </c>
      <c r="BB643">
        <v>0</v>
      </c>
      <c r="BJ643" s="30">
        <v>45953.652083333334</v>
      </c>
      <c r="BK643" s="30">
        <v>46093.652083333334</v>
      </c>
      <c r="BL643" t="s">
        <v>2716</v>
      </c>
      <c r="BM643" t="s">
        <v>1259</v>
      </c>
      <c r="BO643" t="s">
        <v>1265</v>
      </c>
    </row>
    <row r="644" spans="1:67" x14ac:dyDescent="0.25">
      <c r="A644" t="s">
        <v>1248</v>
      </c>
      <c r="B644">
        <v>120010</v>
      </c>
      <c r="C644">
        <v>405</v>
      </c>
      <c r="D644">
        <v>32365</v>
      </c>
      <c r="E644">
        <v>1117</v>
      </c>
      <c r="F644">
        <v>0</v>
      </c>
      <c r="G644" t="s">
        <v>1265</v>
      </c>
      <c r="H644">
        <v>1</v>
      </c>
      <c r="I644" t="s">
        <v>1265</v>
      </c>
      <c r="J644" t="s">
        <v>1265</v>
      </c>
      <c r="K644" t="s">
        <v>3191</v>
      </c>
      <c r="L644" t="s">
        <v>3176</v>
      </c>
      <c r="M644" t="s">
        <v>3190</v>
      </c>
      <c r="N644" t="s">
        <v>3174</v>
      </c>
      <c r="O644">
        <v>170</v>
      </c>
      <c r="P644" t="s">
        <v>4201</v>
      </c>
      <c r="R644">
        <v>840</v>
      </c>
      <c r="S644">
        <v>0</v>
      </c>
      <c r="T644">
        <v>320</v>
      </c>
      <c r="U644">
        <v>0</v>
      </c>
      <c r="V644">
        <v>2200</v>
      </c>
      <c r="W644">
        <v>2200</v>
      </c>
      <c r="X644">
        <v>320</v>
      </c>
      <c r="Y644">
        <v>0</v>
      </c>
      <c r="Z644">
        <v>0</v>
      </c>
      <c r="AA644">
        <v>0</v>
      </c>
      <c r="AE644" s="30">
        <v>46374.333333333336</v>
      </c>
      <c r="AF644" s="30">
        <v>46434.708333333336</v>
      </c>
      <c r="AH644" s="30">
        <v>46226.333333333336</v>
      </c>
      <c r="AI644" s="30">
        <v>46281.708333333336</v>
      </c>
      <c r="AJ644" s="30">
        <v>46226.333333333336</v>
      </c>
      <c r="AK644" s="30">
        <v>46281.708333333336</v>
      </c>
      <c r="AL644" s="30">
        <v>46226.333333333336</v>
      </c>
      <c r="AM644" s="30">
        <v>46281.708333333336</v>
      </c>
      <c r="AN644" s="30">
        <v>46374.333333333336</v>
      </c>
      <c r="AO644" s="30">
        <v>46434.708333333336</v>
      </c>
      <c r="AQ644" t="s">
        <v>3171</v>
      </c>
      <c r="AV644" t="s">
        <v>4200</v>
      </c>
      <c r="AZ644" t="s">
        <v>1265</v>
      </c>
      <c r="BA644">
        <v>0</v>
      </c>
      <c r="BB644">
        <v>0</v>
      </c>
      <c r="BJ644" s="30">
        <v>45953.652083333334</v>
      </c>
      <c r="BK644" s="30">
        <v>46093.652083333334</v>
      </c>
      <c r="BL644" t="s">
        <v>2716</v>
      </c>
      <c r="BM644" t="s">
        <v>1259</v>
      </c>
      <c r="BO644" t="s">
        <v>1265</v>
      </c>
    </row>
    <row r="645" spans="1:67" x14ac:dyDescent="0.25">
      <c r="A645" t="s">
        <v>1248</v>
      </c>
      <c r="B645">
        <v>120011</v>
      </c>
      <c r="C645">
        <v>405</v>
      </c>
      <c r="D645">
        <v>32361</v>
      </c>
      <c r="E645">
        <v>1117</v>
      </c>
      <c r="F645">
        <v>0</v>
      </c>
      <c r="G645" t="s">
        <v>1265</v>
      </c>
      <c r="H645">
        <v>1</v>
      </c>
      <c r="I645" t="s">
        <v>1265</v>
      </c>
      <c r="J645" t="s">
        <v>1265</v>
      </c>
      <c r="K645" t="s">
        <v>3191</v>
      </c>
      <c r="L645" t="s">
        <v>3176</v>
      </c>
      <c r="M645" t="s">
        <v>3190</v>
      </c>
      <c r="N645" t="s">
        <v>3174</v>
      </c>
      <c r="O645">
        <v>171</v>
      </c>
      <c r="P645" t="s">
        <v>4199</v>
      </c>
      <c r="R645">
        <v>840</v>
      </c>
      <c r="S645">
        <v>0</v>
      </c>
      <c r="T645">
        <v>432</v>
      </c>
      <c r="U645">
        <v>0</v>
      </c>
      <c r="V645">
        <v>3888</v>
      </c>
      <c r="W645">
        <v>3888</v>
      </c>
      <c r="X645">
        <v>432</v>
      </c>
      <c r="Y645">
        <v>0</v>
      </c>
      <c r="Z645">
        <v>0</v>
      </c>
      <c r="AA645">
        <v>0</v>
      </c>
      <c r="AE645" s="30">
        <v>46392.333333333336</v>
      </c>
      <c r="AF645" s="30">
        <v>46468.708333333336</v>
      </c>
      <c r="AH645" s="30">
        <v>46240.333333333336</v>
      </c>
      <c r="AI645" s="30">
        <v>46315.708333333336</v>
      </c>
      <c r="AJ645" s="30">
        <v>46240.333333333336</v>
      </c>
      <c r="AK645" s="30">
        <v>46315.708333333336</v>
      </c>
      <c r="AL645" s="30">
        <v>46240.333333333336</v>
      </c>
      <c r="AM645" s="30">
        <v>46315.708333333336</v>
      </c>
      <c r="AN645" s="30">
        <v>46392.333333333336</v>
      </c>
      <c r="AO645" s="30">
        <v>46468.708333333336</v>
      </c>
      <c r="AQ645" t="s">
        <v>3171</v>
      </c>
      <c r="AV645" t="s">
        <v>4198</v>
      </c>
      <c r="AZ645" t="s">
        <v>1265</v>
      </c>
      <c r="BA645">
        <v>0</v>
      </c>
      <c r="BB645">
        <v>0</v>
      </c>
      <c r="BJ645" s="30">
        <v>45953.652083333334</v>
      </c>
      <c r="BK645" s="30">
        <v>46093.652083333334</v>
      </c>
      <c r="BL645" t="s">
        <v>2716</v>
      </c>
      <c r="BM645" t="s">
        <v>1259</v>
      </c>
      <c r="BO645" t="s">
        <v>1265</v>
      </c>
    </row>
    <row r="646" spans="1:67" x14ac:dyDescent="0.25">
      <c r="A646" t="s">
        <v>1248</v>
      </c>
      <c r="B646">
        <v>120012</v>
      </c>
      <c r="C646">
        <v>405</v>
      </c>
      <c r="D646">
        <v>32359</v>
      </c>
      <c r="E646">
        <v>1117</v>
      </c>
      <c r="F646">
        <v>0</v>
      </c>
      <c r="G646" t="s">
        <v>1265</v>
      </c>
      <c r="H646">
        <v>1</v>
      </c>
      <c r="I646" t="s">
        <v>1265</v>
      </c>
      <c r="J646" t="s">
        <v>1265</v>
      </c>
      <c r="K646" t="s">
        <v>3191</v>
      </c>
      <c r="L646" t="s">
        <v>3176</v>
      </c>
      <c r="M646" t="s">
        <v>3190</v>
      </c>
      <c r="N646" t="s">
        <v>3174</v>
      </c>
      <c r="O646">
        <v>172</v>
      </c>
      <c r="P646" t="s">
        <v>4197</v>
      </c>
      <c r="R646">
        <v>840</v>
      </c>
      <c r="S646">
        <v>0</v>
      </c>
      <c r="T646">
        <v>240</v>
      </c>
      <c r="U646">
        <v>0</v>
      </c>
      <c r="V646">
        <v>1696</v>
      </c>
      <c r="W646">
        <v>1696</v>
      </c>
      <c r="X646">
        <v>240</v>
      </c>
      <c r="Y646">
        <v>0</v>
      </c>
      <c r="Z646">
        <v>0</v>
      </c>
      <c r="AA646">
        <v>0</v>
      </c>
      <c r="AE646" s="30">
        <v>46400.333333333336</v>
      </c>
      <c r="AF646" s="30">
        <v>46441.708333333336</v>
      </c>
      <c r="AH646" s="30">
        <v>46247.333333333336</v>
      </c>
      <c r="AI646" s="30">
        <v>46288.708333333336</v>
      </c>
      <c r="AJ646" s="30">
        <v>46247.333333333336</v>
      </c>
      <c r="AK646" s="30">
        <v>46288.708333333336</v>
      </c>
      <c r="AL646" s="30">
        <v>46247.333333333336</v>
      </c>
      <c r="AM646" s="30">
        <v>46288.708333333336</v>
      </c>
      <c r="AN646" s="30">
        <v>46400.333333333336</v>
      </c>
      <c r="AO646" s="30">
        <v>46441.708333333336</v>
      </c>
      <c r="AQ646" t="s">
        <v>3171</v>
      </c>
      <c r="AV646" t="s">
        <v>4196</v>
      </c>
      <c r="AZ646" t="s">
        <v>1265</v>
      </c>
      <c r="BA646">
        <v>0</v>
      </c>
      <c r="BB646">
        <v>0</v>
      </c>
      <c r="BJ646" s="30">
        <v>45953.652083333334</v>
      </c>
      <c r="BK646" s="30">
        <v>46093.652083333334</v>
      </c>
      <c r="BL646" t="s">
        <v>2716</v>
      </c>
      <c r="BM646" t="s">
        <v>1259</v>
      </c>
      <c r="BO646" t="s">
        <v>1265</v>
      </c>
    </row>
    <row r="647" spans="1:67" x14ac:dyDescent="0.25">
      <c r="A647" t="s">
        <v>1248</v>
      </c>
      <c r="B647">
        <v>120013</v>
      </c>
      <c r="C647">
        <v>405</v>
      </c>
      <c r="D647">
        <v>32362</v>
      </c>
      <c r="E647">
        <v>1117</v>
      </c>
      <c r="F647">
        <v>0</v>
      </c>
      <c r="G647" t="s">
        <v>1265</v>
      </c>
      <c r="H647">
        <v>1</v>
      </c>
      <c r="I647" t="s">
        <v>1265</v>
      </c>
      <c r="J647" t="s">
        <v>1265</v>
      </c>
      <c r="K647" t="s">
        <v>3191</v>
      </c>
      <c r="L647" t="s">
        <v>3176</v>
      </c>
      <c r="M647" t="s">
        <v>3190</v>
      </c>
      <c r="N647" t="s">
        <v>3174</v>
      </c>
      <c r="O647">
        <v>173</v>
      </c>
      <c r="P647" t="s">
        <v>4195</v>
      </c>
      <c r="R647">
        <v>840</v>
      </c>
      <c r="S647">
        <v>840</v>
      </c>
      <c r="T647">
        <v>256</v>
      </c>
      <c r="U647">
        <v>0</v>
      </c>
      <c r="V647">
        <v>1792</v>
      </c>
      <c r="W647">
        <v>1792</v>
      </c>
      <c r="X647">
        <v>256</v>
      </c>
      <c r="Y647">
        <v>0</v>
      </c>
      <c r="Z647">
        <v>0</v>
      </c>
      <c r="AA647">
        <v>0</v>
      </c>
      <c r="AE647" s="30">
        <v>46421.333333333336</v>
      </c>
      <c r="AF647" s="30">
        <v>46464.708333333336</v>
      </c>
      <c r="AH647" s="30">
        <v>46268.333333333336</v>
      </c>
      <c r="AI647" s="30">
        <v>46311.708333333336</v>
      </c>
      <c r="AJ647" s="30">
        <v>46268.333333333336</v>
      </c>
      <c r="AK647" s="30">
        <v>46311.708333333336</v>
      </c>
      <c r="AL647" s="30">
        <v>46268.333333333336</v>
      </c>
      <c r="AM647" s="30">
        <v>46311.708333333336</v>
      </c>
      <c r="AN647" s="30">
        <v>46421.333333333336</v>
      </c>
      <c r="AO647" s="30">
        <v>46464.708333333336</v>
      </c>
      <c r="AQ647" t="s">
        <v>3171</v>
      </c>
      <c r="AV647" t="s">
        <v>4194</v>
      </c>
      <c r="AZ647" t="s">
        <v>1265</v>
      </c>
      <c r="BA647">
        <v>0</v>
      </c>
      <c r="BB647">
        <v>0</v>
      </c>
      <c r="BJ647" s="30">
        <v>45953.652083333334</v>
      </c>
      <c r="BK647" s="30">
        <v>46093.652083333334</v>
      </c>
      <c r="BL647" t="s">
        <v>2716</v>
      </c>
      <c r="BM647" t="s">
        <v>1259</v>
      </c>
      <c r="BO647" t="s">
        <v>1265</v>
      </c>
    </row>
    <row r="648" spans="1:67" x14ac:dyDescent="0.25">
      <c r="A648" t="s">
        <v>1248</v>
      </c>
      <c r="B648">
        <v>120014</v>
      </c>
      <c r="C648">
        <v>405</v>
      </c>
      <c r="D648">
        <v>16400</v>
      </c>
      <c r="E648">
        <v>1117</v>
      </c>
      <c r="F648">
        <v>0</v>
      </c>
      <c r="G648" t="s">
        <v>1265</v>
      </c>
      <c r="H648">
        <v>1</v>
      </c>
      <c r="I648" t="s">
        <v>1265</v>
      </c>
      <c r="J648" t="s">
        <v>1265</v>
      </c>
      <c r="K648" t="s">
        <v>3191</v>
      </c>
      <c r="L648" t="s">
        <v>3176</v>
      </c>
      <c r="M648" t="s">
        <v>3190</v>
      </c>
      <c r="N648" t="s">
        <v>3174</v>
      </c>
      <c r="O648">
        <v>61</v>
      </c>
      <c r="P648" t="s">
        <v>4183</v>
      </c>
      <c r="R648">
        <v>3488</v>
      </c>
      <c r="S648">
        <v>0</v>
      </c>
      <c r="T648">
        <v>720</v>
      </c>
      <c r="U648">
        <v>0</v>
      </c>
      <c r="V648">
        <v>0</v>
      </c>
      <c r="W648">
        <v>0</v>
      </c>
      <c r="X648">
        <v>720</v>
      </c>
      <c r="Y648">
        <v>0</v>
      </c>
      <c r="Z648">
        <v>0</v>
      </c>
      <c r="AA648">
        <v>0</v>
      </c>
      <c r="AE648" s="30">
        <v>46331.333333333336</v>
      </c>
      <c r="AF648" s="30">
        <v>46462.708333333336</v>
      </c>
      <c r="AH648" s="30">
        <v>45714.333333333336</v>
      </c>
      <c r="AI648" s="30">
        <v>45839.708333333336</v>
      </c>
      <c r="AJ648" s="30">
        <v>45714.333333333336</v>
      </c>
      <c r="AK648" s="30">
        <v>45839.708333333336</v>
      </c>
      <c r="AL648" s="30">
        <v>45714.333333333336</v>
      </c>
      <c r="AM648" s="30">
        <v>45839.708333333336</v>
      </c>
      <c r="AN648" s="30">
        <v>46331.333333333336</v>
      </c>
      <c r="AO648" s="30">
        <v>46462.708333333336</v>
      </c>
      <c r="AQ648" t="s">
        <v>3171</v>
      </c>
      <c r="AV648" t="s">
        <v>4193</v>
      </c>
      <c r="AZ648" t="s">
        <v>1265</v>
      </c>
      <c r="BA648">
        <v>0</v>
      </c>
      <c r="BB648">
        <v>0</v>
      </c>
      <c r="BJ648" s="30">
        <v>45953.652083333334</v>
      </c>
      <c r="BK648" s="30">
        <v>46093.584722222222</v>
      </c>
      <c r="BL648" t="s">
        <v>2716</v>
      </c>
      <c r="BM648" t="s">
        <v>1259</v>
      </c>
      <c r="BO648" t="s">
        <v>1265</v>
      </c>
    </row>
    <row r="649" spans="1:67" x14ac:dyDescent="0.25">
      <c r="A649" t="s">
        <v>1248</v>
      </c>
      <c r="B649">
        <v>120015</v>
      </c>
      <c r="C649">
        <v>405</v>
      </c>
      <c r="D649">
        <v>16400</v>
      </c>
      <c r="E649">
        <v>1117</v>
      </c>
      <c r="F649">
        <v>0</v>
      </c>
      <c r="G649" t="s">
        <v>1265</v>
      </c>
      <c r="H649">
        <v>1</v>
      </c>
      <c r="I649" t="s">
        <v>1265</v>
      </c>
      <c r="J649" t="s">
        <v>1265</v>
      </c>
      <c r="K649" t="s">
        <v>3191</v>
      </c>
      <c r="L649" t="s">
        <v>3176</v>
      </c>
      <c r="M649" t="s">
        <v>3190</v>
      </c>
      <c r="N649" t="s">
        <v>3174</v>
      </c>
      <c r="O649">
        <v>62</v>
      </c>
      <c r="P649" t="s">
        <v>4181</v>
      </c>
      <c r="R649">
        <v>3488</v>
      </c>
      <c r="S649">
        <v>0</v>
      </c>
      <c r="T649">
        <v>720</v>
      </c>
      <c r="U649">
        <v>0</v>
      </c>
      <c r="V649">
        <v>0</v>
      </c>
      <c r="W649">
        <v>0</v>
      </c>
      <c r="X649">
        <v>720</v>
      </c>
      <c r="Y649">
        <v>0</v>
      </c>
      <c r="Z649">
        <v>0</v>
      </c>
      <c r="AA649">
        <v>0</v>
      </c>
      <c r="AE649" s="30">
        <v>46359.333333333336</v>
      </c>
      <c r="AF649" s="30">
        <v>46491.708333333336</v>
      </c>
      <c r="AH649" s="30">
        <v>45742.333333333336</v>
      </c>
      <c r="AI649" s="30">
        <v>45867.708333333336</v>
      </c>
      <c r="AJ649" s="30">
        <v>45742.333333333336</v>
      </c>
      <c r="AK649" s="30">
        <v>45867.708333333336</v>
      </c>
      <c r="AL649" s="30">
        <v>45742.333333333336</v>
      </c>
      <c r="AM649" s="30">
        <v>45867.708333333336</v>
      </c>
      <c r="AN649" s="30">
        <v>46359.333333333336</v>
      </c>
      <c r="AO649" s="30">
        <v>46491.708333333336</v>
      </c>
      <c r="AQ649" t="s">
        <v>3171</v>
      </c>
      <c r="AV649" t="s">
        <v>4192</v>
      </c>
      <c r="AZ649" t="s">
        <v>1265</v>
      </c>
      <c r="BA649">
        <v>0</v>
      </c>
      <c r="BB649">
        <v>0</v>
      </c>
      <c r="BJ649" s="30">
        <v>45953.652083333334</v>
      </c>
      <c r="BK649" s="30">
        <v>46093.584722222222</v>
      </c>
      <c r="BL649" t="s">
        <v>2716</v>
      </c>
      <c r="BM649" t="s">
        <v>1259</v>
      </c>
      <c r="BO649" t="s">
        <v>1265</v>
      </c>
    </row>
    <row r="650" spans="1:67" x14ac:dyDescent="0.25">
      <c r="A650" t="s">
        <v>1248</v>
      </c>
      <c r="B650">
        <v>120016</v>
      </c>
      <c r="C650">
        <v>405</v>
      </c>
      <c r="D650">
        <v>16400</v>
      </c>
      <c r="E650">
        <v>1117</v>
      </c>
      <c r="F650">
        <v>0</v>
      </c>
      <c r="G650" t="s">
        <v>1265</v>
      </c>
      <c r="H650">
        <v>1</v>
      </c>
      <c r="I650" t="s">
        <v>1265</v>
      </c>
      <c r="J650" t="s">
        <v>1265</v>
      </c>
      <c r="K650" t="s">
        <v>3191</v>
      </c>
      <c r="L650" t="s">
        <v>3176</v>
      </c>
      <c r="M650" t="s">
        <v>3190</v>
      </c>
      <c r="N650" t="s">
        <v>3174</v>
      </c>
      <c r="O650">
        <v>63</v>
      </c>
      <c r="P650" t="s">
        <v>4179</v>
      </c>
      <c r="R650">
        <v>3488</v>
      </c>
      <c r="S650">
        <v>3488</v>
      </c>
      <c r="T650">
        <v>720</v>
      </c>
      <c r="U650">
        <v>0</v>
      </c>
      <c r="V650">
        <v>0</v>
      </c>
      <c r="W650">
        <v>0</v>
      </c>
      <c r="X650">
        <v>720</v>
      </c>
      <c r="Y650">
        <v>0</v>
      </c>
      <c r="Z650">
        <v>0</v>
      </c>
      <c r="AA650">
        <v>0</v>
      </c>
      <c r="AE650" s="30">
        <v>46392.333333333336</v>
      </c>
      <c r="AF650" s="30">
        <v>46519.708333333336</v>
      </c>
      <c r="AH650" s="30">
        <v>45770.333333333336</v>
      </c>
      <c r="AI650" s="30">
        <v>45895.708333333336</v>
      </c>
      <c r="AJ650" s="30">
        <v>45770.333333333336</v>
      </c>
      <c r="AK650" s="30">
        <v>45895.708333333336</v>
      </c>
      <c r="AL650" s="30">
        <v>45770.333333333336</v>
      </c>
      <c r="AM650" s="30">
        <v>45895.708333333336</v>
      </c>
      <c r="AN650" s="30">
        <v>46392.333333333336</v>
      </c>
      <c r="AO650" s="30">
        <v>46519.708333333336</v>
      </c>
      <c r="AQ650" t="s">
        <v>3171</v>
      </c>
      <c r="AV650" t="s">
        <v>4191</v>
      </c>
      <c r="AZ650" t="s">
        <v>1265</v>
      </c>
      <c r="BA650">
        <v>0</v>
      </c>
      <c r="BB650">
        <v>0</v>
      </c>
      <c r="BJ650" s="30">
        <v>45953.652083333334</v>
      </c>
      <c r="BK650" s="30">
        <v>46093.595138888886</v>
      </c>
      <c r="BL650" t="s">
        <v>2716</v>
      </c>
      <c r="BM650" t="s">
        <v>1259</v>
      </c>
      <c r="BO650" t="s">
        <v>1265</v>
      </c>
    </row>
    <row r="651" spans="1:67" x14ac:dyDescent="0.25">
      <c r="A651" t="s">
        <v>1248</v>
      </c>
      <c r="B651">
        <v>120017</v>
      </c>
      <c r="C651">
        <v>405</v>
      </c>
      <c r="D651">
        <v>16391</v>
      </c>
      <c r="E651">
        <v>1117</v>
      </c>
      <c r="F651">
        <v>0</v>
      </c>
      <c r="G651" t="s">
        <v>1265</v>
      </c>
      <c r="H651">
        <v>1</v>
      </c>
      <c r="I651" t="s">
        <v>1265</v>
      </c>
      <c r="J651" t="s">
        <v>1265</v>
      </c>
      <c r="K651" t="s">
        <v>3191</v>
      </c>
      <c r="L651" t="s">
        <v>3176</v>
      </c>
      <c r="M651" t="s">
        <v>3190</v>
      </c>
      <c r="N651" t="s">
        <v>3174</v>
      </c>
      <c r="O651">
        <v>38</v>
      </c>
      <c r="P651" t="s">
        <v>4190</v>
      </c>
      <c r="R651">
        <v>0</v>
      </c>
      <c r="S651">
        <v>0</v>
      </c>
      <c r="T651">
        <v>320</v>
      </c>
      <c r="U651">
        <v>0</v>
      </c>
      <c r="V651">
        <v>3456</v>
      </c>
      <c r="W651">
        <v>3456</v>
      </c>
      <c r="X651">
        <v>320</v>
      </c>
      <c r="Y651">
        <v>0</v>
      </c>
      <c r="Z651">
        <v>0</v>
      </c>
      <c r="AA651">
        <v>0</v>
      </c>
      <c r="AE651" s="30">
        <v>45687.333333333336</v>
      </c>
      <c r="AF651" s="30">
        <v>45742.708333333336</v>
      </c>
      <c r="AH651" s="30">
        <v>45687.333333333336</v>
      </c>
      <c r="AI651" s="30">
        <v>45742.708333333336</v>
      </c>
      <c r="AJ651" s="30">
        <v>45687.333333333336</v>
      </c>
      <c r="AK651" s="30">
        <v>45742.708333333336</v>
      </c>
      <c r="AL651" s="30">
        <v>45687.333333333336</v>
      </c>
      <c r="AM651" s="30">
        <v>45742.708333333336</v>
      </c>
      <c r="AN651" s="30">
        <v>45687.333333333336</v>
      </c>
      <c r="AO651" s="30">
        <v>45742.708333333336</v>
      </c>
      <c r="AQ651" t="s">
        <v>3171</v>
      </c>
      <c r="AV651" t="e">
        <f>+HeiCoLIzUmUnDQqWfGw5w</f>
        <v>#NAME?</v>
      </c>
      <c r="AZ651" t="s">
        <v>1266</v>
      </c>
      <c r="BA651">
        <v>0</v>
      </c>
      <c r="BB651">
        <v>0</v>
      </c>
      <c r="BJ651" s="30">
        <v>45953.652083333334</v>
      </c>
      <c r="BK651" s="30">
        <v>46093.595138888886</v>
      </c>
      <c r="BL651" t="s">
        <v>2716</v>
      </c>
      <c r="BM651" t="s">
        <v>1259</v>
      </c>
      <c r="BO651" t="s">
        <v>1265</v>
      </c>
    </row>
    <row r="652" spans="1:67" x14ac:dyDescent="0.25">
      <c r="A652" t="s">
        <v>1248</v>
      </c>
      <c r="B652">
        <v>120018</v>
      </c>
      <c r="C652">
        <v>405</v>
      </c>
      <c r="D652">
        <v>16368</v>
      </c>
      <c r="E652">
        <v>1117</v>
      </c>
      <c r="F652">
        <v>0</v>
      </c>
      <c r="G652" t="s">
        <v>1265</v>
      </c>
      <c r="H652">
        <v>0</v>
      </c>
      <c r="I652" t="s">
        <v>1265</v>
      </c>
      <c r="J652" t="s">
        <v>1265</v>
      </c>
      <c r="K652" t="s">
        <v>3191</v>
      </c>
      <c r="L652" t="s">
        <v>4189</v>
      </c>
      <c r="M652" t="s">
        <v>4188</v>
      </c>
      <c r="N652" t="s">
        <v>3174</v>
      </c>
      <c r="O652">
        <v>5</v>
      </c>
      <c r="P652" t="s">
        <v>4187</v>
      </c>
      <c r="R652">
        <v>384</v>
      </c>
      <c r="S652">
        <v>384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E652" s="30">
        <v>45680.333333333336</v>
      </c>
      <c r="AF652" s="30">
        <v>45680.333333333336</v>
      </c>
      <c r="AH652" s="30">
        <v>45614.333333333336</v>
      </c>
      <c r="AI652" s="30">
        <v>45614.333333333336</v>
      </c>
      <c r="AJ652" s="30">
        <v>45614.333333333336</v>
      </c>
      <c r="AK652" s="30">
        <v>45614.333333333336</v>
      </c>
      <c r="AL652" s="30">
        <v>45614.333333333336</v>
      </c>
      <c r="AM652" s="30">
        <v>45614.333333333336</v>
      </c>
      <c r="AN652" s="30">
        <v>45680.333333333336</v>
      </c>
      <c r="AO652" s="30">
        <v>45680.333333333336</v>
      </c>
      <c r="AQ652" t="s">
        <v>3171</v>
      </c>
      <c r="AV652" t="s">
        <v>4186</v>
      </c>
      <c r="AZ652" t="s">
        <v>1265</v>
      </c>
      <c r="BA652">
        <v>0</v>
      </c>
      <c r="BB652">
        <v>0</v>
      </c>
      <c r="BJ652" s="30">
        <v>45953.652083333334</v>
      </c>
      <c r="BK652" s="30">
        <v>46093.595138888886</v>
      </c>
      <c r="BL652" t="s">
        <v>2716</v>
      </c>
      <c r="BM652" t="s">
        <v>1259</v>
      </c>
      <c r="BO652" t="s">
        <v>1265</v>
      </c>
    </row>
    <row r="653" spans="1:67" x14ac:dyDescent="0.25">
      <c r="A653" t="s">
        <v>1248</v>
      </c>
      <c r="B653">
        <v>120019</v>
      </c>
      <c r="C653">
        <v>405</v>
      </c>
      <c r="D653">
        <v>16390</v>
      </c>
      <c r="E653">
        <v>1117</v>
      </c>
      <c r="F653">
        <v>0</v>
      </c>
      <c r="G653" t="s">
        <v>1265</v>
      </c>
      <c r="H653">
        <v>1</v>
      </c>
      <c r="I653" t="s">
        <v>1265</v>
      </c>
      <c r="J653" t="s">
        <v>1265</v>
      </c>
      <c r="K653" t="s">
        <v>3191</v>
      </c>
      <c r="L653" t="s">
        <v>3176</v>
      </c>
      <c r="M653" t="s">
        <v>3190</v>
      </c>
      <c r="N653" t="s">
        <v>3174</v>
      </c>
      <c r="O653">
        <v>67</v>
      </c>
      <c r="P653" t="s">
        <v>4185</v>
      </c>
      <c r="R653">
        <v>264</v>
      </c>
      <c r="S653">
        <v>128</v>
      </c>
      <c r="T653">
        <v>264</v>
      </c>
      <c r="U653">
        <v>0</v>
      </c>
      <c r="V653">
        <v>0</v>
      </c>
      <c r="W653">
        <v>0</v>
      </c>
      <c r="X653">
        <v>264</v>
      </c>
      <c r="Y653">
        <v>0</v>
      </c>
      <c r="Z653">
        <v>0</v>
      </c>
      <c r="AA653">
        <v>0</v>
      </c>
      <c r="AE653" s="30">
        <v>45768.333333333336</v>
      </c>
      <c r="AF653" s="30">
        <v>45812.708333333336</v>
      </c>
      <c r="AH653" s="30">
        <v>45721.333333333336</v>
      </c>
      <c r="AI653" s="30">
        <v>45765.708333333336</v>
      </c>
      <c r="AJ653" s="30">
        <v>45721.333333333336</v>
      </c>
      <c r="AK653" s="30">
        <v>45765.708333333336</v>
      </c>
      <c r="AL653" s="30">
        <v>45721.333333333336</v>
      </c>
      <c r="AM653" s="30">
        <v>45765.708333333336</v>
      </c>
      <c r="AN653" s="30">
        <v>45768.333333333336</v>
      </c>
      <c r="AO653" s="30">
        <v>45812.708333333336</v>
      </c>
      <c r="AQ653" t="s">
        <v>3171</v>
      </c>
      <c r="AV653" t="s">
        <v>4184</v>
      </c>
      <c r="AZ653" t="s">
        <v>1265</v>
      </c>
      <c r="BA653">
        <v>0</v>
      </c>
      <c r="BB653">
        <v>0</v>
      </c>
      <c r="BJ653" s="30">
        <v>45953.652083333334</v>
      </c>
      <c r="BK653" s="30">
        <v>46093.595138888886</v>
      </c>
      <c r="BL653" t="s">
        <v>2716</v>
      </c>
      <c r="BM653" t="s">
        <v>1259</v>
      </c>
      <c r="BO653" t="s">
        <v>1265</v>
      </c>
    </row>
    <row r="654" spans="1:67" x14ac:dyDescent="0.25">
      <c r="A654" t="s">
        <v>1248</v>
      </c>
      <c r="B654">
        <v>120020</v>
      </c>
      <c r="C654">
        <v>405</v>
      </c>
      <c r="D654">
        <v>16399</v>
      </c>
      <c r="E654">
        <v>1117</v>
      </c>
      <c r="F654">
        <v>0</v>
      </c>
      <c r="G654" t="s">
        <v>1265</v>
      </c>
      <c r="H654">
        <v>1</v>
      </c>
      <c r="I654" t="s">
        <v>1265</v>
      </c>
      <c r="J654" t="s">
        <v>1265</v>
      </c>
      <c r="K654" t="s">
        <v>3191</v>
      </c>
      <c r="L654" t="s">
        <v>3176</v>
      </c>
      <c r="M654" t="s">
        <v>3190</v>
      </c>
      <c r="N654" t="s">
        <v>3174</v>
      </c>
      <c r="O654">
        <v>94</v>
      </c>
      <c r="P654" t="s">
        <v>4183</v>
      </c>
      <c r="R654">
        <v>3064</v>
      </c>
      <c r="S654">
        <v>0</v>
      </c>
      <c r="T654">
        <v>720</v>
      </c>
      <c r="U654">
        <v>0</v>
      </c>
      <c r="V654">
        <v>0</v>
      </c>
      <c r="W654">
        <v>0</v>
      </c>
      <c r="X654">
        <v>720</v>
      </c>
      <c r="Y654">
        <v>0</v>
      </c>
      <c r="Z654">
        <v>0</v>
      </c>
      <c r="AA654">
        <v>0</v>
      </c>
      <c r="AE654" s="30">
        <v>46345.333333333336</v>
      </c>
      <c r="AF654" s="30">
        <v>46477.708333333336</v>
      </c>
      <c r="AH654" s="30">
        <v>45803.333333333336</v>
      </c>
      <c r="AI654" s="30">
        <v>45926.708333333336</v>
      </c>
      <c r="AJ654" s="30">
        <v>45803.333333333336</v>
      </c>
      <c r="AK654" s="30">
        <v>45926.708333333336</v>
      </c>
      <c r="AL654" s="30">
        <v>45803.333333333336</v>
      </c>
      <c r="AM654" s="30">
        <v>45926.708333333336</v>
      </c>
      <c r="AN654" s="30">
        <v>46345.333333333336</v>
      </c>
      <c r="AO654" s="30">
        <v>46477.708333333336</v>
      </c>
      <c r="AQ654" t="s">
        <v>3171</v>
      </c>
      <c r="AV654" t="s">
        <v>4182</v>
      </c>
      <c r="AZ654" t="s">
        <v>1265</v>
      </c>
      <c r="BA654">
        <v>0</v>
      </c>
      <c r="BB654">
        <v>0</v>
      </c>
      <c r="BJ654" s="30">
        <v>45953.652083333334</v>
      </c>
      <c r="BK654" s="30">
        <v>46093.613194444442</v>
      </c>
      <c r="BL654" t="s">
        <v>2716</v>
      </c>
      <c r="BM654" t="s">
        <v>1259</v>
      </c>
      <c r="BO654" t="s">
        <v>1265</v>
      </c>
    </row>
    <row r="655" spans="1:67" x14ac:dyDescent="0.25">
      <c r="A655" t="s">
        <v>1248</v>
      </c>
      <c r="B655">
        <v>120021</v>
      </c>
      <c r="C655">
        <v>405</v>
      </c>
      <c r="D655">
        <v>16399</v>
      </c>
      <c r="E655">
        <v>1117</v>
      </c>
      <c r="F655">
        <v>0</v>
      </c>
      <c r="G655" t="s">
        <v>1265</v>
      </c>
      <c r="H655">
        <v>1</v>
      </c>
      <c r="I655" t="s">
        <v>1265</v>
      </c>
      <c r="J655" t="s">
        <v>1265</v>
      </c>
      <c r="K655" t="s">
        <v>3191</v>
      </c>
      <c r="L655" t="s">
        <v>3176</v>
      </c>
      <c r="M655" t="s">
        <v>3190</v>
      </c>
      <c r="N655" t="s">
        <v>3174</v>
      </c>
      <c r="O655">
        <v>95</v>
      </c>
      <c r="P655" t="s">
        <v>4181</v>
      </c>
      <c r="R655">
        <v>3064</v>
      </c>
      <c r="S655">
        <v>0</v>
      </c>
      <c r="T655">
        <v>720</v>
      </c>
      <c r="U655">
        <v>0</v>
      </c>
      <c r="V655">
        <v>0</v>
      </c>
      <c r="W655">
        <v>0</v>
      </c>
      <c r="X655">
        <v>720</v>
      </c>
      <c r="Y655">
        <v>0</v>
      </c>
      <c r="Z655">
        <v>0</v>
      </c>
      <c r="AA655">
        <v>0</v>
      </c>
      <c r="AE655" s="30">
        <v>46367.333333333336</v>
      </c>
      <c r="AF655" s="30">
        <v>46498.708333333336</v>
      </c>
      <c r="AH655" s="30">
        <v>45824.333333333336</v>
      </c>
      <c r="AI655" s="30">
        <v>45947.708333333336</v>
      </c>
      <c r="AJ655" s="30">
        <v>45824.333333333336</v>
      </c>
      <c r="AK655" s="30">
        <v>45947.708333333336</v>
      </c>
      <c r="AL655" s="30">
        <v>45824.333333333336</v>
      </c>
      <c r="AM655" s="30">
        <v>45947.708333333336</v>
      </c>
      <c r="AN655" s="30">
        <v>46367.333333333336</v>
      </c>
      <c r="AO655" s="30">
        <v>46498.708333333336</v>
      </c>
      <c r="AQ655" t="s">
        <v>3171</v>
      </c>
      <c r="AV655" t="s">
        <v>4180</v>
      </c>
      <c r="AZ655" t="s">
        <v>1265</v>
      </c>
      <c r="BA655">
        <v>0</v>
      </c>
      <c r="BB655">
        <v>0</v>
      </c>
      <c r="BJ655" s="30">
        <v>45953.652083333334</v>
      </c>
      <c r="BK655" s="30">
        <v>46093.613194444442</v>
      </c>
      <c r="BL655" t="s">
        <v>2716</v>
      </c>
      <c r="BM655" t="s">
        <v>1259</v>
      </c>
      <c r="BO655" t="s">
        <v>1265</v>
      </c>
    </row>
    <row r="656" spans="1:67" x14ac:dyDescent="0.25">
      <c r="A656" t="s">
        <v>1248</v>
      </c>
      <c r="B656">
        <v>120022</v>
      </c>
      <c r="C656">
        <v>405</v>
      </c>
      <c r="D656">
        <v>16399</v>
      </c>
      <c r="E656">
        <v>1117</v>
      </c>
      <c r="F656">
        <v>0</v>
      </c>
      <c r="G656" t="s">
        <v>1265</v>
      </c>
      <c r="H656">
        <v>1</v>
      </c>
      <c r="I656" t="s">
        <v>1265</v>
      </c>
      <c r="J656" t="s">
        <v>1265</v>
      </c>
      <c r="K656" t="s">
        <v>3191</v>
      </c>
      <c r="L656" t="s">
        <v>3176</v>
      </c>
      <c r="M656" t="s">
        <v>3190</v>
      </c>
      <c r="N656" t="s">
        <v>3174</v>
      </c>
      <c r="O656">
        <v>96</v>
      </c>
      <c r="P656" t="s">
        <v>4179</v>
      </c>
      <c r="R656">
        <v>3064</v>
      </c>
      <c r="S656">
        <v>3064</v>
      </c>
      <c r="T656">
        <v>720</v>
      </c>
      <c r="U656">
        <v>0</v>
      </c>
      <c r="V656">
        <v>0</v>
      </c>
      <c r="W656">
        <v>0</v>
      </c>
      <c r="X656">
        <v>720</v>
      </c>
      <c r="Y656">
        <v>0</v>
      </c>
      <c r="Z656">
        <v>0</v>
      </c>
      <c r="AA656">
        <v>0</v>
      </c>
      <c r="AE656" s="30">
        <v>46392.333333333336</v>
      </c>
      <c r="AF656" s="30">
        <v>46519.708333333336</v>
      </c>
      <c r="AH656" s="30">
        <v>45845.333333333336</v>
      </c>
      <c r="AI656" s="30">
        <v>45968.708333333336</v>
      </c>
      <c r="AJ656" s="30">
        <v>45845.333333333336</v>
      </c>
      <c r="AK656" s="30">
        <v>45968.708333333336</v>
      </c>
      <c r="AL656" s="30">
        <v>45845.333333333336</v>
      </c>
      <c r="AM656" s="30">
        <v>45968.708333333336</v>
      </c>
      <c r="AN656" s="30">
        <v>46392.333333333336</v>
      </c>
      <c r="AO656" s="30">
        <v>46519.708333333336</v>
      </c>
      <c r="AQ656" t="s">
        <v>3171</v>
      </c>
      <c r="AV656" t="s">
        <v>4178</v>
      </c>
      <c r="AZ656" t="s">
        <v>1265</v>
      </c>
      <c r="BA656">
        <v>0</v>
      </c>
      <c r="BB656">
        <v>0</v>
      </c>
      <c r="BJ656" s="30">
        <v>45953.652083333334</v>
      </c>
      <c r="BK656" s="30">
        <v>46093.613194444442</v>
      </c>
      <c r="BL656" t="s">
        <v>2716</v>
      </c>
      <c r="BM656" t="s">
        <v>1259</v>
      </c>
      <c r="BO656" t="s">
        <v>1265</v>
      </c>
    </row>
    <row r="657" spans="1:67" x14ac:dyDescent="0.25">
      <c r="A657" t="s">
        <v>1248</v>
      </c>
      <c r="B657">
        <v>120171</v>
      </c>
      <c r="C657">
        <v>405</v>
      </c>
      <c r="D657">
        <v>16368</v>
      </c>
      <c r="E657">
        <v>1117</v>
      </c>
      <c r="F657">
        <v>0</v>
      </c>
      <c r="G657" t="s">
        <v>1265</v>
      </c>
      <c r="H657">
        <v>0</v>
      </c>
      <c r="I657" t="s">
        <v>1265</v>
      </c>
      <c r="J657" t="s">
        <v>1265</v>
      </c>
      <c r="K657" t="s">
        <v>3191</v>
      </c>
      <c r="L657" t="s">
        <v>4177</v>
      </c>
      <c r="M657" t="s">
        <v>3175</v>
      </c>
      <c r="N657" t="s">
        <v>3174</v>
      </c>
      <c r="O657">
        <v>34</v>
      </c>
      <c r="P657" t="s">
        <v>4176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s="30">
        <v>46519.708333333336</v>
      </c>
      <c r="AE657" s="30">
        <v>46519.708333333336</v>
      </c>
      <c r="AF657" s="30">
        <v>46519.708333333336</v>
      </c>
      <c r="AH657" s="30">
        <v>46519.708333333336</v>
      </c>
      <c r="AI657" s="30">
        <v>46519.708333333336</v>
      </c>
      <c r="AJ657" s="30">
        <v>46519.708333333336</v>
      </c>
      <c r="AK657" s="30">
        <v>46519.708333333336</v>
      </c>
      <c r="AL657" s="30">
        <v>46519.708333333336</v>
      </c>
      <c r="AM657" s="30">
        <v>46519.708333333336</v>
      </c>
      <c r="AN657" s="30">
        <v>46519.708333333336</v>
      </c>
      <c r="AO657" s="30">
        <v>46519.708333333336</v>
      </c>
      <c r="AP657" t="s">
        <v>4175</v>
      </c>
      <c r="AQ657" t="s">
        <v>3171</v>
      </c>
      <c r="AV657" t="s">
        <v>4174</v>
      </c>
      <c r="AZ657" t="s">
        <v>1266</v>
      </c>
      <c r="BA657">
        <v>0</v>
      </c>
      <c r="BB657">
        <v>0</v>
      </c>
      <c r="BJ657" s="30">
        <v>45953.652083333334</v>
      </c>
      <c r="BK657" s="30">
        <v>46093.59652777778</v>
      </c>
      <c r="BL657" t="s">
        <v>2716</v>
      </c>
      <c r="BM657" t="s">
        <v>1259</v>
      </c>
      <c r="BO657" t="s">
        <v>1265</v>
      </c>
    </row>
    <row r="658" spans="1:67" x14ac:dyDescent="0.25">
      <c r="A658" t="s">
        <v>1248</v>
      </c>
      <c r="B658">
        <v>229301</v>
      </c>
      <c r="C658">
        <v>405</v>
      </c>
      <c r="D658">
        <v>32353</v>
      </c>
      <c r="E658">
        <v>1117</v>
      </c>
      <c r="F658">
        <v>0</v>
      </c>
      <c r="G658" t="s">
        <v>1265</v>
      </c>
      <c r="H658">
        <v>1</v>
      </c>
      <c r="I658" t="s">
        <v>1265</v>
      </c>
      <c r="J658" t="s">
        <v>1265</v>
      </c>
      <c r="K658" t="s">
        <v>3191</v>
      </c>
      <c r="L658" t="s">
        <v>3176</v>
      </c>
      <c r="M658" t="s">
        <v>3190</v>
      </c>
      <c r="N658" t="s">
        <v>3174</v>
      </c>
      <c r="O658">
        <v>308</v>
      </c>
      <c r="P658" t="s">
        <v>137</v>
      </c>
      <c r="R658">
        <v>1256</v>
      </c>
      <c r="S658">
        <v>0</v>
      </c>
      <c r="T658">
        <v>800</v>
      </c>
      <c r="U658">
        <v>0</v>
      </c>
      <c r="V658">
        <v>0</v>
      </c>
      <c r="W658">
        <v>0</v>
      </c>
      <c r="X658">
        <v>800</v>
      </c>
      <c r="Y658">
        <v>0</v>
      </c>
      <c r="Z658">
        <v>0</v>
      </c>
      <c r="AA658">
        <v>0</v>
      </c>
      <c r="AE658" s="30">
        <v>46016.333333333336</v>
      </c>
      <c r="AF658" s="30">
        <v>46161.708333333336</v>
      </c>
      <c r="AH658" s="30">
        <v>45797.333333333336</v>
      </c>
      <c r="AI658" s="30">
        <v>45936.708333333336</v>
      </c>
      <c r="AJ658" s="30">
        <v>45797.333333333336</v>
      </c>
      <c r="AK658" s="30">
        <v>45936.708333333336</v>
      </c>
      <c r="AL658" s="30">
        <v>45797.333333333336</v>
      </c>
      <c r="AM658" s="30">
        <v>45936.708333333336</v>
      </c>
      <c r="AN658" s="30">
        <v>46016.333333333336</v>
      </c>
      <c r="AO658" s="30">
        <v>46161.708333333336</v>
      </c>
      <c r="AQ658" t="s">
        <v>3171</v>
      </c>
      <c r="AV658" t="s">
        <v>4173</v>
      </c>
      <c r="AW658" t="s">
        <v>4167</v>
      </c>
      <c r="AZ658" t="s">
        <v>1265</v>
      </c>
      <c r="BA658">
        <v>0</v>
      </c>
      <c r="BB658">
        <v>0</v>
      </c>
      <c r="BJ658" s="30">
        <v>45983.82708333333</v>
      </c>
      <c r="BK658" s="30">
        <v>46092.456944444442</v>
      </c>
      <c r="BL658" t="s">
        <v>2716</v>
      </c>
      <c r="BM658" t="s">
        <v>1259</v>
      </c>
      <c r="BO658" t="s">
        <v>1265</v>
      </c>
    </row>
    <row r="659" spans="1:67" x14ac:dyDescent="0.25">
      <c r="A659" t="s">
        <v>1248</v>
      </c>
      <c r="B659">
        <v>229302</v>
      </c>
      <c r="C659">
        <v>405</v>
      </c>
      <c r="D659">
        <v>32354</v>
      </c>
      <c r="E659">
        <v>1117</v>
      </c>
      <c r="F659">
        <v>0</v>
      </c>
      <c r="G659" t="s">
        <v>1265</v>
      </c>
      <c r="H659">
        <v>1</v>
      </c>
      <c r="I659" t="s">
        <v>1265</v>
      </c>
      <c r="J659" t="s">
        <v>1265</v>
      </c>
      <c r="K659" t="s">
        <v>3191</v>
      </c>
      <c r="L659" t="s">
        <v>3176</v>
      </c>
      <c r="M659" t="s">
        <v>3190</v>
      </c>
      <c r="N659" t="s">
        <v>3174</v>
      </c>
      <c r="O659">
        <v>318</v>
      </c>
      <c r="P659" t="s">
        <v>155</v>
      </c>
      <c r="R659">
        <v>408</v>
      </c>
      <c r="S659">
        <v>0</v>
      </c>
      <c r="T659">
        <v>400</v>
      </c>
      <c r="U659">
        <v>0</v>
      </c>
      <c r="V659">
        <v>6000</v>
      </c>
      <c r="W659">
        <v>6000</v>
      </c>
      <c r="X659">
        <v>400</v>
      </c>
      <c r="Y659">
        <v>0</v>
      </c>
      <c r="Z659">
        <v>0</v>
      </c>
      <c r="AA659">
        <v>0</v>
      </c>
      <c r="AE659" s="30">
        <v>45687.333333333336</v>
      </c>
      <c r="AF659" s="30">
        <v>45756.708333333336</v>
      </c>
      <c r="AH659" s="30">
        <v>45616.333333333336</v>
      </c>
      <c r="AI659" s="30">
        <v>45685.708333333336</v>
      </c>
      <c r="AJ659" s="30">
        <v>45616.333333333336</v>
      </c>
      <c r="AK659" s="30">
        <v>45685.708333333336</v>
      </c>
      <c r="AL659" s="30">
        <v>45616.333333333336</v>
      </c>
      <c r="AM659" s="30">
        <v>45685.708333333336</v>
      </c>
      <c r="AN659" s="30">
        <v>45687.333333333336</v>
      </c>
      <c r="AO659" s="30">
        <v>45756.708333333336</v>
      </c>
      <c r="AQ659" t="s">
        <v>3171</v>
      </c>
      <c r="AV659" t="s">
        <v>4172</v>
      </c>
      <c r="AW659" t="s">
        <v>4171</v>
      </c>
      <c r="AZ659" t="s">
        <v>1265</v>
      </c>
      <c r="BA659">
        <v>0</v>
      </c>
      <c r="BB659">
        <v>0</v>
      </c>
      <c r="BJ659" s="30">
        <v>45983.827777777777</v>
      </c>
      <c r="BK659" s="30">
        <v>46093.595138888886</v>
      </c>
      <c r="BL659" t="s">
        <v>2716</v>
      </c>
      <c r="BM659" t="s">
        <v>1259</v>
      </c>
      <c r="BO659" t="s">
        <v>1265</v>
      </c>
    </row>
    <row r="660" spans="1:67" x14ac:dyDescent="0.25">
      <c r="A660" t="s">
        <v>1248</v>
      </c>
      <c r="B660">
        <v>229303</v>
      </c>
      <c r="C660">
        <v>405</v>
      </c>
      <c r="D660">
        <v>32350</v>
      </c>
      <c r="E660">
        <v>1117</v>
      </c>
      <c r="F660">
        <v>0</v>
      </c>
      <c r="G660" t="s">
        <v>1265</v>
      </c>
      <c r="H660">
        <v>1</v>
      </c>
      <c r="I660" t="s">
        <v>1265</v>
      </c>
      <c r="J660" t="s">
        <v>1265</v>
      </c>
      <c r="K660" t="s">
        <v>3191</v>
      </c>
      <c r="L660" t="s">
        <v>3176</v>
      </c>
      <c r="M660" t="s">
        <v>3190</v>
      </c>
      <c r="N660" t="s">
        <v>3174</v>
      </c>
      <c r="O660">
        <v>278</v>
      </c>
      <c r="P660" t="s">
        <v>112</v>
      </c>
      <c r="R660">
        <v>1256</v>
      </c>
      <c r="S660">
        <v>0</v>
      </c>
      <c r="T660">
        <v>800</v>
      </c>
      <c r="U660">
        <v>0</v>
      </c>
      <c r="V660">
        <v>0</v>
      </c>
      <c r="W660">
        <v>0</v>
      </c>
      <c r="X660">
        <v>800</v>
      </c>
      <c r="Y660">
        <v>0</v>
      </c>
      <c r="Z660">
        <v>0</v>
      </c>
      <c r="AA660">
        <v>0</v>
      </c>
      <c r="AE660" s="30">
        <v>46233.333333333336</v>
      </c>
      <c r="AF660" s="30">
        <v>46373.708333333336</v>
      </c>
      <c r="AH660" s="30">
        <v>46007.333333333336</v>
      </c>
      <c r="AI660" s="30">
        <v>46150.708333333336</v>
      </c>
      <c r="AJ660" s="30">
        <v>46007.333333333336</v>
      </c>
      <c r="AK660" s="30">
        <v>46150.708333333336</v>
      </c>
      <c r="AL660" s="30">
        <v>46007.333333333336</v>
      </c>
      <c r="AM660" s="30">
        <v>46150.708333333336</v>
      </c>
      <c r="AN660" s="30">
        <v>46233.333333333336</v>
      </c>
      <c r="AO660" s="30">
        <v>46373.708333333336</v>
      </c>
      <c r="AQ660" t="s">
        <v>3171</v>
      </c>
      <c r="AV660" t="s">
        <v>4169</v>
      </c>
      <c r="AW660" t="s">
        <v>4167</v>
      </c>
      <c r="AZ660" t="s">
        <v>1265</v>
      </c>
      <c r="BA660">
        <v>0</v>
      </c>
      <c r="BB660">
        <v>0</v>
      </c>
      <c r="BJ660" s="30">
        <v>45985.431250000001</v>
      </c>
      <c r="BK660" s="30">
        <v>46092.456944444442</v>
      </c>
      <c r="BL660" t="s">
        <v>2716</v>
      </c>
      <c r="BM660" t="s">
        <v>1259</v>
      </c>
      <c r="BO660" t="s">
        <v>1265</v>
      </c>
    </row>
    <row r="661" spans="1:67" x14ac:dyDescent="0.25">
      <c r="A661" t="s">
        <v>1248</v>
      </c>
      <c r="B661">
        <v>229304</v>
      </c>
      <c r="C661">
        <v>405</v>
      </c>
      <c r="D661">
        <v>32351</v>
      </c>
      <c r="E661">
        <v>1117</v>
      </c>
      <c r="F661">
        <v>0</v>
      </c>
      <c r="G661" t="s">
        <v>1265</v>
      </c>
      <c r="H661">
        <v>1</v>
      </c>
      <c r="I661" t="s">
        <v>1265</v>
      </c>
      <c r="J661" t="s">
        <v>1265</v>
      </c>
      <c r="K661" t="s">
        <v>3191</v>
      </c>
      <c r="L661" t="s">
        <v>3176</v>
      </c>
      <c r="M661" t="s">
        <v>3190</v>
      </c>
      <c r="N661" t="s">
        <v>3174</v>
      </c>
      <c r="O661">
        <v>288</v>
      </c>
      <c r="P661" t="s">
        <v>116</v>
      </c>
      <c r="R661">
        <v>1256</v>
      </c>
      <c r="S661">
        <v>0</v>
      </c>
      <c r="T661">
        <v>400</v>
      </c>
      <c r="U661">
        <v>0</v>
      </c>
      <c r="V661">
        <v>0</v>
      </c>
      <c r="W661">
        <v>0</v>
      </c>
      <c r="X661">
        <v>400</v>
      </c>
      <c r="Y661">
        <v>0</v>
      </c>
      <c r="Z661">
        <v>0</v>
      </c>
      <c r="AA661">
        <v>0</v>
      </c>
      <c r="AE661" s="30">
        <v>46162.333333333336</v>
      </c>
      <c r="AF661" s="30">
        <v>46232.708333333336</v>
      </c>
      <c r="AH661" s="30">
        <v>45937.333333333336</v>
      </c>
      <c r="AI661" s="30">
        <v>46006.708333333336</v>
      </c>
      <c r="AJ661" s="30">
        <v>45937.333333333336</v>
      </c>
      <c r="AK661" s="30">
        <v>46006.708333333336</v>
      </c>
      <c r="AL661" s="30">
        <v>45937.333333333336</v>
      </c>
      <c r="AM661" s="30">
        <v>46006.708333333336</v>
      </c>
      <c r="AN661" s="30">
        <v>46162.333333333336</v>
      </c>
      <c r="AO661" s="30">
        <v>46232.708333333336</v>
      </c>
      <c r="AQ661" t="s">
        <v>3171</v>
      </c>
      <c r="AV661" t="s">
        <v>4170</v>
      </c>
      <c r="AW661" t="s">
        <v>4169</v>
      </c>
      <c r="AZ661" t="s">
        <v>1265</v>
      </c>
      <c r="BA661">
        <v>0</v>
      </c>
      <c r="BB661">
        <v>0</v>
      </c>
      <c r="BJ661" s="30">
        <v>45985.477083333331</v>
      </c>
      <c r="BK661" s="30">
        <v>46092.456944444442</v>
      </c>
      <c r="BL661" t="s">
        <v>2716</v>
      </c>
      <c r="BM661" t="s">
        <v>1259</v>
      </c>
      <c r="BO661" t="s">
        <v>1265</v>
      </c>
    </row>
    <row r="662" spans="1:67" x14ac:dyDescent="0.25">
      <c r="A662" t="s">
        <v>1248</v>
      </c>
      <c r="B662">
        <v>229305</v>
      </c>
      <c r="C662">
        <v>405</v>
      </c>
      <c r="D662">
        <v>32352</v>
      </c>
      <c r="E662">
        <v>1117</v>
      </c>
      <c r="F662">
        <v>0</v>
      </c>
      <c r="G662" t="s">
        <v>1265</v>
      </c>
      <c r="H662">
        <v>1</v>
      </c>
      <c r="I662" t="s">
        <v>1265</v>
      </c>
      <c r="J662" t="s">
        <v>1265</v>
      </c>
      <c r="K662" t="s">
        <v>3191</v>
      </c>
      <c r="L662" t="s">
        <v>3176</v>
      </c>
      <c r="M662" t="s">
        <v>3190</v>
      </c>
      <c r="N662" t="s">
        <v>3174</v>
      </c>
      <c r="O662">
        <v>298</v>
      </c>
      <c r="P662" t="s">
        <v>128</v>
      </c>
      <c r="R662">
        <v>1256</v>
      </c>
      <c r="S662">
        <v>0</v>
      </c>
      <c r="T662">
        <v>1000</v>
      </c>
      <c r="U662">
        <v>0</v>
      </c>
      <c r="V662">
        <v>0</v>
      </c>
      <c r="W662">
        <v>0</v>
      </c>
      <c r="X662">
        <v>1000</v>
      </c>
      <c r="Y662">
        <v>0</v>
      </c>
      <c r="Z662">
        <v>0</v>
      </c>
      <c r="AA662">
        <v>0</v>
      </c>
      <c r="AE662" s="30">
        <v>45841.333333333336</v>
      </c>
      <c r="AF662" s="30">
        <v>46015.708333333336</v>
      </c>
      <c r="AH662" s="30">
        <v>45622.333333333336</v>
      </c>
      <c r="AI662" s="30">
        <v>45796.708333333336</v>
      </c>
      <c r="AJ662" s="30">
        <v>45622.333333333336</v>
      </c>
      <c r="AK662" s="30">
        <v>45796.708333333336</v>
      </c>
      <c r="AL662" s="30">
        <v>45622.333333333336</v>
      </c>
      <c r="AM662" s="30">
        <v>45796.708333333336</v>
      </c>
      <c r="AN662" s="30">
        <v>45841.333333333336</v>
      </c>
      <c r="AO662" s="30">
        <v>46015.708333333336</v>
      </c>
      <c r="AQ662" t="s">
        <v>3171</v>
      </c>
      <c r="AV662" t="s">
        <v>4168</v>
      </c>
      <c r="AW662" t="s">
        <v>4167</v>
      </c>
      <c r="AZ662" t="s">
        <v>1265</v>
      </c>
      <c r="BA662">
        <v>0</v>
      </c>
      <c r="BB662">
        <v>0</v>
      </c>
      <c r="BJ662" s="30">
        <v>45985.488888888889</v>
      </c>
      <c r="BK662" s="30">
        <v>46092.456944444442</v>
      </c>
      <c r="BL662" t="s">
        <v>2716</v>
      </c>
      <c r="BM662" t="s">
        <v>1259</v>
      </c>
      <c r="BO662" t="s">
        <v>1265</v>
      </c>
    </row>
    <row r="663" spans="1:67" x14ac:dyDescent="0.25">
      <c r="A663" t="s">
        <v>1248</v>
      </c>
      <c r="B663">
        <v>352045</v>
      </c>
      <c r="C663">
        <v>405</v>
      </c>
      <c r="D663">
        <v>53303</v>
      </c>
      <c r="E663">
        <v>1117</v>
      </c>
      <c r="F663">
        <v>0</v>
      </c>
      <c r="G663" t="s">
        <v>1265</v>
      </c>
      <c r="H663">
        <v>1</v>
      </c>
      <c r="I663" t="s">
        <v>1265</v>
      </c>
      <c r="J663" t="s">
        <v>1265</v>
      </c>
      <c r="K663" t="s">
        <v>3191</v>
      </c>
      <c r="L663" t="s">
        <v>3176</v>
      </c>
      <c r="M663" t="s">
        <v>3190</v>
      </c>
      <c r="N663" t="s">
        <v>3174</v>
      </c>
      <c r="O663">
        <v>328</v>
      </c>
      <c r="P663" t="s">
        <v>4166</v>
      </c>
      <c r="R663" t="s">
        <v>4145</v>
      </c>
      <c r="S663">
        <v>0</v>
      </c>
      <c r="T663">
        <v>16</v>
      </c>
      <c r="U663">
        <v>0</v>
      </c>
      <c r="V663">
        <v>0</v>
      </c>
      <c r="W663">
        <v>0</v>
      </c>
      <c r="X663">
        <v>16</v>
      </c>
      <c r="Y663">
        <v>0</v>
      </c>
      <c r="Z663">
        <v>0</v>
      </c>
      <c r="AA663">
        <v>0</v>
      </c>
      <c r="AE663" s="30">
        <v>45855.60833333333</v>
      </c>
      <c r="AF663" s="30">
        <v>45859.60833333333</v>
      </c>
      <c r="AH663" s="30">
        <v>45793.625</v>
      </c>
      <c r="AI663" s="30">
        <v>45797.625</v>
      </c>
      <c r="AJ663" s="30">
        <v>45793.625</v>
      </c>
      <c r="AK663" s="30">
        <v>45797.625</v>
      </c>
      <c r="AL663" s="30">
        <v>45793.625</v>
      </c>
      <c r="AM663" s="30">
        <v>45797.625</v>
      </c>
      <c r="AN663" s="30">
        <v>45855.60833333333</v>
      </c>
      <c r="AO663" s="30">
        <v>45859.60833333333</v>
      </c>
      <c r="AQ663" t="s">
        <v>3171</v>
      </c>
      <c r="AV663" t="s">
        <v>4165</v>
      </c>
      <c r="AW663" t="s">
        <v>4164</v>
      </c>
      <c r="AZ663" t="s">
        <v>1265</v>
      </c>
      <c r="BA663">
        <v>0</v>
      </c>
      <c r="BB663">
        <v>0</v>
      </c>
      <c r="BJ663" s="30">
        <v>46069.518055555556</v>
      </c>
      <c r="BK663" s="30">
        <v>46093.73333333333</v>
      </c>
      <c r="BL663" t="s">
        <v>1259</v>
      </c>
      <c r="BM663" t="s">
        <v>1259</v>
      </c>
      <c r="BO663" t="s">
        <v>1265</v>
      </c>
    </row>
    <row r="664" spans="1:67" x14ac:dyDescent="0.25">
      <c r="A664" t="s">
        <v>1248</v>
      </c>
      <c r="B664">
        <v>352046</v>
      </c>
      <c r="C664">
        <v>405</v>
      </c>
      <c r="D664">
        <v>51465</v>
      </c>
      <c r="E664">
        <v>1117</v>
      </c>
      <c r="F664">
        <v>0</v>
      </c>
      <c r="G664" t="s">
        <v>1265</v>
      </c>
      <c r="H664">
        <v>1</v>
      </c>
      <c r="I664" t="s">
        <v>1265</v>
      </c>
      <c r="J664" t="s">
        <v>1265</v>
      </c>
      <c r="K664" t="s">
        <v>3191</v>
      </c>
      <c r="L664" t="s">
        <v>3176</v>
      </c>
      <c r="M664" t="s">
        <v>3190</v>
      </c>
      <c r="N664" t="s">
        <v>3174</v>
      </c>
      <c r="O664">
        <v>338</v>
      </c>
      <c r="P664" t="s">
        <v>4163</v>
      </c>
      <c r="R664">
        <v>378</v>
      </c>
      <c r="S664">
        <v>0</v>
      </c>
      <c r="T664">
        <v>24</v>
      </c>
      <c r="U664">
        <v>0</v>
      </c>
      <c r="V664">
        <v>0</v>
      </c>
      <c r="W664">
        <v>0</v>
      </c>
      <c r="X664">
        <v>24</v>
      </c>
      <c r="Y664">
        <v>0</v>
      </c>
      <c r="Z664">
        <v>0</v>
      </c>
      <c r="AA664">
        <v>0</v>
      </c>
      <c r="AE664" s="30">
        <v>45863.333333333336</v>
      </c>
      <c r="AF664" s="30">
        <v>45867.708333333336</v>
      </c>
      <c r="AH664" s="30">
        <v>45797.625</v>
      </c>
      <c r="AI664" s="30">
        <v>45800.625</v>
      </c>
      <c r="AJ664" s="30">
        <v>45797.625</v>
      </c>
      <c r="AK664" s="30">
        <v>45800.625</v>
      </c>
      <c r="AL664" s="30">
        <v>45797.625</v>
      </c>
      <c r="AM664" s="30">
        <v>45800.625</v>
      </c>
      <c r="AN664" s="30">
        <v>45863.333333333336</v>
      </c>
      <c r="AO664" s="30">
        <v>45867.708333333336</v>
      </c>
      <c r="AQ664" t="s">
        <v>3171</v>
      </c>
      <c r="AV664" t="s">
        <v>4162</v>
      </c>
      <c r="AW664" t="s">
        <v>4161</v>
      </c>
      <c r="AZ664" t="s">
        <v>1265</v>
      </c>
      <c r="BA664">
        <v>0</v>
      </c>
      <c r="BB664">
        <v>0</v>
      </c>
      <c r="BJ664" s="30">
        <v>46069.518055555556</v>
      </c>
      <c r="BK664" s="30">
        <v>46093.73333333333</v>
      </c>
      <c r="BL664" t="s">
        <v>1259</v>
      </c>
      <c r="BM664" t="s">
        <v>1259</v>
      </c>
      <c r="BO664" t="s">
        <v>1265</v>
      </c>
    </row>
    <row r="665" spans="1:67" x14ac:dyDescent="0.25">
      <c r="A665" t="s">
        <v>1248</v>
      </c>
      <c r="B665">
        <v>352047</v>
      </c>
      <c r="C665">
        <v>405</v>
      </c>
      <c r="D665">
        <v>51465</v>
      </c>
      <c r="E665">
        <v>1117</v>
      </c>
      <c r="F665">
        <v>0</v>
      </c>
      <c r="G665" t="s">
        <v>1265</v>
      </c>
      <c r="H665">
        <v>1</v>
      </c>
      <c r="I665" t="s">
        <v>1265</v>
      </c>
      <c r="J665" t="s">
        <v>1265</v>
      </c>
      <c r="K665" t="s">
        <v>3191</v>
      </c>
      <c r="L665" t="s">
        <v>3176</v>
      </c>
      <c r="M665" t="s">
        <v>3190</v>
      </c>
      <c r="N665" t="s">
        <v>3174</v>
      </c>
      <c r="O665">
        <v>348</v>
      </c>
      <c r="P665" t="s">
        <v>4160</v>
      </c>
      <c r="R665">
        <v>378</v>
      </c>
      <c r="S665">
        <v>0</v>
      </c>
      <c r="T665">
        <v>8</v>
      </c>
      <c r="U665">
        <v>0</v>
      </c>
      <c r="V665">
        <v>0</v>
      </c>
      <c r="W665">
        <v>0</v>
      </c>
      <c r="X665">
        <v>8</v>
      </c>
      <c r="Y665">
        <v>0</v>
      </c>
      <c r="Z665">
        <v>0</v>
      </c>
      <c r="AA665">
        <v>0</v>
      </c>
      <c r="AE665" s="30">
        <v>45868.333333333336</v>
      </c>
      <c r="AF665" s="30">
        <v>45868.708333333336</v>
      </c>
      <c r="AH665" s="30">
        <v>45800.625</v>
      </c>
      <c r="AI665" s="30">
        <v>45803.625</v>
      </c>
      <c r="AJ665" s="30">
        <v>45800.625</v>
      </c>
      <c r="AK665" s="30">
        <v>45803.625</v>
      </c>
      <c r="AL665" s="30">
        <v>45800.625</v>
      </c>
      <c r="AM665" s="30">
        <v>45803.625</v>
      </c>
      <c r="AN665" s="30">
        <v>45868.333333333336</v>
      </c>
      <c r="AO665" s="30">
        <v>45868.708333333336</v>
      </c>
      <c r="AQ665" t="s">
        <v>3171</v>
      </c>
      <c r="AV665" t="s">
        <v>4159</v>
      </c>
      <c r="AW665" t="s">
        <v>4158</v>
      </c>
      <c r="AZ665" t="s">
        <v>1265</v>
      </c>
      <c r="BA665">
        <v>0</v>
      </c>
      <c r="BB665">
        <v>0</v>
      </c>
      <c r="BJ665" s="30">
        <v>46069.518055555556</v>
      </c>
      <c r="BK665" s="30">
        <v>46093.73333333333</v>
      </c>
      <c r="BL665" t="s">
        <v>1259</v>
      </c>
      <c r="BM665" t="s">
        <v>1259</v>
      </c>
      <c r="BO665" t="s">
        <v>1265</v>
      </c>
    </row>
    <row r="666" spans="1:67" x14ac:dyDescent="0.25">
      <c r="A666" t="s">
        <v>1248</v>
      </c>
      <c r="B666">
        <v>352048</v>
      </c>
      <c r="C666">
        <v>405</v>
      </c>
      <c r="D666">
        <v>51465</v>
      </c>
      <c r="E666">
        <v>1117</v>
      </c>
      <c r="F666">
        <v>0</v>
      </c>
      <c r="G666" t="s">
        <v>1265</v>
      </c>
      <c r="H666">
        <v>1</v>
      </c>
      <c r="I666" t="s">
        <v>1265</v>
      </c>
      <c r="J666" t="s">
        <v>1265</v>
      </c>
      <c r="K666" t="s">
        <v>3191</v>
      </c>
      <c r="L666" t="s">
        <v>3176</v>
      </c>
      <c r="M666" t="s">
        <v>3190</v>
      </c>
      <c r="N666" t="s">
        <v>3174</v>
      </c>
      <c r="O666">
        <v>358</v>
      </c>
      <c r="P666" t="s">
        <v>4157</v>
      </c>
      <c r="R666">
        <v>378</v>
      </c>
      <c r="S666">
        <v>0</v>
      </c>
      <c r="T666">
        <v>16</v>
      </c>
      <c r="U666">
        <v>0</v>
      </c>
      <c r="V666">
        <v>0</v>
      </c>
      <c r="W666">
        <v>0</v>
      </c>
      <c r="X666">
        <v>16</v>
      </c>
      <c r="Y666">
        <v>0</v>
      </c>
      <c r="Z666">
        <v>0</v>
      </c>
      <c r="AA666">
        <v>0</v>
      </c>
      <c r="AE666" s="30">
        <v>45869.333333333336</v>
      </c>
      <c r="AF666" s="30">
        <v>45870.708333333336</v>
      </c>
      <c r="AH666" s="30">
        <v>45803.625</v>
      </c>
      <c r="AI666" s="30">
        <v>45805.625</v>
      </c>
      <c r="AJ666" s="30">
        <v>45803.625</v>
      </c>
      <c r="AK666" s="30">
        <v>45805.625</v>
      </c>
      <c r="AL666" s="30">
        <v>45803.625</v>
      </c>
      <c r="AM666" s="30">
        <v>45805.625</v>
      </c>
      <c r="AN666" s="30">
        <v>45869.333333333336</v>
      </c>
      <c r="AO666" s="30">
        <v>45870.708333333336</v>
      </c>
      <c r="AQ666" t="s">
        <v>3171</v>
      </c>
      <c r="AV666" t="s">
        <v>4156</v>
      </c>
      <c r="AW666" t="s">
        <v>4155</v>
      </c>
      <c r="AZ666" t="s">
        <v>1265</v>
      </c>
      <c r="BA666">
        <v>0</v>
      </c>
      <c r="BB666">
        <v>0</v>
      </c>
      <c r="BJ666" s="30">
        <v>46069.518055555556</v>
      </c>
      <c r="BK666" s="30">
        <v>46093.73333333333</v>
      </c>
      <c r="BL666" t="s">
        <v>1259</v>
      </c>
      <c r="BM666" t="s">
        <v>1259</v>
      </c>
      <c r="BO666" t="s">
        <v>1265</v>
      </c>
    </row>
    <row r="667" spans="1:67" x14ac:dyDescent="0.25">
      <c r="A667" t="s">
        <v>1248</v>
      </c>
      <c r="B667">
        <v>352049</v>
      </c>
      <c r="C667">
        <v>405</v>
      </c>
      <c r="D667">
        <v>51465</v>
      </c>
      <c r="E667">
        <v>1117</v>
      </c>
      <c r="F667">
        <v>0</v>
      </c>
      <c r="G667" t="s">
        <v>1265</v>
      </c>
      <c r="H667">
        <v>1</v>
      </c>
      <c r="I667" t="s">
        <v>1265</v>
      </c>
      <c r="J667" t="s">
        <v>1265</v>
      </c>
      <c r="K667" t="s">
        <v>3191</v>
      </c>
      <c r="L667" t="s">
        <v>3176</v>
      </c>
      <c r="M667" t="s">
        <v>3190</v>
      </c>
      <c r="N667" t="s">
        <v>3174</v>
      </c>
      <c r="O667">
        <v>6</v>
      </c>
      <c r="P667" t="s">
        <v>4154</v>
      </c>
      <c r="R667">
        <v>378</v>
      </c>
      <c r="S667">
        <v>0</v>
      </c>
      <c r="T667">
        <v>32</v>
      </c>
      <c r="U667">
        <v>0</v>
      </c>
      <c r="V667">
        <v>0</v>
      </c>
      <c r="W667">
        <v>0</v>
      </c>
      <c r="X667">
        <v>32</v>
      </c>
      <c r="Y667">
        <v>0</v>
      </c>
      <c r="Z667">
        <v>0</v>
      </c>
      <c r="AA667">
        <v>0</v>
      </c>
      <c r="AE667" s="30">
        <v>45873.333333333336</v>
      </c>
      <c r="AF667" s="30">
        <v>45876.708333333336</v>
      </c>
      <c r="AH667" s="30">
        <v>45805.625</v>
      </c>
      <c r="AI667" s="30">
        <v>45811.625</v>
      </c>
      <c r="AJ667" s="30">
        <v>45805.625</v>
      </c>
      <c r="AK667" s="30">
        <v>45811.625</v>
      </c>
      <c r="AL667" s="30">
        <v>45805.625</v>
      </c>
      <c r="AM667" s="30">
        <v>45811.625</v>
      </c>
      <c r="AN667" s="30">
        <v>45873.333333333336</v>
      </c>
      <c r="AO667" s="30">
        <v>45876.708333333336</v>
      </c>
      <c r="AQ667" t="s">
        <v>3171</v>
      </c>
      <c r="AV667" t="s">
        <v>4153</v>
      </c>
      <c r="AW667" t="s">
        <v>4152</v>
      </c>
      <c r="AZ667" t="s">
        <v>1265</v>
      </c>
      <c r="BA667">
        <v>0</v>
      </c>
      <c r="BB667">
        <v>0</v>
      </c>
      <c r="BJ667" s="30">
        <v>46069.518055555556</v>
      </c>
      <c r="BK667" s="30">
        <v>46093.73333333333</v>
      </c>
      <c r="BL667" t="s">
        <v>1259</v>
      </c>
      <c r="BM667" t="s">
        <v>1259</v>
      </c>
      <c r="BO667" t="s">
        <v>1265</v>
      </c>
    </row>
    <row r="668" spans="1:67" x14ac:dyDescent="0.25">
      <c r="A668" t="s">
        <v>1248</v>
      </c>
      <c r="B668">
        <v>352050</v>
      </c>
      <c r="C668">
        <v>405</v>
      </c>
      <c r="D668">
        <v>51465</v>
      </c>
      <c r="E668">
        <v>1117</v>
      </c>
      <c r="F668">
        <v>0</v>
      </c>
      <c r="G668" t="s">
        <v>1265</v>
      </c>
      <c r="H668">
        <v>1</v>
      </c>
      <c r="I668" t="s">
        <v>1265</v>
      </c>
      <c r="J668" t="s">
        <v>1265</v>
      </c>
      <c r="K668" t="s">
        <v>3191</v>
      </c>
      <c r="L668" t="s">
        <v>3176</v>
      </c>
      <c r="M668" t="s">
        <v>3190</v>
      </c>
      <c r="N668" t="s">
        <v>3174</v>
      </c>
      <c r="O668">
        <v>368</v>
      </c>
      <c r="P668" t="s">
        <v>4151</v>
      </c>
      <c r="R668">
        <v>378</v>
      </c>
      <c r="S668">
        <v>0</v>
      </c>
      <c r="T668">
        <v>48</v>
      </c>
      <c r="U668">
        <v>0</v>
      </c>
      <c r="V668">
        <v>0</v>
      </c>
      <c r="W668">
        <v>0</v>
      </c>
      <c r="X668">
        <v>48</v>
      </c>
      <c r="Y668">
        <v>0</v>
      </c>
      <c r="Z668">
        <v>0</v>
      </c>
      <c r="AA668">
        <v>0</v>
      </c>
      <c r="AE668" s="30">
        <v>45877.333333333336</v>
      </c>
      <c r="AF668" s="30">
        <v>45884.708333333336</v>
      </c>
      <c r="AH668" s="30">
        <v>45811.625</v>
      </c>
      <c r="AI668" s="30">
        <v>45819.625</v>
      </c>
      <c r="AJ668" s="30">
        <v>45811.625</v>
      </c>
      <c r="AK668" s="30">
        <v>45819.625</v>
      </c>
      <c r="AL668" s="30">
        <v>45811.625</v>
      </c>
      <c r="AM668" s="30">
        <v>45819.625</v>
      </c>
      <c r="AN668" s="30">
        <v>45877.333333333336</v>
      </c>
      <c r="AO668" s="30">
        <v>45884.708333333336</v>
      </c>
      <c r="AQ668" t="s">
        <v>3171</v>
      </c>
      <c r="AV668" t="s">
        <v>4150</v>
      </c>
      <c r="AW668" t="s">
        <v>4149</v>
      </c>
      <c r="AZ668" t="s">
        <v>1265</v>
      </c>
      <c r="BA668">
        <v>0</v>
      </c>
      <c r="BB668">
        <v>0</v>
      </c>
      <c r="BJ668" s="30">
        <v>46069.518055555556</v>
      </c>
      <c r="BK668" s="30">
        <v>46093.73333333333</v>
      </c>
      <c r="BL668" t="s">
        <v>1259</v>
      </c>
      <c r="BM668" t="s">
        <v>1259</v>
      </c>
      <c r="BO668" t="s">
        <v>1265</v>
      </c>
    </row>
    <row r="669" spans="1:67" x14ac:dyDescent="0.25">
      <c r="A669" t="s">
        <v>1248</v>
      </c>
      <c r="B669">
        <v>352051</v>
      </c>
      <c r="C669">
        <v>405</v>
      </c>
      <c r="D669">
        <v>53303</v>
      </c>
      <c r="E669">
        <v>1117</v>
      </c>
      <c r="F669">
        <v>0</v>
      </c>
      <c r="G669" t="s">
        <v>1265</v>
      </c>
      <c r="H669">
        <v>1</v>
      </c>
      <c r="I669" t="s">
        <v>1265</v>
      </c>
      <c r="J669" t="s">
        <v>1265</v>
      </c>
      <c r="K669" t="s">
        <v>3191</v>
      </c>
      <c r="L669" t="s">
        <v>3176</v>
      </c>
      <c r="M669" t="s">
        <v>3190</v>
      </c>
      <c r="N669" t="s">
        <v>3174</v>
      </c>
      <c r="O669">
        <v>378</v>
      </c>
      <c r="P669" t="s">
        <v>4148</v>
      </c>
      <c r="R669">
        <v>378</v>
      </c>
      <c r="S669">
        <v>378</v>
      </c>
      <c r="T669">
        <v>8</v>
      </c>
      <c r="U669">
        <v>0</v>
      </c>
      <c r="V669">
        <v>0</v>
      </c>
      <c r="W669">
        <v>0</v>
      </c>
      <c r="X669">
        <v>8</v>
      </c>
      <c r="Y669">
        <v>0</v>
      </c>
      <c r="Z669">
        <v>0</v>
      </c>
      <c r="AA669">
        <v>0</v>
      </c>
      <c r="AE669" s="30">
        <v>45887.333333333336</v>
      </c>
      <c r="AF669" s="30">
        <v>45887.708333333336</v>
      </c>
      <c r="AH669" s="30">
        <v>45819.625</v>
      </c>
      <c r="AI669" s="30">
        <v>45820.625</v>
      </c>
      <c r="AJ669" s="30">
        <v>45819.625</v>
      </c>
      <c r="AK669" s="30">
        <v>45820.625</v>
      </c>
      <c r="AL669" s="30">
        <v>45819.625</v>
      </c>
      <c r="AM669" s="30">
        <v>45820.625</v>
      </c>
      <c r="AN669" s="30">
        <v>45887.333333333336</v>
      </c>
      <c r="AO669" s="30">
        <v>45887.708333333336</v>
      </c>
      <c r="AQ669" t="s">
        <v>3171</v>
      </c>
      <c r="AV669" t="e">
        <f>+LSo/Ub8Y0ycLYOEMPPSRQ</f>
        <v>#NAME?</v>
      </c>
      <c r="AW669" t="s">
        <v>4147</v>
      </c>
      <c r="AZ669" t="s">
        <v>1265</v>
      </c>
      <c r="BA669">
        <v>0</v>
      </c>
      <c r="BB669">
        <v>0</v>
      </c>
      <c r="BJ669" s="30">
        <v>46069.518055555556</v>
      </c>
      <c r="BK669" s="30">
        <v>46093.73333333333</v>
      </c>
      <c r="BL669" t="s">
        <v>1259</v>
      </c>
      <c r="BM669" t="s">
        <v>1259</v>
      </c>
      <c r="BO669" t="s">
        <v>1265</v>
      </c>
    </row>
    <row r="670" spans="1:67" x14ac:dyDescent="0.25">
      <c r="A670" t="s">
        <v>1248</v>
      </c>
      <c r="B670">
        <v>352052</v>
      </c>
      <c r="C670">
        <v>405</v>
      </c>
      <c r="D670">
        <v>53303</v>
      </c>
      <c r="E670">
        <v>1117</v>
      </c>
      <c r="F670">
        <v>0</v>
      </c>
      <c r="G670" t="s">
        <v>1265</v>
      </c>
      <c r="H670">
        <v>1</v>
      </c>
      <c r="I670" t="s">
        <v>1265</v>
      </c>
      <c r="J670" t="s">
        <v>1265</v>
      </c>
      <c r="K670" t="s">
        <v>3191</v>
      </c>
      <c r="L670" t="s">
        <v>3176</v>
      </c>
      <c r="M670" t="s">
        <v>3190</v>
      </c>
      <c r="N670" t="s">
        <v>3174</v>
      </c>
      <c r="O670">
        <v>388</v>
      </c>
      <c r="P670" t="s">
        <v>4146</v>
      </c>
      <c r="R670" t="s">
        <v>4145</v>
      </c>
      <c r="S670">
        <v>0</v>
      </c>
      <c r="T670">
        <v>15</v>
      </c>
      <c r="U670">
        <v>0</v>
      </c>
      <c r="V670">
        <v>0</v>
      </c>
      <c r="W670">
        <v>0</v>
      </c>
      <c r="X670">
        <v>15</v>
      </c>
      <c r="Y670">
        <v>0</v>
      </c>
      <c r="Z670">
        <v>0</v>
      </c>
      <c r="AA670">
        <v>0</v>
      </c>
      <c r="AE670" s="30">
        <v>45853.65</v>
      </c>
      <c r="AF670" s="30">
        <v>45855.60833333333</v>
      </c>
      <c r="AH670" s="30">
        <v>45791.666666666664</v>
      </c>
      <c r="AI670" s="30">
        <v>45793.625</v>
      </c>
      <c r="AJ670" s="30">
        <v>45791.666666666664</v>
      </c>
      <c r="AK670" s="30">
        <v>45793.625</v>
      </c>
      <c r="AL670" s="30">
        <v>45791.666666666664</v>
      </c>
      <c r="AM670" s="30">
        <v>45793.625</v>
      </c>
      <c r="AN670" s="30">
        <v>45853.65</v>
      </c>
      <c r="AO670" s="30">
        <v>45855.60833333333</v>
      </c>
      <c r="AQ670" t="s">
        <v>3171</v>
      </c>
      <c r="AV670" t="s">
        <v>4144</v>
      </c>
      <c r="AW670" t="s">
        <v>4143</v>
      </c>
      <c r="AZ670" t="s">
        <v>1265</v>
      </c>
      <c r="BA670">
        <v>0</v>
      </c>
      <c r="BB670">
        <v>0</v>
      </c>
      <c r="BJ670" s="30">
        <v>46069.518055555556</v>
      </c>
      <c r="BK670" s="30">
        <v>46093.73333333333</v>
      </c>
      <c r="BL670" t="s">
        <v>1259</v>
      </c>
      <c r="BM670" t="s">
        <v>1259</v>
      </c>
      <c r="BO670" t="s">
        <v>1265</v>
      </c>
    </row>
    <row r="671" spans="1:67" x14ac:dyDescent="0.25">
      <c r="A671" t="s">
        <v>1248</v>
      </c>
      <c r="B671">
        <v>352053</v>
      </c>
      <c r="C671">
        <v>405</v>
      </c>
      <c r="D671">
        <v>51466</v>
      </c>
      <c r="E671">
        <v>1117</v>
      </c>
      <c r="F671">
        <v>0</v>
      </c>
      <c r="G671" t="s">
        <v>1265</v>
      </c>
      <c r="H671">
        <v>1</v>
      </c>
      <c r="I671" t="s">
        <v>1265</v>
      </c>
      <c r="J671" t="s">
        <v>1265</v>
      </c>
      <c r="K671" t="s">
        <v>3191</v>
      </c>
      <c r="L671" t="s">
        <v>3176</v>
      </c>
      <c r="M671" t="s">
        <v>3190</v>
      </c>
      <c r="N671" t="s">
        <v>3174</v>
      </c>
      <c r="O671">
        <v>11</v>
      </c>
      <c r="P671" t="s">
        <v>4142</v>
      </c>
      <c r="R671">
        <v>368</v>
      </c>
      <c r="S671">
        <v>0</v>
      </c>
      <c r="T671">
        <v>23</v>
      </c>
      <c r="U671">
        <v>0</v>
      </c>
      <c r="V671">
        <v>0</v>
      </c>
      <c r="W671">
        <v>0</v>
      </c>
      <c r="X671">
        <v>23</v>
      </c>
      <c r="Y671">
        <v>0</v>
      </c>
      <c r="Z671">
        <v>0</v>
      </c>
      <c r="AA671">
        <v>0</v>
      </c>
      <c r="AE671" s="30">
        <v>45859.625</v>
      </c>
      <c r="AF671" s="30">
        <v>45862.583333333336</v>
      </c>
      <c r="AH671" s="30">
        <v>45793.625</v>
      </c>
      <c r="AI671" s="30">
        <v>45798.583333333336</v>
      </c>
      <c r="AJ671" s="30">
        <v>45793.625</v>
      </c>
      <c r="AK671" s="30">
        <v>45798.583333333336</v>
      </c>
      <c r="AL671" s="30">
        <v>45793.625</v>
      </c>
      <c r="AM671" s="30">
        <v>45798.583333333336</v>
      </c>
      <c r="AN671" s="30">
        <v>45859.625</v>
      </c>
      <c r="AO671" s="30">
        <v>45862.583333333336</v>
      </c>
      <c r="AQ671" t="s">
        <v>3171</v>
      </c>
      <c r="AV671" t="s">
        <v>4141</v>
      </c>
      <c r="AW671" t="s">
        <v>4140</v>
      </c>
      <c r="AZ671" t="s">
        <v>1265</v>
      </c>
      <c r="BA671">
        <v>0</v>
      </c>
      <c r="BB671">
        <v>0</v>
      </c>
      <c r="BJ671" s="30">
        <v>46069.518055555556</v>
      </c>
      <c r="BK671" s="30">
        <v>46093.73333333333</v>
      </c>
      <c r="BL671" t="s">
        <v>1259</v>
      </c>
      <c r="BM671" t="s">
        <v>1259</v>
      </c>
      <c r="BO671" t="s">
        <v>1265</v>
      </c>
    </row>
    <row r="672" spans="1:67" x14ac:dyDescent="0.25">
      <c r="A672" t="s">
        <v>1248</v>
      </c>
      <c r="B672">
        <v>352054</v>
      </c>
      <c r="C672">
        <v>405</v>
      </c>
      <c r="D672">
        <v>51466</v>
      </c>
      <c r="E672">
        <v>1117</v>
      </c>
      <c r="F672">
        <v>0</v>
      </c>
      <c r="G672" t="s">
        <v>1265</v>
      </c>
      <c r="H672">
        <v>1</v>
      </c>
      <c r="I672" t="s">
        <v>1265</v>
      </c>
      <c r="J672" t="s">
        <v>1265</v>
      </c>
      <c r="K672" t="s">
        <v>3191</v>
      </c>
      <c r="L672" t="s">
        <v>3176</v>
      </c>
      <c r="M672" t="s">
        <v>3190</v>
      </c>
      <c r="N672" t="s">
        <v>3174</v>
      </c>
      <c r="O672">
        <v>12</v>
      </c>
      <c r="P672" t="s">
        <v>4139</v>
      </c>
      <c r="R672">
        <v>368</v>
      </c>
      <c r="S672">
        <v>0</v>
      </c>
      <c r="T672">
        <v>7</v>
      </c>
      <c r="U672">
        <v>0</v>
      </c>
      <c r="V672">
        <v>0</v>
      </c>
      <c r="W672">
        <v>0</v>
      </c>
      <c r="X672">
        <v>7</v>
      </c>
      <c r="Y672">
        <v>0</v>
      </c>
      <c r="Z672">
        <v>0</v>
      </c>
      <c r="AA672">
        <v>0</v>
      </c>
      <c r="AE672" s="30">
        <v>45862.583333333336</v>
      </c>
      <c r="AF672" s="30">
        <v>45863.5</v>
      </c>
      <c r="AH672" s="30">
        <v>45798.583333333336</v>
      </c>
      <c r="AI672" s="30">
        <v>45799.5</v>
      </c>
      <c r="AJ672" s="30">
        <v>45798.583333333336</v>
      </c>
      <c r="AK672" s="30">
        <v>45799.5</v>
      </c>
      <c r="AL672" s="30">
        <v>45798.583333333336</v>
      </c>
      <c r="AM672" s="30">
        <v>45799.5</v>
      </c>
      <c r="AN672" s="30">
        <v>45862.583333333336</v>
      </c>
      <c r="AO672" s="30">
        <v>45863.5</v>
      </c>
      <c r="AQ672" t="s">
        <v>3171</v>
      </c>
      <c r="AV672" t="s">
        <v>4138</v>
      </c>
      <c r="AW672" t="s">
        <v>4137</v>
      </c>
      <c r="AZ672" t="s">
        <v>1265</v>
      </c>
      <c r="BA672">
        <v>0</v>
      </c>
      <c r="BB672">
        <v>0</v>
      </c>
      <c r="BJ672" s="30">
        <v>46069.518055555556</v>
      </c>
      <c r="BK672" s="30">
        <v>46093.73333333333</v>
      </c>
      <c r="BL672" t="s">
        <v>1259</v>
      </c>
      <c r="BM672" t="s">
        <v>1259</v>
      </c>
      <c r="BO672" t="s">
        <v>1265</v>
      </c>
    </row>
    <row r="673" spans="1:67" x14ac:dyDescent="0.25">
      <c r="A673" t="s">
        <v>1248</v>
      </c>
      <c r="B673">
        <v>352055</v>
      </c>
      <c r="C673">
        <v>405</v>
      </c>
      <c r="D673">
        <v>51466</v>
      </c>
      <c r="E673">
        <v>1117</v>
      </c>
      <c r="F673">
        <v>0</v>
      </c>
      <c r="G673" t="s">
        <v>1265</v>
      </c>
      <c r="H673">
        <v>1</v>
      </c>
      <c r="I673" t="s">
        <v>1265</v>
      </c>
      <c r="J673" t="s">
        <v>1265</v>
      </c>
      <c r="K673" t="s">
        <v>3191</v>
      </c>
      <c r="L673" t="s">
        <v>3176</v>
      </c>
      <c r="M673" t="s">
        <v>3190</v>
      </c>
      <c r="N673" t="s">
        <v>3174</v>
      </c>
      <c r="O673">
        <v>13</v>
      </c>
      <c r="P673" t="s">
        <v>4136</v>
      </c>
      <c r="R673">
        <v>368</v>
      </c>
      <c r="S673">
        <v>0</v>
      </c>
      <c r="T673">
        <v>15</v>
      </c>
      <c r="U673">
        <v>0</v>
      </c>
      <c r="V673">
        <v>0</v>
      </c>
      <c r="W673">
        <v>0</v>
      </c>
      <c r="X673">
        <v>15</v>
      </c>
      <c r="Y673">
        <v>0</v>
      </c>
      <c r="Z673">
        <v>0</v>
      </c>
      <c r="AA673">
        <v>0</v>
      </c>
      <c r="AE673" s="30">
        <v>45863.541666666664</v>
      </c>
      <c r="AF673" s="30">
        <v>45867.458333333336</v>
      </c>
      <c r="AH673" s="30">
        <v>45799.541666666664</v>
      </c>
      <c r="AI673" s="30">
        <v>45803.458333333336</v>
      </c>
      <c r="AJ673" s="30">
        <v>45799.541666666664</v>
      </c>
      <c r="AK673" s="30">
        <v>45803.458333333336</v>
      </c>
      <c r="AL673" s="30">
        <v>45799.541666666664</v>
      </c>
      <c r="AM673" s="30">
        <v>45803.458333333336</v>
      </c>
      <c r="AN673" s="30">
        <v>45863.541666666664</v>
      </c>
      <c r="AO673" s="30">
        <v>45867.458333333336</v>
      </c>
      <c r="AQ673" t="s">
        <v>3171</v>
      </c>
      <c r="AV673" t="s">
        <v>4135</v>
      </c>
      <c r="AW673" t="s">
        <v>4134</v>
      </c>
      <c r="AZ673" t="s">
        <v>1265</v>
      </c>
      <c r="BA673">
        <v>0</v>
      </c>
      <c r="BB673">
        <v>0</v>
      </c>
      <c r="BJ673" s="30">
        <v>46069.518055555556</v>
      </c>
      <c r="BK673" s="30">
        <v>46093.73333333333</v>
      </c>
      <c r="BL673" t="s">
        <v>1259</v>
      </c>
      <c r="BM673" t="s">
        <v>1259</v>
      </c>
      <c r="BO673" t="s">
        <v>1265</v>
      </c>
    </row>
    <row r="674" spans="1:67" x14ac:dyDescent="0.25">
      <c r="A674" t="s">
        <v>1248</v>
      </c>
      <c r="B674">
        <v>352056</v>
      </c>
      <c r="C674">
        <v>405</v>
      </c>
      <c r="D674">
        <v>51466</v>
      </c>
      <c r="E674">
        <v>1117</v>
      </c>
      <c r="F674">
        <v>0</v>
      </c>
      <c r="G674" t="s">
        <v>1265</v>
      </c>
      <c r="H674">
        <v>1</v>
      </c>
      <c r="I674" t="s">
        <v>1265</v>
      </c>
      <c r="J674" t="s">
        <v>1265</v>
      </c>
      <c r="K674" t="s">
        <v>3191</v>
      </c>
      <c r="L674" t="s">
        <v>3176</v>
      </c>
      <c r="M674" t="s">
        <v>3190</v>
      </c>
      <c r="N674" t="s">
        <v>3174</v>
      </c>
      <c r="O674">
        <v>398</v>
      </c>
      <c r="P674" t="s">
        <v>4133</v>
      </c>
      <c r="R674">
        <v>368</v>
      </c>
      <c r="S674">
        <v>0</v>
      </c>
      <c r="T674">
        <v>31</v>
      </c>
      <c r="U674">
        <v>0</v>
      </c>
      <c r="V674">
        <v>0</v>
      </c>
      <c r="W674">
        <v>0</v>
      </c>
      <c r="X674">
        <v>31</v>
      </c>
      <c r="Y674">
        <v>0</v>
      </c>
      <c r="Z674">
        <v>0</v>
      </c>
      <c r="AA674">
        <v>0</v>
      </c>
      <c r="AE674" s="30">
        <v>45867.458333333336</v>
      </c>
      <c r="AF674" s="30">
        <v>45873.416666666664</v>
      </c>
      <c r="AH674" s="30">
        <v>45803.458333333336</v>
      </c>
      <c r="AI674" s="30">
        <v>45807.416666666664</v>
      </c>
      <c r="AJ674" s="30">
        <v>45803.458333333336</v>
      </c>
      <c r="AK674" s="30">
        <v>45807.416666666664</v>
      </c>
      <c r="AL674" s="30">
        <v>45803.458333333336</v>
      </c>
      <c r="AM674" s="30">
        <v>45807.416666666664</v>
      </c>
      <c r="AN674" s="30">
        <v>45867.458333333336</v>
      </c>
      <c r="AO674" s="30">
        <v>45873.416666666664</v>
      </c>
      <c r="AQ674" t="s">
        <v>3171</v>
      </c>
      <c r="AV674" t="s">
        <v>4132</v>
      </c>
      <c r="AW674" t="s">
        <v>4131</v>
      </c>
      <c r="AZ674" t="s">
        <v>1265</v>
      </c>
      <c r="BA674">
        <v>0</v>
      </c>
      <c r="BB674">
        <v>0</v>
      </c>
      <c r="BJ674" s="30">
        <v>46069.518055555556</v>
      </c>
      <c r="BK674" s="30">
        <v>46093.73333333333</v>
      </c>
      <c r="BL674" t="s">
        <v>1259</v>
      </c>
      <c r="BM674" t="s">
        <v>1259</v>
      </c>
      <c r="BO674" t="s">
        <v>1265</v>
      </c>
    </row>
    <row r="675" spans="1:67" x14ac:dyDescent="0.25">
      <c r="A675" t="s">
        <v>1248</v>
      </c>
      <c r="B675">
        <v>352057</v>
      </c>
      <c r="C675">
        <v>405</v>
      </c>
      <c r="D675">
        <v>51466</v>
      </c>
      <c r="E675">
        <v>1117</v>
      </c>
      <c r="F675">
        <v>0</v>
      </c>
      <c r="G675" t="s">
        <v>1265</v>
      </c>
      <c r="H675">
        <v>1</v>
      </c>
      <c r="I675" t="s">
        <v>1265</v>
      </c>
      <c r="J675" t="s">
        <v>1265</v>
      </c>
      <c r="K675" t="s">
        <v>3191</v>
      </c>
      <c r="L675" t="s">
        <v>3176</v>
      </c>
      <c r="M675" t="s">
        <v>3190</v>
      </c>
      <c r="N675" t="s">
        <v>3174</v>
      </c>
      <c r="O675">
        <v>408</v>
      </c>
      <c r="P675" t="s">
        <v>4130</v>
      </c>
      <c r="R675">
        <v>368</v>
      </c>
      <c r="S675">
        <v>0</v>
      </c>
      <c r="T675">
        <v>47</v>
      </c>
      <c r="U675">
        <v>0</v>
      </c>
      <c r="V675">
        <v>0</v>
      </c>
      <c r="W675">
        <v>0</v>
      </c>
      <c r="X675">
        <v>47</v>
      </c>
      <c r="Y675">
        <v>0</v>
      </c>
      <c r="Z675">
        <v>0</v>
      </c>
      <c r="AA675">
        <v>0</v>
      </c>
      <c r="AE675" s="30">
        <v>45873.416666666664</v>
      </c>
      <c r="AF675" s="30">
        <v>45881.375</v>
      </c>
      <c r="AH675" s="30">
        <v>45807.416666666664</v>
      </c>
      <c r="AI675" s="30">
        <v>45817.375</v>
      </c>
      <c r="AJ675" s="30">
        <v>45807.416666666664</v>
      </c>
      <c r="AK675" s="30">
        <v>45817.375</v>
      </c>
      <c r="AL675" s="30">
        <v>45807.416666666664</v>
      </c>
      <c r="AM675" s="30">
        <v>45817.375</v>
      </c>
      <c r="AN675" s="30">
        <v>45873.416666666664</v>
      </c>
      <c r="AO675" s="30">
        <v>45881.375</v>
      </c>
      <c r="AQ675" t="s">
        <v>3171</v>
      </c>
      <c r="AV675" t="s">
        <v>4129</v>
      </c>
      <c r="AW675" t="s">
        <v>4128</v>
      </c>
      <c r="AZ675" t="s">
        <v>1265</v>
      </c>
      <c r="BA675">
        <v>0</v>
      </c>
      <c r="BB675">
        <v>0</v>
      </c>
      <c r="BJ675" s="30">
        <v>46069.518055555556</v>
      </c>
      <c r="BK675" s="30">
        <v>46093.73333333333</v>
      </c>
      <c r="BL675" t="s">
        <v>1259</v>
      </c>
      <c r="BM675" t="s">
        <v>1259</v>
      </c>
      <c r="BO675" t="s">
        <v>1265</v>
      </c>
    </row>
    <row r="676" spans="1:67" x14ac:dyDescent="0.25">
      <c r="A676" t="s">
        <v>1248</v>
      </c>
      <c r="B676">
        <v>352058</v>
      </c>
      <c r="C676">
        <v>405</v>
      </c>
      <c r="D676">
        <v>53303</v>
      </c>
      <c r="E676">
        <v>1117</v>
      </c>
      <c r="F676">
        <v>0</v>
      </c>
      <c r="G676" t="s">
        <v>1265</v>
      </c>
      <c r="H676">
        <v>1</v>
      </c>
      <c r="I676" t="s">
        <v>1265</v>
      </c>
      <c r="J676" t="s">
        <v>1265</v>
      </c>
      <c r="K676" t="s">
        <v>3191</v>
      </c>
      <c r="L676" t="s">
        <v>3176</v>
      </c>
      <c r="M676" t="s">
        <v>3190</v>
      </c>
      <c r="N676" t="s">
        <v>3174</v>
      </c>
      <c r="O676">
        <v>16</v>
      </c>
      <c r="P676" t="s">
        <v>4127</v>
      </c>
      <c r="R676">
        <v>368</v>
      </c>
      <c r="S676">
        <v>14</v>
      </c>
      <c r="T676">
        <v>7</v>
      </c>
      <c r="U676">
        <v>0</v>
      </c>
      <c r="V676">
        <v>0</v>
      </c>
      <c r="W676">
        <v>0</v>
      </c>
      <c r="X676">
        <v>7</v>
      </c>
      <c r="Y676">
        <v>0</v>
      </c>
      <c r="Z676">
        <v>0</v>
      </c>
      <c r="AA676">
        <v>0</v>
      </c>
      <c r="AE676" s="30">
        <v>45881.375</v>
      </c>
      <c r="AF676" s="30">
        <v>45881.708333333336</v>
      </c>
      <c r="AH676" s="30">
        <v>45817.375</v>
      </c>
      <c r="AI676" s="30">
        <v>45817.708333333336</v>
      </c>
      <c r="AJ676" s="30">
        <v>45817.375</v>
      </c>
      <c r="AK676" s="30">
        <v>45817.708333333336</v>
      </c>
      <c r="AL676" s="30">
        <v>45817.375</v>
      </c>
      <c r="AM676" s="30">
        <v>45817.708333333336</v>
      </c>
      <c r="AN676" s="30">
        <v>45881.375</v>
      </c>
      <c r="AO676" s="30">
        <v>45881.708333333336</v>
      </c>
      <c r="AQ676" t="s">
        <v>3171</v>
      </c>
      <c r="AV676" t="s">
        <v>4126</v>
      </c>
      <c r="AW676" t="s">
        <v>4125</v>
      </c>
      <c r="AZ676" t="s">
        <v>1265</v>
      </c>
      <c r="BA676">
        <v>0</v>
      </c>
      <c r="BB676">
        <v>0</v>
      </c>
      <c r="BJ676" s="30">
        <v>46069.518055555556</v>
      </c>
      <c r="BK676" s="30">
        <v>46093.73333333333</v>
      </c>
      <c r="BL676" t="s">
        <v>1259</v>
      </c>
      <c r="BM676" t="s">
        <v>1259</v>
      </c>
      <c r="BO676" t="s">
        <v>1265</v>
      </c>
    </row>
    <row r="677" spans="1:67" x14ac:dyDescent="0.25">
      <c r="A677" t="s">
        <v>1248</v>
      </c>
      <c r="B677">
        <v>352059</v>
      </c>
      <c r="C677">
        <v>405</v>
      </c>
      <c r="D677">
        <v>53303</v>
      </c>
      <c r="E677">
        <v>1117</v>
      </c>
      <c r="F677">
        <v>0</v>
      </c>
      <c r="G677" t="s">
        <v>1265</v>
      </c>
      <c r="H677">
        <v>1</v>
      </c>
      <c r="I677" t="s">
        <v>1265</v>
      </c>
      <c r="J677" t="s">
        <v>1265</v>
      </c>
      <c r="K677" t="s">
        <v>3191</v>
      </c>
      <c r="L677" t="s">
        <v>3176</v>
      </c>
      <c r="M677" t="s">
        <v>3190</v>
      </c>
      <c r="N677" t="s">
        <v>3174</v>
      </c>
      <c r="O677">
        <v>418</v>
      </c>
      <c r="P677" t="s">
        <v>4124</v>
      </c>
      <c r="R677">
        <v>351</v>
      </c>
      <c r="S677">
        <v>0</v>
      </c>
      <c r="T677">
        <v>15</v>
      </c>
      <c r="U677">
        <v>0</v>
      </c>
      <c r="V677">
        <v>0</v>
      </c>
      <c r="W677">
        <v>0</v>
      </c>
      <c r="X677">
        <v>15</v>
      </c>
      <c r="Y677">
        <v>0</v>
      </c>
      <c r="Z677">
        <v>0</v>
      </c>
      <c r="AA677">
        <v>0</v>
      </c>
      <c r="AE677" s="30">
        <v>45849.666666666664</v>
      </c>
      <c r="AF677" s="30">
        <v>45853.625</v>
      </c>
      <c r="AH677" s="30">
        <v>45790.333333333336</v>
      </c>
      <c r="AI677" s="30">
        <v>45791.666666666664</v>
      </c>
      <c r="AJ677" s="30">
        <v>45790.333333333336</v>
      </c>
      <c r="AK677" s="30">
        <v>45791.666666666664</v>
      </c>
      <c r="AL677" s="30">
        <v>45790.333333333336</v>
      </c>
      <c r="AM677" s="30">
        <v>45791.666666666664</v>
      </c>
      <c r="AN677" s="30">
        <v>45849.666666666664</v>
      </c>
      <c r="AO677" s="30">
        <v>45853.625</v>
      </c>
      <c r="AQ677" t="s">
        <v>3171</v>
      </c>
      <c r="AV677" t="s">
        <v>4123</v>
      </c>
      <c r="AW677" t="s">
        <v>4122</v>
      </c>
      <c r="AZ677" t="s">
        <v>1265</v>
      </c>
      <c r="BA677">
        <v>0</v>
      </c>
      <c r="BB677">
        <v>0</v>
      </c>
      <c r="BJ677" s="30">
        <v>46069.518055555556</v>
      </c>
      <c r="BK677" s="30">
        <v>46093.73333333333</v>
      </c>
      <c r="BL677" t="s">
        <v>1259</v>
      </c>
      <c r="BM677" t="s">
        <v>1259</v>
      </c>
      <c r="BO677" t="s">
        <v>1265</v>
      </c>
    </row>
    <row r="678" spans="1:67" x14ac:dyDescent="0.25">
      <c r="A678" t="s">
        <v>1248</v>
      </c>
      <c r="B678">
        <v>352060</v>
      </c>
      <c r="C678">
        <v>405</v>
      </c>
      <c r="D678">
        <v>51467</v>
      </c>
      <c r="E678">
        <v>1117</v>
      </c>
      <c r="F678">
        <v>0</v>
      </c>
      <c r="G678" t="s">
        <v>1265</v>
      </c>
      <c r="H678">
        <v>1</v>
      </c>
      <c r="I678" t="s">
        <v>1265</v>
      </c>
      <c r="J678" t="s">
        <v>1265</v>
      </c>
      <c r="K678" t="s">
        <v>3191</v>
      </c>
      <c r="L678" t="s">
        <v>3176</v>
      </c>
      <c r="M678" t="s">
        <v>3190</v>
      </c>
      <c r="N678" t="s">
        <v>3174</v>
      </c>
      <c r="O678">
        <v>428</v>
      </c>
      <c r="P678" t="s">
        <v>4121</v>
      </c>
      <c r="R678">
        <v>351</v>
      </c>
      <c r="S678">
        <v>0</v>
      </c>
      <c r="T678">
        <v>23</v>
      </c>
      <c r="U678">
        <v>0</v>
      </c>
      <c r="V678">
        <v>0</v>
      </c>
      <c r="W678">
        <v>0</v>
      </c>
      <c r="X678">
        <v>23</v>
      </c>
      <c r="Y678">
        <v>0</v>
      </c>
      <c r="Z678">
        <v>0</v>
      </c>
      <c r="AA678">
        <v>0</v>
      </c>
      <c r="AE678" s="30">
        <v>45853.625</v>
      </c>
      <c r="AF678" s="30">
        <v>45856.583333333336</v>
      </c>
      <c r="AH678" s="30">
        <v>45791.666666666664</v>
      </c>
      <c r="AI678" s="30">
        <v>45796.625</v>
      </c>
      <c r="AJ678" s="30">
        <v>45791.666666666664</v>
      </c>
      <c r="AK678" s="30">
        <v>45796.625</v>
      </c>
      <c r="AL678" s="30">
        <v>45791.666666666664</v>
      </c>
      <c r="AM678" s="30">
        <v>45796.625</v>
      </c>
      <c r="AN678" s="30">
        <v>45853.625</v>
      </c>
      <c r="AO678" s="30">
        <v>45856.583333333336</v>
      </c>
      <c r="AQ678" t="s">
        <v>3171</v>
      </c>
      <c r="AV678" t="s">
        <v>4120</v>
      </c>
      <c r="AW678" t="s">
        <v>4119</v>
      </c>
      <c r="AZ678" t="s">
        <v>1265</v>
      </c>
      <c r="BA678">
        <v>0</v>
      </c>
      <c r="BB678">
        <v>0</v>
      </c>
      <c r="BJ678" s="30">
        <v>46069.518055555556</v>
      </c>
      <c r="BK678" s="30">
        <v>46093.73333333333</v>
      </c>
      <c r="BL678" t="s">
        <v>1259</v>
      </c>
      <c r="BM678" t="s">
        <v>1259</v>
      </c>
      <c r="BO678" t="s">
        <v>1265</v>
      </c>
    </row>
    <row r="679" spans="1:67" x14ac:dyDescent="0.25">
      <c r="A679" t="s">
        <v>1248</v>
      </c>
      <c r="B679">
        <v>352061</v>
      </c>
      <c r="C679">
        <v>405</v>
      </c>
      <c r="D679">
        <v>51467</v>
      </c>
      <c r="E679">
        <v>1117</v>
      </c>
      <c r="F679">
        <v>0</v>
      </c>
      <c r="G679" t="s">
        <v>1265</v>
      </c>
      <c r="H679">
        <v>1</v>
      </c>
      <c r="I679" t="s">
        <v>1265</v>
      </c>
      <c r="J679" t="s">
        <v>1265</v>
      </c>
      <c r="K679" t="s">
        <v>3191</v>
      </c>
      <c r="L679" t="s">
        <v>3176</v>
      </c>
      <c r="M679" t="s">
        <v>3190</v>
      </c>
      <c r="N679" t="s">
        <v>3174</v>
      </c>
      <c r="O679">
        <v>20</v>
      </c>
      <c r="P679" t="s">
        <v>4118</v>
      </c>
      <c r="R679">
        <v>351</v>
      </c>
      <c r="S679">
        <v>0</v>
      </c>
      <c r="T679">
        <v>7</v>
      </c>
      <c r="U679">
        <v>0</v>
      </c>
      <c r="V679">
        <v>0</v>
      </c>
      <c r="W679">
        <v>0</v>
      </c>
      <c r="X679">
        <v>7</v>
      </c>
      <c r="Y679">
        <v>0</v>
      </c>
      <c r="Z679">
        <v>0</v>
      </c>
      <c r="AA679">
        <v>0</v>
      </c>
      <c r="AE679" s="30">
        <v>45856.583333333336</v>
      </c>
      <c r="AF679" s="30">
        <v>45859.5</v>
      </c>
      <c r="AH679" s="30">
        <v>45796.625</v>
      </c>
      <c r="AI679" s="30">
        <v>45797.583333333336</v>
      </c>
      <c r="AJ679" s="30">
        <v>45796.625</v>
      </c>
      <c r="AK679" s="30">
        <v>45797.583333333336</v>
      </c>
      <c r="AL679" s="30">
        <v>45796.625</v>
      </c>
      <c r="AM679" s="30">
        <v>45797.583333333336</v>
      </c>
      <c r="AN679" s="30">
        <v>45856.583333333336</v>
      </c>
      <c r="AO679" s="30">
        <v>45859.5</v>
      </c>
      <c r="AQ679" t="s">
        <v>3171</v>
      </c>
      <c r="AV679" t="s">
        <v>4117</v>
      </c>
      <c r="AW679" t="s">
        <v>4116</v>
      </c>
      <c r="AZ679" t="s">
        <v>1265</v>
      </c>
      <c r="BA679">
        <v>0</v>
      </c>
      <c r="BB679">
        <v>0</v>
      </c>
      <c r="BJ679" s="30">
        <v>46069.518055555556</v>
      </c>
      <c r="BK679" s="30">
        <v>46093.73333333333</v>
      </c>
      <c r="BL679" t="s">
        <v>1259</v>
      </c>
      <c r="BM679" t="s">
        <v>1259</v>
      </c>
      <c r="BO679" t="s">
        <v>1265</v>
      </c>
    </row>
    <row r="680" spans="1:67" x14ac:dyDescent="0.25">
      <c r="A680" t="s">
        <v>1248</v>
      </c>
      <c r="B680">
        <v>352062</v>
      </c>
      <c r="C680">
        <v>405</v>
      </c>
      <c r="D680">
        <v>51467</v>
      </c>
      <c r="E680">
        <v>1117</v>
      </c>
      <c r="F680">
        <v>0</v>
      </c>
      <c r="G680" t="s">
        <v>1265</v>
      </c>
      <c r="H680">
        <v>1</v>
      </c>
      <c r="I680" t="s">
        <v>1265</v>
      </c>
      <c r="J680" t="s">
        <v>1265</v>
      </c>
      <c r="K680" t="s">
        <v>3191</v>
      </c>
      <c r="L680" t="s">
        <v>3176</v>
      </c>
      <c r="M680" t="s">
        <v>3190</v>
      </c>
      <c r="N680" t="s">
        <v>3174</v>
      </c>
      <c r="O680">
        <v>438</v>
      </c>
      <c r="P680" t="s">
        <v>4115</v>
      </c>
      <c r="R680">
        <v>351</v>
      </c>
      <c r="S680">
        <v>0</v>
      </c>
      <c r="T680">
        <v>15</v>
      </c>
      <c r="U680">
        <v>0</v>
      </c>
      <c r="V680">
        <v>0</v>
      </c>
      <c r="W680">
        <v>0</v>
      </c>
      <c r="X680">
        <v>15</v>
      </c>
      <c r="Y680">
        <v>0</v>
      </c>
      <c r="Z680">
        <v>0</v>
      </c>
      <c r="AA680">
        <v>0</v>
      </c>
      <c r="AE680" s="30">
        <v>45859.541666666664</v>
      </c>
      <c r="AF680" s="30">
        <v>45861.458333333336</v>
      </c>
      <c r="AH680" s="30">
        <v>45797.583333333336</v>
      </c>
      <c r="AI680" s="30">
        <v>45799.5</v>
      </c>
      <c r="AJ680" s="30">
        <v>45797.583333333336</v>
      </c>
      <c r="AK680" s="30">
        <v>45799.5</v>
      </c>
      <c r="AL680" s="30">
        <v>45797.583333333336</v>
      </c>
      <c r="AM680" s="30">
        <v>45799.5</v>
      </c>
      <c r="AN680" s="30">
        <v>45859.541666666664</v>
      </c>
      <c r="AO680" s="30">
        <v>45861.458333333336</v>
      </c>
      <c r="AQ680" t="s">
        <v>3171</v>
      </c>
      <c r="AV680" t="s">
        <v>4114</v>
      </c>
      <c r="AW680" t="s">
        <v>4113</v>
      </c>
      <c r="AZ680" t="s">
        <v>1265</v>
      </c>
      <c r="BA680">
        <v>0</v>
      </c>
      <c r="BB680">
        <v>0</v>
      </c>
      <c r="BJ680" s="30">
        <v>46069.518055555556</v>
      </c>
      <c r="BK680" s="30">
        <v>46093.73333333333</v>
      </c>
      <c r="BL680" t="s">
        <v>1259</v>
      </c>
      <c r="BM680" t="s">
        <v>1259</v>
      </c>
      <c r="BO680" t="s">
        <v>1265</v>
      </c>
    </row>
    <row r="681" spans="1:67" x14ac:dyDescent="0.25">
      <c r="A681" t="s">
        <v>1248</v>
      </c>
      <c r="B681">
        <v>352063</v>
      </c>
      <c r="C681">
        <v>405</v>
      </c>
      <c r="D681">
        <v>51467</v>
      </c>
      <c r="E681">
        <v>1117</v>
      </c>
      <c r="F681">
        <v>0</v>
      </c>
      <c r="G681" t="s">
        <v>1265</v>
      </c>
      <c r="H681">
        <v>1</v>
      </c>
      <c r="I681" t="s">
        <v>1265</v>
      </c>
      <c r="J681" t="s">
        <v>1265</v>
      </c>
      <c r="K681" t="s">
        <v>3191</v>
      </c>
      <c r="L681" t="s">
        <v>3176</v>
      </c>
      <c r="M681" t="s">
        <v>3190</v>
      </c>
      <c r="N681" t="s">
        <v>3174</v>
      </c>
      <c r="O681">
        <v>448</v>
      </c>
      <c r="P681" t="s">
        <v>4112</v>
      </c>
      <c r="R681">
        <v>351</v>
      </c>
      <c r="S681">
        <v>0</v>
      </c>
      <c r="T681">
        <v>31</v>
      </c>
      <c r="U681">
        <v>0</v>
      </c>
      <c r="V681">
        <v>0</v>
      </c>
      <c r="W681">
        <v>0</v>
      </c>
      <c r="X681">
        <v>31</v>
      </c>
      <c r="Y681">
        <v>0</v>
      </c>
      <c r="Z681">
        <v>0</v>
      </c>
      <c r="AA681">
        <v>0</v>
      </c>
      <c r="AE681" s="30">
        <v>45861.458333333336</v>
      </c>
      <c r="AF681" s="30">
        <v>45867.416666666664</v>
      </c>
      <c r="AH681" s="30">
        <v>45799.541666666664</v>
      </c>
      <c r="AI681" s="30">
        <v>45805.458333333336</v>
      </c>
      <c r="AJ681" s="30">
        <v>45799.541666666664</v>
      </c>
      <c r="AK681" s="30">
        <v>45805.458333333336</v>
      </c>
      <c r="AL681" s="30">
        <v>45799.541666666664</v>
      </c>
      <c r="AM681" s="30">
        <v>45805.458333333336</v>
      </c>
      <c r="AN681" s="30">
        <v>45861.458333333336</v>
      </c>
      <c r="AO681" s="30">
        <v>45867.416666666664</v>
      </c>
      <c r="AQ681" t="s">
        <v>3171</v>
      </c>
      <c r="AV681" t="s">
        <v>4111</v>
      </c>
      <c r="AW681" t="s">
        <v>4110</v>
      </c>
      <c r="AZ681" t="s">
        <v>1265</v>
      </c>
      <c r="BA681">
        <v>0</v>
      </c>
      <c r="BB681">
        <v>0</v>
      </c>
      <c r="BJ681" s="30">
        <v>46069.518055555556</v>
      </c>
      <c r="BK681" s="30">
        <v>46093.73333333333</v>
      </c>
      <c r="BL681" t="s">
        <v>1259</v>
      </c>
      <c r="BM681" t="s">
        <v>1259</v>
      </c>
      <c r="BO681" t="s">
        <v>1265</v>
      </c>
    </row>
    <row r="682" spans="1:67" x14ac:dyDescent="0.25">
      <c r="A682" t="s">
        <v>1248</v>
      </c>
      <c r="B682">
        <v>352064</v>
      </c>
      <c r="C682">
        <v>405</v>
      </c>
      <c r="D682">
        <v>51467</v>
      </c>
      <c r="E682">
        <v>1117</v>
      </c>
      <c r="F682">
        <v>0</v>
      </c>
      <c r="G682" t="s">
        <v>1265</v>
      </c>
      <c r="H682">
        <v>1</v>
      </c>
      <c r="I682" t="s">
        <v>1265</v>
      </c>
      <c r="J682" t="s">
        <v>1265</v>
      </c>
      <c r="K682" t="s">
        <v>3191</v>
      </c>
      <c r="L682" t="s">
        <v>3176</v>
      </c>
      <c r="M682" t="s">
        <v>3190</v>
      </c>
      <c r="N682" t="s">
        <v>3174</v>
      </c>
      <c r="O682">
        <v>23</v>
      </c>
      <c r="P682" t="s">
        <v>4109</v>
      </c>
      <c r="R682">
        <v>351</v>
      </c>
      <c r="S682">
        <v>0</v>
      </c>
      <c r="T682">
        <v>47</v>
      </c>
      <c r="U682">
        <v>0</v>
      </c>
      <c r="V682">
        <v>0</v>
      </c>
      <c r="W682">
        <v>0</v>
      </c>
      <c r="X682">
        <v>47</v>
      </c>
      <c r="Y682">
        <v>0</v>
      </c>
      <c r="Z682">
        <v>0</v>
      </c>
      <c r="AA682">
        <v>0</v>
      </c>
      <c r="AE682" s="30">
        <v>45867.416666666664</v>
      </c>
      <c r="AF682" s="30">
        <v>45875.375</v>
      </c>
      <c r="AH682" s="30">
        <v>45805.458333333336</v>
      </c>
      <c r="AI682" s="30">
        <v>45813.416666666664</v>
      </c>
      <c r="AJ682" s="30">
        <v>45805.458333333336</v>
      </c>
      <c r="AK682" s="30">
        <v>45813.416666666664</v>
      </c>
      <c r="AL682" s="30">
        <v>45805.458333333336</v>
      </c>
      <c r="AM682" s="30">
        <v>45813.416666666664</v>
      </c>
      <c r="AN682" s="30">
        <v>45867.416666666664</v>
      </c>
      <c r="AO682" s="30">
        <v>45875.375</v>
      </c>
      <c r="AQ682" t="s">
        <v>3171</v>
      </c>
      <c r="AV682" t="s">
        <v>4108</v>
      </c>
      <c r="AW682" t="s">
        <v>4107</v>
      </c>
      <c r="AZ682" t="s">
        <v>1265</v>
      </c>
      <c r="BA682">
        <v>0</v>
      </c>
      <c r="BB682">
        <v>0</v>
      </c>
      <c r="BJ682" s="30">
        <v>46069.518055555556</v>
      </c>
      <c r="BK682" s="30">
        <v>46093.73333333333</v>
      </c>
      <c r="BL682" t="s">
        <v>1259</v>
      </c>
      <c r="BM682" t="s">
        <v>1259</v>
      </c>
      <c r="BO682" t="s">
        <v>1265</v>
      </c>
    </row>
    <row r="683" spans="1:67" x14ac:dyDescent="0.25">
      <c r="A683" t="s">
        <v>1248</v>
      </c>
      <c r="B683">
        <v>352065</v>
      </c>
      <c r="C683">
        <v>405</v>
      </c>
      <c r="D683">
        <v>53303</v>
      </c>
      <c r="E683">
        <v>1117</v>
      </c>
      <c r="F683">
        <v>0</v>
      </c>
      <c r="G683" t="s">
        <v>1265</v>
      </c>
      <c r="H683">
        <v>1</v>
      </c>
      <c r="I683" t="s">
        <v>1265</v>
      </c>
      <c r="J683" t="s">
        <v>1265</v>
      </c>
      <c r="K683" t="s">
        <v>3191</v>
      </c>
      <c r="L683" t="s">
        <v>3176</v>
      </c>
      <c r="M683" t="s">
        <v>3190</v>
      </c>
      <c r="N683" t="s">
        <v>3174</v>
      </c>
      <c r="O683">
        <v>458</v>
      </c>
      <c r="P683" t="s">
        <v>4106</v>
      </c>
      <c r="R683">
        <v>351</v>
      </c>
      <c r="S683">
        <v>8</v>
      </c>
      <c r="T683">
        <v>7</v>
      </c>
      <c r="U683">
        <v>0</v>
      </c>
      <c r="V683">
        <v>0</v>
      </c>
      <c r="W683">
        <v>0</v>
      </c>
      <c r="X683">
        <v>7</v>
      </c>
      <c r="Y683">
        <v>0</v>
      </c>
      <c r="Z683">
        <v>0</v>
      </c>
      <c r="AA683">
        <v>0</v>
      </c>
      <c r="AE683" s="30">
        <v>45875.375</v>
      </c>
      <c r="AF683" s="30">
        <v>45875.708333333336</v>
      </c>
      <c r="AH683" s="30">
        <v>45813.416666666664</v>
      </c>
      <c r="AI683" s="30">
        <v>45814.375</v>
      </c>
      <c r="AJ683" s="30">
        <v>45813.416666666664</v>
      </c>
      <c r="AK683" s="30">
        <v>45814.375</v>
      </c>
      <c r="AL683" s="30">
        <v>45813.416666666664</v>
      </c>
      <c r="AM683" s="30">
        <v>45814.375</v>
      </c>
      <c r="AN683" s="30">
        <v>45875.375</v>
      </c>
      <c r="AO683" s="30">
        <v>45875.708333333336</v>
      </c>
      <c r="AQ683" t="s">
        <v>3171</v>
      </c>
      <c r="AV683" t="s">
        <v>4105</v>
      </c>
      <c r="AW683" t="s">
        <v>4104</v>
      </c>
      <c r="AZ683" t="s">
        <v>1265</v>
      </c>
      <c r="BA683">
        <v>0</v>
      </c>
      <c r="BB683">
        <v>0</v>
      </c>
      <c r="BJ683" s="30">
        <v>46069.518055555556</v>
      </c>
      <c r="BK683" s="30">
        <v>46093.73333333333</v>
      </c>
      <c r="BL683" t="s">
        <v>1259</v>
      </c>
      <c r="BM683" t="s">
        <v>1259</v>
      </c>
      <c r="BO683" t="s">
        <v>1265</v>
      </c>
    </row>
    <row r="684" spans="1:67" x14ac:dyDescent="0.25">
      <c r="A684" t="s">
        <v>1248</v>
      </c>
      <c r="B684">
        <v>352066</v>
      </c>
      <c r="C684">
        <v>405</v>
      </c>
      <c r="D684">
        <v>53303</v>
      </c>
      <c r="E684">
        <v>1117</v>
      </c>
      <c r="F684">
        <v>0</v>
      </c>
      <c r="G684" t="s">
        <v>1265</v>
      </c>
      <c r="H684">
        <v>1</v>
      </c>
      <c r="I684" t="s">
        <v>1265</v>
      </c>
      <c r="J684" t="s">
        <v>1265</v>
      </c>
      <c r="K684" t="s">
        <v>3191</v>
      </c>
      <c r="L684" t="s">
        <v>3176</v>
      </c>
      <c r="M684" t="s">
        <v>3190</v>
      </c>
      <c r="N684" t="s">
        <v>3174</v>
      </c>
      <c r="O684">
        <v>468</v>
      </c>
      <c r="P684" t="s">
        <v>4103</v>
      </c>
      <c r="R684">
        <v>389</v>
      </c>
      <c r="S684">
        <v>0</v>
      </c>
      <c r="T684">
        <v>16</v>
      </c>
      <c r="U684">
        <v>0</v>
      </c>
      <c r="V684">
        <v>0</v>
      </c>
      <c r="W684">
        <v>0</v>
      </c>
      <c r="X684">
        <v>16</v>
      </c>
      <c r="Y684">
        <v>0</v>
      </c>
      <c r="Z684">
        <v>0</v>
      </c>
      <c r="AA684">
        <v>0</v>
      </c>
      <c r="AE684" s="30">
        <v>45846.333333333336</v>
      </c>
      <c r="AF684" s="30">
        <v>45847.708333333336</v>
      </c>
      <c r="AH684" s="30">
        <v>45777.458333333336</v>
      </c>
      <c r="AI684" s="30">
        <v>45779.458333333336</v>
      </c>
      <c r="AJ684" s="30">
        <v>45777.458333333336</v>
      </c>
      <c r="AK684" s="30">
        <v>45779.458333333336</v>
      </c>
      <c r="AL684" s="30">
        <v>45777.458333333336</v>
      </c>
      <c r="AM684" s="30">
        <v>45779.458333333336</v>
      </c>
      <c r="AN684" s="30">
        <v>45846.333333333336</v>
      </c>
      <c r="AO684" s="30">
        <v>45847.708333333336</v>
      </c>
      <c r="AQ684" t="s">
        <v>3171</v>
      </c>
      <c r="AV684" t="s">
        <v>4102</v>
      </c>
      <c r="AW684" t="s">
        <v>4101</v>
      </c>
      <c r="AZ684" t="s">
        <v>1265</v>
      </c>
      <c r="BA684">
        <v>0</v>
      </c>
      <c r="BB684">
        <v>0</v>
      </c>
      <c r="BJ684" s="30">
        <v>46069.518055555556</v>
      </c>
      <c r="BK684" s="30">
        <v>46093.595138888886</v>
      </c>
      <c r="BL684" t="s">
        <v>1259</v>
      </c>
      <c r="BM684" t="s">
        <v>1259</v>
      </c>
      <c r="BO684" t="s">
        <v>1265</v>
      </c>
    </row>
    <row r="685" spans="1:67" x14ac:dyDescent="0.25">
      <c r="A685" t="s">
        <v>1248</v>
      </c>
      <c r="B685">
        <v>352067</v>
      </c>
      <c r="C685">
        <v>405</v>
      </c>
      <c r="D685">
        <v>51468</v>
      </c>
      <c r="E685">
        <v>1117</v>
      </c>
      <c r="F685">
        <v>0</v>
      </c>
      <c r="G685" t="s">
        <v>1265</v>
      </c>
      <c r="H685">
        <v>1</v>
      </c>
      <c r="I685" t="s">
        <v>1265</v>
      </c>
      <c r="J685" t="s">
        <v>1265</v>
      </c>
      <c r="K685" t="s">
        <v>3191</v>
      </c>
      <c r="L685" t="s">
        <v>3176</v>
      </c>
      <c r="M685" t="s">
        <v>3190</v>
      </c>
      <c r="N685" t="s">
        <v>3174</v>
      </c>
      <c r="O685">
        <v>27</v>
      </c>
      <c r="P685" t="s">
        <v>4100</v>
      </c>
      <c r="R685">
        <v>389</v>
      </c>
      <c r="S685">
        <v>0</v>
      </c>
      <c r="T685">
        <v>24</v>
      </c>
      <c r="U685">
        <v>0</v>
      </c>
      <c r="V685">
        <v>0</v>
      </c>
      <c r="W685">
        <v>0</v>
      </c>
      <c r="X685">
        <v>24</v>
      </c>
      <c r="Y685">
        <v>0</v>
      </c>
      <c r="Z685">
        <v>0</v>
      </c>
      <c r="AA685">
        <v>0</v>
      </c>
      <c r="AE685" s="30">
        <v>45848.333333333336</v>
      </c>
      <c r="AF685" s="30">
        <v>45852.708333333336</v>
      </c>
      <c r="AH685" s="30">
        <v>45779.458333333336</v>
      </c>
      <c r="AI685" s="30">
        <v>45784.458333333336</v>
      </c>
      <c r="AJ685" s="30">
        <v>45779.458333333336</v>
      </c>
      <c r="AK685" s="30">
        <v>45784.458333333336</v>
      </c>
      <c r="AL685" s="30">
        <v>45779.458333333336</v>
      </c>
      <c r="AM685" s="30">
        <v>45784.458333333336</v>
      </c>
      <c r="AN685" s="30">
        <v>45848.333333333336</v>
      </c>
      <c r="AO685" s="30">
        <v>45852.708333333336</v>
      </c>
      <c r="AQ685" t="s">
        <v>3171</v>
      </c>
      <c r="AV685" t="s">
        <v>4099</v>
      </c>
      <c r="AW685" t="s">
        <v>4098</v>
      </c>
      <c r="AZ685" t="s">
        <v>1265</v>
      </c>
      <c r="BA685">
        <v>0</v>
      </c>
      <c r="BB685">
        <v>0</v>
      </c>
      <c r="BJ685" s="30">
        <v>46069.518055555556</v>
      </c>
      <c r="BK685" s="30">
        <v>46093.595138888886</v>
      </c>
      <c r="BL685" t="s">
        <v>1259</v>
      </c>
      <c r="BM685" t="s">
        <v>1259</v>
      </c>
      <c r="BO685" t="s">
        <v>1265</v>
      </c>
    </row>
    <row r="686" spans="1:67" x14ac:dyDescent="0.25">
      <c r="A686" t="s">
        <v>1248</v>
      </c>
      <c r="B686">
        <v>352068</v>
      </c>
      <c r="C686">
        <v>405</v>
      </c>
      <c r="D686">
        <v>51468</v>
      </c>
      <c r="E686">
        <v>1117</v>
      </c>
      <c r="F686">
        <v>0</v>
      </c>
      <c r="G686" t="s">
        <v>1265</v>
      </c>
      <c r="H686">
        <v>1</v>
      </c>
      <c r="I686" t="s">
        <v>1265</v>
      </c>
      <c r="J686" t="s">
        <v>1265</v>
      </c>
      <c r="K686" t="s">
        <v>3191</v>
      </c>
      <c r="L686" t="s">
        <v>3176</v>
      </c>
      <c r="M686" t="s">
        <v>3190</v>
      </c>
      <c r="N686" t="s">
        <v>3174</v>
      </c>
      <c r="O686">
        <v>478</v>
      </c>
      <c r="P686" t="s">
        <v>4097</v>
      </c>
      <c r="R686">
        <v>389</v>
      </c>
      <c r="S686">
        <v>0</v>
      </c>
      <c r="T686">
        <v>8</v>
      </c>
      <c r="U686">
        <v>0</v>
      </c>
      <c r="V686">
        <v>0</v>
      </c>
      <c r="W686">
        <v>0</v>
      </c>
      <c r="X686">
        <v>8</v>
      </c>
      <c r="Y686">
        <v>0</v>
      </c>
      <c r="Z686">
        <v>0</v>
      </c>
      <c r="AA686">
        <v>0</v>
      </c>
      <c r="AE686" s="30">
        <v>45853.333333333336</v>
      </c>
      <c r="AF686" s="30">
        <v>45853.708333333336</v>
      </c>
      <c r="AH686" s="30">
        <v>45784.458333333336</v>
      </c>
      <c r="AI686" s="30">
        <v>45785.458333333336</v>
      </c>
      <c r="AJ686" s="30">
        <v>45784.458333333336</v>
      </c>
      <c r="AK686" s="30">
        <v>45785.458333333336</v>
      </c>
      <c r="AL686" s="30">
        <v>45784.458333333336</v>
      </c>
      <c r="AM686" s="30">
        <v>45785.458333333336</v>
      </c>
      <c r="AN686" s="30">
        <v>45853.333333333336</v>
      </c>
      <c r="AO686" s="30">
        <v>45853.708333333336</v>
      </c>
      <c r="AQ686" t="s">
        <v>3171</v>
      </c>
      <c r="AV686" t="s">
        <v>4096</v>
      </c>
      <c r="AW686" t="s">
        <v>4095</v>
      </c>
      <c r="AZ686" t="s">
        <v>1265</v>
      </c>
      <c r="BA686">
        <v>0</v>
      </c>
      <c r="BB686">
        <v>0</v>
      </c>
      <c r="BJ686" s="30">
        <v>46069.518055555556</v>
      </c>
      <c r="BK686" s="30">
        <v>46093.595138888886</v>
      </c>
      <c r="BL686" t="s">
        <v>1259</v>
      </c>
      <c r="BM686" t="s">
        <v>1259</v>
      </c>
      <c r="BO686" t="s">
        <v>1265</v>
      </c>
    </row>
    <row r="687" spans="1:67" x14ac:dyDescent="0.25">
      <c r="A687" t="s">
        <v>1248</v>
      </c>
      <c r="B687">
        <v>352069</v>
      </c>
      <c r="C687">
        <v>405</v>
      </c>
      <c r="D687">
        <v>51468</v>
      </c>
      <c r="E687">
        <v>1117</v>
      </c>
      <c r="F687">
        <v>0</v>
      </c>
      <c r="G687" t="s">
        <v>1265</v>
      </c>
      <c r="H687">
        <v>1</v>
      </c>
      <c r="I687" t="s">
        <v>1265</v>
      </c>
      <c r="J687" t="s">
        <v>1265</v>
      </c>
      <c r="K687" t="s">
        <v>3191</v>
      </c>
      <c r="L687" t="s">
        <v>3176</v>
      </c>
      <c r="M687" t="s">
        <v>3190</v>
      </c>
      <c r="N687" t="s">
        <v>3174</v>
      </c>
      <c r="O687">
        <v>488</v>
      </c>
      <c r="P687" t="s">
        <v>4094</v>
      </c>
      <c r="R687">
        <v>389</v>
      </c>
      <c r="S687">
        <v>0</v>
      </c>
      <c r="T687">
        <v>16</v>
      </c>
      <c r="U687">
        <v>0</v>
      </c>
      <c r="V687">
        <v>0</v>
      </c>
      <c r="W687">
        <v>0</v>
      </c>
      <c r="X687">
        <v>16</v>
      </c>
      <c r="Y687">
        <v>0</v>
      </c>
      <c r="Z687">
        <v>0</v>
      </c>
      <c r="AA687">
        <v>0</v>
      </c>
      <c r="AE687" s="30">
        <v>45854.333333333336</v>
      </c>
      <c r="AF687" s="30">
        <v>45855.708333333336</v>
      </c>
      <c r="AH687" s="30">
        <v>45785.458333333336</v>
      </c>
      <c r="AI687" s="30">
        <v>45789.458333333336</v>
      </c>
      <c r="AJ687" s="30">
        <v>45785.458333333336</v>
      </c>
      <c r="AK687" s="30">
        <v>45789.458333333336</v>
      </c>
      <c r="AL687" s="30">
        <v>45785.458333333336</v>
      </c>
      <c r="AM687" s="30">
        <v>45789.458333333336</v>
      </c>
      <c r="AN687" s="30">
        <v>45854.333333333336</v>
      </c>
      <c r="AO687" s="30">
        <v>45855.708333333336</v>
      </c>
      <c r="AQ687" t="s">
        <v>3171</v>
      </c>
      <c r="AV687" t="s">
        <v>4093</v>
      </c>
      <c r="AW687" t="s">
        <v>4092</v>
      </c>
      <c r="AZ687" t="s">
        <v>1265</v>
      </c>
      <c r="BA687">
        <v>0</v>
      </c>
      <c r="BB687">
        <v>0</v>
      </c>
      <c r="BJ687" s="30">
        <v>46069.518055555556</v>
      </c>
      <c r="BK687" s="30">
        <v>46093.595138888886</v>
      </c>
      <c r="BL687" t="s">
        <v>1259</v>
      </c>
      <c r="BM687" t="s">
        <v>1259</v>
      </c>
      <c r="BO687" t="s">
        <v>1265</v>
      </c>
    </row>
    <row r="688" spans="1:67" x14ac:dyDescent="0.25">
      <c r="A688" t="s">
        <v>1248</v>
      </c>
      <c r="B688">
        <v>352070</v>
      </c>
      <c r="C688">
        <v>405</v>
      </c>
      <c r="D688">
        <v>51468</v>
      </c>
      <c r="E688">
        <v>1117</v>
      </c>
      <c r="F688">
        <v>0</v>
      </c>
      <c r="G688" t="s">
        <v>1265</v>
      </c>
      <c r="H688">
        <v>1</v>
      </c>
      <c r="I688" t="s">
        <v>1265</v>
      </c>
      <c r="J688" t="s">
        <v>1265</v>
      </c>
      <c r="K688" t="s">
        <v>3191</v>
      </c>
      <c r="L688" t="s">
        <v>3176</v>
      </c>
      <c r="M688" t="s">
        <v>3190</v>
      </c>
      <c r="N688" t="s">
        <v>3174</v>
      </c>
      <c r="O688">
        <v>498</v>
      </c>
      <c r="P688" t="s">
        <v>4091</v>
      </c>
      <c r="R688">
        <v>389</v>
      </c>
      <c r="S688">
        <v>0</v>
      </c>
      <c r="T688">
        <v>32</v>
      </c>
      <c r="U688">
        <v>0</v>
      </c>
      <c r="V688">
        <v>0</v>
      </c>
      <c r="W688">
        <v>0</v>
      </c>
      <c r="X688">
        <v>32</v>
      </c>
      <c r="Y688">
        <v>0</v>
      </c>
      <c r="Z688">
        <v>0</v>
      </c>
      <c r="AA688">
        <v>0</v>
      </c>
      <c r="AE688" s="30">
        <v>45856.333333333336</v>
      </c>
      <c r="AF688" s="30">
        <v>45861.708333333336</v>
      </c>
      <c r="AH688" s="30">
        <v>45789.458333333336</v>
      </c>
      <c r="AI688" s="30">
        <v>45793.458333333336</v>
      </c>
      <c r="AJ688" s="30">
        <v>45789.458333333336</v>
      </c>
      <c r="AK688" s="30">
        <v>45793.458333333336</v>
      </c>
      <c r="AL688" s="30">
        <v>45789.458333333336</v>
      </c>
      <c r="AM688" s="30">
        <v>45793.458333333336</v>
      </c>
      <c r="AN688" s="30">
        <v>45856.333333333336</v>
      </c>
      <c r="AO688" s="30">
        <v>45861.708333333336</v>
      </c>
      <c r="AQ688" t="s">
        <v>3171</v>
      </c>
      <c r="AV688" t="s">
        <v>4090</v>
      </c>
      <c r="AW688" t="s">
        <v>4089</v>
      </c>
      <c r="AZ688" t="s">
        <v>1265</v>
      </c>
      <c r="BA688">
        <v>0</v>
      </c>
      <c r="BB688">
        <v>0</v>
      </c>
      <c r="BJ688" s="30">
        <v>46069.518055555556</v>
      </c>
      <c r="BK688" s="30">
        <v>46093.595138888886</v>
      </c>
      <c r="BL688" t="s">
        <v>1259</v>
      </c>
      <c r="BM688" t="s">
        <v>1259</v>
      </c>
      <c r="BO688" t="s">
        <v>1265</v>
      </c>
    </row>
    <row r="689" spans="1:67" x14ac:dyDescent="0.25">
      <c r="A689" t="s">
        <v>1248</v>
      </c>
      <c r="B689">
        <v>352071</v>
      </c>
      <c r="C689">
        <v>405</v>
      </c>
      <c r="D689">
        <v>51468</v>
      </c>
      <c r="E689">
        <v>1117</v>
      </c>
      <c r="F689">
        <v>0</v>
      </c>
      <c r="G689" t="s">
        <v>1265</v>
      </c>
      <c r="H689">
        <v>1</v>
      </c>
      <c r="I689" t="s">
        <v>1265</v>
      </c>
      <c r="J689" t="s">
        <v>1265</v>
      </c>
      <c r="K689" t="s">
        <v>3191</v>
      </c>
      <c r="L689" t="s">
        <v>3176</v>
      </c>
      <c r="M689" t="s">
        <v>3190</v>
      </c>
      <c r="N689" t="s">
        <v>3174</v>
      </c>
      <c r="O689">
        <v>508</v>
      </c>
      <c r="P689" t="s">
        <v>4088</v>
      </c>
      <c r="R689">
        <v>389</v>
      </c>
      <c r="S689">
        <v>0</v>
      </c>
      <c r="T689">
        <v>48</v>
      </c>
      <c r="U689">
        <v>0</v>
      </c>
      <c r="V689">
        <v>0</v>
      </c>
      <c r="W689">
        <v>0</v>
      </c>
      <c r="X689">
        <v>48</v>
      </c>
      <c r="Y689">
        <v>0</v>
      </c>
      <c r="Z689">
        <v>0</v>
      </c>
      <c r="AA689">
        <v>0</v>
      </c>
      <c r="AE689" s="30">
        <v>45862.333333333336</v>
      </c>
      <c r="AF689" s="30">
        <v>45869.708333333336</v>
      </c>
      <c r="AH689" s="30">
        <v>45793.458333333336</v>
      </c>
      <c r="AI689" s="30">
        <v>45803.458333333336</v>
      </c>
      <c r="AJ689" s="30">
        <v>45793.458333333336</v>
      </c>
      <c r="AK689" s="30">
        <v>45803.458333333336</v>
      </c>
      <c r="AL689" s="30">
        <v>45793.458333333336</v>
      </c>
      <c r="AM689" s="30">
        <v>45803.458333333336</v>
      </c>
      <c r="AN689" s="30">
        <v>45862.333333333336</v>
      </c>
      <c r="AO689" s="30">
        <v>45869.708333333336</v>
      </c>
      <c r="AQ689" t="s">
        <v>3171</v>
      </c>
      <c r="AV689" t="s">
        <v>4087</v>
      </c>
      <c r="AW689" t="s">
        <v>4086</v>
      </c>
      <c r="AZ689" t="s">
        <v>1265</v>
      </c>
      <c r="BA689">
        <v>0</v>
      </c>
      <c r="BB689">
        <v>0</v>
      </c>
      <c r="BJ689" s="30">
        <v>46069.518055555556</v>
      </c>
      <c r="BK689" s="30">
        <v>46093.595138888886</v>
      </c>
      <c r="BL689" t="s">
        <v>1259</v>
      </c>
      <c r="BM689" t="s">
        <v>1259</v>
      </c>
      <c r="BO689" t="s">
        <v>1265</v>
      </c>
    </row>
    <row r="690" spans="1:67" x14ac:dyDescent="0.25">
      <c r="A690" t="s">
        <v>1248</v>
      </c>
      <c r="B690">
        <v>352072</v>
      </c>
      <c r="C690">
        <v>405</v>
      </c>
      <c r="D690">
        <v>53303</v>
      </c>
      <c r="E690">
        <v>1117</v>
      </c>
      <c r="F690">
        <v>0</v>
      </c>
      <c r="G690" t="s">
        <v>1265</v>
      </c>
      <c r="H690">
        <v>1</v>
      </c>
      <c r="I690" t="s">
        <v>1265</v>
      </c>
      <c r="J690" t="s">
        <v>1265</v>
      </c>
      <c r="K690" t="s">
        <v>3191</v>
      </c>
      <c r="L690" t="s">
        <v>3176</v>
      </c>
      <c r="M690" t="s">
        <v>3190</v>
      </c>
      <c r="N690" t="s">
        <v>3174</v>
      </c>
      <c r="O690">
        <v>518</v>
      </c>
      <c r="P690" t="s">
        <v>4085</v>
      </c>
      <c r="R690">
        <v>406</v>
      </c>
      <c r="S690">
        <v>55</v>
      </c>
      <c r="T690">
        <v>8</v>
      </c>
      <c r="U690">
        <v>0</v>
      </c>
      <c r="V690">
        <v>0</v>
      </c>
      <c r="W690">
        <v>0</v>
      </c>
      <c r="X690">
        <v>8</v>
      </c>
      <c r="Y690">
        <v>0</v>
      </c>
      <c r="Z690">
        <v>0</v>
      </c>
      <c r="AA690">
        <v>0</v>
      </c>
      <c r="AE690" s="30">
        <v>45874.375</v>
      </c>
      <c r="AF690" s="30">
        <v>45875.375</v>
      </c>
      <c r="AH690" s="30">
        <v>45803.458333333336</v>
      </c>
      <c r="AI690" s="30">
        <v>45804.458333333336</v>
      </c>
      <c r="AJ690" s="30">
        <v>45803.458333333336</v>
      </c>
      <c r="AK690" s="30">
        <v>45804.458333333336</v>
      </c>
      <c r="AL690" s="30">
        <v>45803.458333333336</v>
      </c>
      <c r="AM690" s="30">
        <v>45804.458333333336</v>
      </c>
      <c r="AN690" s="30">
        <v>45874.375</v>
      </c>
      <c r="AO690" s="30">
        <v>45875.375</v>
      </c>
      <c r="AQ690" t="s">
        <v>3171</v>
      </c>
      <c r="AV690" t="s">
        <v>4084</v>
      </c>
      <c r="AW690" t="s">
        <v>4083</v>
      </c>
      <c r="AZ690" t="s">
        <v>1265</v>
      </c>
      <c r="BA690">
        <v>0</v>
      </c>
      <c r="BB690">
        <v>0</v>
      </c>
      <c r="BJ690" s="30">
        <v>46069.518055555556</v>
      </c>
      <c r="BK690" s="30">
        <v>46093.73333333333</v>
      </c>
      <c r="BL690" t="s">
        <v>1259</v>
      </c>
      <c r="BM690" t="s">
        <v>1259</v>
      </c>
      <c r="BO690" t="s">
        <v>1265</v>
      </c>
    </row>
    <row r="691" spans="1:67" x14ac:dyDescent="0.25">
      <c r="A691" t="s">
        <v>1248</v>
      </c>
      <c r="B691">
        <v>352073</v>
      </c>
      <c r="C691">
        <v>405</v>
      </c>
      <c r="D691">
        <v>53303</v>
      </c>
      <c r="E691">
        <v>1117</v>
      </c>
      <c r="F691">
        <v>0</v>
      </c>
      <c r="G691" t="s">
        <v>1265</v>
      </c>
      <c r="H691">
        <v>1</v>
      </c>
      <c r="I691" t="s">
        <v>1265</v>
      </c>
      <c r="J691" t="s">
        <v>1265</v>
      </c>
      <c r="K691" t="s">
        <v>3191</v>
      </c>
      <c r="L691" t="s">
        <v>3176</v>
      </c>
      <c r="M691" t="s">
        <v>3190</v>
      </c>
      <c r="N691" t="s">
        <v>3174</v>
      </c>
      <c r="O691">
        <v>528</v>
      </c>
      <c r="P691" t="s">
        <v>4082</v>
      </c>
      <c r="R691">
        <v>338</v>
      </c>
      <c r="S691">
        <v>0</v>
      </c>
      <c r="T691">
        <v>15</v>
      </c>
      <c r="U691">
        <v>0</v>
      </c>
      <c r="V691">
        <v>0</v>
      </c>
      <c r="W691">
        <v>0</v>
      </c>
      <c r="X691">
        <v>15</v>
      </c>
      <c r="Y691">
        <v>0</v>
      </c>
      <c r="Z691">
        <v>0</v>
      </c>
      <c r="AA691">
        <v>0</v>
      </c>
      <c r="AE691" s="30">
        <v>45833.625</v>
      </c>
      <c r="AF691" s="30">
        <v>45835.583333333336</v>
      </c>
      <c r="AH691" s="30">
        <v>45775.541666666664</v>
      </c>
      <c r="AI691" s="30">
        <v>45777.458333333336</v>
      </c>
      <c r="AJ691" s="30">
        <v>45775.541666666664</v>
      </c>
      <c r="AK691" s="30">
        <v>45777.458333333336</v>
      </c>
      <c r="AL691" s="30">
        <v>45775.541666666664</v>
      </c>
      <c r="AM691" s="30">
        <v>45777.458333333336</v>
      </c>
      <c r="AN691" s="30">
        <v>45833.625</v>
      </c>
      <c r="AO691" s="30">
        <v>45835.583333333336</v>
      </c>
      <c r="AQ691" t="s">
        <v>3171</v>
      </c>
      <c r="AV691" t="s">
        <v>4081</v>
      </c>
      <c r="AW691" t="s">
        <v>4080</v>
      </c>
      <c r="AZ691" t="s">
        <v>1265</v>
      </c>
      <c r="BA691">
        <v>0</v>
      </c>
      <c r="BB691">
        <v>0</v>
      </c>
      <c r="BJ691" s="30">
        <v>46069.518055555556</v>
      </c>
      <c r="BK691" s="30">
        <v>46093.595138888886</v>
      </c>
      <c r="BL691" t="s">
        <v>1259</v>
      </c>
      <c r="BM691" t="s">
        <v>1259</v>
      </c>
      <c r="BO691" t="s">
        <v>1265</v>
      </c>
    </row>
    <row r="692" spans="1:67" x14ac:dyDescent="0.25">
      <c r="A692" t="s">
        <v>1248</v>
      </c>
      <c r="B692">
        <v>352074</v>
      </c>
      <c r="C692">
        <v>405</v>
      </c>
      <c r="D692">
        <v>51469</v>
      </c>
      <c r="E692">
        <v>1117</v>
      </c>
      <c r="F692">
        <v>0</v>
      </c>
      <c r="G692" t="s">
        <v>1265</v>
      </c>
      <c r="H692">
        <v>1</v>
      </c>
      <c r="I692" t="s">
        <v>1265</v>
      </c>
      <c r="J692" t="s">
        <v>1265</v>
      </c>
      <c r="K692" t="s">
        <v>3191</v>
      </c>
      <c r="L692" t="s">
        <v>3176</v>
      </c>
      <c r="M692" t="s">
        <v>3190</v>
      </c>
      <c r="N692" t="s">
        <v>3174</v>
      </c>
      <c r="O692">
        <v>35</v>
      </c>
      <c r="P692" t="s">
        <v>4079</v>
      </c>
      <c r="R692">
        <v>338</v>
      </c>
      <c r="S692">
        <v>0</v>
      </c>
      <c r="T692">
        <v>23</v>
      </c>
      <c r="U692">
        <v>0</v>
      </c>
      <c r="V692">
        <v>0</v>
      </c>
      <c r="W692">
        <v>0</v>
      </c>
      <c r="X692">
        <v>23</v>
      </c>
      <c r="Y692">
        <v>0</v>
      </c>
      <c r="Z692">
        <v>0</v>
      </c>
      <c r="AA692">
        <v>0</v>
      </c>
      <c r="AE692" s="30">
        <v>45835.583333333336</v>
      </c>
      <c r="AF692" s="30">
        <v>45840.5</v>
      </c>
      <c r="AH692" s="30">
        <v>45777.458333333336</v>
      </c>
      <c r="AI692" s="30">
        <v>45782.416666666664</v>
      </c>
      <c r="AJ692" s="30">
        <v>45777.458333333336</v>
      </c>
      <c r="AK692" s="30">
        <v>45782.416666666664</v>
      </c>
      <c r="AL692" s="30">
        <v>45777.458333333336</v>
      </c>
      <c r="AM692" s="30">
        <v>45782.416666666664</v>
      </c>
      <c r="AN692" s="30">
        <v>45835.583333333336</v>
      </c>
      <c r="AO692" s="30">
        <v>45840.5</v>
      </c>
      <c r="AQ692" t="s">
        <v>3171</v>
      </c>
      <c r="AV692" t="s">
        <v>4078</v>
      </c>
      <c r="AW692" t="s">
        <v>4077</v>
      </c>
      <c r="AZ692" t="s">
        <v>1265</v>
      </c>
      <c r="BA692">
        <v>0</v>
      </c>
      <c r="BB692">
        <v>0</v>
      </c>
      <c r="BJ692" s="30">
        <v>46069.518055555556</v>
      </c>
      <c r="BK692" s="30">
        <v>46093.595138888886</v>
      </c>
      <c r="BL692" t="s">
        <v>1259</v>
      </c>
      <c r="BM692" t="s">
        <v>1259</v>
      </c>
      <c r="BO692" t="s">
        <v>1265</v>
      </c>
    </row>
    <row r="693" spans="1:67" x14ac:dyDescent="0.25">
      <c r="A693" t="s">
        <v>1248</v>
      </c>
      <c r="B693">
        <v>352075</v>
      </c>
      <c r="C693">
        <v>405</v>
      </c>
      <c r="D693">
        <v>51469</v>
      </c>
      <c r="E693">
        <v>1117</v>
      </c>
      <c r="F693">
        <v>0</v>
      </c>
      <c r="G693" t="s">
        <v>1265</v>
      </c>
      <c r="H693">
        <v>1</v>
      </c>
      <c r="I693" t="s">
        <v>1265</v>
      </c>
      <c r="J693" t="s">
        <v>1265</v>
      </c>
      <c r="K693" t="s">
        <v>3191</v>
      </c>
      <c r="L693" t="s">
        <v>3176</v>
      </c>
      <c r="M693" t="s">
        <v>3190</v>
      </c>
      <c r="N693" t="s">
        <v>3174</v>
      </c>
      <c r="O693">
        <v>538</v>
      </c>
      <c r="P693" t="s">
        <v>4076</v>
      </c>
      <c r="R693">
        <v>338</v>
      </c>
      <c r="S693">
        <v>0</v>
      </c>
      <c r="T693">
        <v>7</v>
      </c>
      <c r="U693">
        <v>0</v>
      </c>
      <c r="V693">
        <v>0</v>
      </c>
      <c r="W693">
        <v>0</v>
      </c>
      <c r="X693">
        <v>7</v>
      </c>
      <c r="Y693">
        <v>0</v>
      </c>
      <c r="Z693">
        <v>0</v>
      </c>
      <c r="AA693">
        <v>0</v>
      </c>
      <c r="AE693" s="30">
        <v>45840.541666666664</v>
      </c>
      <c r="AF693" s="30">
        <v>45841.458333333336</v>
      </c>
      <c r="AH693" s="30">
        <v>45782.416666666664</v>
      </c>
      <c r="AI693" s="30">
        <v>45783.375</v>
      </c>
      <c r="AJ693" s="30">
        <v>45782.416666666664</v>
      </c>
      <c r="AK693" s="30">
        <v>45783.375</v>
      </c>
      <c r="AL693" s="30">
        <v>45782.416666666664</v>
      </c>
      <c r="AM693" s="30">
        <v>45783.375</v>
      </c>
      <c r="AN693" s="30">
        <v>45840.541666666664</v>
      </c>
      <c r="AO693" s="30">
        <v>45841.458333333336</v>
      </c>
      <c r="AQ693" t="s">
        <v>3171</v>
      </c>
      <c r="AV693" t="s">
        <v>4075</v>
      </c>
      <c r="AW693" t="s">
        <v>4074</v>
      </c>
      <c r="AZ693" t="s">
        <v>1265</v>
      </c>
      <c r="BA693">
        <v>0</v>
      </c>
      <c r="BB693">
        <v>0</v>
      </c>
      <c r="BJ693" s="30">
        <v>46069.518055555556</v>
      </c>
      <c r="BK693" s="30">
        <v>46093.595138888886</v>
      </c>
      <c r="BL693" t="s">
        <v>1259</v>
      </c>
      <c r="BM693" t="s">
        <v>1259</v>
      </c>
      <c r="BO693" t="s">
        <v>1265</v>
      </c>
    </row>
    <row r="694" spans="1:67" x14ac:dyDescent="0.25">
      <c r="A694" t="s">
        <v>1248</v>
      </c>
      <c r="B694">
        <v>352076</v>
      </c>
      <c r="C694">
        <v>405</v>
      </c>
      <c r="D694">
        <v>51469</v>
      </c>
      <c r="E694">
        <v>1117</v>
      </c>
      <c r="F694">
        <v>0</v>
      </c>
      <c r="G694" t="s">
        <v>1265</v>
      </c>
      <c r="H694">
        <v>1</v>
      </c>
      <c r="I694" t="s">
        <v>1265</v>
      </c>
      <c r="J694" t="s">
        <v>1265</v>
      </c>
      <c r="K694" t="s">
        <v>3191</v>
      </c>
      <c r="L694" t="s">
        <v>3176</v>
      </c>
      <c r="M694" t="s">
        <v>3190</v>
      </c>
      <c r="N694" t="s">
        <v>3174</v>
      </c>
      <c r="O694">
        <v>548</v>
      </c>
      <c r="P694" t="s">
        <v>4073</v>
      </c>
      <c r="R694">
        <v>338</v>
      </c>
      <c r="S694">
        <v>0</v>
      </c>
      <c r="T694">
        <v>15</v>
      </c>
      <c r="U694">
        <v>0</v>
      </c>
      <c r="V694">
        <v>0</v>
      </c>
      <c r="W694">
        <v>0</v>
      </c>
      <c r="X694">
        <v>15</v>
      </c>
      <c r="Y694">
        <v>0</v>
      </c>
      <c r="Z694">
        <v>0</v>
      </c>
      <c r="AA694">
        <v>0</v>
      </c>
      <c r="AE694" s="30">
        <v>45841.458333333336</v>
      </c>
      <c r="AF694" s="30">
        <v>45845.416666666664</v>
      </c>
      <c r="AH694" s="30">
        <v>45783.375</v>
      </c>
      <c r="AI694" s="30">
        <v>45784.708333333336</v>
      </c>
      <c r="AJ694" s="30">
        <v>45783.375</v>
      </c>
      <c r="AK694" s="30">
        <v>45784.708333333336</v>
      </c>
      <c r="AL694" s="30">
        <v>45783.375</v>
      </c>
      <c r="AM694" s="30">
        <v>45784.708333333336</v>
      </c>
      <c r="AN694" s="30">
        <v>45841.458333333336</v>
      </c>
      <c r="AO694" s="30">
        <v>45845.416666666664</v>
      </c>
      <c r="AQ694" t="s">
        <v>3171</v>
      </c>
      <c r="AV694" t="s">
        <v>4072</v>
      </c>
      <c r="AW694" t="s">
        <v>4071</v>
      </c>
      <c r="AZ694" t="s">
        <v>1265</v>
      </c>
      <c r="BA694">
        <v>0</v>
      </c>
      <c r="BB694">
        <v>0</v>
      </c>
      <c r="BJ694" s="30">
        <v>46069.518055555556</v>
      </c>
      <c r="BK694" s="30">
        <v>46093.595138888886</v>
      </c>
      <c r="BL694" t="s">
        <v>1259</v>
      </c>
      <c r="BM694" t="s">
        <v>1259</v>
      </c>
      <c r="BO694" t="s">
        <v>1265</v>
      </c>
    </row>
    <row r="695" spans="1:67" x14ac:dyDescent="0.25">
      <c r="A695" t="s">
        <v>1248</v>
      </c>
      <c r="B695">
        <v>352077</v>
      </c>
      <c r="C695">
        <v>405</v>
      </c>
      <c r="D695">
        <v>51469</v>
      </c>
      <c r="E695">
        <v>1117</v>
      </c>
      <c r="F695">
        <v>0</v>
      </c>
      <c r="G695" t="s">
        <v>1265</v>
      </c>
      <c r="H695">
        <v>1</v>
      </c>
      <c r="I695" t="s">
        <v>1265</v>
      </c>
      <c r="J695" t="s">
        <v>1265</v>
      </c>
      <c r="K695" t="s">
        <v>3191</v>
      </c>
      <c r="L695" t="s">
        <v>3176</v>
      </c>
      <c r="M695" t="s">
        <v>3190</v>
      </c>
      <c r="N695" t="s">
        <v>3174</v>
      </c>
      <c r="O695">
        <v>558</v>
      </c>
      <c r="P695" t="s">
        <v>4070</v>
      </c>
      <c r="R695">
        <v>338</v>
      </c>
      <c r="S695">
        <v>0</v>
      </c>
      <c r="T695">
        <v>31</v>
      </c>
      <c r="U695">
        <v>0</v>
      </c>
      <c r="V695">
        <v>0</v>
      </c>
      <c r="W695">
        <v>0</v>
      </c>
      <c r="X695">
        <v>31</v>
      </c>
      <c r="Y695">
        <v>0</v>
      </c>
      <c r="Z695">
        <v>0</v>
      </c>
      <c r="AA695">
        <v>0</v>
      </c>
      <c r="AE695" s="30">
        <v>45845.416666666664</v>
      </c>
      <c r="AF695" s="30">
        <v>45849.375</v>
      </c>
      <c r="AH695" s="30">
        <v>45785.333333333336</v>
      </c>
      <c r="AI695" s="30">
        <v>45790.666666666664</v>
      </c>
      <c r="AJ695" s="30">
        <v>45785.333333333336</v>
      </c>
      <c r="AK695" s="30">
        <v>45790.666666666664</v>
      </c>
      <c r="AL695" s="30">
        <v>45785.333333333336</v>
      </c>
      <c r="AM695" s="30">
        <v>45790.666666666664</v>
      </c>
      <c r="AN695" s="30">
        <v>45845.416666666664</v>
      </c>
      <c r="AO695" s="30">
        <v>45849.375</v>
      </c>
      <c r="AQ695" t="s">
        <v>3171</v>
      </c>
      <c r="AV695" t="s">
        <v>4069</v>
      </c>
      <c r="AW695" t="s">
        <v>4068</v>
      </c>
      <c r="AZ695" t="s">
        <v>1265</v>
      </c>
      <c r="BA695">
        <v>0</v>
      </c>
      <c r="BB695">
        <v>0</v>
      </c>
      <c r="BJ695" s="30">
        <v>46069.518055555556</v>
      </c>
      <c r="BK695" s="30">
        <v>46093.595138888886</v>
      </c>
      <c r="BL695" t="s">
        <v>1259</v>
      </c>
      <c r="BM695" t="s">
        <v>1259</v>
      </c>
      <c r="BO695" t="s">
        <v>1265</v>
      </c>
    </row>
    <row r="696" spans="1:67" x14ac:dyDescent="0.25">
      <c r="A696" t="s">
        <v>1248</v>
      </c>
      <c r="B696">
        <v>352078</v>
      </c>
      <c r="C696">
        <v>405</v>
      </c>
      <c r="D696">
        <v>51469</v>
      </c>
      <c r="E696">
        <v>1117</v>
      </c>
      <c r="F696">
        <v>0</v>
      </c>
      <c r="G696" t="s">
        <v>1265</v>
      </c>
      <c r="H696">
        <v>1</v>
      </c>
      <c r="I696" t="s">
        <v>1265</v>
      </c>
      <c r="J696" t="s">
        <v>1265</v>
      </c>
      <c r="K696" t="s">
        <v>3191</v>
      </c>
      <c r="L696" t="s">
        <v>3176</v>
      </c>
      <c r="M696" t="s">
        <v>3190</v>
      </c>
      <c r="N696" t="s">
        <v>3174</v>
      </c>
      <c r="O696">
        <v>39</v>
      </c>
      <c r="P696" t="s">
        <v>4067</v>
      </c>
      <c r="R696">
        <v>338</v>
      </c>
      <c r="S696">
        <v>0</v>
      </c>
      <c r="T696">
        <v>47</v>
      </c>
      <c r="U696">
        <v>0</v>
      </c>
      <c r="V696">
        <v>0</v>
      </c>
      <c r="W696">
        <v>0</v>
      </c>
      <c r="X696">
        <v>47</v>
      </c>
      <c r="Y696">
        <v>0</v>
      </c>
      <c r="Z696">
        <v>0</v>
      </c>
      <c r="AA696">
        <v>0</v>
      </c>
      <c r="AE696" s="30">
        <v>45849.375</v>
      </c>
      <c r="AF696" s="30">
        <v>45856.708333333336</v>
      </c>
      <c r="AH696" s="30">
        <v>45790.666666666664</v>
      </c>
      <c r="AI696" s="30">
        <v>45798.625</v>
      </c>
      <c r="AJ696" s="30">
        <v>45790.666666666664</v>
      </c>
      <c r="AK696" s="30">
        <v>45798.625</v>
      </c>
      <c r="AL696" s="30">
        <v>45790.666666666664</v>
      </c>
      <c r="AM696" s="30">
        <v>45798.625</v>
      </c>
      <c r="AN696" s="30">
        <v>45849.375</v>
      </c>
      <c r="AO696" s="30">
        <v>45856.708333333336</v>
      </c>
      <c r="AQ696" t="s">
        <v>3171</v>
      </c>
      <c r="AV696" t="s">
        <v>4066</v>
      </c>
      <c r="AW696" t="e">
        <f>+ThFolqVTUiqdUE1tPBH0w</f>
        <v>#NAME?</v>
      </c>
      <c r="AZ696" t="s">
        <v>1265</v>
      </c>
      <c r="BA696">
        <v>0</v>
      </c>
      <c r="BB696">
        <v>0</v>
      </c>
      <c r="BJ696" s="30">
        <v>46069.518055555556</v>
      </c>
      <c r="BK696" s="30">
        <v>46093.595138888886</v>
      </c>
      <c r="BL696" t="s">
        <v>1259</v>
      </c>
      <c r="BM696" t="s">
        <v>1259</v>
      </c>
      <c r="BO696" t="s">
        <v>1265</v>
      </c>
    </row>
    <row r="697" spans="1:67" x14ac:dyDescent="0.25">
      <c r="A697" t="s">
        <v>1248</v>
      </c>
      <c r="B697">
        <v>352079</v>
      </c>
      <c r="C697">
        <v>405</v>
      </c>
      <c r="D697">
        <v>53303</v>
      </c>
      <c r="E697">
        <v>1117</v>
      </c>
      <c r="F697">
        <v>0</v>
      </c>
      <c r="G697" t="s">
        <v>1265</v>
      </c>
      <c r="H697">
        <v>1</v>
      </c>
      <c r="I697" t="s">
        <v>1265</v>
      </c>
      <c r="J697" t="s">
        <v>1265</v>
      </c>
      <c r="K697" t="s">
        <v>3191</v>
      </c>
      <c r="L697" t="s">
        <v>3176</v>
      </c>
      <c r="M697" t="s">
        <v>3190</v>
      </c>
      <c r="N697" t="s">
        <v>3174</v>
      </c>
      <c r="O697">
        <v>568</v>
      </c>
      <c r="P697" t="s">
        <v>4065</v>
      </c>
      <c r="R697">
        <v>420</v>
      </c>
      <c r="S697">
        <v>14</v>
      </c>
      <c r="T697">
        <v>7</v>
      </c>
      <c r="U697">
        <v>0</v>
      </c>
      <c r="V697">
        <v>0</v>
      </c>
      <c r="W697">
        <v>0</v>
      </c>
      <c r="X697">
        <v>7</v>
      </c>
      <c r="Y697">
        <v>0</v>
      </c>
      <c r="Z697">
        <v>0</v>
      </c>
      <c r="AA697">
        <v>0</v>
      </c>
      <c r="AE697" s="30">
        <v>45873.416666666664</v>
      </c>
      <c r="AF697" s="30">
        <v>45874.375</v>
      </c>
      <c r="AH697" s="30">
        <v>45798.625</v>
      </c>
      <c r="AI697" s="30">
        <v>45799.583333333336</v>
      </c>
      <c r="AJ697" s="30">
        <v>45798.625</v>
      </c>
      <c r="AK697" s="30">
        <v>45799.583333333336</v>
      </c>
      <c r="AL697" s="30">
        <v>45798.625</v>
      </c>
      <c r="AM697" s="30">
        <v>45799.583333333336</v>
      </c>
      <c r="AN697" s="30">
        <v>45873.416666666664</v>
      </c>
      <c r="AO697" s="30">
        <v>45874.375</v>
      </c>
      <c r="AQ697" t="s">
        <v>3171</v>
      </c>
      <c r="AV697" t="s">
        <v>4064</v>
      </c>
      <c r="AW697" t="s">
        <v>4063</v>
      </c>
      <c r="AZ697" t="s">
        <v>1265</v>
      </c>
      <c r="BA697">
        <v>0</v>
      </c>
      <c r="BB697">
        <v>0</v>
      </c>
      <c r="BJ697" s="30">
        <v>46069.518055555556</v>
      </c>
      <c r="BK697" s="30">
        <v>46093.73333333333</v>
      </c>
      <c r="BL697" t="s">
        <v>1259</v>
      </c>
      <c r="BM697" t="s">
        <v>1259</v>
      </c>
      <c r="BO697" t="s">
        <v>1265</v>
      </c>
    </row>
    <row r="698" spans="1:67" x14ac:dyDescent="0.25">
      <c r="A698" t="s">
        <v>1248</v>
      </c>
      <c r="B698">
        <v>352080</v>
      </c>
      <c r="C698">
        <v>405</v>
      </c>
      <c r="D698">
        <v>53303</v>
      </c>
      <c r="E698">
        <v>1117</v>
      </c>
      <c r="F698">
        <v>0</v>
      </c>
      <c r="G698" t="s">
        <v>1265</v>
      </c>
      <c r="H698">
        <v>1</v>
      </c>
      <c r="I698" t="s">
        <v>1265</v>
      </c>
      <c r="J698" t="s">
        <v>1265</v>
      </c>
      <c r="K698" t="s">
        <v>3191</v>
      </c>
      <c r="L698" t="s">
        <v>3176</v>
      </c>
      <c r="M698" t="s">
        <v>3190</v>
      </c>
      <c r="N698" t="s">
        <v>3174</v>
      </c>
      <c r="O698">
        <v>578</v>
      </c>
      <c r="P698" t="s">
        <v>4062</v>
      </c>
      <c r="R698">
        <v>321</v>
      </c>
      <c r="S698">
        <v>0</v>
      </c>
      <c r="T698">
        <v>15</v>
      </c>
      <c r="U698">
        <v>0</v>
      </c>
      <c r="V698">
        <v>0</v>
      </c>
      <c r="W698">
        <v>0</v>
      </c>
      <c r="X698">
        <v>15</v>
      </c>
      <c r="Y698">
        <v>0</v>
      </c>
      <c r="Z698">
        <v>0</v>
      </c>
      <c r="AA698">
        <v>0</v>
      </c>
      <c r="AE698" s="30">
        <v>45827.625</v>
      </c>
      <c r="AF698" s="30">
        <v>45831.583333333336</v>
      </c>
      <c r="AH698" s="30">
        <v>45771.583333333336</v>
      </c>
      <c r="AI698" s="30">
        <v>45775.5</v>
      </c>
      <c r="AJ698" s="30">
        <v>45771.583333333336</v>
      </c>
      <c r="AK698" s="30">
        <v>45775.5</v>
      </c>
      <c r="AL698" s="30">
        <v>45771.583333333336</v>
      </c>
      <c r="AM698" s="30">
        <v>45775.5</v>
      </c>
      <c r="AN698" s="30">
        <v>45827.625</v>
      </c>
      <c r="AO698" s="30">
        <v>45831.583333333336</v>
      </c>
      <c r="AQ698" t="s">
        <v>3171</v>
      </c>
      <c r="AV698" t="s">
        <v>4061</v>
      </c>
      <c r="AW698" t="s">
        <v>4060</v>
      </c>
      <c r="AZ698" t="s">
        <v>1265</v>
      </c>
      <c r="BA698">
        <v>0</v>
      </c>
      <c r="BB698">
        <v>0</v>
      </c>
      <c r="BJ698" s="30">
        <v>46069.518055555556</v>
      </c>
      <c r="BK698" s="30">
        <v>46093.595138888886</v>
      </c>
      <c r="BL698" t="s">
        <v>1259</v>
      </c>
      <c r="BM698" t="s">
        <v>1259</v>
      </c>
      <c r="BO698" t="s">
        <v>1265</v>
      </c>
    </row>
    <row r="699" spans="1:67" x14ac:dyDescent="0.25">
      <c r="A699" t="s">
        <v>1248</v>
      </c>
      <c r="B699">
        <v>352081</v>
      </c>
      <c r="C699">
        <v>405</v>
      </c>
      <c r="D699">
        <v>51470</v>
      </c>
      <c r="E699">
        <v>1117</v>
      </c>
      <c r="F699">
        <v>0</v>
      </c>
      <c r="G699" t="s">
        <v>1265</v>
      </c>
      <c r="H699">
        <v>1</v>
      </c>
      <c r="I699" t="s">
        <v>1265</v>
      </c>
      <c r="J699" t="s">
        <v>1265</v>
      </c>
      <c r="K699" t="s">
        <v>3191</v>
      </c>
      <c r="L699" t="s">
        <v>3176</v>
      </c>
      <c r="M699" t="s">
        <v>3190</v>
      </c>
      <c r="N699" t="s">
        <v>3174</v>
      </c>
      <c r="O699">
        <v>588</v>
      </c>
      <c r="P699" t="s">
        <v>4059</v>
      </c>
      <c r="R699">
        <v>321</v>
      </c>
      <c r="S699">
        <v>0</v>
      </c>
      <c r="T699">
        <v>23</v>
      </c>
      <c r="U699">
        <v>0</v>
      </c>
      <c r="V699">
        <v>0</v>
      </c>
      <c r="W699">
        <v>0</v>
      </c>
      <c r="X699">
        <v>23</v>
      </c>
      <c r="Y699">
        <v>0</v>
      </c>
      <c r="Z699">
        <v>0</v>
      </c>
      <c r="AA699">
        <v>0</v>
      </c>
      <c r="AE699" s="30">
        <v>45831.583333333336</v>
      </c>
      <c r="AF699" s="30">
        <v>45834.5</v>
      </c>
      <c r="AH699" s="30">
        <v>45775.541666666664</v>
      </c>
      <c r="AI699" s="30">
        <v>45778.458333333336</v>
      </c>
      <c r="AJ699" s="30">
        <v>45775.541666666664</v>
      </c>
      <c r="AK699" s="30">
        <v>45778.458333333336</v>
      </c>
      <c r="AL699" s="30">
        <v>45775.541666666664</v>
      </c>
      <c r="AM699" s="30">
        <v>45778.458333333336</v>
      </c>
      <c r="AN699" s="30">
        <v>45831.583333333336</v>
      </c>
      <c r="AO699" s="30">
        <v>45834.5</v>
      </c>
      <c r="AQ699" t="s">
        <v>3171</v>
      </c>
      <c r="AV699" t="s">
        <v>4058</v>
      </c>
      <c r="AW699" t="s">
        <v>4057</v>
      </c>
      <c r="AZ699" t="s">
        <v>1265</v>
      </c>
      <c r="BA699">
        <v>0</v>
      </c>
      <c r="BB699">
        <v>0</v>
      </c>
      <c r="BJ699" s="30">
        <v>46069.518055555556</v>
      </c>
      <c r="BK699" s="30">
        <v>46093.595138888886</v>
      </c>
      <c r="BL699" t="s">
        <v>1259</v>
      </c>
      <c r="BM699" t="s">
        <v>1259</v>
      </c>
      <c r="BO699" t="s">
        <v>1265</v>
      </c>
    </row>
    <row r="700" spans="1:67" x14ac:dyDescent="0.25">
      <c r="A700" t="s">
        <v>1248</v>
      </c>
      <c r="B700">
        <v>352082</v>
      </c>
      <c r="C700">
        <v>405</v>
      </c>
      <c r="D700">
        <v>51470</v>
      </c>
      <c r="E700">
        <v>1117</v>
      </c>
      <c r="F700">
        <v>0</v>
      </c>
      <c r="G700" t="s">
        <v>1265</v>
      </c>
      <c r="H700">
        <v>1</v>
      </c>
      <c r="I700" t="s">
        <v>1265</v>
      </c>
      <c r="J700" t="s">
        <v>1265</v>
      </c>
      <c r="K700" t="s">
        <v>3191</v>
      </c>
      <c r="L700" t="s">
        <v>3176</v>
      </c>
      <c r="M700" t="s">
        <v>3190</v>
      </c>
      <c r="N700" t="s">
        <v>3174</v>
      </c>
      <c r="O700">
        <v>598</v>
      </c>
      <c r="P700" t="s">
        <v>4056</v>
      </c>
      <c r="R700">
        <v>321</v>
      </c>
      <c r="S700">
        <v>0</v>
      </c>
      <c r="T700">
        <v>7</v>
      </c>
      <c r="U700">
        <v>0</v>
      </c>
      <c r="V700">
        <v>0</v>
      </c>
      <c r="W700">
        <v>0</v>
      </c>
      <c r="X700">
        <v>7</v>
      </c>
      <c r="Y700">
        <v>0</v>
      </c>
      <c r="Z700">
        <v>0</v>
      </c>
      <c r="AA700">
        <v>0</v>
      </c>
      <c r="AE700" s="30">
        <v>45834.541666666664</v>
      </c>
      <c r="AF700" s="30">
        <v>45835.458333333336</v>
      </c>
      <c r="AH700" s="30">
        <v>45778.458333333336</v>
      </c>
      <c r="AI700" s="30">
        <v>45779.416666666664</v>
      </c>
      <c r="AJ700" s="30">
        <v>45778.458333333336</v>
      </c>
      <c r="AK700" s="30">
        <v>45779.416666666664</v>
      </c>
      <c r="AL700" s="30">
        <v>45778.458333333336</v>
      </c>
      <c r="AM700" s="30">
        <v>45779.416666666664</v>
      </c>
      <c r="AN700" s="30">
        <v>45834.541666666664</v>
      </c>
      <c r="AO700" s="30">
        <v>45835.458333333336</v>
      </c>
      <c r="AQ700" t="s">
        <v>3171</v>
      </c>
      <c r="AV700" t="s">
        <v>4055</v>
      </c>
      <c r="AW700" t="s">
        <v>4054</v>
      </c>
      <c r="AZ700" t="s">
        <v>1265</v>
      </c>
      <c r="BA700">
        <v>0</v>
      </c>
      <c r="BB700">
        <v>0</v>
      </c>
      <c r="BJ700" s="30">
        <v>46069.518055555556</v>
      </c>
      <c r="BK700" s="30">
        <v>46093.595138888886</v>
      </c>
      <c r="BL700" t="s">
        <v>1259</v>
      </c>
      <c r="BM700" t="s">
        <v>1259</v>
      </c>
      <c r="BO700" t="s">
        <v>1265</v>
      </c>
    </row>
    <row r="701" spans="1:67" x14ac:dyDescent="0.25">
      <c r="A701" t="s">
        <v>1248</v>
      </c>
      <c r="B701">
        <v>352083</v>
      </c>
      <c r="C701">
        <v>405</v>
      </c>
      <c r="D701">
        <v>51470</v>
      </c>
      <c r="E701">
        <v>1117</v>
      </c>
      <c r="F701">
        <v>0</v>
      </c>
      <c r="G701" t="s">
        <v>1265</v>
      </c>
      <c r="H701">
        <v>1</v>
      </c>
      <c r="I701" t="s">
        <v>1265</v>
      </c>
      <c r="J701" t="s">
        <v>1265</v>
      </c>
      <c r="K701" t="s">
        <v>3191</v>
      </c>
      <c r="L701" t="s">
        <v>3176</v>
      </c>
      <c r="M701" t="s">
        <v>3190</v>
      </c>
      <c r="N701" t="s">
        <v>3174</v>
      </c>
      <c r="O701">
        <v>608</v>
      </c>
      <c r="P701" t="s">
        <v>4053</v>
      </c>
      <c r="R701">
        <v>321</v>
      </c>
      <c r="S701">
        <v>0</v>
      </c>
      <c r="T701">
        <v>15</v>
      </c>
      <c r="U701">
        <v>0</v>
      </c>
      <c r="V701">
        <v>0</v>
      </c>
      <c r="W701">
        <v>0</v>
      </c>
      <c r="X701">
        <v>15</v>
      </c>
      <c r="Y701">
        <v>0</v>
      </c>
      <c r="Z701">
        <v>0</v>
      </c>
      <c r="AA701">
        <v>0</v>
      </c>
      <c r="AE701" s="30">
        <v>45835.458333333336</v>
      </c>
      <c r="AF701" s="30">
        <v>45839.416666666664</v>
      </c>
      <c r="AH701" s="30">
        <v>45779.416666666664</v>
      </c>
      <c r="AI701" s="30">
        <v>45783.375</v>
      </c>
      <c r="AJ701" s="30">
        <v>45779.416666666664</v>
      </c>
      <c r="AK701" s="30">
        <v>45783.375</v>
      </c>
      <c r="AL701" s="30">
        <v>45779.416666666664</v>
      </c>
      <c r="AM701" s="30">
        <v>45783.375</v>
      </c>
      <c r="AN701" s="30">
        <v>45835.458333333336</v>
      </c>
      <c r="AO701" s="30">
        <v>45839.416666666664</v>
      </c>
      <c r="AQ701" t="s">
        <v>3171</v>
      </c>
      <c r="AV701" t="s">
        <v>4052</v>
      </c>
      <c r="AW701" t="s">
        <v>4051</v>
      </c>
      <c r="AZ701" t="s">
        <v>1265</v>
      </c>
      <c r="BA701">
        <v>0</v>
      </c>
      <c r="BB701">
        <v>0</v>
      </c>
      <c r="BJ701" s="30">
        <v>46069.518055555556</v>
      </c>
      <c r="BK701" s="30">
        <v>46093.595138888886</v>
      </c>
      <c r="BL701" t="s">
        <v>1259</v>
      </c>
      <c r="BM701" t="s">
        <v>1259</v>
      </c>
      <c r="BO701" t="s">
        <v>1265</v>
      </c>
    </row>
    <row r="702" spans="1:67" x14ac:dyDescent="0.25">
      <c r="A702" t="s">
        <v>1248</v>
      </c>
      <c r="B702">
        <v>352084</v>
      </c>
      <c r="C702">
        <v>405</v>
      </c>
      <c r="D702">
        <v>51470</v>
      </c>
      <c r="E702">
        <v>1117</v>
      </c>
      <c r="F702">
        <v>0</v>
      </c>
      <c r="G702" t="s">
        <v>1265</v>
      </c>
      <c r="H702">
        <v>1</v>
      </c>
      <c r="I702" t="s">
        <v>1265</v>
      </c>
      <c r="J702" t="s">
        <v>1265</v>
      </c>
      <c r="K702" t="s">
        <v>3191</v>
      </c>
      <c r="L702" t="s">
        <v>3176</v>
      </c>
      <c r="M702" t="s">
        <v>3190</v>
      </c>
      <c r="N702" t="s">
        <v>3174</v>
      </c>
      <c r="O702">
        <v>618</v>
      </c>
      <c r="P702" t="s">
        <v>4050</v>
      </c>
      <c r="R702">
        <v>321</v>
      </c>
      <c r="S702">
        <v>0</v>
      </c>
      <c r="T702">
        <v>31</v>
      </c>
      <c r="U702">
        <v>0</v>
      </c>
      <c r="V702">
        <v>0</v>
      </c>
      <c r="W702">
        <v>0</v>
      </c>
      <c r="X702">
        <v>31</v>
      </c>
      <c r="Y702">
        <v>0</v>
      </c>
      <c r="Z702">
        <v>0</v>
      </c>
      <c r="AA702">
        <v>0</v>
      </c>
      <c r="AE702" s="30">
        <v>45839.416666666664</v>
      </c>
      <c r="AF702" s="30">
        <v>45845.375</v>
      </c>
      <c r="AH702" s="30">
        <v>45783.375</v>
      </c>
      <c r="AI702" s="30">
        <v>45786.708333333336</v>
      </c>
      <c r="AJ702" s="30">
        <v>45783.375</v>
      </c>
      <c r="AK702" s="30">
        <v>45786.708333333336</v>
      </c>
      <c r="AL702" s="30">
        <v>45783.375</v>
      </c>
      <c r="AM702" s="30">
        <v>45786.708333333336</v>
      </c>
      <c r="AN702" s="30">
        <v>45839.416666666664</v>
      </c>
      <c r="AO702" s="30">
        <v>45845.375</v>
      </c>
      <c r="AQ702" t="s">
        <v>3171</v>
      </c>
      <c r="AV702" t="s">
        <v>4049</v>
      </c>
      <c r="AW702" t="s">
        <v>4048</v>
      </c>
      <c r="AZ702" t="s">
        <v>1265</v>
      </c>
      <c r="BA702">
        <v>0</v>
      </c>
      <c r="BB702">
        <v>0</v>
      </c>
      <c r="BJ702" s="30">
        <v>46069.518055555556</v>
      </c>
      <c r="BK702" s="30">
        <v>46093.595138888886</v>
      </c>
      <c r="BL702" t="s">
        <v>1259</v>
      </c>
      <c r="BM702" t="s">
        <v>1259</v>
      </c>
      <c r="BO702" t="s">
        <v>1265</v>
      </c>
    </row>
    <row r="703" spans="1:67" x14ac:dyDescent="0.25">
      <c r="A703" t="s">
        <v>1248</v>
      </c>
      <c r="B703">
        <v>352085</v>
      </c>
      <c r="C703">
        <v>405</v>
      </c>
      <c r="D703">
        <v>51470</v>
      </c>
      <c r="E703">
        <v>1117</v>
      </c>
      <c r="F703">
        <v>0</v>
      </c>
      <c r="G703" t="s">
        <v>1265</v>
      </c>
      <c r="H703">
        <v>1</v>
      </c>
      <c r="I703" t="s">
        <v>1265</v>
      </c>
      <c r="J703" t="s">
        <v>1265</v>
      </c>
      <c r="K703" t="s">
        <v>3191</v>
      </c>
      <c r="L703" t="s">
        <v>3176</v>
      </c>
      <c r="M703" t="s">
        <v>3190</v>
      </c>
      <c r="N703" t="s">
        <v>3174</v>
      </c>
      <c r="O703">
        <v>628</v>
      </c>
      <c r="P703" t="s">
        <v>4047</v>
      </c>
      <c r="R703">
        <v>321</v>
      </c>
      <c r="S703">
        <v>0</v>
      </c>
      <c r="T703">
        <v>47</v>
      </c>
      <c r="U703">
        <v>0</v>
      </c>
      <c r="V703">
        <v>0</v>
      </c>
      <c r="W703">
        <v>0</v>
      </c>
      <c r="X703">
        <v>47</v>
      </c>
      <c r="Y703">
        <v>0</v>
      </c>
      <c r="Z703">
        <v>0</v>
      </c>
      <c r="AA703">
        <v>0</v>
      </c>
      <c r="AE703" s="30">
        <v>45845.375</v>
      </c>
      <c r="AF703" s="30">
        <v>45852.708333333336</v>
      </c>
      <c r="AH703" s="30">
        <v>45789.333333333336</v>
      </c>
      <c r="AI703" s="30">
        <v>45796.666666666664</v>
      </c>
      <c r="AJ703" s="30">
        <v>45789.333333333336</v>
      </c>
      <c r="AK703" s="30">
        <v>45796.666666666664</v>
      </c>
      <c r="AL703" s="30">
        <v>45789.333333333336</v>
      </c>
      <c r="AM703" s="30">
        <v>45796.666666666664</v>
      </c>
      <c r="AN703" s="30">
        <v>45845.375</v>
      </c>
      <c r="AO703" s="30">
        <v>45852.708333333336</v>
      </c>
      <c r="AQ703" t="s">
        <v>3171</v>
      </c>
      <c r="AV703" t="s">
        <v>4046</v>
      </c>
      <c r="AW703" t="s">
        <v>4045</v>
      </c>
      <c r="AZ703" t="s">
        <v>1265</v>
      </c>
      <c r="BA703">
        <v>0</v>
      </c>
      <c r="BB703">
        <v>0</v>
      </c>
      <c r="BJ703" s="30">
        <v>46069.518055555556</v>
      </c>
      <c r="BK703" s="30">
        <v>46093.595138888886</v>
      </c>
      <c r="BL703" t="s">
        <v>1259</v>
      </c>
      <c r="BM703" t="s">
        <v>1259</v>
      </c>
      <c r="BO703" t="s">
        <v>1265</v>
      </c>
    </row>
    <row r="704" spans="1:67" x14ac:dyDescent="0.25">
      <c r="A704" t="s">
        <v>1248</v>
      </c>
      <c r="B704">
        <v>352086</v>
      </c>
      <c r="C704">
        <v>405</v>
      </c>
      <c r="D704">
        <v>53303</v>
      </c>
      <c r="E704">
        <v>1117</v>
      </c>
      <c r="F704">
        <v>0</v>
      </c>
      <c r="G704" t="s">
        <v>1265</v>
      </c>
      <c r="H704">
        <v>1</v>
      </c>
      <c r="I704" t="s">
        <v>1265</v>
      </c>
      <c r="J704" t="s">
        <v>1265</v>
      </c>
      <c r="K704" t="s">
        <v>3191</v>
      </c>
      <c r="L704" t="s">
        <v>3176</v>
      </c>
      <c r="M704" t="s">
        <v>3190</v>
      </c>
      <c r="N704" t="s">
        <v>3174</v>
      </c>
      <c r="O704">
        <v>638</v>
      </c>
      <c r="P704" t="s">
        <v>4044</v>
      </c>
      <c r="R704">
        <v>428</v>
      </c>
      <c r="S704">
        <v>8</v>
      </c>
      <c r="T704">
        <v>7</v>
      </c>
      <c r="U704">
        <v>0</v>
      </c>
      <c r="V704">
        <v>0</v>
      </c>
      <c r="W704">
        <v>0</v>
      </c>
      <c r="X704">
        <v>7</v>
      </c>
      <c r="Y704">
        <v>0</v>
      </c>
      <c r="Z704">
        <v>0</v>
      </c>
      <c r="AA704">
        <v>0</v>
      </c>
      <c r="AE704" s="30">
        <v>45870.458333333336</v>
      </c>
      <c r="AF704" s="30">
        <v>45873.416666666664</v>
      </c>
      <c r="AH704" s="30">
        <v>45796.666666666664</v>
      </c>
      <c r="AI704" s="30">
        <v>45797.625</v>
      </c>
      <c r="AJ704" s="30">
        <v>45796.666666666664</v>
      </c>
      <c r="AK704" s="30">
        <v>45797.625</v>
      </c>
      <c r="AL704" s="30">
        <v>45796.666666666664</v>
      </c>
      <c r="AM704" s="30">
        <v>45797.625</v>
      </c>
      <c r="AN704" s="30">
        <v>45870.458333333336</v>
      </c>
      <c r="AO704" s="30">
        <v>45873.416666666664</v>
      </c>
      <c r="AQ704" t="s">
        <v>3171</v>
      </c>
      <c r="AV704" t="s">
        <v>4043</v>
      </c>
      <c r="AW704" t="s">
        <v>4042</v>
      </c>
      <c r="AZ704" t="s">
        <v>1265</v>
      </c>
      <c r="BA704">
        <v>0</v>
      </c>
      <c r="BB704">
        <v>0</v>
      </c>
      <c r="BJ704" s="30">
        <v>46069.518055555556</v>
      </c>
      <c r="BK704" s="30">
        <v>46093.73333333333</v>
      </c>
      <c r="BL704" t="s">
        <v>1259</v>
      </c>
      <c r="BM704" t="s">
        <v>1259</v>
      </c>
      <c r="BO704" t="s">
        <v>1265</v>
      </c>
    </row>
    <row r="705" spans="1:67" x14ac:dyDescent="0.25">
      <c r="A705" t="s">
        <v>1248</v>
      </c>
      <c r="B705">
        <v>352087</v>
      </c>
      <c r="C705">
        <v>405</v>
      </c>
      <c r="D705">
        <v>53303</v>
      </c>
      <c r="E705">
        <v>1117</v>
      </c>
      <c r="F705">
        <v>0</v>
      </c>
      <c r="G705" t="s">
        <v>1265</v>
      </c>
      <c r="H705">
        <v>1</v>
      </c>
      <c r="I705" t="s">
        <v>1265</v>
      </c>
      <c r="J705" t="s">
        <v>1265</v>
      </c>
      <c r="K705" t="s">
        <v>3191</v>
      </c>
      <c r="L705" t="s">
        <v>3176</v>
      </c>
      <c r="M705" t="s">
        <v>3190</v>
      </c>
      <c r="N705" t="s">
        <v>3174</v>
      </c>
      <c r="O705">
        <v>648</v>
      </c>
      <c r="P705" t="s">
        <v>4041</v>
      </c>
      <c r="R705">
        <v>304</v>
      </c>
      <c r="S705">
        <v>0</v>
      </c>
      <c r="T705">
        <v>15</v>
      </c>
      <c r="U705">
        <v>0</v>
      </c>
      <c r="V705">
        <v>0</v>
      </c>
      <c r="W705">
        <v>0</v>
      </c>
      <c r="X705">
        <v>15</v>
      </c>
      <c r="Y705">
        <v>0</v>
      </c>
      <c r="Z705">
        <v>0</v>
      </c>
      <c r="AA705">
        <v>0</v>
      </c>
      <c r="AE705" s="30">
        <v>45821.625</v>
      </c>
      <c r="AF705" s="30">
        <v>45825.583333333336</v>
      </c>
      <c r="AH705" s="30">
        <v>45769.625</v>
      </c>
      <c r="AI705" s="30">
        <v>45771.583333333336</v>
      </c>
      <c r="AJ705" s="30">
        <v>45769.625</v>
      </c>
      <c r="AK705" s="30">
        <v>45771.583333333336</v>
      </c>
      <c r="AL705" s="30">
        <v>45769.625</v>
      </c>
      <c r="AM705" s="30">
        <v>45771.583333333336</v>
      </c>
      <c r="AN705" s="30">
        <v>45821.625</v>
      </c>
      <c r="AO705" s="30">
        <v>45825.583333333336</v>
      </c>
      <c r="AQ705" t="s">
        <v>3171</v>
      </c>
      <c r="AV705" t="s">
        <v>4040</v>
      </c>
      <c r="AW705" t="s">
        <v>4039</v>
      </c>
      <c r="AZ705" t="s">
        <v>1265</v>
      </c>
      <c r="BA705">
        <v>0</v>
      </c>
      <c r="BB705">
        <v>0</v>
      </c>
      <c r="BJ705" s="30">
        <v>46069.518055555556</v>
      </c>
      <c r="BK705" s="30">
        <v>46093.595138888886</v>
      </c>
      <c r="BL705" t="s">
        <v>1259</v>
      </c>
      <c r="BM705" t="s">
        <v>1259</v>
      </c>
      <c r="BO705" t="s">
        <v>1265</v>
      </c>
    </row>
    <row r="706" spans="1:67" x14ac:dyDescent="0.25">
      <c r="A706" t="s">
        <v>1248</v>
      </c>
      <c r="B706">
        <v>352088</v>
      </c>
      <c r="C706">
        <v>405</v>
      </c>
      <c r="D706">
        <v>51471</v>
      </c>
      <c r="E706">
        <v>1117</v>
      </c>
      <c r="F706">
        <v>0</v>
      </c>
      <c r="G706" t="s">
        <v>1265</v>
      </c>
      <c r="H706">
        <v>1</v>
      </c>
      <c r="I706" t="s">
        <v>1265</v>
      </c>
      <c r="J706" t="s">
        <v>1265</v>
      </c>
      <c r="K706" t="s">
        <v>3191</v>
      </c>
      <c r="L706" t="s">
        <v>3176</v>
      </c>
      <c r="M706" t="s">
        <v>3190</v>
      </c>
      <c r="N706" t="s">
        <v>3174</v>
      </c>
      <c r="O706">
        <v>658</v>
      </c>
      <c r="P706" t="s">
        <v>4038</v>
      </c>
      <c r="R706">
        <v>304</v>
      </c>
      <c r="S706">
        <v>0</v>
      </c>
      <c r="T706">
        <v>23</v>
      </c>
      <c r="U706">
        <v>0</v>
      </c>
      <c r="V706">
        <v>0</v>
      </c>
      <c r="W706">
        <v>0</v>
      </c>
      <c r="X706">
        <v>23</v>
      </c>
      <c r="Y706">
        <v>0</v>
      </c>
      <c r="Z706">
        <v>0</v>
      </c>
      <c r="AA706">
        <v>0</v>
      </c>
      <c r="AE706" s="30">
        <v>45825.583333333336</v>
      </c>
      <c r="AF706" s="30">
        <v>45828.5</v>
      </c>
      <c r="AH706" s="30">
        <v>45771.583333333336</v>
      </c>
      <c r="AI706" s="30">
        <v>45776.5</v>
      </c>
      <c r="AJ706" s="30">
        <v>45771.583333333336</v>
      </c>
      <c r="AK706" s="30">
        <v>45776.5</v>
      </c>
      <c r="AL706" s="30">
        <v>45771.583333333336</v>
      </c>
      <c r="AM706" s="30">
        <v>45776.5</v>
      </c>
      <c r="AN706" s="30">
        <v>45825.583333333336</v>
      </c>
      <c r="AO706" s="30">
        <v>45828.5</v>
      </c>
      <c r="AQ706" t="s">
        <v>3171</v>
      </c>
      <c r="AV706" t="s">
        <v>4037</v>
      </c>
      <c r="AW706" t="s">
        <v>4036</v>
      </c>
      <c r="AZ706" t="s">
        <v>1265</v>
      </c>
      <c r="BA706">
        <v>0</v>
      </c>
      <c r="BB706">
        <v>0</v>
      </c>
      <c r="BJ706" s="30">
        <v>46069.518055555556</v>
      </c>
      <c r="BK706" s="30">
        <v>46093.595138888886</v>
      </c>
      <c r="BL706" t="s">
        <v>1259</v>
      </c>
      <c r="BM706" t="s">
        <v>1259</v>
      </c>
      <c r="BO706" t="s">
        <v>1265</v>
      </c>
    </row>
    <row r="707" spans="1:67" x14ac:dyDescent="0.25">
      <c r="A707" t="s">
        <v>1248</v>
      </c>
      <c r="B707">
        <v>352089</v>
      </c>
      <c r="C707">
        <v>405</v>
      </c>
      <c r="D707">
        <v>51471</v>
      </c>
      <c r="E707">
        <v>1117</v>
      </c>
      <c r="F707">
        <v>0</v>
      </c>
      <c r="G707" t="s">
        <v>1265</v>
      </c>
      <c r="H707">
        <v>1</v>
      </c>
      <c r="I707" t="s">
        <v>1265</v>
      </c>
      <c r="J707" t="s">
        <v>1265</v>
      </c>
      <c r="K707" t="s">
        <v>3191</v>
      </c>
      <c r="L707" t="s">
        <v>3176</v>
      </c>
      <c r="M707" t="s">
        <v>3190</v>
      </c>
      <c r="N707" t="s">
        <v>3174</v>
      </c>
      <c r="O707">
        <v>668</v>
      </c>
      <c r="P707" t="s">
        <v>4035</v>
      </c>
      <c r="R707">
        <v>304</v>
      </c>
      <c r="S707">
        <v>0</v>
      </c>
      <c r="T707">
        <v>7</v>
      </c>
      <c r="U707">
        <v>0</v>
      </c>
      <c r="V707">
        <v>0</v>
      </c>
      <c r="W707">
        <v>0</v>
      </c>
      <c r="X707">
        <v>7</v>
      </c>
      <c r="Y707">
        <v>0</v>
      </c>
      <c r="Z707">
        <v>0</v>
      </c>
      <c r="AA707">
        <v>0</v>
      </c>
      <c r="AE707" s="30">
        <v>45828.541666666664</v>
      </c>
      <c r="AF707" s="30">
        <v>45831.458333333336</v>
      </c>
      <c r="AH707" s="30">
        <v>45776.541666666664</v>
      </c>
      <c r="AI707" s="30">
        <v>45777.458333333336</v>
      </c>
      <c r="AJ707" s="30">
        <v>45776.541666666664</v>
      </c>
      <c r="AK707" s="30">
        <v>45777.458333333336</v>
      </c>
      <c r="AL707" s="30">
        <v>45776.541666666664</v>
      </c>
      <c r="AM707" s="30">
        <v>45777.458333333336</v>
      </c>
      <c r="AN707" s="30">
        <v>45828.541666666664</v>
      </c>
      <c r="AO707" s="30">
        <v>45831.458333333336</v>
      </c>
      <c r="AQ707" t="s">
        <v>3171</v>
      </c>
      <c r="AV707" t="s">
        <v>4034</v>
      </c>
      <c r="AW707" t="e">
        <f>+QJYmZRfPkWNVoG3EQB5og</f>
        <v>#NAME?</v>
      </c>
      <c r="AZ707" t="s">
        <v>1265</v>
      </c>
      <c r="BA707">
        <v>0</v>
      </c>
      <c r="BB707">
        <v>0</v>
      </c>
      <c r="BJ707" s="30">
        <v>46069.518055555556</v>
      </c>
      <c r="BK707" s="30">
        <v>46093.595138888886</v>
      </c>
      <c r="BL707" t="s">
        <v>1259</v>
      </c>
      <c r="BM707" t="s">
        <v>1259</v>
      </c>
      <c r="BO707" t="s">
        <v>1265</v>
      </c>
    </row>
    <row r="708" spans="1:67" x14ac:dyDescent="0.25">
      <c r="A708" t="s">
        <v>1248</v>
      </c>
      <c r="B708">
        <v>352090</v>
      </c>
      <c r="C708">
        <v>405</v>
      </c>
      <c r="D708">
        <v>51471</v>
      </c>
      <c r="E708">
        <v>1117</v>
      </c>
      <c r="F708">
        <v>0</v>
      </c>
      <c r="G708" t="s">
        <v>1265</v>
      </c>
      <c r="H708">
        <v>1</v>
      </c>
      <c r="I708" t="s">
        <v>1265</v>
      </c>
      <c r="J708" t="s">
        <v>1265</v>
      </c>
      <c r="K708" t="s">
        <v>3191</v>
      </c>
      <c r="L708" t="s">
        <v>3176</v>
      </c>
      <c r="M708" t="s">
        <v>3190</v>
      </c>
      <c r="N708" t="s">
        <v>3174</v>
      </c>
      <c r="O708">
        <v>678</v>
      </c>
      <c r="P708" t="s">
        <v>4033</v>
      </c>
      <c r="R708">
        <v>304</v>
      </c>
      <c r="S708">
        <v>0</v>
      </c>
      <c r="T708">
        <v>15</v>
      </c>
      <c r="U708">
        <v>0</v>
      </c>
      <c r="V708">
        <v>0</v>
      </c>
      <c r="W708">
        <v>0</v>
      </c>
      <c r="X708">
        <v>15</v>
      </c>
      <c r="Y708">
        <v>0</v>
      </c>
      <c r="Z708">
        <v>0</v>
      </c>
      <c r="AA708">
        <v>0</v>
      </c>
      <c r="AE708" s="30">
        <v>45831.458333333336</v>
      </c>
      <c r="AF708" s="30">
        <v>45833.416666666664</v>
      </c>
      <c r="AH708" s="30">
        <v>45777.458333333336</v>
      </c>
      <c r="AI708" s="30">
        <v>45779.416666666664</v>
      </c>
      <c r="AJ708" s="30">
        <v>45777.458333333336</v>
      </c>
      <c r="AK708" s="30">
        <v>45779.416666666664</v>
      </c>
      <c r="AL708" s="30">
        <v>45777.458333333336</v>
      </c>
      <c r="AM708" s="30">
        <v>45779.416666666664</v>
      </c>
      <c r="AN708" s="30">
        <v>45831.458333333336</v>
      </c>
      <c r="AO708" s="30">
        <v>45833.416666666664</v>
      </c>
      <c r="AQ708" t="s">
        <v>3171</v>
      </c>
      <c r="AV708" t="s">
        <v>4032</v>
      </c>
      <c r="AW708" t="s">
        <v>4031</v>
      </c>
      <c r="AZ708" t="s">
        <v>1265</v>
      </c>
      <c r="BA708">
        <v>0</v>
      </c>
      <c r="BB708">
        <v>0</v>
      </c>
      <c r="BJ708" s="30">
        <v>46069.518055555556</v>
      </c>
      <c r="BK708" s="30">
        <v>46093.595138888886</v>
      </c>
      <c r="BL708" t="s">
        <v>1259</v>
      </c>
      <c r="BM708" t="s">
        <v>1259</v>
      </c>
      <c r="BO708" t="s">
        <v>1265</v>
      </c>
    </row>
    <row r="709" spans="1:67" x14ac:dyDescent="0.25">
      <c r="A709" t="s">
        <v>1248</v>
      </c>
      <c r="B709">
        <v>352091</v>
      </c>
      <c r="C709">
        <v>405</v>
      </c>
      <c r="D709">
        <v>51471</v>
      </c>
      <c r="E709">
        <v>1117</v>
      </c>
      <c r="F709">
        <v>0</v>
      </c>
      <c r="G709" t="s">
        <v>1265</v>
      </c>
      <c r="H709">
        <v>1</v>
      </c>
      <c r="I709" t="s">
        <v>1265</v>
      </c>
      <c r="J709" t="s">
        <v>1265</v>
      </c>
      <c r="K709" t="s">
        <v>3191</v>
      </c>
      <c r="L709" t="s">
        <v>3176</v>
      </c>
      <c r="M709" t="s">
        <v>3190</v>
      </c>
      <c r="N709" t="s">
        <v>3174</v>
      </c>
      <c r="O709">
        <v>688</v>
      </c>
      <c r="P709" t="s">
        <v>4030</v>
      </c>
      <c r="R709">
        <v>304</v>
      </c>
      <c r="S709">
        <v>0</v>
      </c>
      <c r="T709">
        <v>31</v>
      </c>
      <c r="U709">
        <v>0</v>
      </c>
      <c r="V709">
        <v>0</v>
      </c>
      <c r="W709">
        <v>0</v>
      </c>
      <c r="X709">
        <v>31</v>
      </c>
      <c r="Y709">
        <v>0</v>
      </c>
      <c r="Z709">
        <v>0</v>
      </c>
      <c r="AA709">
        <v>0</v>
      </c>
      <c r="AE709" s="30">
        <v>45833.416666666664</v>
      </c>
      <c r="AF709" s="30">
        <v>45839.375</v>
      </c>
      <c r="AH709" s="30">
        <v>45779.416666666664</v>
      </c>
      <c r="AI709" s="30">
        <v>45785.375</v>
      </c>
      <c r="AJ709" s="30">
        <v>45779.416666666664</v>
      </c>
      <c r="AK709" s="30">
        <v>45785.375</v>
      </c>
      <c r="AL709" s="30">
        <v>45779.416666666664</v>
      </c>
      <c r="AM709" s="30">
        <v>45785.375</v>
      </c>
      <c r="AN709" s="30">
        <v>45833.416666666664</v>
      </c>
      <c r="AO709" s="30">
        <v>45839.375</v>
      </c>
      <c r="AQ709" t="s">
        <v>3171</v>
      </c>
      <c r="AV709" t="s">
        <v>4029</v>
      </c>
      <c r="AW709" t="s">
        <v>4028</v>
      </c>
      <c r="AZ709" t="s">
        <v>1265</v>
      </c>
      <c r="BA709">
        <v>0</v>
      </c>
      <c r="BB709">
        <v>0</v>
      </c>
      <c r="BJ709" s="30">
        <v>46069.518055555556</v>
      </c>
      <c r="BK709" s="30">
        <v>46093.595138888886</v>
      </c>
      <c r="BL709" t="s">
        <v>1259</v>
      </c>
      <c r="BM709" t="s">
        <v>1259</v>
      </c>
      <c r="BO709" t="s">
        <v>1265</v>
      </c>
    </row>
    <row r="710" spans="1:67" x14ac:dyDescent="0.25">
      <c r="A710" t="s">
        <v>1248</v>
      </c>
      <c r="B710">
        <v>352092</v>
      </c>
      <c r="C710">
        <v>405</v>
      </c>
      <c r="D710">
        <v>51471</v>
      </c>
      <c r="E710">
        <v>1117</v>
      </c>
      <c r="F710">
        <v>0</v>
      </c>
      <c r="G710" t="s">
        <v>1265</v>
      </c>
      <c r="H710">
        <v>1</v>
      </c>
      <c r="I710" t="s">
        <v>1265</v>
      </c>
      <c r="J710" t="s">
        <v>1265</v>
      </c>
      <c r="K710" t="s">
        <v>3191</v>
      </c>
      <c r="L710" t="s">
        <v>3176</v>
      </c>
      <c r="M710" t="s">
        <v>3190</v>
      </c>
      <c r="N710" t="s">
        <v>3174</v>
      </c>
      <c r="O710">
        <v>698</v>
      </c>
      <c r="P710" t="s">
        <v>4027</v>
      </c>
      <c r="R710">
        <v>304</v>
      </c>
      <c r="S710">
        <v>0</v>
      </c>
      <c r="T710">
        <v>47</v>
      </c>
      <c r="U710">
        <v>0</v>
      </c>
      <c r="V710">
        <v>0</v>
      </c>
      <c r="W710">
        <v>0</v>
      </c>
      <c r="X710">
        <v>47</v>
      </c>
      <c r="Y710">
        <v>0</v>
      </c>
      <c r="Z710">
        <v>0</v>
      </c>
      <c r="AA710">
        <v>0</v>
      </c>
      <c r="AE710" s="30">
        <v>45839.375</v>
      </c>
      <c r="AF710" s="30">
        <v>45846.708333333336</v>
      </c>
      <c r="AH710" s="30">
        <v>45785.375</v>
      </c>
      <c r="AI710" s="30">
        <v>45792.708333333336</v>
      </c>
      <c r="AJ710" s="30">
        <v>45785.375</v>
      </c>
      <c r="AK710" s="30">
        <v>45792.708333333336</v>
      </c>
      <c r="AL710" s="30">
        <v>45785.375</v>
      </c>
      <c r="AM710" s="30">
        <v>45792.708333333336</v>
      </c>
      <c r="AN710" s="30">
        <v>45839.375</v>
      </c>
      <c r="AO710" s="30">
        <v>45846.708333333336</v>
      </c>
      <c r="AQ710" t="s">
        <v>3171</v>
      </c>
      <c r="AV710" t="s">
        <v>4026</v>
      </c>
      <c r="AW710" t="s">
        <v>4025</v>
      </c>
      <c r="AZ710" t="s">
        <v>1265</v>
      </c>
      <c r="BA710">
        <v>0</v>
      </c>
      <c r="BB710">
        <v>0</v>
      </c>
      <c r="BJ710" s="30">
        <v>46069.518055555556</v>
      </c>
      <c r="BK710" s="30">
        <v>46093.595138888886</v>
      </c>
      <c r="BL710" t="s">
        <v>1259</v>
      </c>
      <c r="BM710" t="s">
        <v>1259</v>
      </c>
      <c r="BO710" t="s">
        <v>1265</v>
      </c>
    </row>
    <row r="711" spans="1:67" x14ac:dyDescent="0.25">
      <c r="A711" t="s">
        <v>1248</v>
      </c>
      <c r="B711">
        <v>352093</v>
      </c>
      <c r="C711">
        <v>405</v>
      </c>
      <c r="D711">
        <v>53303</v>
      </c>
      <c r="E711">
        <v>1117</v>
      </c>
      <c r="F711">
        <v>0</v>
      </c>
      <c r="G711" t="s">
        <v>1265</v>
      </c>
      <c r="H711">
        <v>1</v>
      </c>
      <c r="I711" t="s">
        <v>1265</v>
      </c>
      <c r="J711" t="s">
        <v>1265</v>
      </c>
      <c r="K711" t="s">
        <v>3191</v>
      </c>
      <c r="L711" t="s">
        <v>3176</v>
      </c>
      <c r="M711" t="s">
        <v>3190</v>
      </c>
      <c r="N711" t="s">
        <v>3174</v>
      </c>
      <c r="O711">
        <v>708</v>
      </c>
      <c r="P711" t="s">
        <v>4024</v>
      </c>
      <c r="R711">
        <v>436</v>
      </c>
      <c r="S711">
        <v>8</v>
      </c>
      <c r="T711">
        <v>7</v>
      </c>
      <c r="U711">
        <v>0</v>
      </c>
      <c r="V711">
        <v>0</v>
      </c>
      <c r="W711">
        <v>0</v>
      </c>
      <c r="X711">
        <v>7</v>
      </c>
      <c r="Y711">
        <v>0</v>
      </c>
      <c r="Z711">
        <v>0</v>
      </c>
      <c r="AA711">
        <v>0</v>
      </c>
      <c r="AE711" s="30">
        <v>45869.541666666664</v>
      </c>
      <c r="AF711" s="30">
        <v>45870.458333333336</v>
      </c>
      <c r="AH711" s="30">
        <v>45793.333333333336</v>
      </c>
      <c r="AI711" s="30">
        <v>45793.666666666664</v>
      </c>
      <c r="AJ711" s="30">
        <v>45793.333333333336</v>
      </c>
      <c r="AK711" s="30">
        <v>45793.666666666664</v>
      </c>
      <c r="AL711" s="30">
        <v>45793.333333333336</v>
      </c>
      <c r="AM711" s="30">
        <v>45793.666666666664</v>
      </c>
      <c r="AN711" s="30">
        <v>45869.541666666664</v>
      </c>
      <c r="AO711" s="30">
        <v>45870.458333333336</v>
      </c>
      <c r="AQ711" t="s">
        <v>3171</v>
      </c>
      <c r="AV711" t="s">
        <v>4023</v>
      </c>
      <c r="AW711" t="s">
        <v>4022</v>
      </c>
      <c r="AZ711" t="s">
        <v>1265</v>
      </c>
      <c r="BA711">
        <v>0</v>
      </c>
      <c r="BB711">
        <v>0</v>
      </c>
      <c r="BJ711" s="30">
        <v>46069.518055555556</v>
      </c>
      <c r="BK711" s="30">
        <v>46093.73333333333</v>
      </c>
      <c r="BL711" t="s">
        <v>1259</v>
      </c>
      <c r="BM711" t="s">
        <v>1259</v>
      </c>
      <c r="BO711" t="s">
        <v>1265</v>
      </c>
    </row>
    <row r="712" spans="1:67" x14ac:dyDescent="0.25">
      <c r="A712" t="s">
        <v>1248</v>
      </c>
      <c r="B712">
        <v>352094</v>
      </c>
      <c r="C712">
        <v>405</v>
      </c>
      <c r="D712">
        <v>53303</v>
      </c>
      <c r="E712">
        <v>1117</v>
      </c>
      <c r="F712">
        <v>0</v>
      </c>
      <c r="G712" t="s">
        <v>1265</v>
      </c>
      <c r="H712">
        <v>1</v>
      </c>
      <c r="I712" t="s">
        <v>1265</v>
      </c>
      <c r="J712" t="s">
        <v>1265</v>
      </c>
      <c r="K712" t="s">
        <v>3191</v>
      </c>
      <c r="L712" t="s">
        <v>3176</v>
      </c>
      <c r="M712" t="s">
        <v>3190</v>
      </c>
      <c r="N712" t="s">
        <v>3174</v>
      </c>
      <c r="O712">
        <v>718</v>
      </c>
      <c r="P712" t="s">
        <v>4021</v>
      </c>
      <c r="R712">
        <v>287</v>
      </c>
      <c r="S712">
        <v>0</v>
      </c>
      <c r="T712">
        <v>15</v>
      </c>
      <c r="U712">
        <v>0</v>
      </c>
      <c r="V712">
        <v>0</v>
      </c>
      <c r="W712">
        <v>0</v>
      </c>
      <c r="X712">
        <v>15</v>
      </c>
      <c r="Y712">
        <v>0</v>
      </c>
      <c r="Z712">
        <v>0</v>
      </c>
      <c r="AA712">
        <v>0</v>
      </c>
      <c r="AE712" s="30">
        <v>45817.625</v>
      </c>
      <c r="AF712" s="30">
        <v>45819.583333333336</v>
      </c>
      <c r="AH712" s="30">
        <v>45765.666666666664</v>
      </c>
      <c r="AI712" s="30">
        <v>45769.625</v>
      </c>
      <c r="AJ712" s="30">
        <v>45765.666666666664</v>
      </c>
      <c r="AK712" s="30">
        <v>45769.625</v>
      </c>
      <c r="AL712" s="30">
        <v>45765.666666666664</v>
      </c>
      <c r="AM712" s="30">
        <v>45769.625</v>
      </c>
      <c r="AN712" s="30">
        <v>45817.625</v>
      </c>
      <c r="AO712" s="30">
        <v>45819.583333333336</v>
      </c>
      <c r="AQ712" t="s">
        <v>3171</v>
      </c>
      <c r="AV712" t="s">
        <v>4020</v>
      </c>
      <c r="AW712" t="s">
        <v>4019</v>
      </c>
      <c r="AZ712" t="s">
        <v>1265</v>
      </c>
      <c r="BA712">
        <v>0</v>
      </c>
      <c r="BB712">
        <v>0</v>
      </c>
      <c r="BJ712" s="30">
        <v>46069.518055555556</v>
      </c>
      <c r="BK712" s="30">
        <v>46093.595138888886</v>
      </c>
      <c r="BL712" t="s">
        <v>1259</v>
      </c>
      <c r="BM712" t="s">
        <v>1259</v>
      </c>
      <c r="BO712" t="s">
        <v>1265</v>
      </c>
    </row>
    <row r="713" spans="1:67" x14ac:dyDescent="0.25">
      <c r="A713" t="s">
        <v>1248</v>
      </c>
      <c r="B713">
        <v>352095</v>
      </c>
      <c r="C713">
        <v>405</v>
      </c>
      <c r="D713">
        <v>51472</v>
      </c>
      <c r="E713">
        <v>1117</v>
      </c>
      <c r="F713">
        <v>0</v>
      </c>
      <c r="G713" t="s">
        <v>1265</v>
      </c>
      <c r="H713">
        <v>1</v>
      </c>
      <c r="I713" t="s">
        <v>1265</v>
      </c>
      <c r="J713" t="s">
        <v>1265</v>
      </c>
      <c r="K713" t="s">
        <v>3191</v>
      </c>
      <c r="L713" t="s">
        <v>3176</v>
      </c>
      <c r="M713" t="s">
        <v>3190</v>
      </c>
      <c r="N713" t="s">
        <v>3174</v>
      </c>
      <c r="O713">
        <v>728</v>
      </c>
      <c r="P713" t="s">
        <v>4018</v>
      </c>
      <c r="R713">
        <v>287</v>
      </c>
      <c r="S713">
        <v>0</v>
      </c>
      <c r="T713">
        <v>23</v>
      </c>
      <c r="U713">
        <v>0</v>
      </c>
      <c r="V713">
        <v>0</v>
      </c>
      <c r="W713">
        <v>0</v>
      </c>
      <c r="X713">
        <v>23</v>
      </c>
      <c r="Y713">
        <v>0</v>
      </c>
      <c r="Z713">
        <v>0</v>
      </c>
      <c r="AA713">
        <v>0</v>
      </c>
      <c r="AE713" s="30">
        <v>45819.583333333336</v>
      </c>
      <c r="AF713" s="30">
        <v>45824.5</v>
      </c>
      <c r="AH713" s="30">
        <v>45769.625</v>
      </c>
      <c r="AI713" s="30">
        <v>45772.583333333336</v>
      </c>
      <c r="AJ713" s="30">
        <v>45769.625</v>
      </c>
      <c r="AK713" s="30">
        <v>45772.583333333336</v>
      </c>
      <c r="AL713" s="30">
        <v>45769.625</v>
      </c>
      <c r="AM713" s="30">
        <v>45772.583333333336</v>
      </c>
      <c r="AN713" s="30">
        <v>45819.583333333336</v>
      </c>
      <c r="AO713" s="30">
        <v>45824.5</v>
      </c>
      <c r="AQ713" t="s">
        <v>3171</v>
      </c>
      <c r="AV713" t="s">
        <v>4017</v>
      </c>
      <c r="AW713" t="s">
        <v>4016</v>
      </c>
      <c r="AZ713" t="s">
        <v>1265</v>
      </c>
      <c r="BA713">
        <v>0</v>
      </c>
      <c r="BB713">
        <v>0</v>
      </c>
      <c r="BJ713" s="30">
        <v>46069.518055555556</v>
      </c>
      <c r="BK713" s="30">
        <v>46093.595138888886</v>
      </c>
      <c r="BL713" t="s">
        <v>1259</v>
      </c>
      <c r="BM713" t="s">
        <v>1259</v>
      </c>
      <c r="BO713" t="s">
        <v>1265</v>
      </c>
    </row>
    <row r="714" spans="1:67" x14ac:dyDescent="0.25">
      <c r="A714" t="s">
        <v>1248</v>
      </c>
      <c r="B714">
        <v>352096</v>
      </c>
      <c r="C714">
        <v>405</v>
      </c>
      <c r="D714">
        <v>51472</v>
      </c>
      <c r="E714">
        <v>1117</v>
      </c>
      <c r="F714">
        <v>0</v>
      </c>
      <c r="G714" t="s">
        <v>1265</v>
      </c>
      <c r="H714">
        <v>1</v>
      </c>
      <c r="I714" t="s">
        <v>1265</v>
      </c>
      <c r="J714" t="s">
        <v>1265</v>
      </c>
      <c r="K714" t="s">
        <v>3191</v>
      </c>
      <c r="L714" t="s">
        <v>3176</v>
      </c>
      <c r="M714" t="s">
        <v>3190</v>
      </c>
      <c r="N714" t="s">
        <v>3174</v>
      </c>
      <c r="O714">
        <v>738</v>
      </c>
      <c r="P714" t="s">
        <v>4015</v>
      </c>
      <c r="R714">
        <v>287</v>
      </c>
      <c r="S714">
        <v>0</v>
      </c>
      <c r="T714">
        <v>7</v>
      </c>
      <c r="U714">
        <v>0</v>
      </c>
      <c r="V714">
        <v>0</v>
      </c>
      <c r="W714">
        <v>0</v>
      </c>
      <c r="X714">
        <v>7</v>
      </c>
      <c r="Y714">
        <v>0</v>
      </c>
      <c r="Z714">
        <v>0</v>
      </c>
      <c r="AA714">
        <v>0</v>
      </c>
      <c r="AE714" s="30">
        <v>45824.541666666664</v>
      </c>
      <c r="AF714" s="30">
        <v>45825.458333333336</v>
      </c>
      <c r="AH714" s="30">
        <v>45772.583333333336</v>
      </c>
      <c r="AI714" s="30">
        <v>45775.5</v>
      </c>
      <c r="AJ714" s="30">
        <v>45772.583333333336</v>
      </c>
      <c r="AK714" s="30">
        <v>45775.5</v>
      </c>
      <c r="AL714" s="30">
        <v>45772.583333333336</v>
      </c>
      <c r="AM714" s="30">
        <v>45775.5</v>
      </c>
      <c r="AN714" s="30">
        <v>45824.541666666664</v>
      </c>
      <c r="AO714" s="30">
        <v>45825.458333333336</v>
      </c>
      <c r="AQ714" t="s">
        <v>3171</v>
      </c>
      <c r="AV714" t="s">
        <v>4014</v>
      </c>
      <c r="AW714" t="s">
        <v>4013</v>
      </c>
      <c r="AZ714" t="s">
        <v>1265</v>
      </c>
      <c r="BA714">
        <v>0</v>
      </c>
      <c r="BB714">
        <v>0</v>
      </c>
      <c r="BJ714" s="30">
        <v>46069.518055555556</v>
      </c>
      <c r="BK714" s="30">
        <v>46093.595138888886</v>
      </c>
      <c r="BL714" t="s">
        <v>1259</v>
      </c>
      <c r="BM714" t="s">
        <v>1259</v>
      </c>
      <c r="BO714" t="s">
        <v>1265</v>
      </c>
    </row>
    <row r="715" spans="1:67" x14ac:dyDescent="0.25">
      <c r="A715" t="s">
        <v>1248</v>
      </c>
      <c r="B715">
        <v>352097</v>
      </c>
      <c r="C715">
        <v>405</v>
      </c>
      <c r="D715">
        <v>51472</v>
      </c>
      <c r="E715">
        <v>1117</v>
      </c>
      <c r="F715">
        <v>0</v>
      </c>
      <c r="G715" t="s">
        <v>1265</v>
      </c>
      <c r="H715">
        <v>1</v>
      </c>
      <c r="I715" t="s">
        <v>1265</v>
      </c>
      <c r="J715" t="s">
        <v>1265</v>
      </c>
      <c r="K715" t="s">
        <v>3191</v>
      </c>
      <c r="L715" t="s">
        <v>3176</v>
      </c>
      <c r="M715" t="s">
        <v>3190</v>
      </c>
      <c r="N715" t="s">
        <v>3174</v>
      </c>
      <c r="O715">
        <v>748</v>
      </c>
      <c r="P715" t="s">
        <v>4012</v>
      </c>
      <c r="R715">
        <v>287</v>
      </c>
      <c r="S715">
        <v>0</v>
      </c>
      <c r="T715">
        <v>15</v>
      </c>
      <c r="U715">
        <v>0</v>
      </c>
      <c r="V715">
        <v>0</v>
      </c>
      <c r="W715">
        <v>0</v>
      </c>
      <c r="X715">
        <v>15</v>
      </c>
      <c r="Y715">
        <v>0</v>
      </c>
      <c r="Z715">
        <v>0</v>
      </c>
      <c r="AA715">
        <v>0</v>
      </c>
      <c r="AE715" s="30">
        <v>45825.458333333336</v>
      </c>
      <c r="AF715" s="30">
        <v>45827.416666666664</v>
      </c>
      <c r="AH715" s="30">
        <v>45775.541666666664</v>
      </c>
      <c r="AI715" s="30">
        <v>45777.458333333336</v>
      </c>
      <c r="AJ715" s="30">
        <v>45775.541666666664</v>
      </c>
      <c r="AK715" s="30">
        <v>45777.458333333336</v>
      </c>
      <c r="AL715" s="30">
        <v>45775.541666666664</v>
      </c>
      <c r="AM715" s="30">
        <v>45777.458333333336</v>
      </c>
      <c r="AN715" s="30">
        <v>45825.458333333336</v>
      </c>
      <c r="AO715" s="30">
        <v>45827.416666666664</v>
      </c>
      <c r="AQ715" t="s">
        <v>3171</v>
      </c>
      <c r="AV715" t="s">
        <v>4011</v>
      </c>
      <c r="AW715" t="s">
        <v>4010</v>
      </c>
      <c r="AZ715" t="s">
        <v>1265</v>
      </c>
      <c r="BA715">
        <v>0</v>
      </c>
      <c r="BB715">
        <v>0</v>
      </c>
      <c r="BJ715" s="30">
        <v>46069.518055555556</v>
      </c>
      <c r="BK715" s="30">
        <v>46093.595138888886</v>
      </c>
      <c r="BL715" t="s">
        <v>1259</v>
      </c>
      <c r="BM715" t="s">
        <v>1259</v>
      </c>
      <c r="BO715" t="s">
        <v>1265</v>
      </c>
    </row>
    <row r="716" spans="1:67" x14ac:dyDescent="0.25">
      <c r="A716" t="s">
        <v>1248</v>
      </c>
      <c r="B716">
        <v>352098</v>
      </c>
      <c r="C716">
        <v>405</v>
      </c>
      <c r="D716">
        <v>51472</v>
      </c>
      <c r="E716">
        <v>1117</v>
      </c>
      <c r="F716">
        <v>0</v>
      </c>
      <c r="G716" t="s">
        <v>1265</v>
      </c>
      <c r="H716">
        <v>1</v>
      </c>
      <c r="I716" t="s">
        <v>1265</v>
      </c>
      <c r="J716" t="s">
        <v>1265</v>
      </c>
      <c r="K716" t="s">
        <v>3191</v>
      </c>
      <c r="L716" t="s">
        <v>3176</v>
      </c>
      <c r="M716" t="s">
        <v>3190</v>
      </c>
      <c r="N716" t="s">
        <v>3174</v>
      </c>
      <c r="O716">
        <v>758</v>
      </c>
      <c r="P716" t="s">
        <v>4009</v>
      </c>
      <c r="R716">
        <v>287</v>
      </c>
      <c r="S716">
        <v>0</v>
      </c>
      <c r="T716">
        <v>31</v>
      </c>
      <c r="U716">
        <v>0</v>
      </c>
      <c r="V716">
        <v>0</v>
      </c>
      <c r="W716">
        <v>0</v>
      </c>
      <c r="X716">
        <v>31</v>
      </c>
      <c r="Y716">
        <v>0</v>
      </c>
      <c r="Z716">
        <v>0</v>
      </c>
      <c r="AA716">
        <v>0</v>
      </c>
      <c r="AE716" s="30">
        <v>45827.416666666664</v>
      </c>
      <c r="AF716" s="30">
        <v>45833.375</v>
      </c>
      <c r="AH716" s="30">
        <v>45777.458333333336</v>
      </c>
      <c r="AI716" s="30">
        <v>45783.416666666664</v>
      </c>
      <c r="AJ716" s="30">
        <v>45777.458333333336</v>
      </c>
      <c r="AK716" s="30">
        <v>45783.416666666664</v>
      </c>
      <c r="AL716" s="30">
        <v>45777.458333333336</v>
      </c>
      <c r="AM716" s="30">
        <v>45783.416666666664</v>
      </c>
      <c r="AN716" s="30">
        <v>45827.416666666664</v>
      </c>
      <c r="AO716" s="30">
        <v>45833.375</v>
      </c>
      <c r="AQ716" t="s">
        <v>3171</v>
      </c>
      <c r="AV716" t="s">
        <v>4008</v>
      </c>
      <c r="AW716" t="s">
        <v>4007</v>
      </c>
      <c r="AZ716" t="s">
        <v>1265</v>
      </c>
      <c r="BA716">
        <v>0</v>
      </c>
      <c r="BB716">
        <v>0</v>
      </c>
      <c r="BJ716" s="30">
        <v>46069.518055555556</v>
      </c>
      <c r="BK716" s="30">
        <v>46093.595138888886</v>
      </c>
      <c r="BL716" t="s">
        <v>1259</v>
      </c>
      <c r="BM716" t="s">
        <v>1259</v>
      </c>
      <c r="BO716" t="s">
        <v>1265</v>
      </c>
    </row>
    <row r="717" spans="1:67" x14ac:dyDescent="0.25">
      <c r="A717" t="s">
        <v>1248</v>
      </c>
      <c r="B717">
        <v>352099</v>
      </c>
      <c r="C717">
        <v>405</v>
      </c>
      <c r="D717">
        <v>51472</v>
      </c>
      <c r="E717">
        <v>1117</v>
      </c>
      <c r="F717">
        <v>0</v>
      </c>
      <c r="G717" t="s">
        <v>1265</v>
      </c>
      <c r="H717">
        <v>1</v>
      </c>
      <c r="I717" t="s">
        <v>1265</v>
      </c>
      <c r="J717" t="s">
        <v>1265</v>
      </c>
      <c r="K717" t="s">
        <v>3191</v>
      </c>
      <c r="L717" t="s">
        <v>3176</v>
      </c>
      <c r="M717" t="s">
        <v>3190</v>
      </c>
      <c r="N717" t="s">
        <v>3174</v>
      </c>
      <c r="O717">
        <v>768</v>
      </c>
      <c r="P717" t="s">
        <v>4006</v>
      </c>
      <c r="R717">
        <v>287</v>
      </c>
      <c r="S717">
        <v>0</v>
      </c>
      <c r="T717">
        <v>47</v>
      </c>
      <c r="U717">
        <v>0</v>
      </c>
      <c r="V717">
        <v>0</v>
      </c>
      <c r="W717">
        <v>0</v>
      </c>
      <c r="X717">
        <v>47</v>
      </c>
      <c r="Y717">
        <v>0</v>
      </c>
      <c r="Z717">
        <v>0</v>
      </c>
      <c r="AA717">
        <v>0</v>
      </c>
      <c r="AE717" s="30">
        <v>45833.375</v>
      </c>
      <c r="AF717" s="30">
        <v>45840.708333333336</v>
      </c>
      <c r="AH717" s="30">
        <v>45783.416666666664</v>
      </c>
      <c r="AI717" s="30">
        <v>45791.375</v>
      </c>
      <c r="AJ717" s="30">
        <v>45783.416666666664</v>
      </c>
      <c r="AK717" s="30">
        <v>45791.375</v>
      </c>
      <c r="AL717" s="30">
        <v>45783.416666666664</v>
      </c>
      <c r="AM717" s="30">
        <v>45791.375</v>
      </c>
      <c r="AN717" s="30">
        <v>45833.375</v>
      </c>
      <c r="AO717" s="30">
        <v>45840.708333333336</v>
      </c>
      <c r="AQ717" t="s">
        <v>3171</v>
      </c>
      <c r="AV717" t="s">
        <v>4005</v>
      </c>
      <c r="AW717" t="s">
        <v>4004</v>
      </c>
      <c r="AZ717" t="s">
        <v>1265</v>
      </c>
      <c r="BA717">
        <v>0</v>
      </c>
      <c r="BB717">
        <v>0</v>
      </c>
      <c r="BJ717" s="30">
        <v>46069.518055555556</v>
      </c>
      <c r="BK717" s="30">
        <v>46093.595138888886</v>
      </c>
      <c r="BL717" t="s">
        <v>1259</v>
      </c>
      <c r="BM717" t="s">
        <v>1259</v>
      </c>
      <c r="BO717" t="s">
        <v>1265</v>
      </c>
    </row>
    <row r="718" spans="1:67" x14ac:dyDescent="0.25">
      <c r="A718" t="s">
        <v>1248</v>
      </c>
      <c r="B718">
        <v>352100</v>
      </c>
      <c r="C718">
        <v>405</v>
      </c>
      <c r="D718">
        <v>53303</v>
      </c>
      <c r="E718">
        <v>1117</v>
      </c>
      <c r="F718">
        <v>0</v>
      </c>
      <c r="G718" t="s">
        <v>1265</v>
      </c>
      <c r="H718">
        <v>1</v>
      </c>
      <c r="I718" t="s">
        <v>1265</v>
      </c>
      <c r="J718" t="s">
        <v>1265</v>
      </c>
      <c r="K718" t="s">
        <v>3191</v>
      </c>
      <c r="L718" t="s">
        <v>3176</v>
      </c>
      <c r="M718" t="s">
        <v>3190</v>
      </c>
      <c r="N718" t="s">
        <v>3174</v>
      </c>
      <c r="O718">
        <v>64</v>
      </c>
      <c r="P718" t="s">
        <v>4003</v>
      </c>
      <c r="R718">
        <v>444</v>
      </c>
      <c r="S718">
        <v>8</v>
      </c>
      <c r="T718">
        <v>7</v>
      </c>
      <c r="U718">
        <v>0</v>
      </c>
      <c r="V718">
        <v>0</v>
      </c>
      <c r="W718">
        <v>0</v>
      </c>
      <c r="X718">
        <v>7</v>
      </c>
      <c r="Y718">
        <v>0</v>
      </c>
      <c r="Z718">
        <v>0</v>
      </c>
      <c r="AA718">
        <v>0</v>
      </c>
      <c r="AE718" s="30">
        <v>45868.583333333336</v>
      </c>
      <c r="AF718" s="30">
        <v>45869.5</v>
      </c>
      <c r="AH718" s="30">
        <v>45791.375</v>
      </c>
      <c r="AI718" s="30">
        <v>45791.708333333336</v>
      </c>
      <c r="AJ718" s="30">
        <v>45791.375</v>
      </c>
      <c r="AK718" s="30">
        <v>45791.708333333336</v>
      </c>
      <c r="AL718" s="30">
        <v>45791.375</v>
      </c>
      <c r="AM718" s="30">
        <v>45791.708333333336</v>
      </c>
      <c r="AN718" s="30">
        <v>45868.583333333336</v>
      </c>
      <c r="AO718" s="30">
        <v>45869.5</v>
      </c>
      <c r="AQ718" t="s">
        <v>3171</v>
      </c>
      <c r="AV718" t="s">
        <v>4002</v>
      </c>
      <c r="AW718" t="s">
        <v>4001</v>
      </c>
      <c r="AZ718" t="s">
        <v>1265</v>
      </c>
      <c r="BA718">
        <v>0</v>
      </c>
      <c r="BB718">
        <v>0</v>
      </c>
      <c r="BJ718" s="30">
        <v>46069.518055555556</v>
      </c>
      <c r="BK718" s="30">
        <v>46093.73333333333</v>
      </c>
      <c r="BL718" t="s">
        <v>1259</v>
      </c>
      <c r="BM718" t="s">
        <v>1259</v>
      </c>
      <c r="BO718" t="s">
        <v>1265</v>
      </c>
    </row>
    <row r="719" spans="1:67" x14ac:dyDescent="0.25">
      <c r="A719" t="s">
        <v>1248</v>
      </c>
      <c r="B719">
        <v>352101</v>
      </c>
      <c r="C719">
        <v>405</v>
      </c>
      <c r="D719">
        <v>53303</v>
      </c>
      <c r="E719">
        <v>1117</v>
      </c>
      <c r="F719">
        <v>0</v>
      </c>
      <c r="G719" t="s">
        <v>1265</v>
      </c>
      <c r="H719">
        <v>1</v>
      </c>
      <c r="I719" t="s">
        <v>1265</v>
      </c>
      <c r="J719" t="s">
        <v>1265</v>
      </c>
      <c r="K719" t="s">
        <v>3191</v>
      </c>
      <c r="L719" t="s">
        <v>3176</v>
      </c>
      <c r="M719" t="s">
        <v>3190</v>
      </c>
      <c r="N719" t="s">
        <v>3174</v>
      </c>
      <c r="O719">
        <v>778</v>
      </c>
      <c r="P719" t="s">
        <v>4000</v>
      </c>
      <c r="R719">
        <v>270</v>
      </c>
      <c r="S719">
        <v>0</v>
      </c>
      <c r="T719">
        <v>15</v>
      </c>
      <c r="U719">
        <v>0</v>
      </c>
      <c r="V719">
        <v>0</v>
      </c>
      <c r="W719">
        <v>0</v>
      </c>
      <c r="X719">
        <v>15</v>
      </c>
      <c r="Y719">
        <v>0</v>
      </c>
      <c r="Z719">
        <v>0</v>
      </c>
      <c r="AA719">
        <v>0</v>
      </c>
      <c r="AE719" s="30">
        <v>45811.625</v>
      </c>
      <c r="AF719" s="30">
        <v>45813.583333333336</v>
      </c>
      <c r="AH719" s="30">
        <v>45764.333333333336</v>
      </c>
      <c r="AI719" s="30">
        <v>45765.666666666664</v>
      </c>
      <c r="AJ719" s="30">
        <v>45764.333333333336</v>
      </c>
      <c r="AK719" s="30">
        <v>45765.666666666664</v>
      </c>
      <c r="AL719" s="30">
        <v>45764.333333333336</v>
      </c>
      <c r="AM719" s="30">
        <v>45765.666666666664</v>
      </c>
      <c r="AN719" s="30">
        <v>45811.625</v>
      </c>
      <c r="AO719" s="30">
        <v>45813.583333333336</v>
      </c>
      <c r="AQ719" t="s">
        <v>3171</v>
      </c>
      <c r="AV719" t="s">
        <v>3999</v>
      </c>
      <c r="AW719" t="s">
        <v>3998</v>
      </c>
      <c r="AZ719" t="s">
        <v>1265</v>
      </c>
      <c r="BA719">
        <v>0</v>
      </c>
      <c r="BB719">
        <v>0</v>
      </c>
      <c r="BJ719" s="30">
        <v>46069.518055555556</v>
      </c>
      <c r="BK719" s="30">
        <v>46093.595138888886</v>
      </c>
      <c r="BL719" t="s">
        <v>1259</v>
      </c>
      <c r="BM719" t="s">
        <v>1259</v>
      </c>
      <c r="BO719" t="s">
        <v>1265</v>
      </c>
    </row>
    <row r="720" spans="1:67" x14ac:dyDescent="0.25">
      <c r="A720" t="s">
        <v>1248</v>
      </c>
      <c r="B720">
        <v>352102</v>
      </c>
      <c r="C720">
        <v>405</v>
      </c>
      <c r="D720">
        <v>51473</v>
      </c>
      <c r="E720">
        <v>1117</v>
      </c>
      <c r="F720">
        <v>0</v>
      </c>
      <c r="G720" t="s">
        <v>1265</v>
      </c>
      <c r="H720">
        <v>1</v>
      </c>
      <c r="I720" t="s">
        <v>1265</v>
      </c>
      <c r="J720" t="s">
        <v>1265</v>
      </c>
      <c r="K720" t="s">
        <v>3191</v>
      </c>
      <c r="L720" t="s">
        <v>3176</v>
      </c>
      <c r="M720" t="s">
        <v>3190</v>
      </c>
      <c r="N720" t="s">
        <v>3174</v>
      </c>
      <c r="O720">
        <v>788</v>
      </c>
      <c r="P720" t="s">
        <v>3997</v>
      </c>
      <c r="R720">
        <v>270</v>
      </c>
      <c r="S720">
        <v>0</v>
      </c>
      <c r="T720">
        <v>23</v>
      </c>
      <c r="U720">
        <v>0</v>
      </c>
      <c r="V720">
        <v>0</v>
      </c>
      <c r="W720">
        <v>0</v>
      </c>
      <c r="X720">
        <v>23</v>
      </c>
      <c r="Y720">
        <v>0</v>
      </c>
      <c r="Z720">
        <v>0</v>
      </c>
      <c r="AA720">
        <v>0</v>
      </c>
      <c r="AE720" s="30">
        <v>45813.583333333336</v>
      </c>
      <c r="AF720" s="30">
        <v>45818.5</v>
      </c>
      <c r="AH720" s="30">
        <v>45765.666666666664</v>
      </c>
      <c r="AI720" s="30">
        <v>45770.625</v>
      </c>
      <c r="AJ720" s="30">
        <v>45765.666666666664</v>
      </c>
      <c r="AK720" s="30">
        <v>45770.625</v>
      </c>
      <c r="AL720" s="30">
        <v>45765.666666666664</v>
      </c>
      <c r="AM720" s="30">
        <v>45770.625</v>
      </c>
      <c r="AN720" s="30">
        <v>45813.583333333336</v>
      </c>
      <c r="AO720" s="30">
        <v>45818.5</v>
      </c>
      <c r="AQ720" t="s">
        <v>3171</v>
      </c>
      <c r="AV720" t="s">
        <v>3996</v>
      </c>
      <c r="AW720" t="s">
        <v>3995</v>
      </c>
      <c r="AZ720" t="s">
        <v>1265</v>
      </c>
      <c r="BA720">
        <v>0</v>
      </c>
      <c r="BB720">
        <v>0</v>
      </c>
      <c r="BJ720" s="30">
        <v>46069.518055555556</v>
      </c>
      <c r="BK720" s="30">
        <v>46093.595138888886</v>
      </c>
      <c r="BL720" t="s">
        <v>1259</v>
      </c>
      <c r="BM720" t="s">
        <v>1259</v>
      </c>
      <c r="BO720" t="s">
        <v>1265</v>
      </c>
    </row>
    <row r="721" spans="1:67" x14ac:dyDescent="0.25">
      <c r="A721" t="s">
        <v>1248</v>
      </c>
      <c r="B721">
        <v>352103</v>
      </c>
      <c r="C721">
        <v>405</v>
      </c>
      <c r="D721">
        <v>51473</v>
      </c>
      <c r="E721">
        <v>1117</v>
      </c>
      <c r="F721">
        <v>0</v>
      </c>
      <c r="G721" t="s">
        <v>1265</v>
      </c>
      <c r="H721">
        <v>1</v>
      </c>
      <c r="I721" t="s">
        <v>1265</v>
      </c>
      <c r="J721" t="s">
        <v>1265</v>
      </c>
      <c r="K721" t="s">
        <v>3191</v>
      </c>
      <c r="L721" t="s">
        <v>3176</v>
      </c>
      <c r="M721" t="s">
        <v>3190</v>
      </c>
      <c r="N721" t="s">
        <v>3174</v>
      </c>
      <c r="O721">
        <v>68</v>
      </c>
      <c r="P721" t="s">
        <v>3994</v>
      </c>
      <c r="R721">
        <v>270</v>
      </c>
      <c r="S721">
        <v>0</v>
      </c>
      <c r="T721">
        <v>7</v>
      </c>
      <c r="U721">
        <v>0</v>
      </c>
      <c r="V721">
        <v>0</v>
      </c>
      <c r="W721">
        <v>0</v>
      </c>
      <c r="X721">
        <v>7</v>
      </c>
      <c r="Y721">
        <v>0</v>
      </c>
      <c r="Z721">
        <v>0</v>
      </c>
      <c r="AA721">
        <v>0</v>
      </c>
      <c r="AE721" s="30">
        <v>45818.541666666664</v>
      </c>
      <c r="AF721" s="30">
        <v>45819.458333333336</v>
      </c>
      <c r="AH721" s="30">
        <v>45770.625</v>
      </c>
      <c r="AI721" s="30">
        <v>45771.583333333336</v>
      </c>
      <c r="AJ721" s="30">
        <v>45770.625</v>
      </c>
      <c r="AK721" s="30">
        <v>45771.583333333336</v>
      </c>
      <c r="AL721" s="30">
        <v>45770.625</v>
      </c>
      <c r="AM721" s="30">
        <v>45771.583333333336</v>
      </c>
      <c r="AN721" s="30">
        <v>45818.541666666664</v>
      </c>
      <c r="AO721" s="30">
        <v>45819.458333333336</v>
      </c>
      <c r="AQ721" t="s">
        <v>3171</v>
      </c>
      <c r="AV721" t="s">
        <v>3993</v>
      </c>
      <c r="AW721" t="s">
        <v>3992</v>
      </c>
      <c r="AZ721" t="s">
        <v>1265</v>
      </c>
      <c r="BA721">
        <v>0</v>
      </c>
      <c r="BB721">
        <v>0</v>
      </c>
      <c r="BJ721" s="30">
        <v>46069.518055555556</v>
      </c>
      <c r="BK721" s="30">
        <v>46093.595138888886</v>
      </c>
      <c r="BL721" t="s">
        <v>1259</v>
      </c>
      <c r="BM721" t="s">
        <v>1259</v>
      </c>
      <c r="BO721" t="s">
        <v>1265</v>
      </c>
    </row>
    <row r="722" spans="1:67" x14ac:dyDescent="0.25">
      <c r="A722" t="s">
        <v>1248</v>
      </c>
      <c r="B722">
        <v>352104</v>
      </c>
      <c r="C722">
        <v>405</v>
      </c>
      <c r="D722">
        <v>51473</v>
      </c>
      <c r="E722">
        <v>1117</v>
      </c>
      <c r="F722">
        <v>0</v>
      </c>
      <c r="G722" t="s">
        <v>1265</v>
      </c>
      <c r="H722">
        <v>1</v>
      </c>
      <c r="I722" t="s">
        <v>1265</v>
      </c>
      <c r="J722" t="s">
        <v>1265</v>
      </c>
      <c r="K722" t="s">
        <v>3191</v>
      </c>
      <c r="L722" t="s">
        <v>3176</v>
      </c>
      <c r="M722" t="s">
        <v>3190</v>
      </c>
      <c r="N722" t="s">
        <v>3174</v>
      </c>
      <c r="O722">
        <v>798</v>
      </c>
      <c r="P722" t="s">
        <v>3991</v>
      </c>
      <c r="R722">
        <v>270</v>
      </c>
      <c r="S722">
        <v>0</v>
      </c>
      <c r="T722">
        <v>15</v>
      </c>
      <c r="U722">
        <v>0</v>
      </c>
      <c r="V722">
        <v>0</v>
      </c>
      <c r="W722">
        <v>0</v>
      </c>
      <c r="X722">
        <v>15</v>
      </c>
      <c r="Y722">
        <v>0</v>
      </c>
      <c r="Z722">
        <v>0</v>
      </c>
      <c r="AA722">
        <v>0</v>
      </c>
      <c r="AE722" s="30">
        <v>45819.458333333336</v>
      </c>
      <c r="AF722" s="30">
        <v>45821.416666666664</v>
      </c>
      <c r="AH722" s="30">
        <v>45771.583333333336</v>
      </c>
      <c r="AI722" s="30">
        <v>45775.5</v>
      </c>
      <c r="AJ722" s="30">
        <v>45771.583333333336</v>
      </c>
      <c r="AK722" s="30">
        <v>45775.5</v>
      </c>
      <c r="AL722" s="30">
        <v>45771.583333333336</v>
      </c>
      <c r="AM722" s="30">
        <v>45775.5</v>
      </c>
      <c r="AN722" s="30">
        <v>45819.458333333336</v>
      </c>
      <c r="AO722" s="30">
        <v>45821.416666666664</v>
      </c>
      <c r="AQ722" t="s">
        <v>3171</v>
      </c>
      <c r="AV722" t="s">
        <v>3990</v>
      </c>
      <c r="AW722" t="s">
        <v>3989</v>
      </c>
      <c r="AZ722" t="s">
        <v>1265</v>
      </c>
      <c r="BA722">
        <v>0</v>
      </c>
      <c r="BB722">
        <v>0</v>
      </c>
      <c r="BJ722" s="30">
        <v>46069.518055555556</v>
      </c>
      <c r="BK722" s="30">
        <v>46093.595138888886</v>
      </c>
      <c r="BL722" t="s">
        <v>1259</v>
      </c>
      <c r="BM722" t="s">
        <v>1259</v>
      </c>
      <c r="BO722" t="s">
        <v>1265</v>
      </c>
    </row>
    <row r="723" spans="1:67" x14ac:dyDescent="0.25">
      <c r="A723" t="s">
        <v>1248</v>
      </c>
      <c r="B723">
        <v>352105</v>
      </c>
      <c r="C723">
        <v>405</v>
      </c>
      <c r="D723">
        <v>51473</v>
      </c>
      <c r="E723">
        <v>1117</v>
      </c>
      <c r="F723">
        <v>0</v>
      </c>
      <c r="G723" t="s">
        <v>1265</v>
      </c>
      <c r="H723">
        <v>1</v>
      </c>
      <c r="I723" t="s">
        <v>1265</v>
      </c>
      <c r="J723" t="s">
        <v>1265</v>
      </c>
      <c r="K723" t="s">
        <v>3191</v>
      </c>
      <c r="L723" t="s">
        <v>3176</v>
      </c>
      <c r="M723" t="s">
        <v>3190</v>
      </c>
      <c r="N723" t="s">
        <v>3174</v>
      </c>
      <c r="O723">
        <v>808</v>
      </c>
      <c r="P723" t="s">
        <v>3988</v>
      </c>
      <c r="R723">
        <v>270</v>
      </c>
      <c r="S723">
        <v>0</v>
      </c>
      <c r="T723">
        <v>31</v>
      </c>
      <c r="U723">
        <v>0</v>
      </c>
      <c r="V723">
        <v>0</v>
      </c>
      <c r="W723">
        <v>0</v>
      </c>
      <c r="X723">
        <v>31</v>
      </c>
      <c r="Y723">
        <v>0</v>
      </c>
      <c r="Z723">
        <v>0</v>
      </c>
      <c r="AA723">
        <v>0</v>
      </c>
      <c r="AE723" s="30">
        <v>45821.416666666664</v>
      </c>
      <c r="AF723" s="30">
        <v>45827.375</v>
      </c>
      <c r="AH723" s="30">
        <v>45775.541666666664</v>
      </c>
      <c r="AI723" s="30">
        <v>45779.458333333336</v>
      </c>
      <c r="AJ723" s="30">
        <v>45775.541666666664</v>
      </c>
      <c r="AK723" s="30">
        <v>45779.458333333336</v>
      </c>
      <c r="AL723" s="30">
        <v>45775.541666666664</v>
      </c>
      <c r="AM723" s="30">
        <v>45779.458333333336</v>
      </c>
      <c r="AN723" s="30">
        <v>45821.416666666664</v>
      </c>
      <c r="AO723" s="30">
        <v>45827.375</v>
      </c>
      <c r="AQ723" t="s">
        <v>3171</v>
      </c>
      <c r="AV723" t="s">
        <v>3987</v>
      </c>
      <c r="AW723" t="s">
        <v>3986</v>
      </c>
      <c r="AZ723" t="s">
        <v>1265</v>
      </c>
      <c r="BA723">
        <v>0</v>
      </c>
      <c r="BB723">
        <v>0</v>
      </c>
      <c r="BJ723" s="30">
        <v>46069.518055555556</v>
      </c>
      <c r="BK723" s="30">
        <v>46093.595138888886</v>
      </c>
      <c r="BL723" t="s">
        <v>1259</v>
      </c>
      <c r="BM723" t="s">
        <v>1259</v>
      </c>
      <c r="BO723" t="s">
        <v>1265</v>
      </c>
    </row>
    <row r="724" spans="1:67" x14ac:dyDescent="0.25">
      <c r="A724" t="s">
        <v>1248</v>
      </c>
      <c r="B724">
        <v>352106</v>
      </c>
      <c r="C724">
        <v>405</v>
      </c>
      <c r="D724">
        <v>51473</v>
      </c>
      <c r="E724">
        <v>1117</v>
      </c>
      <c r="F724">
        <v>0</v>
      </c>
      <c r="G724" t="s">
        <v>1265</v>
      </c>
      <c r="H724">
        <v>1</v>
      </c>
      <c r="I724" t="s">
        <v>1265</v>
      </c>
      <c r="J724" t="s">
        <v>1265</v>
      </c>
      <c r="K724" t="s">
        <v>3191</v>
      </c>
      <c r="L724" t="s">
        <v>3176</v>
      </c>
      <c r="M724" t="s">
        <v>3190</v>
      </c>
      <c r="N724" t="s">
        <v>3174</v>
      </c>
      <c r="O724">
        <v>818</v>
      </c>
      <c r="P724" t="s">
        <v>3985</v>
      </c>
      <c r="R724">
        <v>270</v>
      </c>
      <c r="S724">
        <v>0</v>
      </c>
      <c r="T724">
        <v>47</v>
      </c>
      <c r="U724">
        <v>0</v>
      </c>
      <c r="V724">
        <v>0</v>
      </c>
      <c r="W724">
        <v>0</v>
      </c>
      <c r="X724">
        <v>47</v>
      </c>
      <c r="Y724">
        <v>0</v>
      </c>
      <c r="Z724">
        <v>0</v>
      </c>
      <c r="AA724">
        <v>0</v>
      </c>
      <c r="AE724" s="30">
        <v>45827.375</v>
      </c>
      <c r="AF724" s="30">
        <v>45834.708333333336</v>
      </c>
      <c r="AH724" s="30">
        <v>45779.458333333336</v>
      </c>
      <c r="AI724" s="30">
        <v>45789.416666666664</v>
      </c>
      <c r="AJ724" s="30">
        <v>45779.458333333336</v>
      </c>
      <c r="AK724" s="30">
        <v>45789.416666666664</v>
      </c>
      <c r="AL724" s="30">
        <v>45779.458333333336</v>
      </c>
      <c r="AM724" s="30">
        <v>45789.416666666664</v>
      </c>
      <c r="AN724" s="30">
        <v>45827.375</v>
      </c>
      <c r="AO724" s="30">
        <v>45834.708333333336</v>
      </c>
      <c r="AQ724" t="s">
        <v>3171</v>
      </c>
      <c r="AV724" t="s">
        <v>3984</v>
      </c>
      <c r="AW724" t="s">
        <v>3983</v>
      </c>
      <c r="AZ724" t="s">
        <v>1265</v>
      </c>
      <c r="BA724">
        <v>0</v>
      </c>
      <c r="BB724">
        <v>0</v>
      </c>
      <c r="BJ724" s="30">
        <v>46069.518055555556</v>
      </c>
      <c r="BK724" s="30">
        <v>46093.595138888886</v>
      </c>
      <c r="BL724" t="s">
        <v>1259</v>
      </c>
      <c r="BM724" t="s">
        <v>1259</v>
      </c>
      <c r="BO724" t="s">
        <v>1265</v>
      </c>
    </row>
    <row r="725" spans="1:67" x14ac:dyDescent="0.25">
      <c r="A725" t="s">
        <v>1248</v>
      </c>
      <c r="B725">
        <v>352107</v>
      </c>
      <c r="C725">
        <v>405</v>
      </c>
      <c r="D725">
        <v>53303</v>
      </c>
      <c r="E725">
        <v>1117</v>
      </c>
      <c r="F725">
        <v>0</v>
      </c>
      <c r="G725" t="s">
        <v>1265</v>
      </c>
      <c r="H725">
        <v>1</v>
      </c>
      <c r="I725" t="s">
        <v>1265</v>
      </c>
      <c r="J725" t="s">
        <v>1265</v>
      </c>
      <c r="K725" t="s">
        <v>3191</v>
      </c>
      <c r="L725" t="s">
        <v>3176</v>
      </c>
      <c r="M725" t="s">
        <v>3190</v>
      </c>
      <c r="N725" t="s">
        <v>3174</v>
      </c>
      <c r="O725">
        <v>828</v>
      </c>
      <c r="P725" t="s">
        <v>3982</v>
      </c>
      <c r="R725">
        <v>452</v>
      </c>
      <c r="S725">
        <v>8</v>
      </c>
      <c r="T725">
        <v>7</v>
      </c>
      <c r="U725">
        <v>0</v>
      </c>
      <c r="V725">
        <v>0</v>
      </c>
      <c r="W725">
        <v>0</v>
      </c>
      <c r="X725">
        <v>7</v>
      </c>
      <c r="Y725">
        <v>0</v>
      </c>
      <c r="Z725">
        <v>0</v>
      </c>
      <c r="AA725">
        <v>0</v>
      </c>
      <c r="AE725" s="30">
        <v>45867.625</v>
      </c>
      <c r="AF725" s="30">
        <v>45868.583333333336</v>
      </c>
      <c r="AH725" s="30">
        <v>45789.416666666664</v>
      </c>
      <c r="AI725" s="30">
        <v>45790.375</v>
      </c>
      <c r="AJ725" s="30">
        <v>45789.416666666664</v>
      </c>
      <c r="AK725" s="30">
        <v>45790.375</v>
      </c>
      <c r="AL725" s="30">
        <v>45789.416666666664</v>
      </c>
      <c r="AM725" s="30">
        <v>45790.375</v>
      </c>
      <c r="AN725" s="30">
        <v>45867.625</v>
      </c>
      <c r="AO725" s="30">
        <v>45868.583333333336</v>
      </c>
      <c r="AQ725" t="s">
        <v>3171</v>
      </c>
      <c r="AV725" t="s">
        <v>3981</v>
      </c>
      <c r="AW725" t="s">
        <v>3980</v>
      </c>
      <c r="AZ725" t="s">
        <v>1265</v>
      </c>
      <c r="BA725">
        <v>0</v>
      </c>
      <c r="BB725">
        <v>0</v>
      </c>
      <c r="BJ725" s="30">
        <v>46069.518055555556</v>
      </c>
      <c r="BK725" s="30">
        <v>46093.73333333333</v>
      </c>
      <c r="BL725" t="s">
        <v>1259</v>
      </c>
      <c r="BM725" t="s">
        <v>1259</v>
      </c>
      <c r="BO725" t="s">
        <v>1265</v>
      </c>
    </row>
    <row r="726" spans="1:67" x14ac:dyDescent="0.25">
      <c r="A726" t="s">
        <v>1248</v>
      </c>
      <c r="B726">
        <v>352108</v>
      </c>
      <c r="C726">
        <v>405</v>
      </c>
      <c r="D726">
        <v>53303</v>
      </c>
      <c r="E726">
        <v>1117</v>
      </c>
      <c r="F726">
        <v>0</v>
      </c>
      <c r="G726" t="s">
        <v>1265</v>
      </c>
      <c r="H726">
        <v>1</v>
      </c>
      <c r="I726" t="s">
        <v>1265</v>
      </c>
      <c r="J726" t="s">
        <v>1265</v>
      </c>
      <c r="K726" t="s">
        <v>3191</v>
      </c>
      <c r="L726" t="s">
        <v>3176</v>
      </c>
      <c r="M726" t="s">
        <v>3190</v>
      </c>
      <c r="N726" t="s">
        <v>3174</v>
      </c>
      <c r="O726">
        <v>838</v>
      </c>
      <c r="P726" t="s">
        <v>3979</v>
      </c>
      <c r="R726">
        <v>301</v>
      </c>
      <c r="S726">
        <v>0</v>
      </c>
      <c r="T726">
        <v>15</v>
      </c>
      <c r="U726">
        <v>0</v>
      </c>
      <c r="V726">
        <v>0</v>
      </c>
      <c r="W726">
        <v>0</v>
      </c>
      <c r="X726">
        <v>15</v>
      </c>
      <c r="Y726">
        <v>0</v>
      </c>
      <c r="Z726">
        <v>0</v>
      </c>
      <c r="AA726">
        <v>0</v>
      </c>
      <c r="AE726" s="30">
        <v>45805.625</v>
      </c>
      <c r="AF726" s="30">
        <v>45807.583333333336</v>
      </c>
      <c r="AH726" s="30">
        <v>45754.375</v>
      </c>
      <c r="AI726" s="30">
        <v>45755.708333333336</v>
      </c>
      <c r="AJ726" s="30">
        <v>45754.375</v>
      </c>
      <c r="AK726" s="30">
        <v>45755.708333333336</v>
      </c>
      <c r="AL726" s="30">
        <v>45754.375</v>
      </c>
      <c r="AM726" s="30">
        <v>45755.708333333336</v>
      </c>
      <c r="AN726" s="30">
        <v>45805.625</v>
      </c>
      <c r="AO726" s="30">
        <v>45807.583333333336</v>
      </c>
      <c r="AQ726" t="s">
        <v>3171</v>
      </c>
      <c r="AV726" t="s">
        <v>3978</v>
      </c>
      <c r="AW726" t="s">
        <v>3977</v>
      </c>
      <c r="AZ726" t="s">
        <v>1265</v>
      </c>
      <c r="BA726">
        <v>0</v>
      </c>
      <c r="BB726">
        <v>0</v>
      </c>
      <c r="BJ726" s="30">
        <v>46069.518055555556</v>
      </c>
      <c r="BK726" s="30">
        <v>46093.595138888886</v>
      </c>
      <c r="BL726" t="s">
        <v>1259</v>
      </c>
      <c r="BM726" t="s">
        <v>1259</v>
      </c>
      <c r="BO726" t="s">
        <v>1265</v>
      </c>
    </row>
    <row r="727" spans="1:67" x14ac:dyDescent="0.25">
      <c r="A727" t="s">
        <v>1248</v>
      </c>
      <c r="B727">
        <v>352109</v>
      </c>
      <c r="C727">
        <v>405</v>
      </c>
      <c r="D727">
        <v>51474</v>
      </c>
      <c r="E727">
        <v>1117</v>
      </c>
      <c r="F727">
        <v>0</v>
      </c>
      <c r="G727" t="s">
        <v>1265</v>
      </c>
      <c r="H727">
        <v>1</v>
      </c>
      <c r="I727" t="s">
        <v>1265</v>
      </c>
      <c r="J727" t="s">
        <v>1265</v>
      </c>
      <c r="K727" t="s">
        <v>3191</v>
      </c>
      <c r="L727" t="s">
        <v>3176</v>
      </c>
      <c r="M727" t="s">
        <v>3190</v>
      </c>
      <c r="N727" t="s">
        <v>3174</v>
      </c>
      <c r="O727">
        <v>848</v>
      </c>
      <c r="P727" t="s">
        <v>3976</v>
      </c>
      <c r="R727">
        <v>301</v>
      </c>
      <c r="S727">
        <v>0</v>
      </c>
      <c r="T727">
        <v>23</v>
      </c>
      <c r="U727">
        <v>0</v>
      </c>
      <c r="V727">
        <v>0</v>
      </c>
      <c r="W727">
        <v>0</v>
      </c>
      <c r="X727">
        <v>23</v>
      </c>
      <c r="Y727">
        <v>0</v>
      </c>
      <c r="Z727">
        <v>0</v>
      </c>
      <c r="AA727">
        <v>0</v>
      </c>
      <c r="AE727" s="30">
        <v>45807.583333333336</v>
      </c>
      <c r="AF727" s="30">
        <v>45812.5</v>
      </c>
      <c r="AH727" s="30">
        <v>45756.333333333336</v>
      </c>
      <c r="AI727" s="30">
        <v>45758.666666666664</v>
      </c>
      <c r="AJ727" s="30">
        <v>45756.333333333336</v>
      </c>
      <c r="AK727" s="30">
        <v>45758.666666666664</v>
      </c>
      <c r="AL727" s="30">
        <v>45756.333333333336</v>
      </c>
      <c r="AM727" s="30">
        <v>45758.666666666664</v>
      </c>
      <c r="AN727" s="30">
        <v>45807.583333333336</v>
      </c>
      <c r="AO727" s="30">
        <v>45812.5</v>
      </c>
      <c r="AQ727" t="s">
        <v>3171</v>
      </c>
      <c r="AV727" t="s">
        <v>3975</v>
      </c>
      <c r="AW727" t="s">
        <v>3974</v>
      </c>
      <c r="AZ727" t="s">
        <v>1265</v>
      </c>
      <c r="BA727">
        <v>0</v>
      </c>
      <c r="BB727">
        <v>0</v>
      </c>
      <c r="BJ727" s="30">
        <v>46069.518055555556</v>
      </c>
      <c r="BK727" s="30">
        <v>46093.595138888886</v>
      </c>
      <c r="BL727" t="s">
        <v>1259</v>
      </c>
      <c r="BM727" t="s">
        <v>1259</v>
      </c>
      <c r="BO727" t="s">
        <v>1265</v>
      </c>
    </row>
    <row r="728" spans="1:67" x14ac:dyDescent="0.25">
      <c r="A728" t="s">
        <v>1248</v>
      </c>
      <c r="B728">
        <v>352110</v>
      </c>
      <c r="C728">
        <v>405</v>
      </c>
      <c r="D728">
        <v>51474</v>
      </c>
      <c r="E728">
        <v>1117</v>
      </c>
      <c r="F728">
        <v>0</v>
      </c>
      <c r="G728" t="s">
        <v>1265</v>
      </c>
      <c r="H728">
        <v>1</v>
      </c>
      <c r="I728" t="s">
        <v>1265</v>
      </c>
      <c r="J728" t="s">
        <v>1265</v>
      </c>
      <c r="K728" t="s">
        <v>3191</v>
      </c>
      <c r="L728" t="s">
        <v>3176</v>
      </c>
      <c r="M728" t="s">
        <v>3190</v>
      </c>
      <c r="N728" t="s">
        <v>3174</v>
      </c>
      <c r="O728">
        <v>858</v>
      </c>
      <c r="P728" t="s">
        <v>3973</v>
      </c>
      <c r="R728">
        <v>301</v>
      </c>
      <c r="S728">
        <v>0</v>
      </c>
      <c r="T728">
        <v>7</v>
      </c>
      <c r="U728">
        <v>0</v>
      </c>
      <c r="V728">
        <v>0</v>
      </c>
      <c r="W728">
        <v>0</v>
      </c>
      <c r="X728">
        <v>7</v>
      </c>
      <c r="Y728">
        <v>0</v>
      </c>
      <c r="Z728">
        <v>0</v>
      </c>
      <c r="AA728">
        <v>0</v>
      </c>
      <c r="AE728" s="30">
        <v>45812.541666666664</v>
      </c>
      <c r="AF728" s="30">
        <v>45813.458333333336</v>
      </c>
      <c r="AH728" s="30">
        <v>45758.666666666664</v>
      </c>
      <c r="AI728" s="30">
        <v>45761.625</v>
      </c>
      <c r="AJ728" s="30">
        <v>45758.666666666664</v>
      </c>
      <c r="AK728" s="30">
        <v>45761.625</v>
      </c>
      <c r="AL728" s="30">
        <v>45758.666666666664</v>
      </c>
      <c r="AM728" s="30">
        <v>45761.625</v>
      </c>
      <c r="AN728" s="30">
        <v>45812.541666666664</v>
      </c>
      <c r="AO728" s="30">
        <v>45813.458333333336</v>
      </c>
      <c r="AQ728" t="s">
        <v>3171</v>
      </c>
      <c r="AV728" t="s">
        <v>3972</v>
      </c>
      <c r="AW728" t="s">
        <v>3971</v>
      </c>
      <c r="AZ728" t="s">
        <v>1265</v>
      </c>
      <c r="BA728">
        <v>0</v>
      </c>
      <c r="BB728">
        <v>0</v>
      </c>
      <c r="BJ728" s="30">
        <v>46069.518055555556</v>
      </c>
      <c r="BK728" s="30">
        <v>46093.595138888886</v>
      </c>
      <c r="BL728" t="s">
        <v>1259</v>
      </c>
      <c r="BM728" t="s">
        <v>1259</v>
      </c>
      <c r="BO728" t="s">
        <v>1265</v>
      </c>
    </row>
    <row r="729" spans="1:67" x14ac:dyDescent="0.25">
      <c r="A729" t="s">
        <v>1248</v>
      </c>
      <c r="B729">
        <v>352111</v>
      </c>
      <c r="C729">
        <v>405</v>
      </c>
      <c r="D729">
        <v>51474</v>
      </c>
      <c r="E729">
        <v>1117</v>
      </c>
      <c r="F729">
        <v>0</v>
      </c>
      <c r="G729" t="s">
        <v>1265</v>
      </c>
      <c r="H729">
        <v>1</v>
      </c>
      <c r="I729" t="s">
        <v>1265</v>
      </c>
      <c r="J729" t="s">
        <v>1265</v>
      </c>
      <c r="K729" t="s">
        <v>3191</v>
      </c>
      <c r="L729" t="s">
        <v>3176</v>
      </c>
      <c r="M729" t="s">
        <v>3190</v>
      </c>
      <c r="N729" t="s">
        <v>3174</v>
      </c>
      <c r="O729">
        <v>868</v>
      </c>
      <c r="P729" t="s">
        <v>3970</v>
      </c>
      <c r="R729">
        <v>301</v>
      </c>
      <c r="S729">
        <v>0</v>
      </c>
      <c r="T729">
        <v>15</v>
      </c>
      <c r="U729">
        <v>0</v>
      </c>
      <c r="V729">
        <v>0</v>
      </c>
      <c r="W729">
        <v>0</v>
      </c>
      <c r="X729">
        <v>15</v>
      </c>
      <c r="Y729">
        <v>0</v>
      </c>
      <c r="Z729">
        <v>0</v>
      </c>
      <c r="AA729">
        <v>0</v>
      </c>
      <c r="AE729" s="30">
        <v>45813.458333333336</v>
      </c>
      <c r="AF729" s="30">
        <v>45817.416666666664</v>
      </c>
      <c r="AH729" s="30">
        <v>45761.625</v>
      </c>
      <c r="AI729" s="30">
        <v>45763.583333333336</v>
      </c>
      <c r="AJ729" s="30">
        <v>45761.625</v>
      </c>
      <c r="AK729" s="30">
        <v>45763.583333333336</v>
      </c>
      <c r="AL729" s="30">
        <v>45761.625</v>
      </c>
      <c r="AM729" s="30">
        <v>45763.583333333336</v>
      </c>
      <c r="AN729" s="30">
        <v>45813.458333333336</v>
      </c>
      <c r="AO729" s="30">
        <v>45817.416666666664</v>
      </c>
      <c r="AQ729" t="s">
        <v>3171</v>
      </c>
      <c r="AV729" t="s">
        <v>3969</v>
      </c>
      <c r="AW729" t="s">
        <v>3968</v>
      </c>
      <c r="AZ729" t="s">
        <v>1265</v>
      </c>
      <c r="BA729">
        <v>0</v>
      </c>
      <c r="BB729">
        <v>0</v>
      </c>
      <c r="BJ729" s="30">
        <v>46069.518055555556</v>
      </c>
      <c r="BK729" s="30">
        <v>46093.595138888886</v>
      </c>
      <c r="BL729" t="s">
        <v>1259</v>
      </c>
      <c r="BM729" t="s">
        <v>1259</v>
      </c>
      <c r="BO729" t="s">
        <v>1265</v>
      </c>
    </row>
    <row r="730" spans="1:67" x14ac:dyDescent="0.25">
      <c r="A730" t="s">
        <v>1248</v>
      </c>
      <c r="B730">
        <v>352112</v>
      </c>
      <c r="C730">
        <v>405</v>
      </c>
      <c r="D730">
        <v>51474</v>
      </c>
      <c r="E730">
        <v>1117</v>
      </c>
      <c r="F730">
        <v>0</v>
      </c>
      <c r="G730" t="s">
        <v>1265</v>
      </c>
      <c r="H730">
        <v>1</v>
      </c>
      <c r="I730" t="s">
        <v>1265</v>
      </c>
      <c r="J730" t="s">
        <v>1265</v>
      </c>
      <c r="K730" t="s">
        <v>3191</v>
      </c>
      <c r="L730" t="s">
        <v>3176</v>
      </c>
      <c r="M730" t="s">
        <v>3190</v>
      </c>
      <c r="N730" t="s">
        <v>3174</v>
      </c>
      <c r="O730">
        <v>878</v>
      </c>
      <c r="P730" t="s">
        <v>3967</v>
      </c>
      <c r="R730">
        <v>301</v>
      </c>
      <c r="S730">
        <v>0</v>
      </c>
      <c r="T730">
        <v>31</v>
      </c>
      <c r="U730">
        <v>0</v>
      </c>
      <c r="V730">
        <v>0</v>
      </c>
      <c r="W730">
        <v>0</v>
      </c>
      <c r="X730">
        <v>31</v>
      </c>
      <c r="Y730">
        <v>0</v>
      </c>
      <c r="Z730">
        <v>0</v>
      </c>
      <c r="AA730">
        <v>0</v>
      </c>
      <c r="AE730" s="30">
        <v>45817.416666666664</v>
      </c>
      <c r="AF730" s="30">
        <v>45821.375</v>
      </c>
      <c r="AH730" s="30">
        <v>45763.583333333336</v>
      </c>
      <c r="AI730" s="30">
        <v>45769.5</v>
      </c>
      <c r="AJ730" s="30">
        <v>45763.583333333336</v>
      </c>
      <c r="AK730" s="30">
        <v>45769.5</v>
      </c>
      <c r="AL730" s="30">
        <v>45763.583333333336</v>
      </c>
      <c r="AM730" s="30">
        <v>45769.5</v>
      </c>
      <c r="AN730" s="30">
        <v>45817.416666666664</v>
      </c>
      <c r="AO730" s="30">
        <v>45821.375</v>
      </c>
      <c r="AQ730" t="s">
        <v>3171</v>
      </c>
      <c r="AV730" t="s">
        <v>3966</v>
      </c>
      <c r="AW730" t="s">
        <v>3965</v>
      </c>
      <c r="AZ730" t="s">
        <v>1265</v>
      </c>
      <c r="BA730">
        <v>0</v>
      </c>
      <c r="BB730">
        <v>0</v>
      </c>
      <c r="BJ730" s="30">
        <v>46069.518055555556</v>
      </c>
      <c r="BK730" s="30">
        <v>46093.595138888886</v>
      </c>
      <c r="BL730" t="s">
        <v>1259</v>
      </c>
      <c r="BM730" t="s">
        <v>1259</v>
      </c>
      <c r="BO730" t="s">
        <v>1265</v>
      </c>
    </row>
    <row r="731" spans="1:67" x14ac:dyDescent="0.25">
      <c r="A731" t="s">
        <v>1248</v>
      </c>
      <c r="B731">
        <v>352113</v>
      </c>
      <c r="C731">
        <v>405</v>
      </c>
      <c r="D731">
        <v>51474</v>
      </c>
      <c r="E731">
        <v>1117</v>
      </c>
      <c r="F731">
        <v>0</v>
      </c>
      <c r="G731" t="s">
        <v>1265</v>
      </c>
      <c r="H731">
        <v>1</v>
      </c>
      <c r="I731" t="s">
        <v>1265</v>
      </c>
      <c r="J731" t="s">
        <v>1265</v>
      </c>
      <c r="K731" t="s">
        <v>3191</v>
      </c>
      <c r="L731" t="s">
        <v>3176</v>
      </c>
      <c r="M731" t="s">
        <v>3190</v>
      </c>
      <c r="N731" t="s">
        <v>3174</v>
      </c>
      <c r="O731">
        <v>888</v>
      </c>
      <c r="P731" t="s">
        <v>3964</v>
      </c>
      <c r="R731">
        <v>301</v>
      </c>
      <c r="S731">
        <v>0</v>
      </c>
      <c r="T731">
        <v>47</v>
      </c>
      <c r="U731">
        <v>0</v>
      </c>
      <c r="V731">
        <v>0</v>
      </c>
      <c r="W731">
        <v>0</v>
      </c>
      <c r="X731">
        <v>47</v>
      </c>
      <c r="Y731">
        <v>0</v>
      </c>
      <c r="Z731">
        <v>0</v>
      </c>
      <c r="AA731">
        <v>0</v>
      </c>
      <c r="AE731" s="30">
        <v>45821.375</v>
      </c>
      <c r="AF731" s="30">
        <v>45828.708333333336</v>
      </c>
      <c r="AH731" s="30">
        <v>45769.541666666664</v>
      </c>
      <c r="AI731" s="30">
        <v>45777.458333333336</v>
      </c>
      <c r="AJ731" s="30">
        <v>45769.541666666664</v>
      </c>
      <c r="AK731" s="30">
        <v>45777.458333333336</v>
      </c>
      <c r="AL731" s="30">
        <v>45769.541666666664</v>
      </c>
      <c r="AM731" s="30">
        <v>45777.458333333336</v>
      </c>
      <c r="AN731" s="30">
        <v>45821.375</v>
      </c>
      <c r="AO731" s="30">
        <v>45828.708333333336</v>
      </c>
      <c r="AQ731" t="s">
        <v>3171</v>
      </c>
      <c r="AV731" t="e">
        <f>+FBbAR/gi0696SCtG7Ms/Q</f>
        <v>#NAME?</v>
      </c>
      <c r="AW731" t="s">
        <v>3963</v>
      </c>
      <c r="AZ731" t="s">
        <v>1265</v>
      </c>
      <c r="BA731">
        <v>0</v>
      </c>
      <c r="BB731">
        <v>0</v>
      </c>
      <c r="BJ731" s="30">
        <v>46069.518055555556</v>
      </c>
      <c r="BK731" s="30">
        <v>46093.595138888886</v>
      </c>
      <c r="BL731" t="s">
        <v>1259</v>
      </c>
      <c r="BM731" t="s">
        <v>1259</v>
      </c>
      <c r="BO731" t="s">
        <v>1265</v>
      </c>
    </row>
    <row r="732" spans="1:67" x14ac:dyDescent="0.25">
      <c r="A732" t="s">
        <v>1248</v>
      </c>
      <c r="B732">
        <v>352114</v>
      </c>
      <c r="C732">
        <v>405</v>
      </c>
      <c r="D732">
        <v>53303</v>
      </c>
      <c r="E732">
        <v>1117</v>
      </c>
      <c r="F732">
        <v>0</v>
      </c>
      <c r="G732" t="s">
        <v>1265</v>
      </c>
      <c r="H732">
        <v>1</v>
      </c>
      <c r="I732" t="s">
        <v>1265</v>
      </c>
      <c r="J732" t="s">
        <v>1265</v>
      </c>
      <c r="K732" t="s">
        <v>3191</v>
      </c>
      <c r="L732" t="s">
        <v>3176</v>
      </c>
      <c r="M732" t="s">
        <v>3190</v>
      </c>
      <c r="N732" t="s">
        <v>3174</v>
      </c>
      <c r="O732">
        <v>898</v>
      </c>
      <c r="P732" t="s">
        <v>3962</v>
      </c>
      <c r="R732">
        <v>508</v>
      </c>
      <c r="S732">
        <v>56</v>
      </c>
      <c r="T732">
        <v>7</v>
      </c>
      <c r="U732">
        <v>0</v>
      </c>
      <c r="V732">
        <v>0</v>
      </c>
      <c r="W732">
        <v>0</v>
      </c>
      <c r="X732">
        <v>7</v>
      </c>
      <c r="Y732">
        <v>0</v>
      </c>
      <c r="Z732">
        <v>0</v>
      </c>
      <c r="AA732">
        <v>0</v>
      </c>
      <c r="AE732" s="30">
        <v>45866.666666666664</v>
      </c>
      <c r="AF732" s="30">
        <v>45867.625</v>
      </c>
      <c r="AH732" s="30">
        <v>45777.458333333336</v>
      </c>
      <c r="AI732" s="30">
        <v>45778.416666666664</v>
      </c>
      <c r="AJ732" s="30">
        <v>45777.458333333336</v>
      </c>
      <c r="AK732" s="30">
        <v>45778.416666666664</v>
      </c>
      <c r="AL732" s="30">
        <v>45777.458333333336</v>
      </c>
      <c r="AM732" s="30">
        <v>45778.416666666664</v>
      </c>
      <c r="AN732" s="30">
        <v>45866.666666666664</v>
      </c>
      <c r="AO732" s="30">
        <v>45867.625</v>
      </c>
      <c r="AQ732" t="s">
        <v>3171</v>
      </c>
      <c r="AV732" t="s">
        <v>3961</v>
      </c>
      <c r="AW732" t="s">
        <v>3960</v>
      </c>
      <c r="AZ732" t="s">
        <v>1265</v>
      </c>
      <c r="BA732">
        <v>0</v>
      </c>
      <c r="BB732">
        <v>0</v>
      </c>
      <c r="BJ732" s="30">
        <v>46069.518055555556</v>
      </c>
      <c r="BK732" s="30">
        <v>46093.73333333333</v>
      </c>
      <c r="BL732" t="s">
        <v>1259</v>
      </c>
      <c r="BM732" t="s">
        <v>1259</v>
      </c>
      <c r="BO732" t="s">
        <v>1265</v>
      </c>
    </row>
    <row r="733" spans="1:67" x14ac:dyDescent="0.25">
      <c r="A733" t="s">
        <v>1248</v>
      </c>
      <c r="B733">
        <v>352115</v>
      </c>
      <c r="C733">
        <v>405</v>
      </c>
      <c r="D733">
        <v>53303</v>
      </c>
      <c r="E733">
        <v>1117</v>
      </c>
      <c r="F733">
        <v>0</v>
      </c>
      <c r="G733" t="s">
        <v>1265</v>
      </c>
      <c r="H733">
        <v>1</v>
      </c>
      <c r="I733" t="s">
        <v>1265</v>
      </c>
      <c r="J733" t="s">
        <v>1265</v>
      </c>
      <c r="K733" t="s">
        <v>3191</v>
      </c>
      <c r="L733" t="s">
        <v>3176</v>
      </c>
      <c r="M733" t="s">
        <v>3190</v>
      </c>
      <c r="N733" t="s">
        <v>3174</v>
      </c>
      <c r="O733">
        <v>908</v>
      </c>
      <c r="P733" t="s">
        <v>3959</v>
      </c>
      <c r="R733">
        <v>284</v>
      </c>
      <c r="S733">
        <v>0</v>
      </c>
      <c r="T733">
        <v>15</v>
      </c>
      <c r="U733">
        <v>0</v>
      </c>
      <c r="V733">
        <v>0</v>
      </c>
      <c r="W733">
        <v>0</v>
      </c>
      <c r="X733">
        <v>15</v>
      </c>
      <c r="Y733">
        <v>0</v>
      </c>
      <c r="Z733">
        <v>0</v>
      </c>
      <c r="AA733">
        <v>0</v>
      </c>
      <c r="AE733" s="30">
        <v>45799.625</v>
      </c>
      <c r="AF733" s="30">
        <v>45803.583333333336</v>
      </c>
      <c r="AH733" s="30">
        <v>45750.416666666664</v>
      </c>
      <c r="AI733" s="30">
        <v>45754.375</v>
      </c>
      <c r="AJ733" s="30">
        <v>45750.416666666664</v>
      </c>
      <c r="AK733" s="30">
        <v>45754.375</v>
      </c>
      <c r="AL733" s="30">
        <v>45750.416666666664</v>
      </c>
      <c r="AM733" s="30">
        <v>45754.375</v>
      </c>
      <c r="AN733" s="30">
        <v>45799.625</v>
      </c>
      <c r="AO733" s="30">
        <v>45803.583333333336</v>
      </c>
      <c r="AQ733" t="s">
        <v>3171</v>
      </c>
      <c r="AV733" t="s">
        <v>3958</v>
      </c>
      <c r="AW733" t="s">
        <v>3957</v>
      </c>
      <c r="AZ733" t="s">
        <v>1265</v>
      </c>
      <c r="BA733">
        <v>0</v>
      </c>
      <c r="BB733">
        <v>0</v>
      </c>
      <c r="BJ733" s="30">
        <v>46069.518055555556</v>
      </c>
      <c r="BK733" s="30">
        <v>46093.595138888886</v>
      </c>
      <c r="BL733" t="s">
        <v>1259</v>
      </c>
      <c r="BM733" t="s">
        <v>1259</v>
      </c>
      <c r="BO733" t="s">
        <v>1265</v>
      </c>
    </row>
    <row r="734" spans="1:67" x14ac:dyDescent="0.25">
      <c r="A734" t="s">
        <v>1248</v>
      </c>
      <c r="B734">
        <v>352116</v>
      </c>
      <c r="C734">
        <v>405</v>
      </c>
      <c r="D734">
        <v>51475</v>
      </c>
      <c r="E734">
        <v>1117</v>
      </c>
      <c r="F734">
        <v>0</v>
      </c>
      <c r="G734" t="s">
        <v>1265</v>
      </c>
      <c r="H734">
        <v>1</v>
      </c>
      <c r="I734" t="s">
        <v>1265</v>
      </c>
      <c r="J734" t="s">
        <v>1265</v>
      </c>
      <c r="K734" t="s">
        <v>3191</v>
      </c>
      <c r="L734" t="s">
        <v>3176</v>
      </c>
      <c r="M734" t="s">
        <v>3190</v>
      </c>
      <c r="N734" t="s">
        <v>3174</v>
      </c>
      <c r="O734">
        <v>918</v>
      </c>
      <c r="P734" t="s">
        <v>3956</v>
      </c>
      <c r="R734">
        <v>284</v>
      </c>
      <c r="S734">
        <v>0</v>
      </c>
      <c r="T734">
        <v>23</v>
      </c>
      <c r="U734">
        <v>0</v>
      </c>
      <c r="V734">
        <v>0</v>
      </c>
      <c r="W734">
        <v>0</v>
      </c>
      <c r="X734">
        <v>23</v>
      </c>
      <c r="Y734">
        <v>0</v>
      </c>
      <c r="Z734">
        <v>0</v>
      </c>
      <c r="AA734">
        <v>0</v>
      </c>
      <c r="AE734" s="30">
        <v>45803.583333333336</v>
      </c>
      <c r="AF734" s="30">
        <v>45806.5</v>
      </c>
      <c r="AH734" s="30">
        <v>45754.375</v>
      </c>
      <c r="AI734" s="30">
        <v>45756.708333333336</v>
      </c>
      <c r="AJ734" s="30">
        <v>45754.375</v>
      </c>
      <c r="AK734" s="30">
        <v>45756.708333333336</v>
      </c>
      <c r="AL734" s="30">
        <v>45754.375</v>
      </c>
      <c r="AM734" s="30">
        <v>45756.708333333336</v>
      </c>
      <c r="AN734" s="30">
        <v>45803.583333333336</v>
      </c>
      <c r="AO734" s="30">
        <v>45806.5</v>
      </c>
      <c r="AQ734" t="s">
        <v>3171</v>
      </c>
      <c r="AV734" t="s">
        <v>3955</v>
      </c>
      <c r="AW734" t="s">
        <v>3954</v>
      </c>
      <c r="AZ734" t="s">
        <v>1265</v>
      </c>
      <c r="BA734">
        <v>0</v>
      </c>
      <c r="BB734">
        <v>0</v>
      </c>
      <c r="BJ734" s="30">
        <v>46069.518055555556</v>
      </c>
      <c r="BK734" s="30">
        <v>46093.595138888886</v>
      </c>
      <c r="BL734" t="s">
        <v>1259</v>
      </c>
      <c r="BM734" t="s">
        <v>1259</v>
      </c>
      <c r="BO734" t="s">
        <v>1265</v>
      </c>
    </row>
    <row r="735" spans="1:67" x14ac:dyDescent="0.25">
      <c r="A735" t="s">
        <v>1248</v>
      </c>
      <c r="B735">
        <v>352117</v>
      </c>
      <c r="C735">
        <v>405</v>
      </c>
      <c r="D735">
        <v>51475</v>
      </c>
      <c r="E735">
        <v>1117</v>
      </c>
      <c r="F735">
        <v>0</v>
      </c>
      <c r="G735" t="s">
        <v>1265</v>
      </c>
      <c r="H735">
        <v>1</v>
      </c>
      <c r="I735" t="s">
        <v>1265</v>
      </c>
      <c r="J735" t="s">
        <v>1265</v>
      </c>
      <c r="K735" t="s">
        <v>3191</v>
      </c>
      <c r="L735" t="s">
        <v>3176</v>
      </c>
      <c r="M735" t="s">
        <v>3190</v>
      </c>
      <c r="N735" t="s">
        <v>3174</v>
      </c>
      <c r="O735">
        <v>928</v>
      </c>
      <c r="P735" t="s">
        <v>3953</v>
      </c>
      <c r="R735">
        <v>284</v>
      </c>
      <c r="S735">
        <v>0</v>
      </c>
      <c r="T735">
        <v>7</v>
      </c>
      <c r="U735">
        <v>0</v>
      </c>
      <c r="V735">
        <v>0</v>
      </c>
      <c r="W735">
        <v>0</v>
      </c>
      <c r="X735">
        <v>7</v>
      </c>
      <c r="Y735">
        <v>0</v>
      </c>
      <c r="Z735">
        <v>0</v>
      </c>
      <c r="AA735">
        <v>0</v>
      </c>
      <c r="AE735" s="30">
        <v>45806.541666666664</v>
      </c>
      <c r="AF735" s="30">
        <v>45807.458333333336</v>
      </c>
      <c r="AH735" s="30">
        <v>45757.333333333336</v>
      </c>
      <c r="AI735" s="30">
        <v>45757.666666666664</v>
      </c>
      <c r="AJ735" s="30">
        <v>45757.333333333336</v>
      </c>
      <c r="AK735" s="30">
        <v>45757.666666666664</v>
      </c>
      <c r="AL735" s="30">
        <v>45757.333333333336</v>
      </c>
      <c r="AM735" s="30">
        <v>45757.666666666664</v>
      </c>
      <c r="AN735" s="30">
        <v>45806.541666666664</v>
      </c>
      <c r="AO735" s="30">
        <v>45807.458333333336</v>
      </c>
      <c r="AQ735" t="s">
        <v>3171</v>
      </c>
      <c r="AV735" t="s">
        <v>3952</v>
      </c>
      <c r="AW735" t="s">
        <v>3951</v>
      </c>
      <c r="AZ735" t="s">
        <v>1265</v>
      </c>
      <c r="BA735">
        <v>0</v>
      </c>
      <c r="BB735">
        <v>0</v>
      </c>
      <c r="BJ735" s="30">
        <v>46069.518055555556</v>
      </c>
      <c r="BK735" s="30">
        <v>46093.595138888886</v>
      </c>
      <c r="BL735" t="s">
        <v>1259</v>
      </c>
      <c r="BM735" t="s">
        <v>1259</v>
      </c>
      <c r="BO735" t="s">
        <v>1265</v>
      </c>
    </row>
    <row r="736" spans="1:67" x14ac:dyDescent="0.25">
      <c r="A736" t="s">
        <v>1248</v>
      </c>
      <c r="B736">
        <v>352118</v>
      </c>
      <c r="C736">
        <v>405</v>
      </c>
      <c r="D736">
        <v>51475</v>
      </c>
      <c r="E736">
        <v>1117</v>
      </c>
      <c r="F736">
        <v>0</v>
      </c>
      <c r="G736" t="s">
        <v>1265</v>
      </c>
      <c r="H736">
        <v>1</v>
      </c>
      <c r="I736" t="s">
        <v>1265</v>
      </c>
      <c r="J736" t="s">
        <v>1265</v>
      </c>
      <c r="K736" t="s">
        <v>3191</v>
      </c>
      <c r="L736" t="s">
        <v>3176</v>
      </c>
      <c r="M736" t="s">
        <v>3190</v>
      </c>
      <c r="N736" t="s">
        <v>3174</v>
      </c>
      <c r="O736">
        <v>938</v>
      </c>
      <c r="P736" t="s">
        <v>3950</v>
      </c>
      <c r="R736">
        <v>284</v>
      </c>
      <c r="S736">
        <v>0</v>
      </c>
      <c r="T736">
        <v>15</v>
      </c>
      <c r="U736">
        <v>0</v>
      </c>
      <c r="V736">
        <v>0</v>
      </c>
      <c r="W736">
        <v>0</v>
      </c>
      <c r="X736">
        <v>15</v>
      </c>
      <c r="Y736">
        <v>0</v>
      </c>
      <c r="Z736">
        <v>0</v>
      </c>
      <c r="AA736">
        <v>0</v>
      </c>
      <c r="AE736" s="30">
        <v>45807.458333333336</v>
      </c>
      <c r="AF736" s="30">
        <v>45811.416666666664</v>
      </c>
      <c r="AH736" s="30">
        <v>45757.666666666664</v>
      </c>
      <c r="AI736" s="30">
        <v>45761.625</v>
      </c>
      <c r="AJ736" s="30">
        <v>45757.666666666664</v>
      </c>
      <c r="AK736" s="30">
        <v>45761.625</v>
      </c>
      <c r="AL736" s="30">
        <v>45757.666666666664</v>
      </c>
      <c r="AM736" s="30">
        <v>45761.625</v>
      </c>
      <c r="AN736" s="30">
        <v>45807.458333333336</v>
      </c>
      <c r="AO736" s="30">
        <v>45811.416666666664</v>
      </c>
      <c r="AQ736" t="s">
        <v>3171</v>
      </c>
      <c r="AV736" t="s">
        <v>3949</v>
      </c>
      <c r="AW736" t="s">
        <v>3948</v>
      </c>
      <c r="AZ736" t="s">
        <v>1265</v>
      </c>
      <c r="BA736">
        <v>0</v>
      </c>
      <c r="BB736">
        <v>0</v>
      </c>
      <c r="BJ736" s="30">
        <v>46069.518055555556</v>
      </c>
      <c r="BK736" s="30">
        <v>46093.595138888886</v>
      </c>
      <c r="BL736" t="s">
        <v>1259</v>
      </c>
      <c r="BM736" t="s">
        <v>1259</v>
      </c>
      <c r="BO736" t="s">
        <v>1265</v>
      </c>
    </row>
    <row r="737" spans="1:67" x14ac:dyDescent="0.25">
      <c r="A737" t="s">
        <v>1248</v>
      </c>
      <c r="B737">
        <v>352119</v>
      </c>
      <c r="C737">
        <v>405</v>
      </c>
      <c r="D737">
        <v>51475</v>
      </c>
      <c r="E737">
        <v>1117</v>
      </c>
      <c r="F737">
        <v>0</v>
      </c>
      <c r="G737" t="s">
        <v>1265</v>
      </c>
      <c r="H737">
        <v>1</v>
      </c>
      <c r="I737" t="s">
        <v>1265</v>
      </c>
      <c r="J737" t="s">
        <v>1265</v>
      </c>
      <c r="K737" t="s">
        <v>3191</v>
      </c>
      <c r="L737" t="s">
        <v>3176</v>
      </c>
      <c r="M737" t="s">
        <v>3190</v>
      </c>
      <c r="N737" t="s">
        <v>3174</v>
      </c>
      <c r="O737">
        <v>948</v>
      </c>
      <c r="P737" t="s">
        <v>3947</v>
      </c>
      <c r="R737">
        <v>284</v>
      </c>
      <c r="S737">
        <v>0</v>
      </c>
      <c r="T737">
        <v>31</v>
      </c>
      <c r="U737">
        <v>0</v>
      </c>
      <c r="V737">
        <v>0</v>
      </c>
      <c r="W737">
        <v>0</v>
      </c>
      <c r="X737">
        <v>31</v>
      </c>
      <c r="Y737">
        <v>0</v>
      </c>
      <c r="Z737">
        <v>0</v>
      </c>
      <c r="AA737">
        <v>0</v>
      </c>
      <c r="AE737" s="30">
        <v>45811.416666666664</v>
      </c>
      <c r="AF737" s="30">
        <v>45817.375</v>
      </c>
      <c r="AH737" s="30">
        <v>45761.625</v>
      </c>
      <c r="AI737" s="30">
        <v>45765.583333333336</v>
      </c>
      <c r="AJ737" s="30">
        <v>45761.625</v>
      </c>
      <c r="AK737" s="30">
        <v>45765.583333333336</v>
      </c>
      <c r="AL737" s="30">
        <v>45761.625</v>
      </c>
      <c r="AM737" s="30">
        <v>45765.583333333336</v>
      </c>
      <c r="AN737" s="30">
        <v>45811.416666666664</v>
      </c>
      <c r="AO737" s="30">
        <v>45817.375</v>
      </c>
      <c r="AQ737" t="s">
        <v>3171</v>
      </c>
      <c r="AV737" t="s">
        <v>3946</v>
      </c>
      <c r="AW737" t="s">
        <v>3945</v>
      </c>
      <c r="AZ737" t="s">
        <v>1265</v>
      </c>
      <c r="BA737">
        <v>0</v>
      </c>
      <c r="BB737">
        <v>0</v>
      </c>
      <c r="BJ737" s="30">
        <v>46069.518055555556</v>
      </c>
      <c r="BK737" s="30">
        <v>46093.595138888886</v>
      </c>
      <c r="BL737" t="s">
        <v>1259</v>
      </c>
      <c r="BM737" t="s">
        <v>1259</v>
      </c>
      <c r="BO737" t="s">
        <v>1265</v>
      </c>
    </row>
    <row r="738" spans="1:67" x14ac:dyDescent="0.25">
      <c r="A738" t="s">
        <v>1248</v>
      </c>
      <c r="B738">
        <v>352120</v>
      </c>
      <c r="C738">
        <v>405</v>
      </c>
      <c r="D738">
        <v>51475</v>
      </c>
      <c r="E738">
        <v>1117</v>
      </c>
      <c r="F738">
        <v>0</v>
      </c>
      <c r="G738" t="s">
        <v>1265</v>
      </c>
      <c r="H738">
        <v>1</v>
      </c>
      <c r="I738" t="s">
        <v>1265</v>
      </c>
      <c r="J738" t="s">
        <v>1265</v>
      </c>
      <c r="K738" t="s">
        <v>3191</v>
      </c>
      <c r="L738" t="s">
        <v>3176</v>
      </c>
      <c r="M738" t="s">
        <v>3190</v>
      </c>
      <c r="N738" t="s">
        <v>3174</v>
      </c>
      <c r="O738">
        <v>958</v>
      </c>
      <c r="P738" t="s">
        <v>3944</v>
      </c>
      <c r="R738">
        <v>284</v>
      </c>
      <c r="S738">
        <v>0</v>
      </c>
      <c r="T738">
        <v>47</v>
      </c>
      <c r="U738">
        <v>0</v>
      </c>
      <c r="V738">
        <v>0</v>
      </c>
      <c r="W738">
        <v>0</v>
      </c>
      <c r="X738">
        <v>47</v>
      </c>
      <c r="Y738">
        <v>0</v>
      </c>
      <c r="Z738">
        <v>0</v>
      </c>
      <c r="AA738">
        <v>0</v>
      </c>
      <c r="AE738" s="30">
        <v>45817.375</v>
      </c>
      <c r="AF738" s="30">
        <v>45824.708333333336</v>
      </c>
      <c r="AH738" s="30">
        <v>45765.583333333336</v>
      </c>
      <c r="AI738" s="30">
        <v>45775.5</v>
      </c>
      <c r="AJ738" s="30">
        <v>45765.583333333336</v>
      </c>
      <c r="AK738" s="30">
        <v>45775.5</v>
      </c>
      <c r="AL738" s="30">
        <v>45765.583333333336</v>
      </c>
      <c r="AM738" s="30">
        <v>45775.5</v>
      </c>
      <c r="AN738" s="30">
        <v>45817.375</v>
      </c>
      <c r="AO738" s="30">
        <v>45824.708333333336</v>
      </c>
      <c r="AQ738" t="s">
        <v>3171</v>
      </c>
      <c r="AV738" t="s">
        <v>3943</v>
      </c>
      <c r="AW738" t="s">
        <v>3942</v>
      </c>
      <c r="AZ738" t="s">
        <v>1265</v>
      </c>
      <c r="BA738">
        <v>0</v>
      </c>
      <c r="BB738">
        <v>0</v>
      </c>
      <c r="BJ738" s="30">
        <v>46069.518055555556</v>
      </c>
      <c r="BK738" s="30">
        <v>46093.595138888886</v>
      </c>
      <c r="BL738" t="s">
        <v>1259</v>
      </c>
      <c r="BM738" t="s">
        <v>1259</v>
      </c>
      <c r="BO738" t="s">
        <v>1265</v>
      </c>
    </row>
    <row r="739" spans="1:67" x14ac:dyDescent="0.25">
      <c r="A739" t="s">
        <v>1248</v>
      </c>
      <c r="B739">
        <v>352121</v>
      </c>
      <c r="C739">
        <v>405</v>
      </c>
      <c r="D739">
        <v>53303</v>
      </c>
      <c r="E739">
        <v>1117</v>
      </c>
      <c r="F739">
        <v>0</v>
      </c>
      <c r="G739" t="s">
        <v>1265</v>
      </c>
      <c r="H739">
        <v>1</v>
      </c>
      <c r="I739" t="s">
        <v>1265</v>
      </c>
      <c r="J739" t="s">
        <v>1265</v>
      </c>
      <c r="K739" t="s">
        <v>3191</v>
      </c>
      <c r="L739" t="s">
        <v>3176</v>
      </c>
      <c r="M739" t="s">
        <v>3190</v>
      </c>
      <c r="N739" t="s">
        <v>3174</v>
      </c>
      <c r="O739">
        <v>968</v>
      </c>
      <c r="P739" t="s">
        <v>3941</v>
      </c>
      <c r="R739">
        <v>516</v>
      </c>
      <c r="S739">
        <v>8</v>
      </c>
      <c r="T739">
        <v>7</v>
      </c>
      <c r="U739">
        <v>0</v>
      </c>
      <c r="V739">
        <v>0</v>
      </c>
      <c r="W739">
        <v>0</v>
      </c>
      <c r="X739">
        <v>7</v>
      </c>
      <c r="Y739">
        <v>0</v>
      </c>
      <c r="Z739">
        <v>0</v>
      </c>
      <c r="AA739">
        <v>0</v>
      </c>
      <c r="AE739" s="30">
        <v>45866.333333333336</v>
      </c>
      <c r="AF739" s="30">
        <v>45866.666666666664</v>
      </c>
      <c r="AH739" s="30">
        <v>45775.541666666664</v>
      </c>
      <c r="AI739" s="30">
        <v>45776.458333333336</v>
      </c>
      <c r="AJ739" s="30">
        <v>45775.541666666664</v>
      </c>
      <c r="AK739" s="30">
        <v>45776.458333333336</v>
      </c>
      <c r="AL739" s="30">
        <v>45775.541666666664</v>
      </c>
      <c r="AM739" s="30">
        <v>45776.458333333336</v>
      </c>
      <c r="AN739" s="30">
        <v>45866.333333333336</v>
      </c>
      <c r="AO739" s="30">
        <v>45866.666666666664</v>
      </c>
      <c r="AQ739" t="s">
        <v>3171</v>
      </c>
      <c r="AV739" t="s">
        <v>3940</v>
      </c>
      <c r="AW739" t="s">
        <v>3939</v>
      </c>
      <c r="AZ739" t="s">
        <v>1265</v>
      </c>
      <c r="BA739">
        <v>0</v>
      </c>
      <c r="BB739">
        <v>0</v>
      </c>
      <c r="BJ739" s="30">
        <v>46069.518055555556</v>
      </c>
      <c r="BK739" s="30">
        <v>46093.73333333333</v>
      </c>
      <c r="BL739" t="s">
        <v>1259</v>
      </c>
      <c r="BM739" t="s">
        <v>1259</v>
      </c>
      <c r="BO739" t="s">
        <v>1265</v>
      </c>
    </row>
    <row r="740" spans="1:67" x14ac:dyDescent="0.25">
      <c r="A740" t="s">
        <v>1248</v>
      </c>
      <c r="B740">
        <v>352122</v>
      </c>
      <c r="C740">
        <v>405</v>
      </c>
      <c r="D740">
        <v>53303</v>
      </c>
      <c r="E740">
        <v>1117</v>
      </c>
      <c r="F740">
        <v>0</v>
      </c>
      <c r="G740" t="s">
        <v>1265</v>
      </c>
      <c r="H740">
        <v>1</v>
      </c>
      <c r="I740" t="s">
        <v>1265</v>
      </c>
      <c r="J740" t="s">
        <v>1265</v>
      </c>
      <c r="K740" t="s">
        <v>3191</v>
      </c>
      <c r="L740" t="s">
        <v>3176</v>
      </c>
      <c r="M740" t="s">
        <v>3190</v>
      </c>
      <c r="N740" t="s">
        <v>3174</v>
      </c>
      <c r="O740">
        <v>978</v>
      </c>
      <c r="P740" t="s">
        <v>3938</v>
      </c>
      <c r="R740">
        <v>267</v>
      </c>
      <c r="S740">
        <v>0</v>
      </c>
      <c r="T740">
        <v>15</v>
      </c>
      <c r="U740">
        <v>0</v>
      </c>
      <c r="V740">
        <v>0</v>
      </c>
      <c r="W740">
        <v>0</v>
      </c>
      <c r="X740">
        <v>15</v>
      </c>
      <c r="Y740">
        <v>0</v>
      </c>
      <c r="Z740">
        <v>0</v>
      </c>
      <c r="AA740">
        <v>0</v>
      </c>
      <c r="AE740" s="30">
        <v>45793.625</v>
      </c>
      <c r="AF740" s="30">
        <v>45797.583333333336</v>
      </c>
      <c r="AH740" s="30">
        <v>45748.458333333336</v>
      </c>
      <c r="AI740" s="30">
        <v>45750.416666666664</v>
      </c>
      <c r="AJ740" s="30">
        <v>45748.458333333336</v>
      </c>
      <c r="AK740" s="30">
        <v>45750.416666666664</v>
      </c>
      <c r="AL740" s="30">
        <v>45748.458333333336</v>
      </c>
      <c r="AM740" s="30">
        <v>45750.416666666664</v>
      </c>
      <c r="AN740" s="30">
        <v>45793.625</v>
      </c>
      <c r="AO740" s="30">
        <v>45797.583333333336</v>
      </c>
      <c r="AQ740" t="s">
        <v>3171</v>
      </c>
      <c r="AV740" t="s">
        <v>3937</v>
      </c>
      <c r="AW740" t="s">
        <v>3936</v>
      </c>
      <c r="AZ740" t="s">
        <v>1265</v>
      </c>
      <c r="BA740">
        <v>0</v>
      </c>
      <c r="BB740">
        <v>0</v>
      </c>
      <c r="BJ740" s="30">
        <v>46069.518055555556</v>
      </c>
      <c r="BK740" s="30">
        <v>46093.595138888886</v>
      </c>
      <c r="BL740" t="s">
        <v>1259</v>
      </c>
      <c r="BM740" t="s">
        <v>1259</v>
      </c>
      <c r="BO740" t="s">
        <v>1265</v>
      </c>
    </row>
    <row r="741" spans="1:67" x14ac:dyDescent="0.25">
      <c r="A741" t="s">
        <v>1248</v>
      </c>
      <c r="B741">
        <v>352123</v>
      </c>
      <c r="C741">
        <v>405</v>
      </c>
      <c r="D741">
        <v>51476</v>
      </c>
      <c r="E741">
        <v>1117</v>
      </c>
      <c r="F741">
        <v>0</v>
      </c>
      <c r="G741" t="s">
        <v>1265</v>
      </c>
      <c r="H741">
        <v>1</v>
      </c>
      <c r="I741" t="s">
        <v>1265</v>
      </c>
      <c r="J741" t="s">
        <v>1265</v>
      </c>
      <c r="K741" t="s">
        <v>3191</v>
      </c>
      <c r="L741" t="s">
        <v>3176</v>
      </c>
      <c r="M741" t="s">
        <v>3190</v>
      </c>
      <c r="N741" t="s">
        <v>3174</v>
      </c>
      <c r="O741">
        <v>988</v>
      </c>
      <c r="P741" t="s">
        <v>3935</v>
      </c>
      <c r="R741">
        <v>267</v>
      </c>
      <c r="S741">
        <v>0</v>
      </c>
      <c r="T741">
        <v>23</v>
      </c>
      <c r="U741">
        <v>0</v>
      </c>
      <c r="V741">
        <v>0</v>
      </c>
      <c r="W741">
        <v>0</v>
      </c>
      <c r="X741">
        <v>23</v>
      </c>
      <c r="Y741">
        <v>0</v>
      </c>
      <c r="Z741">
        <v>0</v>
      </c>
      <c r="AA741">
        <v>0</v>
      </c>
      <c r="AE741" s="30">
        <v>45797.583333333336</v>
      </c>
      <c r="AF741" s="30">
        <v>45800.5</v>
      </c>
      <c r="AH741" s="30">
        <v>45750.416666666664</v>
      </c>
      <c r="AI741" s="30">
        <v>45755.375</v>
      </c>
      <c r="AJ741" s="30">
        <v>45750.416666666664</v>
      </c>
      <c r="AK741" s="30">
        <v>45755.375</v>
      </c>
      <c r="AL741" s="30">
        <v>45750.416666666664</v>
      </c>
      <c r="AM741" s="30">
        <v>45755.375</v>
      </c>
      <c r="AN741" s="30">
        <v>45797.583333333336</v>
      </c>
      <c r="AO741" s="30">
        <v>45800.5</v>
      </c>
      <c r="AQ741" t="s">
        <v>3171</v>
      </c>
      <c r="AV741" t="s">
        <v>3934</v>
      </c>
      <c r="AW741" t="s">
        <v>3933</v>
      </c>
      <c r="AZ741" t="s">
        <v>1265</v>
      </c>
      <c r="BA741">
        <v>0</v>
      </c>
      <c r="BB741">
        <v>0</v>
      </c>
      <c r="BJ741" s="30">
        <v>46069.518055555556</v>
      </c>
      <c r="BK741" s="30">
        <v>46093.595138888886</v>
      </c>
      <c r="BL741" t="s">
        <v>1259</v>
      </c>
      <c r="BM741" t="s">
        <v>1259</v>
      </c>
      <c r="BO741" t="s">
        <v>1265</v>
      </c>
    </row>
    <row r="742" spans="1:67" x14ac:dyDescent="0.25">
      <c r="A742" t="s">
        <v>1248</v>
      </c>
      <c r="B742">
        <v>352124</v>
      </c>
      <c r="C742">
        <v>405</v>
      </c>
      <c r="D742">
        <v>51476</v>
      </c>
      <c r="E742">
        <v>1117</v>
      </c>
      <c r="F742">
        <v>0</v>
      </c>
      <c r="G742" t="s">
        <v>1265</v>
      </c>
      <c r="H742">
        <v>1</v>
      </c>
      <c r="I742" t="s">
        <v>1265</v>
      </c>
      <c r="J742" t="s">
        <v>1265</v>
      </c>
      <c r="K742" t="s">
        <v>3191</v>
      </c>
      <c r="L742" t="s">
        <v>3176</v>
      </c>
      <c r="M742" t="s">
        <v>3190</v>
      </c>
      <c r="N742" t="s">
        <v>3174</v>
      </c>
      <c r="O742">
        <v>998</v>
      </c>
      <c r="P742" t="s">
        <v>3932</v>
      </c>
      <c r="R742">
        <v>267</v>
      </c>
      <c r="S742">
        <v>0</v>
      </c>
      <c r="T742">
        <v>7</v>
      </c>
      <c r="U742">
        <v>0</v>
      </c>
      <c r="V742">
        <v>0</v>
      </c>
      <c r="W742">
        <v>0</v>
      </c>
      <c r="X742">
        <v>7</v>
      </c>
      <c r="Y742">
        <v>0</v>
      </c>
      <c r="Z742">
        <v>0</v>
      </c>
      <c r="AA742">
        <v>0</v>
      </c>
      <c r="AE742" s="30">
        <v>45800.541666666664</v>
      </c>
      <c r="AF742" s="30">
        <v>45803.458333333336</v>
      </c>
      <c r="AH742" s="30">
        <v>45755.375</v>
      </c>
      <c r="AI742" s="30">
        <v>45755.708333333336</v>
      </c>
      <c r="AJ742" s="30">
        <v>45755.375</v>
      </c>
      <c r="AK742" s="30">
        <v>45755.708333333336</v>
      </c>
      <c r="AL742" s="30">
        <v>45755.375</v>
      </c>
      <c r="AM742" s="30">
        <v>45755.708333333336</v>
      </c>
      <c r="AN742" s="30">
        <v>45800.541666666664</v>
      </c>
      <c r="AO742" s="30">
        <v>45803.458333333336</v>
      </c>
      <c r="AQ742" t="s">
        <v>3171</v>
      </c>
      <c r="AV742" t="s">
        <v>3931</v>
      </c>
      <c r="AW742" t="s">
        <v>3930</v>
      </c>
      <c r="AZ742" t="s">
        <v>1265</v>
      </c>
      <c r="BA742">
        <v>0</v>
      </c>
      <c r="BB742">
        <v>0</v>
      </c>
      <c r="BJ742" s="30">
        <v>46069.518055555556</v>
      </c>
      <c r="BK742" s="30">
        <v>46093.595138888886</v>
      </c>
      <c r="BL742" t="s">
        <v>1259</v>
      </c>
      <c r="BM742" t="s">
        <v>1259</v>
      </c>
      <c r="BO742" t="s">
        <v>1265</v>
      </c>
    </row>
    <row r="743" spans="1:67" x14ac:dyDescent="0.25">
      <c r="A743" t="s">
        <v>1248</v>
      </c>
      <c r="B743">
        <v>352125</v>
      </c>
      <c r="C743">
        <v>405</v>
      </c>
      <c r="D743">
        <v>51476</v>
      </c>
      <c r="E743">
        <v>1117</v>
      </c>
      <c r="F743">
        <v>0</v>
      </c>
      <c r="G743" t="s">
        <v>1265</v>
      </c>
      <c r="H743">
        <v>1</v>
      </c>
      <c r="I743" t="s">
        <v>1265</v>
      </c>
      <c r="J743" t="s">
        <v>1265</v>
      </c>
      <c r="K743" t="s">
        <v>3191</v>
      </c>
      <c r="L743" t="s">
        <v>3176</v>
      </c>
      <c r="M743" t="s">
        <v>3190</v>
      </c>
      <c r="N743" t="s">
        <v>3174</v>
      </c>
      <c r="O743">
        <v>1008</v>
      </c>
      <c r="P743" t="s">
        <v>3929</v>
      </c>
      <c r="R743">
        <v>267</v>
      </c>
      <c r="S743">
        <v>0</v>
      </c>
      <c r="T743">
        <v>15</v>
      </c>
      <c r="U743">
        <v>0</v>
      </c>
      <c r="V743">
        <v>0</v>
      </c>
      <c r="W743">
        <v>0</v>
      </c>
      <c r="X743">
        <v>15</v>
      </c>
      <c r="Y743">
        <v>0</v>
      </c>
      <c r="Z743">
        <v>0</v>
      </c>
      <c r="AA743">
        <v>0</v>
      </c>
      <c r="AE743" s="30">
        <v>45803.458333333336</v>
      </c>
      <c r="AF743" s="30">
        <v>45805.416666666664</v>
      </c>
      <c r="AH743" s="30">
        <v>45756.333333333336</v>
      </c>
      <c r="AI743" s="30">
        <v>45757.666666666664</v>
      </c>
      <c r="AJ743" s="30">
        <v>45756.333333333336</v>
      </c>
      <c r="AK743" s="30">
        <v>45757.666666666664</v>
      </c>
      <c r="AL743" s="30">
        <v>45756.333333333336</v>
      </c>
      <c r="AM743" s="30">
        <v>45757.666666666664</v>
      </c>
      <c r="AN743" s="30">
        <v>45803.458333333336</v>
      </c>
      <c r="AO743" s="30">
        <v>45805.416666666664</v>
      </c>
      <c r="AQ743" t="s">
        <v>3171</v>
      </c>
      <c r="AV743" t="s">
        <v>3928</v>
      </c>
      <c r="AW743" t="e">
        <f>+pjH0a4EHkiUrbVFDl5afQ</f>
        <v>#NAME?</v>
      </c>
      <c r="AZ743" t="s">
        <v>1265</v>
      </c>
      <c r="BA743">
        <v>0</v>
      </c>
      <c r="BB743">
        <v>0</v>
      </c>
      <c r="BJ743" s="30">
        <v>46069.518055555556</v>
      </c>
      <c r="BK743" s="30">
        <v>46093.595138888886</v>
      </c>
      <c r="BL743" t="s">
        <v>1259</v>
      </c>
      <c r="BM743" t="s">
        <v>1259</v>
      </c>
      <c r="BO743" t="s">
        <v>1265</v>
      </c>
    </row>
    <row r="744" spans="1:67" x14ac:dyDescent="0.25">
      <c r="A744" t="s">
        <v>1248</v>
      </c>
      <c r="B744">
        <v>352126</v>
      </c>
      <c r="C744">
        <v>405</v>
      </c>
      <c r="D744">
        <v>51476</v>
      </c>
      <c r="E744">
        <v>1117</v>
      </c>
      <c r="F744">
        <v>0</v>
      </c>
      <c r="G744" t="s">
        <v>1265</v>
      </c>
      <c r="H744">
        <v>1</v>
      </c>
      <c r="I744" t="s">
        <v>1265</v>
      </c>
      <c r="J744" t="s">
        <v>1265</v>
      </c>
      <c r="K744" t="s">
        <v>3191</v>
      </c>
      <c r="L744" t="s">
        <v>3176</v>
      </c>
      <c r="M744" t="s">
        <v>3190</v>
      </c>
      <c r="N744" t="s">
        <v>3174</v>
      </c>
      <c r="O744">
        <v>1018</v>
      </c>
      <c r="P744" t="s">
        <v>3927</v>
      </c>
      <c r="R744">
        <v>267</v>
      </c>
      <c r="S744">
        <v>0</v>
      </c>
      <c r="T744">
        <v>31</v>
      </c>
      <c r="U744">
        <v>0</v>
      </c>
      <c r="V744">
        <v>0</v>
      </c>
      <c r="W744">
        <v>0</v>
      </c>
      <c r="X744">
        <v>31</v>
      </c>
      <c r="Y744">
        <v>0</v>
      </c>
      <c r="Z744">
        <v>0</v>
      </c>
      <c r="AA744">
        <v>0</v>
      </c>
      <c r="AE744" s="30">
        <v>45805.416666666664</v>
      </c>
      <c r="AF744" s="30">
        <v>45811.375</v>
      </c>
      <c r="AH744" s="30">
        <v>45757.666666666664</v>
      </c>
      <c r="AI744" s="30">
        <v>45763.625</v>
      </c>
      <c r="AJ744" s="30">
        <v>45757.666666666664</v>
      </c>
      <c r="AK744" s="30">
        <v>45763.625</v>
      </c>
      <c r="AL744" s="30">
        <v>45757.666666666664</v>
      </c>
      <c r="AM744" s="30">
        <v>45763.625</v>
      </c>
      <c r="AN744" s="30">
        <v>45805.416666666664</v>
      </c>
      <c r="AO744" s="30">
        <v>45811.375</v>
      </c>
      <c r="AQ744" t="s">
        <v>3171</v>
      </c>
      <c r="AV744" t="s">
        <v>3926</v>
      </c>
      <c r="AW744" t="s">
        <v>3925</v>
      </c>
      <c r="AZ744" t="s">
        <v>1265</v>
      </c>
      <c r="BA744">
        <v>0</v>
      </c>
      <c r="BB744">
        <v>0</v>
      </c>
      <c r="BJ744" s="30">
        <v>46069.518055555556</v>
      </c>
      <c r="BK744" s="30">
        <v>46093.595138888886</v>
      </c>
      <c r="BL744" t="s">
        <v>1259</v>
      </c>
      <c r="BM744" t="s">
        <v>1259</v>
      </c>
      <c r="BO744" t="s">
        <v>1265</v>
      </c>
    </row>
    <row r="745" spans="1:67" x14ac:dyDescent="0.25">
      <c r="A745" t="s">
        <v>1248</v>
      </c>
      <c r="B745">
        <v>352127</v>
      </c>
      <c r="C745">
        <v>405</v>
      </c>
      <c r="D745">
        <v>51476</v>
      </c>
      <c r="E745">
        <v>1117</v>
      </c>
      <c r="F745">
        <v>0</v>
      </c>
      <c r="G745" t="s">
        <v>1265</v>
      </c>
      <c r="H745">
        <v>1</v>
      </c>
      <c r="I745" t="s">
        <v>1265</v>
      </c>
      <c r="J745" t="s">
        <v>1265</v>
      </c>
      <c r="K745" t="s">
        <v>3191</v>
      </c>
      <c r="L745" t="s">
        <v>3176</v>
      </c>
      <c r="M745" t="s">
        <v>3190</v>
      </c>
      <c r="N745" t="s">
        <v>3174</v>
      </c>
      <c r="O745">
        <v>1028</v>
      </c>
      <c r="P745" t="s">
        <v>3924</v>
      </c>
      <c r="R745">
        <v>267</v>
      </c>
      <c r="S745">
        <v>0</v>
      </c>
      <c r="T745">
        <v>47</v>
      </c>
      <c r="U745">
        <v>0</v>
      </c>
      <c r="V745">
        <v>0</v>
      </c>
      <c r="W745">
        <v>0</v>
      </c>
      <c r="X745">
        <v>47</v>
      </c>
      <c r="Y745">
        <v>0</v>
      </c>
      <c r="Z745">
        <v>0</v>
      </c>
      <c r="AA745">
        <v>0</v>
      </c>
      <c r="AE745" s="30">
        <v>45811.375</v>
      </c>
      <c r="AF745" s="30">
        <v>45818.708333333336</v>
      </c>
      <c r="AH745" s="30">
        <v>45763.625</v>
      </c>
      <c r="AI745" s="30">
        <v>45771.583333333336</v>
      </c>
      <c r="AJ745" s="30">
        <v>45763.625</v>
      </c>
      <c r="AK745" s="30">
        <v>45771.583333333336</v>
      </c>
      <c r="AL745" s="30">
        <v>45763.625</v>
      </c>
      <c r="AM745" s="30">
        <v>45771.583333333336</v>
      </c>
      <c r="AN745" s="30">
        <v>45811.375</v>
      </c>
      <c r="AO745" s="30">
        <v>45818.708333333336</v>
      </c>
      <c r="AQ745" t="s">
        <v>3171</v>
      </c>
      <c r="AV745" t="s">
        <v>3923</v>
      </c>
      <c r="AW745" t="s">
        <v>3922</v>
      </c>
      <c r="AZ745" t="s">
        <v>1265</v>
      </c>
      <c r="BA745">
        <v>0</v>
      </c>
      <c r="BB745">
        <v>0</v>
      </c>
      <c r="BJ745" s="30">
        <v>46069.518055555556</v>
      </c>
      <c r="BK745" s="30">
        <v>46093.595138888886</v>
      </c>
      <c r="BL745" t="s">
        <v>1259</v>
      </c>
      <c r="BM745" t="s">
        <v>1259</v>
      </c>
      <c r="BO745" t="s">
        <v>1265</v>
      </c>
    </row>
    <row r="746" spans="1:67" x14ac:dyDescent="0.25">
      <c r="A746" t="s">
        <v>1248</v>
      </c>
      <c r="B746">
        <v>352128</v>
      </c>
      <c r="C746">
        <v>405</v>
      </c>
      <c r="D746">
        <v>53303</v>
      </c>
      <c r="E746">
        <v>1117</v>
      </c>
      <c r="F746">
        <v>0</v>
      </c>
      <c r="G746" t="s">
        <v>1265</v>
      </c>
      <c r="H746">
        <v>1</v>
      </c>
      <c r="I746" t="s">
        <v>1265</v>
      </c>
      <c r="J746" t="s">
        <v>1265</v>
      </c>
      <c r="K746" t="s">
        <v>3191</v>
      </c>
      <c r="L746" t="s">
        <v>3176</v>
      </c>
      <c r="M746" t="s">
        <v>3190</v>
      </c>
      <c r="N746" t="s">
        <v>3174</v>
      </c>
      <c r="O746">
        <v>1038</v>
      </c>
      <c r="P746" t="s">
        <v>3921</v>
      </c>
      <c r="R746">
        <v>524</v>
      </c>
      <c r="S746">
        <v>8</v>
      </c>
      <c r="T746">
        <v>7</v>
      </c>
      <c r="U746">
        <v>0</v>
      </c>
      <c r="V746">
        <v>0</v>
      </c>
      <c r="W746">
        <v>0</v>
      </c>
      <c r="X746">
        <v>7</v>
      </c>
      <c r="Y746">
        <v>0</v>
      </c>
      <c r="Z746">
        <v>0</v>
      </c>
      <c r="AA746">
        <v>0</v>
      </c>
      <c r="AE746" s="30">
        <v>45863.375</v>
      </c>
      <c r="AF746" s="30">
        <v>45863.708333333336</v>
      </c>
      <c r="AH746" s="30">
        <v>45771.583333333336</v>
      </c>
      <c r="AI746" s="30">
        <v>45772.5</v>
      </c>
      <c r="AJ746" s="30">
        <v>45771.583333333336</v>
      </c>
      <c r="AK746" s="30">
        <v>45772.5</v>
      </c>
      <c r="AL746" s="30">
        <v>45771.583333333336</v>
      </c>
      <c r="AM746" s="30">
        <v>45772.5</v>
      </c>
      <c r="AN746" s="30">
        <v>45863.375</v>
      </c>
      <c r="AO746" s="30">
        <v>45863.708333333336</v>
      </c>
      <c r="AQ746" t="s">
        <v>3171</v>
      </c>
      <c r="AV746" t="s">
        <v>3920</v>
      </c>
      <c r="AW746" t="s">
        <v>3919</v>
      </c>
      <c r="AZ746" t="s">
        <v>1265</v>
      </c>
      <c r="BA746">
        <v>0</v>
      </c>
      <c r="BB746">
        <v>0</v>
      </c>
      <c r="BJ746" s="30">
        <v>46069.518055555556</v>
      </c>
      <c r="BK746" s="30">
        <v>46093.73333333333</v>
      </c>
      <c r="BL746" t="s">
        <v>1259</v>
      </c>
      <c r="BM746" t="s">
        <v>1259</v>
      </c>
      <c r="BO746" t="s">
        <v>1265</v>
      </c>
    </row>
    <row r="747" spans="1:67" x14ac:dyDescent="0.25">
      <c r="A747" t="s">
        <v>1248</v>
      </c>
      <c r="B747">
        <v>352129</v>
      </c>
      <c r="C747">
        <v>405</v>
      </c>
      <c r="D747">
        <v>53303</v>
      </c>
      <c r="E747">
        <v>1117</v>
      </c>
      <c r="F747">
        <v>0</v>
      </c>
      <c r="G747" t="s">
        <v>1265</v>
      </c>
      <c r="H747">
        <v>1</v>
      </c>
      <c r="I747" t="s">
        <v>1265</v>
      </c>
      <c r="J747" t="s">
        <v>1265</v>
      </c>
      <c r="K747" t="s">
        <v>3191</v>
      </c>
      <c r="L747" t="s">
        <v>3176</v>
      </c>
      <c r="M747" t="s">
        <v>3190</v>
      </c>
      <c r="N747" t="s">
        <v>3174</v>
      </c>
      <c r="O747">
        <v>98</v>
      </c>
      <c r="P747" t="s">
        <v>3918</v>
      </c>
      <c r="R747">
        <v>250</v>
      </c>
      <c r="S747">
        <v>0</v>
      </c>
      <c r="T747">
        <v>15</v>
      </c>
      <c r="U747">
        <v>0</v>
      </c>
      <c r="V747">
        <v>0</v>
      </c>
      <c r="W747">
        <v>0</v>
      </c>
      <c r="X747">
        <v>15</v>
      </c>
      <c r="Y747">
        <v>0</v>
      </c>
      <c r="Z747">
        <v>0</v>
      </c>
      <c r="AA747">
        <v>0</v>
      </c>
      <c r="AE747" s="30">
        <v>45789.625</v>
      </c>
      <c r="AF747" s="30">
        <v>45791.583333333336</v>
      </c>
      <c r="AH747" s="30">
        <v>45744.541666666664</v>
      </c>
      <c r="AI747" s="30">
        <v>45748.458333333336</v>
      </c>
      <c r="AJ747" s="30">
        <v>45744.541666666664</v>
      </c>
      <c r="AK747" s="30">
        <v>45748.458333333336</v>
      </c>
      <c r="AL747" s="30">
        <v>45744.541666666664</v>
      </c>
      <c r="AM747" s="30">
        <v>45748.458333333336</v>
      </c>
      <c r="AN747" s="30">
        <v>45789.625</v>
      </c>
      <c r="AO747" s="30">
        <v>45791.583333333336</v>
      </c>
      <c r="AQ747" t="s">
        <v>3171</v>
      </c>
      <c r="AV747" t="s">
        <v>3917</v>
      </c>
      <c r="AW747" t="s">
        <v>3916</v>
      </c>
      <c r="AZ747" t="s">
        <v>1265</v>
      </c>
      <c r="BA747">
        <v>0</v>
      </c>
      <c r="BB747">
        <v>0</v>
      </c>
      <c r="BJ747" s="30">
        <v>46069.518055555556</v>
      </c>
      <c r="BK747" s="30">
        <v>46093.595138888886</v>
      </c>
      <c r="BL747" t="s">
        <v>1259</v>
      </c>
      <c r="BM747" t="s">
        <v>1259</v>
      </c>
      <c r="BO747" t="s">
        <v>1265</v>
      </c>
    </row>
    <row r="748" spans="1:67" x14ac:dyDescent="0.25">
      <c r="A748" t="s">
        <v>1248</v>
      </c>
      <c r="B748">
        <v>352130</v>
      </c>
      <c r="C748">
        <v>405</v>
      </c>
      <c r="D748">
        <v>51477</v>
      </c>
      <c r="E748">
        <v>1117</v>
      </c>
      <c r="F748">
        <v>0</v>
      </c>
      <c r="G748" t="s">
        <v>1265</v>
      </c>
      <c r="H748">
        <v>1</v>
      </c>
      <c r="I748" t="s">
        <v>1265</v>
      </c>
      <c r="J748" t="s">
        <v>1265</v>
      </c>
      <c r="K748" t="s">
        <v>3191</v>
      </c>
      <c r="L748" t="s">
        <v>3176</v>
      </c>
      <c r="M748" t="s">
        <v>3190</v>
      </c>
      <c r="N748" t="s">
        <v>3174</v>
      </c>
      <c r="O748">
        <v>99</v>
      </c>
      <c r="P748" t="s">
        <v>3915</v>
      </c>
      <c r="R748">
        <v>250</v>
      </c>
      <c r="S748">
        <v>0</v>
      </c>
      <c r="T748">
        <v>23</v>
      </c>
      <c r="U748">
        <v>0</v>
      </c>
      <c r="V748">
        <v>0</v>
      </c>
      <c r="W748">
        <v>0</v>
      </c>
      <c r="X748">
        <v>23</v>
      </c>
      <c r="Y748">
        <v>0</v>
      </c>
      <c r="Z748">
        <v>0</v>
      </c>
      <c r="AA748">
        <v>0</v>
      </c>
      <c r="AE748" s="30">
        <v>45791.583333333336</v>
      </c>
      <c r="AF748" s="30">
        <v>45796.5</v>
      </c>
      <c r="AH748" s="30">
        <v>45748.458333333336</v>
      </c>
      <c r="AI748" s="30">
        <v>45751.416666666664</v>
      </c>
      <c r="AJ748" s="30">
        <v>45748.458333333336</v>
      </c>
      <c r="AK748" s="30">
        <v>45751.416666666664</v>
      </c>
      <c r="AL748" s="30">
        <v>45748.458333333336</v>
      </c>
      <c r="AM748" s="30">
        <v>45751.416666666664</v>
      </c>
      <c r="AN748" s="30">
        <v>45791.583333333336</v>
      </c>
      <c r="AO748" s="30">
        <v>45796.5</v>
      </c>
      <c r="AQ748" t="s">
        <v>3171</v>
      </c>
      <c r="AV748" t="s">
        <v>3914</v>
      </c>
      <c r="AW748" t="e">
        <f>+'[1]137_4'!AAS43/zvEmZfH60/FxG4w</f>
        <v>#NAME?</v>
      </c>
      <c r="AZ748" t="s">
        <v>1265</v>
      </c>
      <c r="BA748">
        <v>0</v>
      </c>
      <c r="BB748">
        <v>0</v>
      </c>
      <c r="BJ748" s="30">
        <v>46069.518055555556</v>
      </c>
      <c r="BK748" s="30">
        <v>46093.595138888886</v>
      </c>
      <c r="BL748" t="s">
        <v>1259</v>
      </c>
      <c r="BM748" t="s">
        <v>1259</v>
      </c>
      <c r="BO748" t="s">
        <v>1265</v>
      </c>
    </row>
    <row r="749" spans="1:67" x14ac:dyDescent="0.25">
      <c r="A749" t="s">
        <v>1248</v>
      </c>
      <c r="B749">
        <v>352131</v>
      </c>
      <c r="C749">
        <v>405</v>
      </c>
      <c r="D749">
        <v>51477</v>
      </c>
      <c r="E749">
        <v>1117</v>
      </c>
      <c r="F749">
        <v>0</v>
      </c>
      <c r="G749" t="s">
        <v>1265</v>
      </c>
      <c r="H749">
        <v>1</v>
      </c>
      <c r="I749" t="s">
        <v>1265</v>
      </c>
      <c r="J749" t="s">
        <v>1265</v>
      </c>
      <c r="K749" t="s">
        <v>3191</v>
      </c>
      <c r="L749" t="s">
        <v>3176</v>
      </c>
      <c r="M749" t="s">
        <v>3190</v>
      </c>
      <c r="N749" t="s">
        <v>3174</v>
      </c>
      <c r="O749">
        <v>1048</v>
      </c>
      <c r="P749" t="s">
        <v>3913</v>
      </c>
      <c r="R749">
        <v>250</v>
      </c>
      <c r="S749">
        <v>0</v>
      </c>
      <c r="T749">
        <v>7</v>
      </c>
      <c r="U749">
        <v>0</v>
      </c>
      <c r="V749">
        <v>0</v>
      </c>
      <c r="W749">
        <v>0</v>
      </c>
      <c r="X749">
        <v>7</v>
      </c>
      <c r="Y749">
        <v>0</v>
      </c>
      <c r="Z749">
        <v>0</v>
      </c>
      <c r="AA749">
        <v>0</v>
      </c>
      <c r="AE749" s="30">
        <v>45796.541666666664</v>
      </c>
      <c r="AF749" s="30">
        <v>45797.458333333336</v>
      </c>
      <c r="AH749" s="30">
        <v>45751.416666666664</v>
      </c>
      <c r="AI749" s="30">
        <v>45754.375</v>
      </c>
      <c r="AJ749" s="30">
        <v>45751.416666666664</v>
      </c>
      <c r="AK749" s="30">
        <v>45754.375</v>
      </c>
      <c r="AL749" s="30">
        <v>45751.416666666664</v>
      </c>
      <c r="AM749" s="30">
        <v>45754.375</v>
      </c>
      <c r="AN749" s="30">
        <v>45796.541666666664</v>
      </c>
      <c r="AO749" s="30">
        <v>45797.458333333336</v>
      </c>
      <c r="AQ749" t="s">
        <v>3171</v>
      </c>
      <c r="AV749" t="s">
        <v>3912</v>
      </c>
      <c r="AW749" t="s">
        <v>3911</v>
      </c>
      <c r="AZ749" t="s">
        <v>1265</v>
      </c>
      <c r="BA749">
        <v>0</v>
      </c>
      <c r="BB749">
        <v>0</v>
      </c>
      <c r="BJ749" s="30">
        <v>46069.518055555556</v>
      </c>
      <c r="BK749" s="30">
        <v>46093.595138888886</v>
      </c>
      <c r="BL749" t="s">
        <v>1259</v>
      </c>
      <c r="BM749" t="s">
        <v>1259</v>
      </c>
      <c r="BO749" t="s">
        <v>1265</v>
      </c>
    </row>
    <row r="750" spans="1:67" x14ac:dyDescent="0.25">
      <c r="A750" t="s">
        <v>1248</v>
      </c>
      <c r="B750">
        <v>352132</v>
      </c>
      <c r="C750">
        <v>405</v>
      </c>
      <c r="D750">
        <v>51477</v>
      </c>
      <c r="E750">
        <v>1117</v>
      </c>
      <c r="F750">
        <v>0</v>
      </c>
      <c r="G750" t="s">
        <v>1265</v>
      </c>
      <c r="H750">
        <v>1</v>
      </c>
      <c r="I750" t="s">
        <v>1265</v>
      </c>
      <c r="J750" t="s">
        <v>1265</v>
      </c>
      <c r="K750" t="s">
        <v>3191</v>
      </c>
      <c r="L750" t="s">
        <v>3176</v>
      </c>
      <c r="M750" t="s">
        <v>3190</v>
      </c>
      <c r="N750" t="s">
        <v>3174</v>
      </c>
      <c r="O750">
        <v>1058</v>
      </c>
      <c r="P750" t="s">
        <v>3910</v>
      </c>
      <c r="R750">
        <v>250</v>
      </c>
      <c r="S750">
        <v>0</v>
      </c>
      <c r="T750">
        <v>15</v>
      </c>
      <c r="U750">
        <v>0</v>
      </c>
      <c r="V750">
        <v>0</v>
      </c>
      <c r="W750">
        <v>0</v>
      </c>
      <c r="X750">
        <v>15</v>
      </c>
      <c r="Y750">
        <v>0</v>
      </c>
      <c r="Z750">
        <v>0</v>
      </c>
      <c r="AA750">
        <v>0</v>
      </c>
      <c r="AE750" s="30">
        <v>45797.458333333336</v>
      </c>
      <c r="AF750" s="30">
        <v>45799.416666666664</v>
      </c>
      <c r="AH750" s="30">
        <v>45754.375</v>
      </c>
      <c r="AI750" s="30">
        <v>45755.708333333336</v>
      </c>
      <c r="AJ750" s="30">
        <v>45754.375</v>
      </c>
      <c r="AK750" s="30">
        <v>45755.708333333336</v>
      </c>
      <c r="AL750" s="30">
        <v>45754.375</v>
      </c>
      <c r="AM750" s="30">
        <v>45755.708333333336</v>
      </c>
      <c r="AN750" s="30">
        <v>45797.458333333336</v>
      </c>
      <c r="AO750" s="30">
        <v>45799.416666666664</v>
      </c>
      <c r="AQ750" t="s">
        <v>3171</v>
      </c>
      <c r="AV750" t="s">
        <v>3909</v>
      </c>
      <c r="AW750" t="s">
        <v>3908</v>
      </c>
      <c r="AZ750" t="s">
        <v>1265</v>
      </c>
      <c r="BA750">
        <v>0</v>
      </c>
      <c r="BB750">
        <v>0</v>
      </c>
      <c r="BJ750" s="30">
        <v>46069.518055555556</v>
      </c>
      <c r="BK750" s="30">
        <v>46093.595138888886</v>
      </c>
      <c r="BL750" t="s">
        <v>1259</v>
      </c>
      <c r="BM750" t="s">
        <v>1259</v>
      </c>
      <c r="BO750" t="s">
        <v>1265</v>
      </c>
    </row>
    <row r="751" spans="1:67" x14ac:dyDescent="0.25">
      <c r="A751" t="s">
        <v>1248</v>
      </c>
      <c r="B751">
        <v>352133</v>
      </c>
      <c r="C751">
        <v>405</v>
      </c>
      <c r="D751">
        <v>51477</v>
      </c>
      <c r="E751">
        <v>1117</v>
      </c>
      <c r="F751">
        <v>0</v>
      </c>
      <c r="G751" t="s">
        <v>1265</v>
      </c>
      <c r="H751">
        <v>1</v>
      </c>
      <c r="I751" t="s">
        <v>1265</v>
      </c>
      <c r="J751" t="s">
        <v>1265</v>
      </c>
      <c r="K751" t="s">
        <v>3191</v>
      </c>
      <c r="L751" t="s">
        <v>3176</v>
      </c>
      <c r="M751" t="s">
        <v>3190</v>
      </c>
      <c r="N751" t="s">
        <v>3174</v>
      </c>
      <c r="O751">
        <v>1068</v>
      </c>
      <c r="P751" t="s">
        <v>3907</v>
      </c>
      <c r="R751">
        <v>250</v>
      </c>
      <c r="S751">
        <v>0</v>
      </c>
      <c r="T751">
        <v>31</v>
      </c>
      <c r="U751">
        <v>0</v>
      </c>
      <c r="V751">
        <v>0</v>
      </c>
      <c r="W751">
        <v>0</v>
      </c>
      <c r="X751">
        <v>31</v>
      </c>
      <c r="Y751">
        <v>0</v>
      </c>
      <c r="Z751">
        <v>0</v>
      </c>
      <c r="AA751">
        <v>0</v>
      </c>
      <c r="AE751" s="30">
        <v>45799.416666666664</v>
      </c>
      <c r="AF751" s="30">
        <v>45805.375</v>
      </c>
      <c r="AH751" s="30">
        <v>45756.333333333336</v>
      </c>
      <c r="AI751" s="30">
        <v>45761.666666666664</v>
      </c>
      <c r="AJ751" s="30">
        <v>45756.333333333336</v>
      </c>
      <c r="AK751" s="30">
        <v>45761.666666666664</v>
      </c>
      <c r="AL751" s="30">
        <v>45756.333333333336</v>
      </c>
      <c r="AM751" s="30">
        <v>45761.666666666664</v>
      </c>
      <c r="AN751" s="30">
        <v>45799.416666666664</v>
      </c>
      <c r="AO751" s="30">
        <v>45805.375</v>
      </c>
      <c r="AQ751" t="s">
        <v>3171</v>
      </c>
      <c r="AV751" t="s">
        <v>3906</v>
      </c>
      <c r="AW751" t="s">
        <v>3905</v>
      </c>
      <c r="AZ751" t="s">
        <v>1265</v>
      </c>
      <c r="BA751">
        <v>0</v>
      </c>
      <c r="BB751">
        <v>0</v>
      </c>
      <c r="BJ751" s="30">
        <v>46069.518055555556</v>
      </c>
      <c r="BK751" s="30">
        <v>46093.595138888886</v>
      </c>
      <c r="BL751" t="s">
        <v>1259</v>
      </c>
      <c r="BM751" t="s">
        <v>1259</v>
      </c>
      <c r="BO751" t="s">
        <v>1265</v>
      </c>
    </row>
    <row r="752" spans="1:67" x14ac:dyDescent="0.25">
      <c r="A752" t="s">
        <v>1248</v>
      </c>
      <c r="B752">
        <v>352134</v>
      </c>
      <c r="C752">
        <v>405</v>
      </c>
      <c r="D752">
        <v>51477</v>
      </c>
      <c r="E752">
        <v>1117</v>
      </c>
      <c r="F752">
        <v>0</v>
      </c>
      <c r="G752" t="s">
        <v>1265</v>
      </c>
      <c r="H752">
        <v>1</v>
      </c>
      <c r="I752" t="s">
        <v>1265</v>
      </c>
      <c r="J752" t="s">
        <v>1265</v>
      </c>
      <c r="K752" t="s">
        <v>3191</v>
      </c>
      <c r="L752" t="s">
        <v>3176</v>
      </c>
      <c r="M752" t="s">
        <v>3190</v>
      </c>
      <c r="N752" t="s">
        <v>3174</v>
      </c>
      <c r="O752">
        <v>1078</v>
      </c>
      <c r="P752" t="s">
        <v>3904</v>
      </c>
      <c r="R752">
        <v>250</v>
      </c>
      <c r="S752">
        <v>0</v>
      </c>
      <c r="T752">
        <v>47</v>
      </c>
      <c r="U752">
        <v>0</v>
      </c>
      <c r="V752">
        <v>0</v>
      </c>
      <c r="W752">
        <v>0</v>
      </c>
      <c r="X752">
        <v>47</v>
      </c>
      <c r="Y752">
        <v>0</v>
      </c>
      <c r="Z752">
        <v>0</v>
      </c>
      <c r="AA752">
        <v>0</v>
      </c>
      <c r="AE752" s="30">
        <v>45805.375</v>
      </c>
      <c r="AF752" s="30">
        <v>45812.708333333336</v>
      </c>
      <c r="AH752" s="30">
        <v>45761.666666666664</v>
      </c>
      <c r="AI752" s="30">
        <v>45769.625</v>
      </c>
      <c r="AJ752" s="30">
        <v>45761.666666666664</v>
      </c>
      <c r="AK752" s="30">
        <v>45769.625</v>
      </c>
      <c r="AL752" s="30">
        <v>45761.666666666664</v>
      </c>
      <c r="AM752" s="30">
        <v>45769.625</v>
      </c>
      <c r="AN752" s="30">
        <v>45805.375</v>
      </c>
      <c r="AO752" s="30">
        <v>45812.708333333336</v>
      </c>
      <c r="AQ752" t="s">
        <v>3171</v>
      </c>
      <c r="AV752" t="s">
        <v>3903</v>
      </c>
      <c r="AW752" t="s">
        <v>3902</v>
      </c>
      <c r="AZ752" t="s">
        <v>1265</v>
      </c>
      <c r="BA752">
        <v>0</v>
      </c>
      <c r="BB752">
        <v>0</v>
      </c>
      <c r="BJ752" s="30">
        <v>46069.518055555556</v>
      </c>
      <c r="BK752" s="30">
        <v>46093.595138888886</v>
      </c>
      <c r="BL752" t="s">
        <v>1259</v>
      </c>
      <c r="BM752" t="s">
        <v>1259</v>
      </c>
      <c r="BO752" t="s">
        <v>1265</v>
      </c>
    </row>
    <row r="753" spans="1:67" x14ac:dyDescent="0.25">
      <c r="A753" t="s">
        <v>1248</v>
      </c>
      <c r="B753">
        <v>352135</v>
      </c>
      <c r="C753">
        <v>405</v>
      </c>
      <c r="D753">
        <v>53303</v>
      </c>
      <c r="E753">
        <v>1117</v>
      </c>
      <c r="F753">
        <v>0</v>
      </c>
      <c r="G753" t="s">
        <v>1265</v>
      </c>
      <c r="H753">
        <v>1</v>
      </c>
      <c r="I753" t="s">
        <v>1265</v>
      </c>
      <c r="J753" t="s">
        <v>1265</v>
      </c>
      <c r="K753" t="s">
        <v>3191</v>
      </c>
      <c r="L753" t="s">
        <v>3176</v>
      </c>
      <c r="M753" t="s">
        <v>3190</v>
      </c>
      <c r="N753" t="s">
        <v>3174</v>
      </c>
      <c r="O753">
        <v>1088</v>
      </c>
      <c r="P753" t="s">
        <v>3901</v>
      </c>
      <c r="R753">
        <v>532</v>
      </c>
      <c r="S753">
        <v>8</v>
      </c>
      <c r="T753">
        <v>7</v>
      </c>
      <c r="U753">
        <v>0</v>
      </c>
      <c r="V753">
        <v>0</v>
      </c>
      <c r="W753">
        <v>0</v>
      </c>
      <c r="X753">
        <v>7</v>
      </c>
      <c r="Y753">
        <v>0</v>
      </c>
      <c r="Z753">
        <v>0</v>
      </c>
      <c r="AA753">
        <v>0</v>
      </c>
      <c r="AE753" s="30">
        <v>45862.416666666664</v>
      </c>
      <c r="AF753" s="30">
        <v>45863.375</v>
      </c>
      <c r="AH753" s="30">
        <v>45769.625</v>
      </c>
      <c r="AI753" s="30">
        <v>45770.583333333336</v>
      </c>
      <c r="AJ753" s="30">
        <v>45769.625</v>
      </c>
      <c r="AK753" s="30">
        <v>45770.583333333336</v>
      </c>
      <c r="AL753" s="30">
        <v>45769.625</v>
      </c>
      <c r="AM753" s="30">
        <v>45770.583333333336</v>
      </c>
      <c r="AN753" s="30">
        <v>45862.416666666664</v>
      </c>
      <c r="AO753" s="30">
        <v>45863.375</v>
      </c>
      <c r="AQ753" t="s">
        <v>3171</v>
      </c>
      <c r="AV753" t="s">
        <v>3900</v>
      </c>
      <c r="AW753" t="s">
        <v>3899</v>
      </c>
      <c r="AZ753" t="s">
        <v>1265</v>
      </c>
      <c r="BA753">
        <v>0</v>
      </c>
      <c r="BB753">
        <v>0</v>
      </c>
      <c r="BJ753" s="30">
        <v>46069.518055555556</v>
      </c>
      <c r="BK753" s="30">
        <v>46093.73333333333</v>
      </c>
      <c r="BL753" t="s">
        <v>1259</v>
      </c>
      <c r="BM753" t="s">
        <v>1259</v>
      </c>
      <c r="BO753" t="s">
        <v>1265</v>
      </c>
    </row>
    <row r="754" spans="1:67" x14ac:dyDescent="0.25">
      <c r="A754" t="s">
        <v>1248</v>
      </c>
      <c r="B754">
        <v>352136</v>
      </c>
      <c r="C754">
        <v>405</v>
      </c>
      <c r="D754">
        <v>53303</v>
      </c>
      <c r="E754">
        <v>1117</v>
      </c>
      <c r="F754">
        <v>0</v>
      </c>
      <c r="G754" t="s">
        <v>1265</v>
      </c>
      <c r="H754">
        <v>1</v>
      </c>
      <c r="I754" t="s">
        <v>1265</v>
      </c>
      <c r="J754" t="s">
        <v>1265</v>
      </c>
      <c r="K754" t="s">
        <v>3191</v>
      </c>
      <c r="L754" t="s">
        <v>3176</v>
      </c>
      <c r="M754" t="s">
        <v>3190</v>
      </c>
      <c r="N754" t="s">
        <v>3174</v>
      </c>
      <c r="O754">
        <v>1098</v>
      </c>
      <c r="P754" t="s">
        <v>3898</v>
      </c>
      <c r="R754">
        <v>233</v>
      </c>
      <c r="S754">
        <v>0</v>
      </c>
      <c r="T754">
        <v>15</v>
      </c>
      <c r="U754">
        <v>0</v>
      </c>
      <c r="V754">
        <v>0</v>
      </c>
      <c r="W754">
        <v>0</v>
      </c>
      <c r="X754">
        <v>15</v>
      </c>
      <c r="Y754">
        <v>0</v>
      </c>
      <c r="Z754">
        <v>0</v>
      </c>
      <c r="AA754">
        <v>0</v>
      </c>
      <c r="AE754" s="30">
        <v>45783.625</v>
      </c>
      <c r="AF754" s="30">
        <v>45785.583333333336</v>
      </c>
      <c r="AH754" s="30">
        <v>45742.583333333336</v>
      </c>
      <c r="AI754" s="30">
        <v>45744.5</v>
      </c>
      <c r="AJ754" s="30">
        <v>45742.583333333336</v>
      </c>
      <c r="AK754" s="30">
        <v>45744.5</v>
      </c>
      <c r="AL754" s="30">
        <v>45742.583333333336</v>
      </c>
      <c r="AM754" s="30">
        <v>45744.5</v>
      </c>
      <c r="AN754" s="30">
        <v>45783.625</v>
      </c>
      <c r="AO754" s="30">
        <v>45785.583333333336</v>
      </c>
      <c r="AQ754" t="s">
        <v>3171</v>
      </c>
      <c r="AV754" t="e">
        <f>+uUJOis6Ek6h4cWJ5m4jRw</f>
        <v>#NAME?</v>
      </c>
      <c r="AW754" t="s">
        <v>3897</v>
      </c>
      <c r="AZ754" t="s">
        <v>1265</v>
      </c>
      <c r="BA754">
        <v>0</v>
      </c>
      <c r="BB754">
        <v>0</v>
      </c>
      <c r="BJ754" s="30">
        <v>46069.518055555556</v>
      </c>
      <c r="BK754" s="30">
        <v>46093.595138888886</v>
      </c>
      <c r="BL754" t="s">
        <v>1259</v>
      </c>
      <c r="BM754" t="s">
        <v>1259</v>
      </c>
      <c r="BO754" t="s">
        <v>1265</v>
      </c>
    </row>
    <row r="755" spans="1:67" x14ac:dyDescent="0.25">
      <c r="A755" t="s">
        <v>1248</v>
      </c>
      <c r="B755">
        <v>352137</v>
      </c>
      <c r="C755">
        <v>405</v>
      </c>
      <c r="D755">
        <v>51478</v>
      </c>
      <c r="E755">
        <v>1117</v>
      </c>
      <c r="F755">
        <v>0</v>
      </c>
      <c r="G755" t="s">
        <v>1265</v>
      </c>
      <c r="H755">
        <v>1</v>
      </c>
      <c r="I755" t="s">
        <v>1265</v>
      </c>
      <c r="J755" t="s">
        <v>1265</v>
      </c>
      <c r="K755" t="s">
        <v>3191</v>
      </c>
      <c r="L755" t="s">
        <v>3176</v>
      </c>
      <c r="M755" t="s">
        <v>3190</v>
      </c>
      <c r="N755" t="s">
        <v>3174</v>
      </c>
      <c r="O755">
        <v>1108</v>
      </c>
      <c r="P755" t="s">
        <v>3896</v>
      </c>
      <c r="R755">
        <v>233</v>
      </c>
      <c r="S755">
        <v>0</v>
      </c>
      <c r="T755">
        <v>23</v>
      </c>
      <c r="U755">
        <v>0</v>
      </c>
      <c r="V755">
        <v>0</v>
      </c>
      <c r="W755">
        <v>0</v>
      </c>
      <c r="X755">
        <v>23</v>
      </c>
      <c r="Y755">
        <v>0</v>
      </c>
      <c r="Z755">
        <v>0</v>
      </c>
      <c r="AA755">
        <v>0</v>
      </c>
      <c r="AE755" s="30">
        <v>45785.583333333336</v>
      </c>
      <c r="AF755" s="30">
        <v>45790.5</v>
      </c>
      <c r="AH755" s="30">
        <v>45744.541666666664</v>
      </c>
      <c r="AI755" s="30">
        <v>45749.458333333336</v>
      </c>
      <c r="AJ755" s="30">
        <v>45744.541666666664</v>
      </c>
      <c r="AK755" s="30">
        <v>45749.458333333336</v>
      </c>
      <c r="AL755" s="30">
        <v>45744.541666666664</v>
      </c>
      <c r="AM755" s="30">
        <v>45749.458333333336</v>
      </c>
      <c r="AN755" s="30">
        <v>45785.583333333336</v>
      </c>
      <c r="AO755" s="30">
        <v>45790.5</v>
      </c>
      <c r="AQ755" t="s">
        <v>3171</v>
      </c>
      <c r="AV755" t="s">
        <v>3895</v>
      </c>
      <c r="AW755" t="s">
        <v>3894</v>
      </c>
      <c r="AZ755" t="s">
        <v>1265</v>
      </c>
      <c r="BA755">
        <v>0</v>
      </c>
      <c r="BB755">
        <v>0</v>
      </c>
      <c r="BJ755" s="30">
        <v>46069.518055555556</v>
      </c>
      <c r="BK755" s="30">
        <v>46093.595138888886</v>
      </c>
      <c r="BL755" t="s">
        <v>1259</v>
      </c>
      <c r="BM755" t="s">
        <v>1259</v>
      </c>
      <c r="BO755" t="s">
        <v>1265</v>
      </c>
    </row>
    <row r="756" spans="1:67" x14ac:dyDescent="0.25">
      <c r="A756" t="s">
        <v>1248</v>
      </c>
      <c r="B756">
        <v>352138</v>
      </c>
      <c r="C756">
        <v>405</v>
      </c>
      <c r="D756">
        <v>51478</v>
      </c>
      <c r="E756">
        <v>1117</v>
      </c>
      <c r="F756">
        <v>0</v>
      </c>
      <c r="G756" t="s">
        <v>1265</v>
      </c>
      <c r="H756">
        <v>1</v>
      </c>
      <c r="I756" t="s">
        <v>1265</v>
      </c>
      <c r="J756" t="s">
        <v>1265</v>
      </c>
      <c r="K756" t="s">
        <v>3191</v>
      </c>
      <c r="L756" t="s">
        <v>3176</v>
      </c>
      <c r="M756" t="s">
        <v>3190</v>
      </c>
      <c r="N756" t="s">
        <v>3174</v>
      </c>
      <c r="O756">
        <v>1118</v>
      </c>
      <c r="P756" t="s">
        <v>3893</v>
      </c>
      <c r="R756">
        <v>233</v>
      </c>
      <c r="S756">
        <v>0</v>
      </c>
      <c r="T756">
        <v>7</v>
      </c>
      <c r="U756">
        <v>0</v>
      </c>
      <c r="V756">
        <v>0</v>
      </c>
      <c r="W756">
        <v>0</v>
      </c>
      <c r="X756">
        <v>7</v>
      </c>
      <c r="Y756">
        <v>0</v>
      </c>
      <c r="Z756">
        <v>0</v>
      </c>
      <c r="AA756">
        <v>0</v>
      </c>
      <c r="AE756" s="30">
        <v>45790.541666666664</v>
      </c>
      <c r="AF756" s="30">
        <v>45791.458333333336</v>
      </c>
      <c r="AH756" s="30">
        <v>45749.458333333336</v>
      </c>
      <c r="AI756" s="30">
        <v>45750.416666666664</v>
      </c>
      <c r="AJ756" s="30">
        <v>45749.458333333336</v>
      </c>
      <c r="AK756" s="30">
        <v>45750.416666666664</v>
      </c>
      <c r="AL756" s="30">
        <v>45749.458333333336</v>
      </c>
      <c r="AM756" s="30">
        <v>45750.416666666664</v>
      </c>
      <c r="AN756" s="30">
        <v>45790.541666666664</v>
      </c>
      <c r="AO756" s="30">
        <v>45791.458333333336</v>
      </c>
      <c r="AQ756" t="s">
        <v>3171</v>
      </c>
      <c r="AV756" t="s">
        <v>3892</v>
      </c>
      <c r="AW756" t="s">
        <v>3891</v>
      </c>
      <c r="AZ756" t="s">
        <v>1265</v>
      </c>
      <c r="BA756">
        <v>0</v>
      </c>
      <c r="BB756">
        <v>0</v>
      </c>
      <c r="BJ756" s="30">
        <v>46069.518055555556</v>
      </c>
      <c r="BK756" s="30">
        <v>46093.595138888886</v>
      </c>
      <c r="BL756" t="s">
        <v>1259</v>
      </c>
      <c r="BM756" t="s">
        <v>1259</v>
      </c>
      <c r="BO756" t="s">
        <v>1265</v>
      </c>
    </row>
    <row r="757" spans="1:67" x14ac:dyDescent="0.25">
      <c r="A757" t="s">
        <v>1248</v>
      </c>
      <c r="B757">
        <v>352139</v>
      </c>
      <c r="C757">
        <v>405</v>
      </c>
      <c r="D757">
        <v>51478</v>
      </c>
      <c r="E757">
        <v>1117</v>
      </c>
      <c r="F757">
        <v>0</v>
      </c>
      <c r="G757" t="s">
        <v>1265</v>
      </c>
      <c r="H757">
        <v>1</v>
      </c>
      <c r="I757" t="s">
        <v>1265</v>
      </c>
      <c r="J757" t="s">
        <v>1265</v>
      </c>
      <c r="K757" t="s">
        <v>3191</v>
      </c>
      <c r="L757" t="s">
        <v>3176</v>
      </c>
      <c r="M757" t="s">
        <v>3190</v>
      </c>
      <c r="N757" t="s">
        <v>3174</v>
      </c>
      <c r="O757">
        <v>1128</v>
      </c>
      <c r="P757" t="s">
        <v>3890</v>
      </c>
      <c r="R757">
        <v>233</v>
      </c>
      <c r="S757">
        <v>0</v>
      </c>
      <c r="T757">
        <v>15</v>
      </c>
      <c r="U757">
        <v>0</v>
      </c>
      <c r="V757">
        <v>0</v>
      </c>
      <c r="W757">
        <v>0</v>
      </c>
      <c r="X757">
        <v>15</v>
      </c>
      <c r="Y757">
        <v>0</v>
      </c>
      <c r="Z757">
        <v>0</v>
      </c>
      <c r="AA757">
        <v>0</v>
      </c>
      <c r="AE757" s="30">
        <v>45791.458333333336</v>
      </c>
      <c r="AF757" s="30">
        <v>45793.416666666664</v>
      </c>
      <c r="AH757" s="30">
        <v>45750.416666666664</v>
      </c>
      <c r="AI757" s="30">
        <v>45754.375</v>
      </c>
      <c r="AJ757" s="30">
        <v>45750.416666666664</v>
      </c>
      <c r="AK757" s="30">
        <v>45754.375</v>
      </c>
      <c r="AL757" s="30">
        <v>45750.416666666664</v>
      </c>
      <c r="AM757" s="30">
        <v>45754.375</v>
      </c>
      <c r="AN757" s="30">
        <v>45791.458333333336</v>
      </c>
      <c r="AO757" s="30">
        <v>45793.416666666664</v>
      </c>
      <c r="AQ757" t="s">
        <v>3171</v>
      </c>
      <c r="AV757" t="s">
        <v>3889</v>
      </c>
      <c r="AW757" t="s">
        <v>3888</v>
      </c>
      <c r="AZ757" t="s">
        <v>1265</v>
      </c>
      <c r="BA757">
        <v>0</v>
      </c>
      <c r="BB757">
        <v>0</v>
      </c>
      <c r="BJ757" s="30">
        <v>46069.518055555556</v>
      </c>
      <c r="BK757" s="30">
        <v>46093.595138888886</v>
      </c>
      <c r="BL757" t="s">
        <v>1259</v>
      </c>
      <c r="BM757" t="s">
        <v>1259</v>
      </c>
      <c r="BO757" t="s">
        <v>1265</v>
      </c>
    </row>
    <row r="758" spans="1:67" x14ac:dyDescent="0.25">
      <c r="A758" t="s">
        <v>1248</v>
      </c>
      <c r="B758">
        <v>352140</v>
      </c>
      <c r="C758">
        <v>405</v>
      </c>
      <c r="D758">
        <v>51478</v>
      </c>
      <c r="E758">
        <v>1117</v>
      </c>
      <c r="F758">
        <v>0</v>
      </c>
      <c r="G758" t="s">
        <v>1265</v>
      </c>
      <c r="H758">
        <v>1</v>
      </c>
      <c r="I758" t="s">
        <v>1265</v>
      </c>
      <c r="J758" t="s">
        <v>1265</v>
      </c>
      <c r="K758" t="s">
        <v>3191</v>
      </c>
      <c r="L758" t="s">
        <v>3176</v>
      </c>
      <c r="M758" t="s">
        <v>3190</v>
      </c>
      <c r="N758" t="s">
        <v>3174</v>
      </c>
      <c r="O758">
        <v>1138</v>
      </c>
      <c r="P758" t="s">
        <v>3887</v>
      </c>
      <c r="R758">
        <v>233</v>
      </c>
      <c r="S758">
        <v>0</v>
      </c>
      <c r="T758">
        <v>31</v>
      </c>
      <c r="U758">
        <v>0</v>
      </c>
      <c r="V758">
        <v>0</v>
      </c>
      <c r="W758">
        <v>0</v>
      </c>
      <c r="X758">
        <v>31</v>
      </c>
      <c r="Y758">
        <v>0</v>
      </c>
      <c r="Z758">
        <v>0</v>
      </c>
      <c r="AA758">
        <v>0</v>
      </c>
      <c r="AE758" s="30">
        <v>45793.416666666664</v>
      </c>
      <c r="AF758" s="30">
        <v>45799.375</v>
      </c>
      <c r="AH758" s="30">
        <v>45754.375</v>
      </c>
      <c r="AI758" s="30">
        <v>45757.708333333336</v>
      </c>
      <c r="AJ758" s="30">
        <v>45754.375</v>
      </c>
      <c r="AK758" s="30">
        <v>45757.708333333336</v>
      </c>
      <c r="AL758" s="30">
        <v>45754.375</v>
      </c>
      <c r="AM758" s="30">
        <v>45757.708333333336</v>
      </c>
      <c r="AN758" s="30">
        <v>45793.416666666664</v>
      </c>
      <c r="AO758" s="30">
        <v>45799.375</v>
      </c>
      <c r="AQ758" t="s">
        <v>3171</v>
      </c>
      <c r="AV758" t="s">
        <v>3886</v>
      </c>
      <c r="AW758" t="s">
        <v>3885</v>
      </c>
      <c r="AZ758" t="s">
        <v>1265</v>
      </c>
      <c r="BA758">
        <v>0</v>
      </c>
      <c r="BB758">
        <v>0</v>
      </c>
      <c r="BJ758" s="30">
        <v>46069.518055555556</v>
      </c>
      <c r="BK758" s="30">
        <v>46093.595138888886</v>
      </c>
      <c r="BL758" t="s">
        <v>1259</v>
      </c>
      <c r="BM758" t="s">
        <v>1259</v>
      </c>
      <c r="BO758" t="s">
        <v>1265</v>
      </c>
    </row>
    <row r="759" spans="1:67" x14ac:dyDescent="0.25">
      <c r="A759" t="s">
        <v>1248</v>
      </c>
      <c r="B759">
        <v>352141</v>
      </c>
      <c r="C759">
        <v>405</v>
      </c>
      <c r="D759">
        <v>51478</v>
      </c>
      <c r="E759">
        <v>1117</v>
      </c>
      <c r="F759">
        <v>0</v>
      </c>
      <c r="G759" t="s">
        <v>1265</v>
      </c>
      <c r="H759">
        <v>1</v>
      </c>
      <c r="I759" t="s">
        <v>1265</v>
      </c>
      <c r="J759" t="s">
        <v>1265</v>
      </c>
      <c r="K759" t="s">
        <v>3191</v>
      </c>
      <c r="L759" t="s">
        <v>3176</v>
      </c>
      <c r="M759" t="s">
        <v>3190</v>
      </c>
      <c r="N759" t="s">
        <v>3174</v>
      </c>
      <c r="O759">
        <v>1148</v>
      </c>
      <c r="P759" t="s">
        <v>3884</v>
      </c>
      <c r="R759">
        <v>233</v>
      </c>
      <c r="S759">
        <v>0</v>
      </c>
      <c r="T759">
        <v>47</v>
      </c>
      <c r="U759">
        <v>0</v>
      </c>
      <c r="V759">
        <v>0</v>
      </c>
      <c r="W759">
        <v>0</v>
      </c>
      <c r="X759">
        <v>47</v>
      </c>
      <c r="Y759">
        <v>0</v>
      </c>
      <c r="Z759">
        <v>0</v>
      </c>
      <c r="AA759">
        <v>0</v>
      </c>
      <c r="AE759" s="30">
        <v>45799.375</v>
      </c>
      <c r="AF759" s="30">
        <v>45806.708333333336</v>
      </c>
      <c r="AH759" s="30">
        <v>45758.333333333336</v>
      </c>
      <c r="AI759" s="30">
        <v>45765.666666666664</v>
      </c>
      <c r="AJ759" s="30">
        <v>45758.333333333336</v>
      </c>
      <c r="AK759" s="30">
        <v>45765.666666666664</v>
      </c>
      <c r="AL759" s="30">
        <v>45758.333333333336</v>
      </c>
      <c r="AM759" s="30">
        <v>45765.666666666664</v>
      </c>
      <c r="AN759" s="30">
        <v>45799.375</v>
      </c>
      <c r="AO759" s="30">
        <v>45806.708333333336</v>
      </c>
      <c r="AQ759" t="s">
        <v>3171</v>
      </c>
      <c r="AV759" t="s">
        <v>3883</v>
      </c>
      <c r="AW759" t="s">
        <v>3882</v>
      </c>
      <c r="AZ759" t="s">
        <v>1265</v>
      </c>
      <c r="BA759">
        <v>0</v>
      </c>
      <c r="BB759">
        <v>0</v>
      </c>
      <c r="BJ759" s="30">
        <v>46069.518055555556</v>
      </c>
      <c r="BK759" s="30">
        <v>46093.595138888886</v>
      </c>
      <c r="BL759" t="s">
        <v>1259</v>
      </c>
      <c r="BM759" t="s">
        <v>1259</v>
      </c>
      <c r="BO759" t="s">
        <v>1265</v>
      </c>
    </row>
    <row r="760" spans="1:67" x14ac:dyDescent="0.25">
      <c r="A760" t="s">
        <v>1248</v>
      </c>
      <c r="B760">
        <v>352142</v>
      </c>
      <c r="C760">
        <v>405</v>
      </c>
      <c r="D760">
        <v>53303</v>
      </c>
      <c r="E760">
        <v>1117</v>
      </c>
      <c r="F760">
        <v>0</v>
      </c>
      <c r="G760" t="s">
        <v>1265</v>
      </c>
      <c r="H760">
        <v>1</v>
      </c>
      <c r="I760" t="s">
        <v>1265</v>
      </c>
      <c r="J760" t="s">
        <v>1265</v>
      </c>
      <c r="K760" t="s">
        <v>3191</v>
      </c>
      <c r="L760" t="s">
        <v>3176</v>
      </c>
      <c r="M760" t="s">
        <v>3190</v>
      </c>
      <c r="N760" t="s">
        <v>3174</v>
      </c>
      <c r="O760">
        <v>1158</v>
      </c>
      <c r="P760" t="s">
        <v>3881</v>
      </c>
      <c r="R760">
        <v>540</v>
      </c>
      <c r="S760">
        <v>8</v>
      </c>
      <c r="T760">
        <v>7</v>
      </c>
      <c r="U760">
        <v>0</v>
      </c>
      <c r="V760">
        <v>0</v>
      </c>
      <c r="W760">
        <v>0</v>
      </c>
      <c r="X760">
        <v>7</v>
      </c>
      <c r="Y760">
        <v>0</v>
      </c>
      <c r="Z760">
        <v>0</v>
      </c>
      <c r="AA760">
        <v>0</v>
      </c>
      <c r="AE760" s="30">
        <v>45861.458333333336</v>
      </c>
      <c r="AF760" s="30">
        <v>45862.416666666664</v>
      </c>
      <c r="AH760" s="30">
        <v>45765.666666666664</v>
      </c>
      <c r="AI760" s="30">
        <v>45768.625</v>
      </c>
      <c r="AJ760" s="30">
        <v>45765.666666666664</v>
      </c>
      <c r="AK760" s="30">
        <v>45768.625</v>
      </c>
      <c r="AL760" s="30">
        <v>45765.666666666664</v>
      </c>
      <c r="AM760" s="30">
        <v>45768.625</v>
      </c>
      <c r="AN760" s="30">
        <v>45861.458333333336</v>
      </c>
      <c r="AO760" s="30">
        <v>45862.416666666664</v>
      </c>
      <c r="AQ760" t="s">
        <v>3171</v>
      </c>
      <c r="AV760" t="s">
        <v>3880</v>
      </c>
      <c r="AW760" t="s">
        <v>3879</v>
      </c>
      <c r="AZ760" t="s">
        <v>1265</v>
      </c>
      <c r="BA760">
        <v>0</v>
      </c>
      <c r="BB760">
        <v>0</v>
      </c>
      <c r="BJ760" s="30">
        <v>46069.518055555556</v>
      </c>
      <c r="BK760" s="30">
        <v>46093.73333333333</v>
      </c>
      <c r="BL760" t="s">
        <v>1259</v>
      </c>
      <c r="BM760" t="s">
        <v>1259</v>
      </c>
      <c r="BO760" t="s">
        <v>1265</v>
      </c>
    </row>
    <row r="761" spans="1:67" x14ac:dyDescent="0.25">
      <c r="A761" t="s">
        <v>1248</v>
      </c>
      <c r="B761">
        <v>352143</v>
      </c>
      <c r="C761">
        <v>405</v>
      </c>
      <c r="D761">
        <v>53303</v>
      </c>
      <c r="E761">
        <v>1117</v>
      </c>
      <c r="F761">
        <v>0</v>
      </c>
      <c r="G761" t="s">
        <v>1265</v>
      </c>
      <c r="H761">
        <v>1</v>
      </c>
      <c r="I761" t="s">
        <v>1265</v>
      </c>
      <c r="J761" t="s">
        <v>1265</v>
      </c>
      <c r="K761" t="s">
        <v>3191</v>
      </c>
      <c r="L761" t="s">
        <v>3176</v>
      </c>
      <c r="M761" t="s">
        <v>3190</v>
      </c>
      <c r="N761" t="s">
        <v>3174</v>
      </c>
      <c r="O761">
        <v>1168</v>
      </c>
      <c r="P761" t="s">
        <v>3878</v>
      </c>
      <c r="R761">
        <v>216</v>
      </c>
      <c r="S761">
        <v>0</v>
      </c>
      <c r="T761">
        <v>15</v>
      </c>
      <c r="U761">
        <v>0</v>
      </c>
      <c r="V761">
        <v>0</v>
      </c>
      <c r="W761">
        <v>0</v>
      </c>
      <c r="X761">
        <v>15</v>
      </c>
      <c r="Y761">
        <v>0</v>
      </c>
      <c r="Z761">
        <v>0</v>
      </c>
      <c r="AA761">
        <v>0</v>
      </c>
      <c r="AE761" s="30">
        <v>45777.625</v>
      </c>
      <c r="AF761" s="30">
        <v>45779.583333333336</v>
      </c>
      <c r="AH761" s="30">
        <v>45740.625</v>
      </c>
      <c r="AI761" s="30">
        <v>45742.583333333336</v>
      </c>
      <c r="AJ761" s="30">
        <v>45740.625</v>
      </c>
      <c r="AK761" s="30">
        <v>45742.583333333336</v>
      </c>
      <c r="AL761" s="30">
        <v>45740.625</v>
      </c>
      <c r="AM761" s="30">
        <v>45742.583333333336</v>
      </c>
      <c r="AN761" s="30">
        <v>45777.625</v>
      </c>
      <c r="AO761" s="30">
        <v>45779.583333333336</v>
      </c>
      <c r="AQ761" t="s">
        <v>3171</v>
      </c>
      <c r="AV761" t="s">
        <v>3877</v>
      </c>
      <c r="AW761" t="s">
        <v>3876</v>
      </c>
      <c r="AZ761" t="s">
        <v>1265</v>
      </c>
      <c r="BA761">
        <v>0</v>
      </c>
      <c r="BB761">
        <v>0</v>
      </c>
      <c r="BJ761" s="30">
        <v>46069.518055555556</v>
      </c>
      <c r="BK761" s="30">
        <v>46093.595138888886</v>
      </c>
      <c r="BL761" t="s">
        <v>1259</v>
      </c>
      <c r="BM761" t="s">
        <v>1259</v>
      </c>
      <c r="BO761" t="s">
        <v>1265</v>
      </c>
    </row>
    <row r="762" spans="1:67" x14ac:dyDescent="0.25">
      <c r="A762" t="s">
        <v>1248</v>
      </c>
      <c r="B762">
        <v>352144</v>
      </c>
      <c r="C762">
        <v>405</v>
      </c>
      <c r="D762">
        <v>51479</v>
      </c>
      <c r="E762">
        <v>1117</v>
      </c>
      <c r="F762">
        <v>0</v>
      </c>
      <c r="G762" t="s">
        <v>1265</v>
      </c>
      <c r="H762">
        <v>1</v>
      </c>
      <c r="I762" t="s">
        <v>1265</v>
      </c>
      <c r="J762" t="s">
        <v>1265</v>
      </c>
      <c r="K762" t="s">
        <v>3191</v>
      </c>
      <c r="L762" t="s">
        <v>3176</v>
      </c>
      <c r="M762" t="s">
        <v>3190</v>
      </c>
      <c r="N762" t="s">
        <v>3174</v>
      </c>
      <c r="O762">
        <v>1178</v>
      </c>
      <c r="P762" t="s">
        <v>3875</v>
      </c>
      <c r="R762">
        <v>216</v>
      </c>
      <c r="S762">
        <v>0</v>
      </c>
      <c r="T762">
        <v>23</v>
      </c>
      <c r="U762">
        <v>0</v>
      </c>
      <c r="V762">
        <v>0</v>
      </c>
      <c r="W762">
        <v>0</v>
      </c>
      <c r="X762">
        <v>23</v>
      </c>
      <c r="Y762">
        <v>0</v>
      </c>
      <c r="Z762">
        <v>0</v>
      </c>
      <c r="AA762">
        <v>0</v>
      </c>
      <c r="AE762" s="30">
        <v>45779.583333333336</v>
      </c>
      <c r="AF762" s="30">
        <v>45784.5</v>
      </c>
      <c r="AH762" s="30">
        <v>45742.583333333336</v>
      </c>
      <c r="AI762" s="30">
        <v>45747.5</v>
      </c>
      <c r="AJ762" s="30">
        <v>45742.583333333336</v>
      </c>
      <c r="AK762" s="30">
        <v>45747.5</v>
      </c>
      <c r="AL762" s="30">
        <v>45742.583333333336</v>
      </c>
      <c r="AM762" s="30">
        <v>45747.5</v>
      </c>
      <c r="AN762" s="30">
        <v>45779.583333333336</v>
      </c>
      <c r="AO762" s="30">
        <v>45784.5</v>
      </c>
      <c r="AQ762" t="s">
        <v>3171</v>
      </c>
      <c r="AV762" t="s">
        <v>3874</v>
      </c>
      <c r="AW762" t="s">
        <v>3873</v>
      </c>
      <c r="AZ762" t="s">
        <v>1265</v>
      </c>
      <c r="BA762">
        <v>0</v>
      </c>
      <c r="BB762">
        <v>0</v>
      </c>
      <c r="BJ762" s="30">
        <v>46069.518055555556</v>
      </c>
      <c r="BK762" s="30">
        <v>46093.595138888886</v>
      </c>
      <c r="BL762" t="s">
        <v>1259</v>
      </c>
      <c r="BM762" t="s">
        <v>1259</v>
      </c>
      <c r="BO762" t="s">
        <v>1265</v>
      </c>
    </row>
    <row r="763" spans="1:67" x14ac:dyDescent="0.25">
      <c r="A763" t="s">
        <v>1248</v>
      </c>
      <c r="B763">
        <v>352145</v>
      </c>
      <c r="C763">
        <v>405</v>
      </c>
      <c r="D763">
        <v>51479</v>
      </c>
      <c r="E763">
        <v>1117</v>
      </c>
      <c r="F763">
        <v>0</v>
      </c>
      <c r="G763" t="s">
        <v>1265</v>
      </c>
      <c r="H763">
        <v>1</v>
      </c>
      <c r="I763" t="s">
        <v>1265</v>
      </c>
      <c r="J763" t="s">
        <v>1265</v>
      </c>
      <c r="K763" t="s">
        <v>3191</v>
      </c>
      <c r="L763" t="s">
        <v>3176</v>
      </c>
      <c r="M763" t="s">
        <v>3190</v>
      </c>
      <c r="N763" t="s">
        <v>3174</v>
      </c>
      <c r="O763">
        <v>1188</v>
      </c>
      <c r="P763" t="s">
        <v>3872</v>
      </c>
      <c r="R763">
        <v>216</v>
      </c>
      <c r="S763">
        <v>0</v>
      </c>
      <c r="T763">
        <v>7</v>
      </c>
      <c r="U763">
        <v>0</v>
      </c>
      <c r="V763">
        <v>0</v>
      </c>
      <c r="W763">
        <v>0</v>
      </c>
      <c r="X763">
        <v>7</v>
      </c>
      <c r="Y763">
        <v>0</v>
      </c>
      <c r="Z763">
        <v>0</v>
      </c>
      <c r="AA763">
        <v>0</v>
      </c>
      <c r="AE763" s="30">
        <v>45784.541666666664</v>
      </c>
      <c r="AF763" s="30">
        <v>45785.458333333336</v>
      </c>
      <c r="AH763" s="30">
        <v>45747.541666666664</v>
      </c>
      <c r="AI763" s="30">
        <v>45748.458333333336</v>
      </c>
      <c r="AJ763" s="30">
        <v>45747.541666666664</v>
      </c>
      <c r="AK763" s="30">
        <v>45748.458333333336</v>
      </c>
      <c r="AL763" s="30">
        <v>45747.541666666664</v>
      </c>
      <c r="AM763" s="30">
        <v>45748.458333333336</v>
      </c>
      <c r="AN763" s="30">
        <v>45784.541666666664</v>
      </c>
      <c r="AO763" s="30">
        <v>45785.458333333336</v>
      </c>
      <c r="AQ763" t="s">
        <v>3171</v>
      </c>
      <c r="AV763" t="s">
        <v>3871</v>
      </c>
      <c r="AW763" t="s">
        <v>3870</v>
      </c>
      <c r="AZ763" t="s">
        <v>1265</v>
      </c>
      <c r="BA763">
        <v>0</v>
      </c>
      <c r="BB763">
        <v>0</v>
      </c>
      <c r="BJ763" s="30">
        <v>46069.518055555556</v>
      </c>
      <c r="BK763" s="30">
        <v>46093.595138888886</v>
      </c>
      <c r="BL763" t="s">
        <v>1259</v>
      </c>
      <c r="BM763" t="s">
        <v>1259</v>
      </c>
      <c r="BO763" t="s">
        <v>1265</v>
      </c>
    </row>
    <row r="764" spans="1:67" x14ac:dyDescent="0.25">
      <c r="A764" t="s">
        <v>1248</v>
      </c>
      <c r="B764">
        <v>352146</v>
      </c>
      <c r="C764">
        <v>405</v>
      </c>
      <c r="D764">
        <v>51479</v>
      </c>
      <c r="E764">
        <v>1117</v>
      </c>
      <c r="F764">
        <v>0</v>
      </c>
      <c r="G764" t="s">
        <v>1265</v>
      </c>
      <c r="H764">
        <v>1</v>
      </c>
      <c r="I764" t="s">
        <v>1265</v>
      </c>
      <c r="J764" t="s">
        <v>1265</v>
      </c>
      <c r="K764" t="s">
        <v>3191</v>
      </c>
      <c r="L764" t="s">
        <v>3176</v>
      </c>
      <c r="M764" t="s">
        <v>3190</v>
      </c>
      <c r="N764" t="s">
        <v>3174</v>
      </c>
      <c r="O764">
        <v>1198</v>
      </c>
      <c r="P764" t="s">
        <v>3869</v>
      </c>
      <c r="R764">
        <v>216</v>
      </c>
      <c r="S764">
        <v>0</v>
      </c>
      <c r="T764">
        <v>15</v>
      </c>
      <c r="U764">
        <v>0</v>
      </c>
      <c r="V764">
        <v>0</v>
      </c>
      <c r="W764">
        <v>0</v>
      </c>
      <c r="X764">
        <v>15</v>
      </c>
      <c r="Y764">
        <v>0</v>
      </c>
      <c r="Z764">
        <v>0</v>
      </c>
      <c r="AA764">
        <v>0</v>
      </c>
      <c r="AE764" s="30">
        <v>45785.458333333336</v>
      </c>
      <c r="AF764" s="30">
        <v>45789.416666666664</v>
      </c>
      <c r="AH764" s="30">
        <v>45748.458333333336</v>
      </c>
      <c r="AI764" s="30">
        <v>45750.416666666664</v>
      </c>
      <c r="AJ764" s="30">
        <v>45748.458333333336</v>
      </c>
      <c r="AK764" s="30">
        <v>45750.416666666664</v>
      </c>
      <c r="AL764" s="30">
        <v>45748.458333333336</v>
      </c>
      <c r="AM764" s="30">
        <v>45750.416666666664</v>
      </c>
      <c r="AN764" s="30">
        <v>45785.458333333336</v>
      </c>
      <c r="AO764" s="30">
        <v>45789.416666666664</v>
      </c>
      <c r="AQ764" t="s">
        <v>3171</v>
      </c>
      <c r="AV764" t="s">
        <v>3868</v>
      </c>
      <c r="AW764" t="s">
        <v>3867</v>
      </c>
      <c r="AZ764" t="s">
        <v>1265</v>
      </c>
      <c r="BA764">
        <v>0</v>
      </c>
      <c r="BB764">
        <v>0</v>
      </c>
      <c r="BJ764" s="30">
        <v>46069.518055555556</v>
      </c>
      <c r="BK764" s="30">
        <v>46093.595138888886</v>
      </c>
      <c r="BL764" t="s">
        <v>1259</v>
      </c>
      <c r="BM764" t="s">
        <v>1259</v>
      </c>
      <c r="BO764" t="s">
        <v>1265</v>
      </c>
    </row>
    <row r="765" spans="1:67" x14ac:dyDescent="0.25">
      <c r="A765" t="s">
        <v>1248</v>
      </c>
      <c r="B765">
        <v>352147</v>
      </c>
      <c r="C765">
        <v>405</v>
      </c>
      <c r="D765">
        <v>51479</v>
      </c>
      <c r="E765">
        <v>1117</v>
      </c>
      <c r="F765">
        <v>0</v>
      </c>
      <c r="G765" t="s">
        <v>1265</v>
      </c>
      <c r="H765">
        <v>1</v>
      </c>
      <c r="I765" t="s">
        <v>1265</v>
      </c>
      <c r="J765" t="s">
        <v>1265</v>
      </c>
      <c r="K765" t="s">
        <v>3191</v>
      </c>
      <c r="L765" t="s">
        <v>3176</v>
      </c>
      <c r="M765" t="s">
        <v>3190</v>
      </c>
      <c r="N765" t="s">
        <v>3174</v>
      </c>
      <c r="O765">
        <v>1208</v>
      </c>
      <c r="P765" t="s">
        <v>3866</v>
      </c>
      <c r="R765">
        <v>216</v>
      </c>
      <c r="S765">
        <v>0</v>
      </c>
      <c r="T765">
        <v>31</v>
      </c>
      <c r="U765">
        <v>0</v>
      </c>
      <c r="V765">
        <v>0</v>
      </c>
      <c r="W765">
        <v>0</v>
      </c>
      <c r="X765">
        <v>31</v>
      </c>
      <c r="Y765">
        <v>0</v>
      </c>
      <c r="Z765">
        <v>0</v>
      </c>
      <c r="AA765">
        <v>0</v>
      </c>
      <c r="AE765" s="30">
        <v>45789.416666666664</v>
      </c>
      <c r="AF765" s="30">
        <v>45793.375</v>
      </c>
      <c r="AH765" s="30">
        <v>45750.416666666664</v>
      </c>
      <c r="AI765" s="30">
        <v>45756.375</v>
      </c>
      <c r="AJ765" s="30">
        <v>45750.416666666664</v>
      </c>
      <c r="AK765" s="30">
        <v>45756.375</v>
      </c>
      <c r="AL765" s="30">
        <v>45750.416666666664</v>
      </c>
      <c r="AM765" s="30">
        <v>45756.375</v>
      </c>
      <c r="AN765" s="30">
        <v>45789.416666666664</v>
      </c>
      <c r="AO765" s="30">
        <v>45793.375</v>
      </c>
      <c r="AQ765" t="s">
        <v>3171</v>
      </c>
      <c r="AV765" t="s">
        <v>3865</v>
      </c>
      <c r="AW765" t="s">
        <v>3864</v>
      </c>
      <c r="AZ765" t="s">
        <v>1265</v>
      </c>
      <c r="BA765">
        <v>0</v>
      </c>
      <c r="BB765">
        <v>0</v>
      </c>
      <c r="BJ765" s="30">
        <v>46069.518055555556</v>
      </c>
      <c r="BK765" s="30">
        <v>46093.595138888886</v>
      </c>
      <c r="BL765" t="s">
        <v>1259</v>
      </c>
      <c r="BM765" t="s">
        <v>1259</v>
      </c>
      <c r="BO765" t="s">
        <v>1265</v>
      </c>
    </row>
    <row r="766" spans="1:67" x14ac:dyDescent="0.25">
      <c r="A766" t="s">
        <v>1248</v>
      </c>
      <c r="B766">
        <v>352148</v>
      </c>
      <c r="C766">
        <v>405</v>
      </c>
      <c r="D766">
        <v>51479</v>
      </c>
      <c r="E766">
        <v>1117</v>
      </c>
      <c r="F766">
        <v>0</v>
      </c>
      <c r="G766" t="s">
        <v>1265</v>
      </c>
      <c r="H766">
        <v>1</v>
      </c>
      <c r="I766" t="s">
        <v>1265</v>
      </c>
      <c r="J766" t="s">
        <v>1265</v>
      </c>
      <c r="K766" t="s">
        <v>3191</v>
      </c>
      <c r="L766" t="s">
        <v>3176</v>
      </c>
      <c r="M766" t="s">
        <v>3190</v>
      </c>
      <c r="N766" t="s">
        <v>3174</v>
      </c>
      <c r="O766">
        <v>1218</v>
      </c>
      <c r="P766" t="s">
        <v>3863</v>
      </c>
      <c r="R766">
        <v>216</v>
      </c>
      <c r="S766">
        <v>0</v>
      </c>
      <c r="T766">
        <v>47</v>
      </c>
      <c r="U766">
        <v>0</v>
      </c>
      <c r="V766">
        <v>0</v>
      </c>
      <c r="W766">
        <v>0</v>
      </c>
      <c r="X766">
        <v>47</v>
      </c>
      <c r="Y766">
        <v>0</v>
      </c>
      <c r="Z766">
        <v>0</v>
      </c>
      <c r="AA766">
        <v>0</v>
      </c>
      <c r="AE766" s="30">
        <v>45793.375</v>
      </c>
      <c r="AF766" s="30">
        <v>45800.708333333336</v>
      </c>
      <c r="AH766" s="30">
        <v>45756.375</v>
      </c>
      <c r="AI766" s="30">
        <v>45763.708333333336</v>
      </c>
      <c r="AJ766" s="30">
        <v>45756.375</v>
      </c>
      <c r="AK766" s="30">
        <v>45763.708333333336</v>
      </c>
      <c r="AL766" s="30">
        <v>45756.375</v>
      </c>
      <c r="AM766" s="30">
        <v>45763.708333333336</v>
      </c>
      <c r="AN766" s="30">
        <v>45793.375</v>
      </c>
      <c r="AO766" s="30">
        <v>45800.708333333336</v>
      </c>
      <c r="AQ766" t="s">
        <v>3171</v>
      </c>
      <c r="AV766" t="s">
        <v>3862</v>
      </c>
      <c r="AW766" t="s">
        <v>3861</v>
      </c>
      <c r="AZ766" t="s">
        <v>1265</v>
      </c>
      <c r="BA766">
        <v>0</v>
      </c>
      <c r="BB766">
        <v>0</v>
      </c>
      <c r="BJ766" s="30">
        <v>46069.518055555556</v>
      </c>
      <c r="BK766" s="30">
        <v>46093.595138888886</v>
      </c>
      <c r="BL766" t="s">
        <v>1259</v>
      </c>
      <c r="BM766" t="s">
        <v>1259</v>
      </c>
      <c r="BO766" t="s">
        <v>1265</v>
      </c>
    </row>
    <row r="767" spans="1:67" x14ac:dyDescent="0.25">
      <c r="A767" t="s">
        <v>1248</v>
      </c>
      <c r="B767">
        <v>352149</v>
      </c>
      <c r="C767">
        <v>405</v>
      </c>
      <c r="D767">
        <v>53303</v>
      </c>
      <c r="E767">
        <v>1117</v>
      </c>
      <c r="F767">
        <v>0</v>
      </c>
      <c r="G767" t="s">
        <v>1265</v>
      </c>
      <c r="H767">
        <v>1</v>
      </c>
      <c r="I767" t="s">
        <v>1265</v>
      </c>
      <c r="J767" t="s">
        <v>1265</v>
      </c>
      <c r="K767" t="s">
        <v>3191</v>
      </c>
      <c r="L767" t="s">
        <v>3176</v>
      </c>
      <c r="M767" t="s">
        <v>3190</v>
      </c>
      <c r="N767" t="s">
        <v>3174</v>
      </c>
      <c r="O767">
        <v>1228</v>
      </c>
      <c r="P767" t="s">
        <v>3860</v>
      </c>
      <c r="R767">
        <v>548</v>
      </c>
      <c r="S767">
        <v>8</v>
      </c>
      <c r="T767">
        <v>7</v>
      </c>
      <c r="U767">
        <v>0</v>
      </c>
      <c r="V767">
        <v>0</v>
      </c>
      <c r="W767">
        <v>0</v>
      </c>
      <c r="X767">
        <v>7</v>
      </c>
      <c r="Y767">
        <v>0</v>
      </c>
      <c r="Z767">
        <v>0</v>
      </c>
      <c r="AA767">
        <v>0</v>
      </c>
      <c r="AE767" s="30">
        <v>45860.541666666664</v>
      </c>
      <c r="AF767" s="30">
        <v>45861.458333333336</v>
      </c>
      <c r="AH767" s="30">
        <v>45764.333333333336</v>
      </c>
      <c r="AI767" s="30">
        <v>45764.666666666664</v>
      </c>
      <c r="AJ767" s="30">
        <v>45764.333333333336</v>
      </c>
      <c r="AK767" s="30">
        <v>45764.666666666664</v>
      </c>
      <c r="AL767" s="30">
        <v>45764.333333333336</v>
      </c>
      <c r="AM767" s="30">
        <v>45764.666666666664</v>
      </c>
      <c r="AN767" s="30">
        <v>45860.541666666664</v>
      </c>
      <c r="AO767" s="30">
        <v>45861.458333333336</v>
      </c>
      <c r="AQ767" t="s">
        <v>3171</v>
      </c>
      <c r="AV767" t="s">
        <v>3859</v>
      </c>
      <c r="AW767" t="s">
        <v>3858</v>
      </c>
      <c r="AZ767" t="s">
        <v>1265</v>
      </c>
      <c r="BA767">
        <v>0</v>
      </c>
      <c r="BB767">
        <v>0</v>
      </c>
      <c r="BJ767" s="30">
        <v>46069.518055555556</v>
      </c>
      <c r="BK767" s="30">
        <v>46093.73333333333</v>
      </c>
      <c r="BL767" t="s">
        <v>1259</v>
      </c>
      <c r="BM767" t="s">
        <v>1259</v>
      </c>
      <c r="BO767" t="s">
        <v>1265</v>
      </c>
    </row>
    <row r="768" spans="1:67" x14ac:dyDescent="0.25">
      <c r="A768" t="s">
        <v>1248</v>
      </c>
      <c r="B768">
        <v>352150</v>
      </c>
      <c r="C768">
        <v>405</v>
      </c>
      <c r="D768">
        <v>53303</v>
      </c>
      <c r="E768">
        <v>1117</v>
      </c>
      <c r="F768">
        <v>0</v>
      </c>
      <c r="G768" t="s">
        <v>1265</v>
      </c>
      <c r="H768">
        <v>1</v>
      </c>
      <c r="I768" t="s">
        <v>1265</v>
      </c>
      <c r="J768" t="s">
        <v>1265</v>
      </c>
      <c r="K768" t="s">
        <v>3191</v>
      </c>
      <c r="L768" t="s">
        <v>3176</v>
      </c>
      <c r="M768" t="s">
        <v>3190</v>
      </c>
      <c r="N768" t="s">
        <v>3174</v>
      </c>
      <c r="O768">
        <v>1238</v>
      </c>
      <c r="P768" t="s">
        <v>3857</v>
      </c>
      <c r="R768">
        <v>199</v>
      </c>
      <c r="S768">
        <v>0</v>
      </c>
      <c r="T768">
        <v>15</v>
      </c>
      <c r="U768">
        <v>0</v>
      </c>
      <c r="V768">
        <v>0</v>
      </c>
      <c r="W768">
        <v>0</v>
      </c>
      <c r="X768">
        <v>15</v>
      </c>
      <c r="Y768">
        <v>0</v>
      </c>
      <c r="Z768">
        <v>0</v>
      </c>
      <c r="AA768">
        <v>0</v>
      </c>
      <c r="AE768" s="30">
        <v>45771.625</v>
      </c>
      <c r="AF768" s="30">
        <v>45775.583333333336</v>
      </c>
      <c r="AH768" s="30">
        <v>45736.666666666664</v>
      </c>
      <c r="AI768" s="30">
        <v>45740.625</v>
      </c>
      <c r="AJ768" s="30">
        <v>45736.666666666664</v>
      </c>
      <c r="AK768" s="30">
        <v>45740.625</v>
      </c>
      <c r="AL768" s="30">
        <v>45736.666666666664</v>
      </c>
      <c r="AM768" s="30">
        <v>45740.625</v>
      </c>
      <c r="AN768" s="30">
        <v>45771.625</v>
      </c>
      <c r="AO768" s="30">
        <v>45775.583333333336</v>
      </c>
      <c r="AQ768" t="s">
        <v>3171</v>
      </c>
      <c r="AV768" t="s">
        <v>3856</v>
      </c>
      <c r="AW768" t="s">
        <v>3855</v>
      </c>
      <c r="AZ768" t="s">
        <v>1265</v>
      </c>
      <c r="BA768">
        <v>0</v>
      </c>
      <c r="BB768">
        <v>0</v>
      </c>
      <c r="BJ768" s="30">
        <v>46069.518055555556</v>
      </c>
      <c r="BK768" s="30">
        <v>46093.595138888886</v>
      </c>
      <c r="BL768" t="s">
        <v>1259</v>
      </c>
      <c r="BM768" t="s">
        <v>1259</v>
      </c>
      <c r="BO768" t="s">
        <v>1265</v>
      </c>
    </row>
    <row r="769" spans="1:67" x14ac:dyDescent="0.25">
      <c r="A769" t="s">
        <v>1248</v>
      </c>
      <c r="B769">
        <v>352151</v>
      </c>
      <c r="C769">
        <v>405</v>
      </c>
      <c r="D769">
        <v>51480</v>
      </c>
      <c r="E769">
        <v>1117</v>
      </c>
      <c r="F769">
        <v>0</v>
      </c>
      <c r="G769" t="s">
        <v>1265</v>
      </c>
      <c r="H769">
        <v>1</v>
      </c>
      <c r="I769" t="s">
        <v>1265</v>
      </c>
      <c r="J769" t="s">
        <v>1265</v>
      </c>
      <c r="K769" t="s">
        <v>3191</v>
      </c>
      <c r="L769" t="s">
        <v>3176</v>
      </c>
      <c r="M769" t="s">
        <v>3190</v>
      </c>
      <c r="N769" t="s">
        <v>3174</v>
      </c>
      <c r="O769">
        <v>1248</v>
      </c>
      <c r="P769" t="s">
        <v>3854</v>
      </c>
      <c r="R769">
        <v>199</v>
      </c>
      <c r="S769">
        <v>0</v>
      </c>
      <c r="T769">
        <v>23</v>
      </c>
      <c r="U769">
        <v>0</v>
      </c>
      <c r="V769">
        <v>0</v>
      </c>
      <c r="W769">
        <v>0</v>
      </c>
      <c r="X769">
        <v>23</v>
      </c>
      <c r="Y769">
        <v>0</v>
      </c>
      <c r="Z769">
        <v>0</v>
      </c>
      <c r="AA769">
        <v>0</v>
      </c>
      <c r="AE769" s="30">
        <v>45775.583333333336</v>
      </c>
      <c r="AF769" s="30">
        <v>45778.5</v>
      </c>
      <c r="AH769" s="30">
        <v>45740.625</v>
      </c>
      <c r="AI769" s="30">
        <v>45743.583333333336</v>
      </c>
      <c r="AJ769" s="30">
        <v>45740.625</v>
      </c>
      <c r="AK769" s="30">
        <v>45743.583333333336</v>
      </c>
      <c r="AL769" s="30">
        <v>45740.625</v>
      </c>
      <c r="AM769" s="30">
        <v>45743.583333333336</v>
      </c>
      <c r="AN769" s="30">
        <v>45775.583333333336</v>
      </c>
      <c r="AO769" s="30">
        <v>45778.5</v>
      </c>
      <c r="AQ769" t="s">
        <v>3171</v>
      </c>
      <c r="AV769" t="s">
        <v>3853</v>
      </c>
      <c r="AW769" t="s">
        <v>3852</v>
      </c>
      <c r="AZ769" t="s">
        <v>1265</v>
      </c>
      <c r="BA769">
        <v>0</v>
      </c>
      <c r="BB769">
        <v>0</v>
      </c>
      <c r="BJ769" s="30">
        <v>46069.518055555556</v>
      </c>
      <c r="BK769" s="30">
        <v>46093.595138888886</v>
      </c>
      <c r="BL769" t="s">
        <v>1259</v>
      </c>
      <c r="BM769" t="s">
        <v>1259</v>
      </c>
      <c r="BO769" t="s">
        <v>1265</v>
      </c>
    </row>
    <row r="770" spans="1:67" x14ac:dyDescent="0.25">
      <c r="A770" t="s">
        <v>1248</v>
      </c>
      <c r="B770">
        <v>352152</v>
      </c>
      <c r="C770">
        <v>405</v>
      </c>
      <c r="D770">
        <v>51480</v>
      </c>
      <c r="E770">
        <v>1117</v>
      </c>
      <c r="F770">
        <v>0</v>
      </c>
      <c r="G770" t="s">
        <v>1265</v>
      </c>
      <c r="H770">
        <v>1</v>
      </c>
      <c r="I770" t="s">
        <v>1265</v>
      </c>
      <c r="J770" t="s">
        <v>1265</v>
      </c>
      <c r="K770" t="s">
        <v>3191</v>
      </c>
      <c r="L770" t="s">
        <v>3176</v>
      </c>
      <c r="M770" t="s">
        <v>3190</v>
      </c>
      <c r="N770" t="s">
        <v>3174</v>
      </c>
      <c r="O770">
        <v>1258</v>
      </c>
      <c r="P770" t="s">
        <v>3851</v>
      </c>
      <c r="R770">
        <v>199</v>
      </c>
      <c r="S770">
        <v>0</v>
      </c>
      <c r="T770">
        <v>7</v>
      </c>
      <c r="U770">
        <v>0</v>
      </c>
      <c r="V770">
        <v>0</v>
      </c>
      <c r="W770">
        <v>0</v>
      </c>
      <c r="X770">
        <v>7</v>
      </c>
      <c r="Y770">
        <v>0</v>
      </c>
      <c r="Z770">
        <v>0</v>
      </c>
      <c r="AA770">
        <v>0</v>
      </c>
      <c r="AE770" s="30">
        <v>45778.541666666664</v>
      </c>
      <c r="AF770" s="30">
        <v>45779.458333333336</v>
      </c>
      <c r="AH770" s="30">
        <v>45743.583333333336</v>
      </c>
      <c r="AI770" s="30">
        <v>45744.5</v>
      </c>
      <c r="AJ770" s="30">
        <v>45743.583333333336</v>
      </c>
      <c r="AK770" s="30">
        <v>45744.5</v>
      </c>
      <c r="AL770" s="30">
        <v>45743.583333333336</v>
      </c>
      <c r="AM770" s="30">
        <v>45744.5</v>
      </c>
      <c r="AN770" s="30">
        <v>45778.541666666664</v>
      </c>
      <c r="AO770" s="30">
        <v>45779.458333333336</v>
      </c>
      <c r="AQ770" t="s">
        <v>3171</v>
      </c>
      <c r="AV770" t="s">
        <v>3850</v>
      </c>
      <c r="AW770" t="s">
        <v>3849</v>
      </c>
      <c r="AZ770" t="s">
        <v>1265</v>
      </c>
      <c r="BA770">
        <v>0</v>
      </c>
      <c r="BB770">
        <v>0</v>
      </c>
      <c r="BJ770" s="30">
        <v>46069.518055555556</v>
      </c>
      <c r="BK770" s="30">
        <v>46093.595138888886</v>
      </c>
      <c r="BL770" t="s">
        <v>1259</v>
      </c>
      <c r="BM770" t="s">
        <v>1259</v>
      </c>
      <c r="BO770" t="s">
        <v>1265</v>
      </c>
    </row>
    <row r="771" spans="1:67" x14ac:dyDescent="0.25">
      <c r="A771" t="s">
        <v>1248</v>
      </c>
      <c r="B771">
        <v>352153</v>
      </c>
      <c r="C771">
        <v>405</v>
      </c>
      <c r="D771">
        <v>51480</v>
      </c>
      <c r="E771">
        <v>1117</v>
      </c>
      <c r="F771">
        <v>0</v>
      </c>
      <c r="G771" t="s">
        <v>1265</v>
      </c>
      <c r="H771">
        <v>1</v>
      </c>
      <c r="I771" t="s">
        <v>1265</v>
      </c>
      <c r="J771" t="s">
        <v>1265</v>
      </c>
      <c r="K771" t="s">
        <v>3191</v>
      </c>
      <c r="L771" t="s">
        <v>3176</v>
      </c>
      <c r="M771" t="s">
        <v>3190</v>
      </c>
      <c r="N771" t="s">
        <v>3174</v>
      </c>
      <c r="O771">
        <v>125</v>
      </c>
      <c r="P771" t="s">
        <v>3848</v>
      </c>
      <c r="R771">
        <v>199</v>
      </c>
      <c r="S771">
        <v>0</v>
      </c>
      <c r="T771">
        <v>15</v>
      </c>
      <c r="U771">
        <v>0</v>
      </c>
      <c r="V771">
        <v>0</v>
      </c>
      <c r="W771">
        <v>0</v>
      </c>
      <c r="X771">
        <v>15</v>
      </c>
      <c r="Y771">
        <v>0</v>
      </c>
      <c r="Z771">
        <v>0</v>
      </c>
      <c r="AA771">
        <v>0</v>
      </c>
      <c r="AE771" s="30">
        <v>45779.458333333336</v>
      </c>
      <c r="AF771" s="30">
        <v>45783.416666666664</v>
      </c>
      <c r="AH771" s="30">
        <v>45744.541666666664</v>
      </c>
      <c r="AI771" s="30">
        <v>45748.458333333336</v>
      </c>
      <c r="AJ771" s="30">
        <v>45744.541666666664</v>
      </c>
      <c r="AK771" s="30">
        <v>45748.458333333336</v>
      </c>
      <c r="AL771" s="30">
        <v>45744.541666666664</v>
      </c>
      <c r="AM771" s="30">
        <v>45748.458333333336</v>
      </c>
      <c r="AN771" s="30">
        <v>45779.458333333336</v>
      </c>
      <c r="AO771" s="30">
        <v>45783.416666666664</v>
      </c>
      <c r="AQ771" t="s">
        <v>3171</v>
      </c>
      <c r="AV771" t="s">
        <v>3847</v>
      </c>
      <c r="AW771" t="s">
        <v>3846</v>
      </c>
      <c r="AZ771" t="s">
        <v>1265</v>
      </c>
      <c r="BA771">
        <v>0</v>
      </c>
      <c r="BB771">
        <v>0</v>
      </c>
      <c r="BJ771" s="30">
        <v>46069.518055555556</v>
      </c>
      <c r="BK771" s="30">
        <v>46093.595138888886</v>
      </c>
      <c r="BL771" t="s">
        <v>1259</v>
      </c>
      <c r="BM771" t="s">
        <v>1259</v>
      </c>
      <c r="BO771" t="s">
        <v>1265</v>
      </c>
    </row>
    <row r="772" spans="1:67" x14ac:dyDescent="0.25">
      <c r="A772" t="s">
        <v>1248</v>
      </c>
      <c r="B772">
        <v>352154</v>
      </c>
      <c r="C772">
        <v>405</v>
      </c>
      <c r="D772">
        <v>51480</v>
      </c>
      <c r="E772">
        <v>1117</v>
      </c>
      <c r="F772">
        <v>0</v>
      </c>
      <c r="G772" t="s">
        <v>1265</v>
      </c>
      <c r="H772">
        <v>1</v>
      </c>
      <c r="I772" t="s">
        <v>1265</v>
      </c>
      <c r="J772" t="s">
        <v>1265</v>
      </c>
      <c r="K772" t="s">
        <v>3191</v>
      </c>
      <c r="L772" t="s">
        <v>3176</v>
      </c>
      <c r="M772" t="s">
        <v>3190</v>
      </c>
      <c r="N772" t="s">
        <v>3174</v>
      </c>
      <c r="O772">
        <v>1268</v>
      </c>
      <c r="P772" t="s">
        <v>3845</v>
      </c>
      <c r="R772">
        <v>199</v>
      </c>
      <c r="S772">
        <v>0</v>
      </c>
      <c r="T772">
        <v>31</v>
      </c>
      <c r="U772">
        <v>0</v>
      </c>
      <c r="V772">
        <v>0</v>
      </c>
      <c r="W772">
        <v>0</v>
      </c>
      <c r="X772">
        <v>31</v>
      </c>
      <c r="Y772">
        <v>0</v>
      </c>
      <c r="Z772">
        <v>0</v>
      </c>
      <c r="AA772">
        <v>0</v>
      </c>
      <c r="AE772" s="30">
        <v>45783.416666666664</v>
      </c>
      <c r="AF772" s="30">
        <v>45789.375</v>
      </c>
      <c r="AH772" s="30">
        <v>45748.458333333336</v>
      </c>
      <c r="AI772" s="30">
        <v>45754.416666666664</v>
      </c>
      <c r="AJ772" s="30">
        <v>45748.458333333336</v>
      </c>
      <c r="AK772" s="30">
        <v>45754.416666666664</v>
      </c>
      <c r="AL772" s="30">
        <v>45748.458333333336</v>
      </c>
      <c r="AM772" s="30">
        <v>45754.416666666664</v>
      </c>
      <c r="AN772" s="30">
        <v>45783.416666666664</v>
      </c>
      <c r="AO772" s="30">
        <v>45789.375</v>
      </c>
      <c r="AQ772" t="s">
        <v>3171</v>
      </c>
      <c r="AV772" t="s">
        <v>3844</v>
      </c>
      <c r="AW772" t="s">
        <v>3843</v>
      </c>
      <c r="AZ772" t="s">
        <v>1265</v>
      </c>
      <c r="BA772">
        <v>0</v>
      </c>
      <c r="BB772">
        <v>0</v>
      </c>
      <c r="BJ772" s="30">
        <v>46069.518055555556</v>
      </c>
      <c r="BK772" s="30">
        <v>46093.595138888886</v>
      </c>
      <c r="BL772" t="s">
        <v>1259</v>
      </c>
      <c r="BM772" t="s">
        <v>1259</v>
      </c>
      <c r="BO772" t="s">
        <v>1265</v>
      </c>
    </row>
    <row r="773" spans="1:67" x14ac:dyDescent="0.25">
      <c r="A773" t="s">
        <v>1248</v>
      </c>
      <c r="B773">
        <v>352155</v>
      </c>
      <c r="C773">
        <v>405</v>
      </c>
      <c r="D773">
        <v>51480</v>
      </c>
      <c r="E773">
        <v>1117</v>
      </c>
      <c r="F773">
        <v>0</v>
      </c>
      <c r="G773" t="s">
        <v>1265</v>
      </c>
      <c r="H773">
        <v>1</v>
      </c>
      <c r="I773" t="s">
        <v>1265</v>
      </c>
      <c r="J773" t="s">
        <v>1265</v>
      </c>
      <c r="K773" t="s">
        <v>3191</v>
      </c>
      <c r="L773" t="s">
        <v>3176</v>
      </c>
      <c r="M773" t="s">
        <v>3190</v>
      </c>
      <c r="N773" t="s">
        <v>3174</v>
      </c>
      <c r="O773">
        <v>1278</v>
      </c>
      <c r="P773" t="s">
        <v>3842</v>
      </c>
      <c r="R773">
        <v>199</v>
      </c>
      <c r="S773">
        <v>0</v>
      </c>
      <c r="T773">
        <v>47</v>
      </c>
      <c r="U773">
        <v>0</v>
      </c>
      <c r="V773">
        <v>0</v>
      </c>
      <c r="W773">
        <v>0</v>
      </c>
      <c r="X773">
        <v>47</v>
      </c>
      <c r="Y773">
        <v>0</v>
      </c>
      <c r="Z773">
        <v>0</v>
      </c>
      <c r="AA773">
        <v>0</v>
      </c>
      <c r="AE773" s="30">
        <v>45789.375</v>
      </c>
      <c r="AF773" s="30">
        <v>45796.708333333336</v>
      </c>
      <c r="AH773" s="30">
        <v>45754.416666666664</v>
      </c>
      <c r="AI773" s="30">
        <v>45762.375</v>
      </c>
      <c r="AJ773" s="30">
        <v>45754.416666666664</v>
      </c>
      <c r="AK773" s="30">
        <v>45762.375</v>
      </c>
      <c r="AL773" s="30">
        <v>45754.416666666664</v>
      </c>
      <c r="AM773" s="30">
        <v>45762.375</v>
      </c>
      <c r="AN773" s="30">
        <v>45789.375</v>
      </c>
      <c r="AO773" s="30">
        <v>45796.708333333336</v>
      </c>
      <c r="AQ773" t="s">
        <v>3171</v>
      </c>
      <c r="AV773" t="s">
        <v>3841</v>
      </c>
      <c r="AW773" t="s">
        <v>3840</v>
      </c>
      <c r="AZ773" t="s">
        <v>1265</v>
      </c>
      <c r="BA773">
        <v>0</v>
      </c>
      <c r="BB773">
        <v>0</v>
      </c>
      <c r="BJ773" s="30">
        <v>46069.518055555556</v>
      </c>
      <c r="BK773" s="30">
        <v>46093.595138888886</v>
      </c>
      <c r="BL773" t="s">
        <v>1259</v>
      </c>
      <c r="BM773" t="s">
        <v>1259</v>
      </c>
      <c r="BO773" t="s">
        <v>1265</v>
      </c>
    </row>
    <row r="774" spans="1:67" x14ac:dyDescent="0.25">
      <c r="A774" t="s">
        <v>1248</v>
      </c>
      <c r="B774">
        <v>352156</v>
      </c>
      <c r="C774">
        <v>405</v>
      </c>
      <c r="D774">
        <v>53303</v>
      </c>
      <c r="E774">
        <v>1117</v>
      </c>
      <c r="F774">
        <v>0</v>
      </c>
      <c r="G774" t="s">
        <v>1265</v>
      </c>
      <c r="H774">
        <v>1</v>
      </c>
      <c r="I774" t="s">
        <v>1265</v>
      </c>
      <c r="J774" t="s">
        <v>1265</v>
      </c>
      <c r="K774" t="s">
        <v>3191</v>
      </c>
      <c r="L774" t="s">
        <v>3176</v>
      </c>
      <c r="M774" t="s">
        <v>3190</v>
      </c>
      <c r="N774" t="s">
        <v>3174</v>
      </c>
      <c r="O774">
        <v>1288</v>
      </c>
      <c r="P774" t="s">
        <v>3839</v>
      </c>
      <c r="R774">
        <v>556</v>
      </c>
      <c r="S774">
        <v>8</v>
      </c>
      <c r="T774">
        <v>7</v>
      </c>
      <c r="U774">
        <v>0</v>
      </c>
      <c r="V774">
        <v>0</v>
      </c>
      <c r="W774">
        <v>0</v>
      </c>
      <c r="X774">
        <v>7</v>
      </c>
      <c r="Y774">
        <v>0</v>
      </c>
      <c r="Z774">
        <v>0</v>
      </c>
      <c r="AA774">
        <v>0</v>
      </c>
      <c r="AE774" s="30">
        <v>45859.583333333336</v>
      </c>
      <c r="AF774" s="30">
        <v>45860.5</v>
      </c>
      <c r="AH774" s="30">
        <v>45762.375</v>
      </c>
      <c r="AI774" s="30">
        <v>45762.708333333336</v>
      </c>
      <c r="AJ774" s="30">
        <v>45762.375</v>
      </c>
      <c r="AK774" s="30">
        <v>45762.708333333336</v>
      </c>
      <c r="AL774" s="30">
        <v>45762.375</v>
      </c>
      <c r="AM774" s="30">
        <v>45762.708333333336</v>
      </c>
      <c r="AN774" s="30">
        <v>45859.583333333336</v>
      </c>
      <c r="AO774" s="30">
        <v>45860.5</v>
      </c>
      <c r="AQ774" t="s">
        <v>3171</v>
      </c>
      <c r="AV774" t="s">
        <v>3838</v>
      </c>
      <c r="AW774" t="s">
        <v>3837</v>
      </c>
      <c r="AZ774" t="s">
        <v>1265</v>
      </c>
      <c r="BA774">
        <v>0</v>
      </c>
      <c r="BB774">
        <v>0</v>
      </c>
      <c r="BJ774" s="30">
        <v>46069.518055555556</v>
      </c>
      <c r="BK774" s="30">
        <v>46093.73333333333</v>
      </c>
      <c r="BL774" t="s">
        <v>1259</v>
      </c>
      <c r="BM774" t="s">
        <v>1259</v>
      </c>
      <c r="BO774" t="s">
        <v>1265</v>
      </c>
    </row>
    <row r="775" spans="1:67" x14ac:dyDescent="0.25">
      <c r="A775" t="s">
        <v>1248</v>
      </c>
      <c r="B775">
        <v>352157</v>
      </c>
      <c r="C775">
        <v>405</v>
      </c>
      <c r="D775">
        <v>53303</v>
      </c>
      <c r="E775">
        <v>1117</v>
      </c>
      <c r="F775">
        <v>0</v>
      </c>
      <c r="G775" t="s">
        <v>1265</v>
      </c>
      <c r="H775">
        <v>1</v>
      </c>
      <c r="I775" t="s">
        <v>1265</v>
      </c>
      <c r="J775" t="s">
        <v>1265</v>
      </c>
      <c r="K775" t="s">
        <v>3191</v>
      </c>
      <c r="L775" t="s">
        <v>3176</v>
      </c>
      <c r="M775" t="s">
        <v>3190</v>
      </c>
      <c r="N775" t="s">
        <v>3174</v>
      </c>
      <c r="O775">
        <v>1298</v>
      </c>
      <c r="P775" t="s">
        <v>3836</v>
      </c>
      <c r="R775">
        <v>182</v>
      </c>
      <c r="S775">
        <v>0</v>
      </c>
      <c r="T775">
        <v>15</v>
      </c>
      <c r="U775">
        <v>0</v>
      </c>
      <c r="V775">
        <v>0</v>
      </c>
      <c r="W775">
        <v>0</v>
      </c>
      <c r="X775">
        <v>15</v>
      </c>
      <c r="Y775">
        <v>0</v>
      </c>
      <c r="Z775">
        <v>0</v>
      </c>
      <c r="AA775">
        <v>0</v>
      </c>
      <c r="AE775" s="30">
        <v>45765.625</v>
      </c>
      <c r="AF775" s="30">
        <v>45769.583333333336</v>
      </c>
      <c r="AH775" s="30">
        <v>45735.333333333336</v>
      </c>
      <c r="AI775" s="30">
        <v>45736.666666666664</v>
      </c>
      <c r="AJ775" s="30">
        <v>45735.333333333336</v>
      </c>
      <c r="AK775" s="30">
        <v>45736.666666666664</v>
      </c>
      <c r="AL775" s="30">
        <v>45735.333333333336</v>
      </c>
      <c r="AM775" s="30">
        <v>45736.666666666664</v>
      </c>
      <c r="AN775" s="30">
        <v>45765.625</v>
      </c>
      <c r="AO775" s="30">
        <v>45769.583333333336</v>
      </c>
      <c r="AQ775" t="s">
        <v>3171</v>
      </c>
      <c r="AV775" t="s">
        <v>3835</v>
      </c>
      <c r="AW775" t="s">
        <v>3834</v>
      </c>
      <c r="AZ775" t="s">
        <v>1265</v>
      </c>
      <c r="BA775">
        <v>0</v>
      </c>
      <c r="BB775">
        <v>0</v>
      </c>
      <c r="BJ775" s="30">
        <v>46069.518055555556</v>
      </c>
      <c r="BK775" s="30">
        <v>46093.595138888886</v>
      </c>
      <c r="BL775" t="s">
        <v>1259</v>
      </c>
      <c r="BM775" t="s">
        <v>1259</v>
      </c>
      <c r="BO775" t="s">
        <v>1265</v>
      </c>
    </row>
    <row r="776" spans="1:67" x14ac:dyDescent="0.25">
      <c r="A776" t="s">
        <v>1248</v>
      </c>
      <c r="B776">
        <v>352158</v>
      </c>
      <c r="C776">
        <v>405</v>
      </c>
      <c r="D776">
        <v>51481</v>
      </c>
      <c r="E776">
        <v>1117</v>
      </c>
      <c r="F776">
        <v>0</v>
      </c>
      <c r="G776" t="s">
        <v>1265</v>
      </c>
      <c r="H776">
        <v>1</v>
      </c>
      <c r="I776" t="s">
        <v>1265</v>
      </c>
      <c r="J776" t="s">
        <v>1265</v>
      </c>
      <c r="K776" t="s">
        <v>3191</v>
      </c>
      <c r="L776" t="s">
        <v>3176</v>
      </c>
      <c r="M776" t="s">
        <v>3190</v>
      </c>
      <c r="N776" t="s">
        <v>3174</v>
      </c>
      <c r="O776">
        <v>1308</v>
      </c>
      <c r="P776" t="s">
        <v>3833</v>
      </c>
      <c r="R776">
        <v>182</v>
      </c>
      <c r="S776">
        <v>0</v>
      </c>
      <c r="T776">
        <v>23</v>
      </c>
      <c r="U776">
        <v>0</v>
      </c>
      <c r="V776">
        <v>0</v>
      </c>
      <c r="W776">
        <v>0</v>
      </c>
      <c r="X776">
        <v>23</v>
      </c>
      <c r="Y776">
        <v>0</v>
      </c>
      <c r="Z776">
        <v>0</v>
      </c>
      <c r="AA776">
        <v>0</v>
      </c>
      <c r="AE776" s="30">
        <v>45769.583333333336</v>
      </c>
      <c r="AF776" s="30">
        <v>45772.5</v>
      </c>
      <c r="AH776" s="30">
        <v>45736.666666666664</v>
      </c>
      <c r="AI776" s="30">
        <v>45741.625</v>
      </c>
      <c r="AJ776" s="30">
        <v>45736.666666666664</v>
      </c>
      <c r="AK776" s="30">
        <v>45741.625</v>
      </c>
      <c r="AL776" s="30">
        <v>45736.666666666664</v>
      </c>
      <c r="AM776" s="30">
        <v>45741.625</v>
      </c>
      <c r="AN776" s="30">
        <v>45769.583333333336</v>
      </c>
      <c r="AO776" s="30">
        <v>45772.5</v>
      </c>
      <c r="AQ776" t="s">
        <v>3171</v>
      </c>
      <c r="AV776" t="s">
        <v>3832</v>
      </c>
      <c r="AW776" t="s">
        <v>3831</v>
      </c>
      <c r="AZ776" t="s">
        <v>1265</v>
      </c>
      <c r="BA776">
        <v>0</v>
      </c>
      <c r="BB776">
        <v>0</v>
      </c>
      <c r="BJ776" s="30">
        <v>46069.518055555556</v>
      </c>
      <c r="BK776" s="30">
        <v>46093.595138888886</v>
      </c>
      <c r="BL776" t="s">
        <v>1259</v>
      </c>
      <c r="BM776" t="s">
        <v>1259</v>
      </c>
      <c r="BO776" t="s">
        <v>1265</v>
      </c>
    </row>
    <row r="777" spans="1:67" x14ac:dyDescent="0.25">
      <c r="A777" t="s">
        <v>1248</v>
      </c>
      <c r="B777">
        <v>352159</v>
      </c>
      <c r="C777">
        <v>405</v>
      </c>
      <c r="D777">
        <v>51481</v>
      </c>
      <c r="E777">
        <v>1117</v>
      </c>
      <c r="F777">
        <v>0</v>
      </c>
      <c r="G777" t="s">
        <v>1265</v>
      </c>
      <c r="H777">
        <v>1</v>
      </c>
      <c r="I777" t="s">
        <v>1265</v>
      </c>
      <c r="J777" t="s">
        <v>1265</v>
      </c>
      <c r="K777" t="s">
        <v>3191</v>
      </c>
      <c r="L777" t="s">
        <v>3176</v>
      </c>
      <c r="M777" t="s">
        <v>3190</v>
      </c>
      <c r="N777" t="s">
        <v>3174</v>
      </c>
      <c r="O777">
        <v>1318</v>
      </c>
      <c r="P777" t="s">
        <v>3830</v>
      </c>
      <c r="R777">
        <v>182</v>
      </c>
      <c r="S777">
        <v>0</v>
      </c>
      <c r="T777">
        <v>7</v>
      </c>
      <c r="U777">
        <v>0</v>
      </c>
      <c r="V777">
        <v>0</v>
      </c>
      <c r="W777">
        <v>0</v>
      </c>
      <c r="X777">
        <v>7</v>
      </c>
      <c r="Y777">
        <v>0</v>
      </c>
      <c r="Z777">
        <v>0</v>
      </c>
      <c r="AA777">
        <v>0</v>
      </c>
      <c r="AE777" s="30">
        <v>45772.541666666664</v>
      </c>
      <c r="AF777" s="30">
        <v>45775.458333333336</v>
      </c>
      <c r="AH777" s="30">
        <v>45741.625</v>
      </c>
      <c r="AI777" s="30">
        <v>45742.583333333336</v>
      </c>
      <c r="AJ777" s="30">
        <v>45741.625</v>
      </c>
      <c r="AK777" s="30">
        <v>45742.583333333336</v>
      </c>
      <c r="AL777" s="30">
        <v>45741.625</v>
      </c>
      <c r="AM777" s="30">
        <v>45742.583333333336</v>
      </c>
      <c r="AN777" s="30">
        <v>45772.541666666664</v>
      </c>
      <c r="AO777" s="30">
        <v>45775.458333333336</v>
      </c>
      <c r="AQ777" t="s">
        <v>3171</v>
      </c>
      <c r="AV777" t="s">
        <v>3829</v>
      </c>
      <c r="AW777" t="s">
        <v>3828</v>
      </c>
      <c r="AZ777" t="s">
        <v>1265</v>
      </c>
      <c r="BA777">
        <v>0</v>
      </c>
      <c r="BB777">
        <v>0</v>
      </c>
      <c r="BJ777" s="30">
        <v>46069.518055555556</v>
      </c>
      <c r="BK777" s="30">
        <v>46093.595138888886</v>
      </c>
      <c r="BL777" t="s">
        <v>1259</v>
      </c>
      <c r="BM777" t="s">
        <v>1259</v>
      </c>
      <c r="BO777" t="s">
        <v>1265</v>
      </c>
    </row>
    <row r="778" spans="1:67" x14ac:dyDescent="0.25">
      <c r="A778" t="s">
        <v>1248</v>
      </c>
      <c r="B778">
        <v>352160</v>
      </c>
      <c r="C778">
        <v>405</v>
      </c>
      <c r="D778">
        <v>51481</v>
      </c>
      <c r="E778">
        <v>1117</v>
      </c>
      <c r="F778">
        <v>0</v>
      </c>
      <c r="G778" t="s">
        <v>1265</v>
      </c>
      <c r="H778">
        <v>1</v>
      </c>
      <c r="I778" t="s">
        <v>1265</v>
      </c>
      <c r="J778" t="s">
        <v>1265</v>
      </c>
      <c r="K778" t="s">
        <v>3191</v>
      </c>
      <c r="L778" t="s">
        <v>3176</v>
      </c>
      <c r="M778" t="s">
        <v>3190</v>
      </c>
      <c r="N778" t="s">
        <v>3174</v>
      </c>
      <c r="O778">
        <v>1328</v>
      </c>
      <c r="P778" t="s">
        <v>3827</v>
      </c>
      <c r="R778">
        <v>182</v>
      </c>
      <c r="S778">
        <v>0</v>
      </c>
      <c r="T778">
        <v>15</v>
      </c>
      <c r="U778">
        <v>0</v>
      </c>
      <c r="V778">
        <v>0</v>
      </c>
      <c r="W778">
        <v>0</v>
      </c>
      <c r="X778">
        <v>15</v>
      </c>
      <c r="Y778">
        <v>0</v>
      </c>
      <c r="Z778">
        <v>0</v>
      </c>
      <c r="AA778">
        <v>0</v>
      </c>
      <c r="AE778" s="30">
        <v>45775.458333333336</v>
      </c>
      <c r="AF778" s="30">
        <v>45777.416666666664</v>
      </c>
      <c r="AH778" s="30">
        <v>45742.583333333336</v>
      </c>
      <c r="AI778" s="30">
        <v>45744.5</v>
      </c>
      <c r="AJ778" s="30">
        <v>45742.583333333336</v>
      </c>
      <c r="AK778" s="30">
        <v>45744.5</v>
      </c>
      <c r="AL778" s="30">
        <v>45742.583333333336</v>
      </c>
      <c r="AM778" s="30">
        <v>45744.5</v>
      </c>
      <c r="AN778" s="30">
        <v>45775.458333333336</v>
      </c>
      <c r="AO778" s="30">
        <v>45777.416666666664</v>
      </c>
      <c r="AQ778" t="s">
        <v>3171</v>
      </c>
      <c r="AV778" t="s">
        <v>3826</v>
      </c>
      <c r="AW778" t="s">
        <v>3825</v>
      </c>
      <c r="AZ778" t="s">
        <v>1265</v>
      </c>
      <c r="BA778">
        <v>0</v>
      </c>
      <c r="BB778">
        <v>0</v>
      </c>
      <c r="BJ778" s="30">
        <v>46069.518055555556</v>
      </c>
      <c r="BK778" s="30">
        <v>46093.595138888886</v>
      </c>
      <c r="BL778" t="s">
        <v>1259</v>
      </c>
      <c r="BM778" t="s">
        <v>1259</v>
      </c>
      <c r="BO778" t="s">
        <v>1265</v>
      </c>
    </row>
    <row r="779" spans="1:67" x14ac:dyDescent="0.25">
      <c r="A779" t="s">
        <v>1248</v>
      </c>
      <c r="B779">
        <v>352161</v>
      </c>
      <c r="C779">
        <v>405</v>
      </c>
      <c r="D779">
        <v>51481</v>
      </c>
      <c r="E779">
        <v>1117</v>
      </c>
      <c r="F779">
        <v>0</v>
      </c>
      <c r="G779" t="s">
        <v>1265</v>
      </c>
      <c r="H779">
        <v>1</v>
      </c>
      <c r="I779" t="s">
        <v>1265</v>
      </c>
      <c r="J779" t="s">
        <v>1265</v>
      </c>
      <c r="K779" t="s">
        <v>3191</v>
      </c>
      <c r="L779" t="s">
        <v>3176</v>
      </c>
      <c r="M779" t="s">
        <v>3190</v>
      </c>
      <c r="N779" t="s">
        <v>3174</v>
      </c>
      <c r="O779">
        <v>1338</v>
      </c>
      <c r="P779" t="s">
        <v>3824</v>
      </c>
      <c r="R779">
        <v>182</v>
      </c>
      <c r="S779">
        <v>0</v>
      </c>
      <c r="T779">
        <v>31</v>
      </c>
      <c r="U779">
        <v>0</v>
      </c>
      <c r="V779">
        <v>0</v>
      </c>
      <c r="W779">
        <v>0</v>
      </c>
      <c r="X779">
        <v>31</v>
      </c>
      <c r="Y779">
        <v>0</v>
      </c>
      <c r="Z779">
        <v>0</v>
      </c>
      <c r="AA779">
        <v>0</v>
      </c>
      <c r="AE779" s="30">
        <v>45777.416666666664</v>
      </c>
      <c r="AF779" s="30">
        <v>45783.375</v>
      </c>
      <c r="AH779" s="30">
        <v>45744.541666666664</v>
      </c>
      <c r="AI779" s="30">
        <v>45750.458333333336</v>
      </c>
      <c r="AJ779" s="30">
        <v>45744.541666666664</v>
      </c>
      <c r="AK779" s="30">
        <v>45750.458333333336</v>
      </c>
      <c r="AL779" s="30">
        <v>45744.541666666664</v>
      </c>
      <c r="AM779" s="30">
        <v>45750.458333333336</v>
      </c>
      <c r="AN779" s="30">
        <v>45777.416666666664</v>
      </c>
      <c r="AO779" s="30">
        <v>45783.375</v>
      </c>
      <c r="AQ779" t="s">
        <v>3171</v>
      </c>
      <c r="AV779" t="s">
        <v>3823</v>
      </c>
      <c r="AW779" t="s">
        <v>3822</v>
      </c>
      <c r="AZ779" t="s">
        <v>1265</v>
      </c>
      <c r="BA779">
        <v>0</v>
      </c>
      <c r="BB779">
        <v>0</v>
      </c>
      <c r="BJ779" s="30">
        <v>46069.518055555556</v>
      </c>
      <c r="BK779" s="30">
        <v>46093.595138888886</v>
      </c>
      <c r="BL779" t="s">
        <v>1259</v>
      </c>
      <c r="BM779" t="s">
        <v>1259</v>
      </c>
      <c r="BO779" t="s">
        <v>1265</v>
      </c>
    </row>
    <row r="780" spans="1:67" x14ac:dyDescent="0.25">
      <c r="A780" t="s">
        <v>1248</v>
      </c>
      <c r="B780">
        <v>352162</v>
      </c>
      <c r="C780">
        <v>405</v>
      </c>
      <c r="D780">
        <v>51481</v>
      </c>
      <c r="E780">
        <v>1117</v>
      </c>
      <c r="F780">
        <v>0</v>
      </c>
      <c r="G780" t="s">
        <v>1265</v>
      </c>
      <c r="H780">
        <v>1</v>
      </c>
      <c r="I780" t="s">
        <v>1265</v>
      </c>
      <c r="J780" t="s">
        <v>1265</v>
      </c>
      <c r="K780" t="s">
        <v>3191</v>
      </c>
      <c r="L780" t="s">
        <v>3176</v>
      </c>
      <c r="M780" t="s">
        <v>3190</v>
      </c>
      <c r="N780" t="s">
        <v>3174</v>
      </c>
      <c r="O780">
        <v>1348</v>
      </c>
      <c r="P780" t="s">
        <v>3821</v>
      </c>
      <c r="R780">
        <v>182</v>
      </c>
      <c r="S780">
        <v>0</v>
      </c>
      <c r="T780">
        <v>47</v>
      </c>
      <c r="U780">
        <v>0</v>
      </c>
      <c r="V780">
        <v>0</v>
      </c>
      <c r="W780">
        <v>0</v>
      </c>
      <c r="X780">
        <v>47</v>
      </c>
      <c r="Y780">
        <v>0</v>
      </c>
      <c r="Z780">
        <v>0</v>
      </c>
      <c r="AA780">
        <v>0</v>
      </c>
      <c r="AE780" s="30">
        <v>45783.375</v>
      </c>
      <c r="AF780" s="30">
        <v>45790.708333333336</v>
      </c>
      <c r="AH780" s="30">
        <v>45750.458333333336</v>
      </c>
      <c r="AI780" s="30">
        <v>45758.416666666664</v>
      </c>
      <c r="AJ780" s="30">
        <v>45750.458333333336</v>
      </c>
      <c r="AK780" s="30">
        <v>45758.416666666664</v>
      </c>
      <c r="AL780" s="30">
        <v>45750.458333333336</v>
      </c>
      <c r="AM780" s="30">
        <v>45758.416666666664</v>
      </c>
      <c r="AN780" s="30">
        <v>45783.375</v>
      </c>
      <c r="AO780" s="30">
        <v>45790.708333333336</v>
      </c>
      <c r="AQ780" t="s">
        <v>3171</v>
      </c>
      <c r="AV780" t="s">
        <v>3820</v>
      </c>
      <c r="AW780" t="s">
        <v>3819</v>
      </c>
      <c r="AZ780" t="s">
        <v>1265</v>
      </c>
      <c r="BA780">
        <v>0</v>
      </c>
      <c r="BB780">
        <v>0</v>
      </c>
      <c r="BJ780" s="30">
        <v>46069.518055555556</v>
      </c>
      <c r="BK780" s="30">
        <v>46093.595138888886</v>
      </c>
      <c r="BL780" t="s">
        <v>1259</v>
      </c>
      <c r="BM780" t="s">
        <v>1259</v>
      </c>
      <c r="BO780" t="s">
        <v>1265</v>
      </c>
    </row>
    <row r="781" spans="1:67" x14ac:dyDescent="0.25">
      <c r="A781" t="s">
        <v>1248</v>
      </c>
      <c r="B781">
        <v>352163</v>
      </c>
      <c r="C781">
        <v>405</v>
      </c>
      <c r="D781">
        <v>53303</v>
      </c>
      <c r="E781">
        <v>1117</v>
      </c>
      <c r="F781">
        <v>0</v>
      </c>
      <c r="G781" t="s">
        <v>1265</v>
      </c>
      <c r="H781">
        <v>1</v>
      </c>
      <c r="I781" t="s">
        <v>1265</v>
      </c>
      <c r="J781" t="s">
        <v>1265</v>
      </c>
      <c r="K781" t="s">
        <v>3191</v>
      </c>
      <c r="L781" t="s">
        <v>3176</v>
      </c>
      <c r="M781" t="s">
        <v>3190</v>
      </c>
      <c r="N781" t="s">
        <v>3174</v>
      </c>
      <c r="O781">
        <v>1358</v>
      </c>
      <c r="P781" t="s">
        <v>3818</v>
      </c>
      <c r="R781">
        <v>564</v>
      </c>
      <c r="S781">
        <v>8</v>
      </c>
      <c r="T781">
        <v>7</v>
      </c>
      <c r="U781">
        <v>0</v>
      </c>
      <c r="V781">
        <v>0</v>
      </c>
      <c r="W781">
        <v>0</v>
      </c>
      <c r="X781">
        <v>7</v>
      </c>
      <c r="Y781">
        <v>0</v>
      </c>
      <c r="Z781">
        <v>0</v>
      </c>
      <c r="AA781">
        <v>0</v>
      </c>
      <c r="AE781" s="30">
        <v>45856.625</v>
      </c>
      <c r="AF781" s="30">
        <v>45859.583333333336</v>
      </c>
      <c r="AH781" s="30">
        <v>45758.416666666664</v>
      </c>
      <c r="AI781" s="30">
        <v>45761.375</v>
      </c>
      <c r="AJ781" s="30">
        <v>45758.416666666664</v>
      </c>
      <c r="AK781" s="30">
        <v>45761.375</v>
      </c>
      <c r="AL781" s="30">
        <v>45758.416666666664</v>
      </c>
      <c r="AM781" s="30">
        <v>45761.375</v>
      </c>
      <c r="AN781" s="30">
        <v>45856.625</v>
      </c>
      <c r="AO781" s="30">
        <v>45859.583333333336</v>
      </c>
      <c r="AQ781" t="s">
        <v>3171</v>
      </c>
      <c r="AV781" t="s">
        <v>3817</v>
      </c>
      <c r="AW781" t="s">
        <v>3816</v>
      </c>
      <c r="AZ781" t="s">
        <v>1265</v>
      </c>
      <c r="BA781">
        <v>0</v>
      </c>
      <c r="BB781">
        <v>0</v>
      </c>
      <c r="BJ781" s="30">
        <v>46069.518055555556</v>
      </c>
      <c r="BK781" s="30">
        <v>46093.73333333333</v>
      </c>
      <c r="BL781" t="s">
        <v>1259</v>
      </c>
      <c r="BM781" t="s">
        <v>1259</v>
      </c>
      <c r="BO781" t="s">
        <v>1265</v>
      </c>
    </row>
    <row r="782" spans="1:67" x14ac:dyDescent="0.25">
      <c r="A782" t="s">
        <v>1248</v>
      </c>
      <c r="B782">
        <v>352164</v>
      </c>
      <c r="C782">
        <v>405</v>
      </c>
      <c r="D782">
        <v>53303</v>
      </c>
      <c r="E782">
        <v>1117</v>
      </c>
      <c r="F782">
        <v>0</v>
      </c>
      <c r="G782" t="s">
        <v>1265</v>
      </c>
      <c r="H782">
        <v>1</v>
      </c>
      <c r="I782" t="s">
        <v>1265</v>
      </c>
      <c r="J782" t="s">
        <v>1265</v>
      </c>
      <c r="K782" t="s">
        <v>3191</v>
      </c>
      <c r="L782" t="s">
        <v>3176</v>
      </c>
      <c r="M782" t="s">
        <v>3190</v>
      </c>
      <c r="N782" t="s">
        <v>3174</v>
      </c>
      <c r="O782">
        <v>1368</v>
      </c>
      <c r="P782" t="s">
        <v>3815</v>
      </c>
      <c r="R782">
        <v>231</v>
      </c>
      <c r="S782">
        <v>8</v>
      </c>
      <c r="T782">
        <v>15</v>
      </c>
      <c r="U782">
        <v>0</v>
      </c>
      <c r="V782">
        <v>0</v>
      </c>
      <c r="W782">
        <v>0</v>
      </c>
      <c r="X782">
        <v>15</v>
      </c>
      <c r="Y782">
        <v>0</v>
      </c>
      <c r="Z782">
        <v>0</v>
      </c>
      <c r="AA782">
        <v>0</v>
      </c>
      <c r="AE782" s="30">
        <v>45761.625</v>
      </c>
      <c r="AF782" s="30">
        <v>45763.583333333336</v>
      </c>
      <c r="AH782" s="30">
        <v>45720.666666666664</v>
      </c>
      <c r="AI782" s="30">
        <v>45722.625</v>
      </c>
      <c r="AJ782" s="30">
        <v>45720.666666666664</v>
      </c>
      <c r="AK782" s="30">
        <v>45722.625</v>
      </c>
      <c r="AL782" s="30">
        <v>45720.666666666664</v>
      </c>
      <c r="AM782" s="30">
        <v>45722.625</v>
      </c>
      <c r="AN782" s="30">
        <v>45761.625</v>
      </c>
      <c r="AO782" s="30">
        <v>45763.583333333336</v>
      </c>
      <c r="AQ782" t="s">
        <v>3171</v>
      </c>
      <c r="AV782" t="s">
        <v>3814</v>
      </c>
      <c r="AW782" t="s">
        <v>3813</v>
      </c>
      <c r="AZ782" t="s">
        <v>1265</v>
      </c>
      <c r="BA782">
        <v>0</v>
      </c>
      <c r="BB782">
        <v>0</v>
      </c>
      <c r="BJ782" s="30">
        <v>46069.518055555556</v>
      </c>
      <c r="BK782" s="30">
        <v>46093.595138888886</v>
      </c>
      <c r="BL782" t="s">
        <v>1259</v>
      </c>
      <c r="BM782" t="s">
        <v>1259</v>
      </c>
      <c r="BO782" t="s">
        <v>1265</v>
      </c>
    </row>
    <row r="783" spans="1:67" x14ac:dyDescent="0.25">
      <c r="A783" t="s">
        <v>1248</v>
      </c>
      <c r="B783">
        <v>352165</v>
      </c>
      <c r="C783">
        <v>405</v>
      </c>
      <c r="D783">
        <v>51482</v>
      </c>
      <c r="E783">
        <v>1117</v>
      </c>
      <c r="F783">
        <v>0</v>
      </c>
      <c r="G783" t="s">
        <v>1265</v>
      </c>
      <c r="H783">
        <v>1</v>
      </c>
      <c r="I783" t="s">
        <v>1265</v>
      </c>
      <c r="J783" t="s">
        <v>1265</v>
      </c>
      <c r="K783" t="s">
        <v>3191</v>
      </c>
      <c r="L783" t="s">
        <v>3176</v>
      </c>
      <c r="M783" t="s">
        <v>3190</v>
      </c>
      <c r="N783" t="s">
        <v>3174</v>
      </c>
      <c r="O783">
        <v>1378</v>
      </c>
      <c r="P783" t="s">
        <v>3812</v>
      </c>
      <c r="R783">
        <v>223</v>
      </c>
      <c r="S783">
        <v>0</v>
      </c>
      <c r="T783">
        <v>23</v>
      </c>
      <c r="U783">
        <v>0</v>
      </c>
      <c r="V783">
        <v>0</v>
      </c>
      <c r="W783">
        <v>0</v>
      </c>
      <c r="X783">
        <v>23</v>
      </c>
      <c r="Y783">
        <v>0</v>
      </c>
      <c r="Z783">
        <v>0</v>
      </c>
      <c r="AA783">
        <v>0</v>
      </c>
      <c r="AE783" s="30">
        <v>45763.583333333336</v>
      </c>
      <c r="AF783" s="30">
        <v>45768.5</v>
      </c>
      <c r="AH783" s="30">
        <v>45723.625</v>
      </c>
      <c r="AI783" s="30">
        <v>45728.583333333336</v>
      </c>
      <c r="AJ783" s="30">
        <v>45723.625</v>
      </c>
      <c r="AK783" s="30">
        <v>45728.583333333336</v>
      </c>
      <c r="AL783" s="30">
        <v>45723.625</v>
      </c>
      <c r="AM783" s="30">
        <v>45728.583333333336</v>
      </c>
      <c r="AN783" s="30">
        <v>45763.583333333336</v>
      </c>
      <c r="AO783" s="30">
        <v>45768.5</v>
      </c>
      <c r="AQ783" t="s">
        <v>3171</v>
      </c>
      <c r="AV783" t="s">
        <v>3811</v>
      </c>
      <c r="AW783" t="s">
        <v>3810</v>
      </c>
      <c r="AZ783" t="s">
        <v>1265</v>
      </c>
      <c r="BA783">
        <v>0</v>
      </c>
      <c r="BB783">
        <v>0</v>
      </c>
      <c r="BJ783" s="30">
        <v>46069.518055555556</v>
      </c>
      <c r="BK783" s="30">
        <v>46093.595138888886</v>
      </c>
      <c r="BL783" t="s">
        <v>1259</v>
      </c>
      <c r="BM783" t="s">
        <v>1259</v>
      </c>
      <c r="BO783" t="s">
        <v>1265</v>
      </c>
    </row>
    <row r="784" spans="1:67" x14ac:dyDescent="0.25">
      <c r="A784" t="s">
        <v>1248</v>
      </c>
      <c r="B784">
        <v>352166</v>
      </c>
      <c r="C784">
        <v>405</v>
      </c>
      <c r="D784">
        <v>51482</v>
      </c>
      <c r="E784">
        <v>1117</v>
      </c>
      <c r="F784">
        <v>0</v>
      </c>
      <c r="G784" t="s">
        <v>1265</v>
      </c>
      <c r="H784">
        <v>1</v>
      </c>
      <c r="I784" t="s">
        <v>1265</v>
      </c>
      <c r="J784" t="s">
        <v>1265</v>
      </c>
      <c r="K784" t="s">
        <v>3191</v>
      </c>
      <c r="L784" t="s">
        <v>3176</v>
      </c>
      <c r="M784" t="s">
        <v>3190</v>
      </c>
      <c r="N784" t="s">
        <v>3174</v>
      </c>
      <c r="O784">
        <v>1388</v>
      </c>
      <c r="P784" t="s">
        <v>3809</v>
      </c>
      <c r="R784">
        <v>223</v>
      </c>
      <c r="S784">
        <v>0</v>
      </c>
      <c r="T784">
        <v>7</v>
      </c>
      <c r="U784">
        <v>0</v>
      </c>
      <c r="V784">
        <v>0</v>
      </c>
      <c r="W784">
        <v>0</v>
      </c>
      <c r="X784">
        <v>7</v>
      </c>
      <c r="Y784">
        <v>0</v>
      </c>
      <c r="Z784">
        <v>0</v>
      </c>
      <c r="AA784">
        <v>0</v>
      </c>
      <c r="AE784" s="30">
        <v>45768.541666666664</v>
      </c>
      <c r="AF784" s="30">
        <v>45769.458333333336</v>
      </c>
      <c r="AH784" s="30">
        <v>45728.583333333336</v>
      </c>
      <c r="AI784" s="30">
        <v>45729.5</v>
      </c>
      <c r="AJ784" s="30">
        <v>45728.583333333336</v>
      </c>
      <c r="AK784" s="30">
        <v>45729.5</v>
      </c>
      <c r="AL784" s="30">
        <v>45728.583333333336</v>
      </c>
      <c r="AM784" s="30">
        <v>45729.5</v>
      </c>
      <c r="AN784" s="30">
        <v>45768.541666666664</v>
      </c>
      <c r="AO784" s="30">
        <v>45769.458333333336</v>
      </c>
      <c r="AQ784" t="s">
        <v>3171</v>
      </c>
      <c r="AV784" t="s">
        <v>3808</v>
      </c>
      <c r="AW784" t="s">
        <v>3807</v>
      </c>
      <c r="AZ784" t="s">
        <v>1265</v>
      </c>
      <c r="BA784">
        <v>0</v>
      </c>
      <c r="BB784">
        <v>0</v>
      </c>
      <c r="BJ784" s="30">
        <v>46069.518055555556</v>
      </c>
      <c r="BK784" s="30">
        <v>46093.595138888886</v>
      </c>
      <c r="BL784" t="s">
        <v>1259</v>
      </c>
      <c r="BM784" t="s">
        <v>1259</v>
      </c>
      <c r="BO784" t="s">
        <v>1265</v>
      </c>
    </row>
    <row r="785" spans="1:67" x14ac:dyDescent="0.25">
      <c r="A785" t="s">
        <v>1248</v>
      </c>
      <c r="B785">
        <v>352167</v>
      </c>
      <c r="C785">
        <v>405</v>
      </c>
      <c r="D785">
        <v>51482</v>
      </c>
      <c r="E785">
        <v>1117</v>
      </c>
      <c r="F785">
        <v>0</v>
      </c>
      <c r="G785" t="s">
        <v>1265</v>
      </c>
      <c r="H785">
        <v>1</v>
      </c>
      <c r="I785" t="s">
        <v>1265</v>
      </c>
      <c r="J785" t="s">
        <v>1265</v>
      </c>
      <c r="K785" t="s">
        <v>3191</v>
      </c>
      <c r="L785" t="s">
        <v>3176</v>
      </c>
      <c r="M785" t="s">
        <v>3190</v>
      </c>
      <c r="N785" t="s">
        <v>3174</v>
      </c>
      <c r="O785">
        <v>1398</v>
      </c>
      <c r="P785" t="s">
        <v>3806</v>
      </c>
      <c r="R785">
        <v>223</v>
      </c>
      <c r="S785">
        <v>0</v>
      </c>
      <c r="T785">
        <v>15</v>
      </c>
      <c r="U785">
        <v>0</v>
      </c>
      <c r="V785">
        <v>0</v>
      </c>
      <c r="W785">
        <v>0</v>
      </c>
      <c r="X785">
        <v>15</v>
      </c>
      <c r="Y785">
        <v>0</v>
      </c>
      <c r="Z785">
        <v>0</v>
      </c>
      <c r="AA785">
        <v>0</v>
      </c>
      <c r="AE785" s="30">
        <v>45769.458333333336</v>
      </c>
      <c r="AF785" s="30">
        <v>45771.416666666664</v>
      </c>
      <c r="AH785" s="30">
        <v>45729.541666666664</v>
      </c>
      <c r="AI785" s="30">
        <v>45733.458333333336</v>
      </c>
      <c r="AJ785" s="30">
        <v>45729.541666666664</v>
      </c>
      <c r="AK785" s="30">
        <v>45733.458333333336</v>
      </c>
      <c r="AL785" s="30">
        <v>45729.541666666664</v>
      </c>
      <c r="AM785" s="30">
        <v>45733.458333333336</v>
      </c>
      <c r="AN785" s="30">
        <v>45769.458333333336</v>
      </c>
      <c r="AO785" s="30">
        <v>45771.416666666664</v>
      </c>
      <c r="AQ785" t="s">
        <v>3171</v>
      </c>
      <c r="AV785" t="s">
        <v>3805</v>
      </c>
      <c r="AW785" t="s">
        <v>3804</v>
      </c>
      <c r="AZ785" t="s">
        <v>1265</v>
      </c>
      <c r="BA785">
        <v>0</v>
      </c>
      <c r="BB785">
        <v>0</v>
      </c>
      <c r="BJ785" s="30">
        <v>46069.518055555556</v>
      </c>
      <c r="BK785" s="30">
        <v>46093.595138888886</v>
      </c>
      <c r="BL785" t="s">
        <v>1259</v>
      </c>
      <c r="BM785" t="s">
        <v>1259</v>
      </c>
      <c r="BO785" t="s">
        <v>1265</v>
      </c>
    </row>
    <row r="786" spans="1:67" x14ac:dyDescent="0.25">
      <c r="A786" t="s">
        <v>1248</v>
      </c>
      <c r="B786">
        <v>352168</v>
      </c>
      <c r="C786">
        <v>405</v>
      </c>
      <c r="D786">
        <v>51482</v>
      </c>
      <c r="E786">
        <v>1117</v>
      </c>
      <c r="F786">
        <v>0</v>
      </c>
      <c r="G786" t="s">
        <v>1265</v>
      </c>
      <c r="H786">
        <v>1</v>
      </c>
      <c r="I786" t="s">
        <v>1265</v>
      </c>
      <c r="J786" t="s">
        <v>1265</v>
      </c>
      <c r="K786" t="s">
        <v>3191</v>
      </c>
      <c r="L786" t="s">
        <v>3176</v>
      </c>
      <c r="M786" t="s">
        <v>3190</v>
      </c>
      <c r="N786" t="s">
        <v>3174</v>
      </c>
      <c r="O786">
        <v>1408</v>
      </c>
      <c r="P786" t="s">
        <v>3803</v>
      </c>
      <c r="R786">
        <v>223</v>
      </c>
      <c r="S786">
        <v>0</v>
      </c>
      <c r="T786">
        <v>31</v>
      </c>
      <c r="U786">
        <v>0</v>
      </c>
      <c r="V786">
        <v>0</v>
      </c>
      <c r="W786">
        <v>0</v>
      </c>
      <c r="X786">
        <v>31</v>
      </c>
      <c r="Y786">
        <v>0</v>
      </c>
      <c r="Z786">
        <v>0</v>
      </c>
      <c r="AA786">
        <v>0</v>
      </c>
      <c r="AE786" s="30">
        <v>45771.416666666664</v>
      </c>
      <c r="AF786" s="30">
        <v>45777.375</v>
      </c>
      <c r="AH786" s="30">
        <v>45733.458333333336</v>
      </c>
      <c r="AI786" s="30">
        <v>45737.416666666664</v>
      </c>
      <c r="AJ786" s="30">
        <v>45733.458333333336</v>
      </c>
      <c r="AK786" s="30">
        <v>45737.416666666664</v>
      </c>
      <c r="AL786" s="30">
        <v>45733.458333333336</v>
      </c>
      <c r="AM786" s="30">
        <v>45737.416666666664</v>
      </c>
      <c r="AN786" s="30">
        <v>45771.416666666664</v>
      </c>
      <c r="AO786" s="30">
        <v>45777.375</v>
      </c>
      <c r="AQ786" t="s">
        <v>3171</v>
      </c>
      <c r="AV786" t="s">
        <v>3802</v>
      </c>
      <c r="AW786" t="e">
        <f>++Z9jyhbR06wCuBX2A3Onw</f>
        <v>#NAME?</v>
      </c>
      <c r="AZ786" t="s">
        <v>1265</v>
      </c>
      <c r="BA786">
        <v>0</v>
      </c>
      <c r="BB786">
        <v>0</v>
      </c>
      <c r="BJ786" s="30">
        <v>46069.518055555556</v>
      </c>
      <c r="BK786" s="30">
        <v>46093.595138888886</v>
      </c>
      <c r="BL786" t="s">
        <v>1259</v>
      </c>
      <c r="BM786" t="s">
        <v>1259</v>
      </c>
      <c r="BO786" t="s">
        <v>1265</v>
      </c>
    </row>
    <row r="787" spans="1:67" x14ac:dyDescent="0.25">
      <c r="A787" t="s">
        <v>1248</v>
      </c>
      <c r="B787">
        <v>352169</v>
      </c>
      <c r="C787">
        <v>405</v>
      </c>
      <c r="D787">
        <v>51482</v>
      </c>
      <c r="E787">
        <v>1117</v>
      </c>
      <c r="F787">
        <v>0</v>
      </c>
      <c r="G787" t="s">
        <v>1265</v>
      </c>
      <c r="H787">
        <v>1</v>
      </c>
      <c r="I787" t="s">
        <v>1265</v>
      </c>
      <c r="J787" t="s">
        <v>1265</v>
      </c>
      <c r="K787" t="s">
        <v>3191</v>
      </c>
      <c r="L787" t="s">
        <v>3176</v>
      </c>
      <c r="M787" t="s">
        <v>3190</v>
      </c>
      <c r="N787" t="s">
        <v>3174</v>
      </c>
      <c r="O787">
        <v>1418</v>
      </c>
      <c r="P787" t="s">
        <v>3801</v>
      </c>
      <c r="R787">
        <v>223</v>
      </c>
      <c r="S787">
        <v>16</v>
      </c>
      <c r="T787">
        <v>47</v>
      </c>
      <c r="U787">
        <v>0</v>
      </c>
      <c r="V787">
        <v>0</v>
      </c>
      <c r="W787">
        <v>0</v>
      </c>
      <c r="X787">
        <v>47</v>
      </c>
      <c r="Y787">
        <v>0</v>
      </c>
      <c r="Z787">
        <v>0</v>
      </c>
      <c r="AA787">
        <v>0</v>
      </c>
      <c r="AE787" s="30">
        <v>45777.375</v>
      </c>
      <c r="AF787" s="30">
        <v>45784.708333333336</v>
      </c>
      <c r="AH787" s="30">
        <v>45737.416666666664</v>
      </c>
      <c r="AI787" s="30">
        <v>45747.375</v>
      </c>
      <c r="AJ787" s="30">
        <v>45737.416666666664</v>
      </c>
      <c r="AK787" s="30">
        <v>45747.375</v>
      </c>
      <c r="AL787" s="30">
        <v>45737.416666666664</v>
      </c>
      <c r="AM787" s="30">
        <v>45747.375</v>
      </c>
      <c r="AN787" s="30">
        <v>45777.375</v>
      </c>
      <c r="AO787" s="30">
        <v>45784.708333333336</v>
      </c>
      <c r="AQ787" t="s">
        <v>3171</v>
      </c>
      <c r="AV787" t="s">
        <v>3800</v>
      </c>
      <c r="AW787" t="s">
        <v>3799</v>
      </c>
      <c r="AZ787" t="s">
        <v>1265</v>
      </c>
      <c r="BA787">
        <v>0</v>
      </c>
      <c r="BB787">
        <v>0</v>
      </c>
      <c r="BJ787" s="30">
        <v>46069.518055555556</v>
      </c>
      <c r="BK787" s="30">
        <v>46093.595138888886</v>
      </c>
      <c r="BL787" t="s">
        <v>1259</v>
      </c>
      <c r="BM787" t="s">
        <v>1259</v>
      </c>
      <c r="BO787" t="s">
        <v>1265</v>
      </c>
    </row>
    <row r="788" spans="1:67" x14ac:dyDescent="0.25">
      <c r="A788" t="s">
        <v>1248</v>
      </c>
      <c r="B788">
        <v>352170</v>
      </c>
      <c r="C788">
        <v>405</v>
      </c>
      <c r="D788">
        <v>53303</v>
      </c>
      <c r="E788">
        <v>1117</v>
      </c>
      <c r="F788">
        <v>0</v>
      </c>
      <c r="G788" t="s">
        <v>1265</v>
      </c>
      <c r="H788">
        <v>1</v>
      </c>
      <c r="I788" t="s">
        <v>1265</v>
      </c>
      <c r="J788" t="s">
        <v>1265</v>
      </c>
      <c r="K788" t="s">
        <v>3191</v>
      </c>
      <c r="L788" t="s">
        <v>3176</v>
      </c>
      <c r="M788" t="s">
        <v>3190</v>
      </c>
      <c r="N788" t="s">
        <v>3174</v>
      </c>
      <c r="O788">
        <v>1428</v>
      </c>
      <c r="P788" t="s">
        <v>3798</v>
      </c>
      <c r="R788">
        <v>614</v>
      </c>
      <c r="S788">
        <v>50</v>
      </c>
      <c r="T788">
        <v>7</v>
      </c>
      <c r="U788">
        <v>0</v>
      </c>
      <c r="V788">
        <v>0</v>
      </c>
      <c r="W788">
        <v>0</v>
      </c>
      <c r="X788">
        <v>7</v>
      </c>
      <c r="Y788">
        <v>0</v>
      </c>
      <c r="Z788">
        <v>0</v>
      </c>
      <c r="AA788">
        <v>0</v>
      </c>
      <c r="AE788" s="30">
        <v>45855.666666666664</v>
      </c>
      <c r="AF788" s="30">
        <v>45856.625</v>
      </c>
      <c r="AH788" s="30">
        <v>45749.375</v>
      </c>
      <c r="AI788" s="30">
        <v>45749.708333333336</v>
      </c>
      <c r="AJ788" s="30">
        <v>45749.375</v>
      </c>
      <c r="AK788" s="30">
        <v>45749.708333333336</v>
      </c>
      <c r="AL788" s="30">
        <v>45749.375</v>
      </c>
      <c r="AM788" s="30">
        <v>45749.708333333336</v>
      </c>
      <c r="AN788" s="30">
        <v>45855.666666666664</v>
      </c>
      <c r="AO788" s="30">
        <v>45856.625</v>
      </c>
      <c r="AQ788" t="s">
        <v>3171</v>
      </c>
      <c r="AV788" t="s">
        <v>3797</v>
      </c>
      <c r="AW788" t="s">
        <v>3796</v>
      </c>
      <c r="AZ788" t="s">
        <v>1265</v>
      </c>
      <c r="BA788">
        <v>0</v>
      </c>
      <c r="BB788">
        <v>0</v>
      </c>
      <c r="BJ788" s="30">
        <v>46069.518055555556</v>
      </c>
      <c r="BK788" s="30">
        <v>46093.73333333333</v>
      </c>
      <c r="BL788" t="s">
        <v>1259</v>
      </c>
      <c r="BM788" t="s">
        <v>1259</v>
      </c>
      <c r="BO788" t="s">
        <v>1265</v>
      </c>
    </row>
    <row r="789" spans="1:67" x14ac:dyDescent="0.25">
      <c r="A789" t="s">
        <v>1248</v>
      </c>
      <c r="B789">
        <v>352171</v>
      </c>
      <c r="C789">
        <v>405</v>
      </c>
      <c r="D789">
        <v>53303</v>
      </c>
      <c r="E789">
        <v>1117</v>
      </c>
      <c r="F789">
        <v>0</v>
      </c>
      <c r="G789" t="s">
        <v>1265</v>
      </c>
      <c r="H789">
        <v>1</v>
      </c>
      <c r="I789" t="s">
        <v>1265</v>
      </c>
      <c r="J789" t="s">
        <v>1265</v>
      </c>
      <c r="K789" t="s">
        <v>3191</v>
      </c>
      <c r="L789" t="s">
        <v>3176</v>
      </c>
      <c r="M789" t="s">
        <v>3190</v>
      </c>
      <c r="N789" t="s">
        <v>3174</v>
      </c>
      <c r="O789">
        <v>1438</v>
      </c>
      <c r="P789" t="s">
        <v>3795</v>
      </c>
      <c r="R789">
        <v>214</v>
      </c>
      <c r="S789">
        <v>0</v>
      </c>
      <c r="T789">
        <v>15</v>
      </c>
      <c r="U789">
        <v>0</v>
      </c>
      <c r="V789">
        <v>0</v>
      </c>
      <c r="W789">
        <v>0</v>
      </c>
      <c r="X789">
        <v>15</v>
      </c>
      <c r="Y789">
        <v>0</v>
      </c>
      <c r="Z789">
        <v>0</v>
      </c>
      <c r="AA789">
        <v>0</v>
      </c>
      <c r="AE789" s="30">
        <v>45755.625</v>
      </c>
      <c r="AF789" s="30">
        <v>45757.583333333336</v>
      </c>
      <c r="AH789" s="30">
        <v>45719.333333333336</v>
      </c>
      <c r="AI789" s="30">
        <v>45720.666666666664</v>
      </c>
      <c r="AJ789" s="30">
        <v>45719.333333333336</v>
      </c>
      <c r="AK789" s="30">
        <v>45720.666666666664</v>
      </c>
      <c r="AL789" s="30">
        <v>45719.333333333336</v>
      </c>
      <c r="AM789" s="30">
        <v>45720.666666666664</v>
      </c>
      <c r="AN789" s="30">
        <v>45755.625</v>
      </c>
      <c r="AO789" s="30">
        <v>45757.583333333336</v>
      </c>
      <c r="AQ789" t="s">
        <v>3171</v>
      </c>
      <c r="AV789" t="s">
        <v>3794</v>
      </c>
      <c r="AW789" t="s">
        <v>3793</v>
      </c>
      <c r="AZ789" t="s">
        <v>1265</v>
      </c>
      <c r="BA789">
        <v>0</v>
      </c>
      <c r="BB789">
        <v>0</v>
      </c>
      <c r="BJ789" s="30">
        <v>46069.518055555556</v>
      </c>
      <c r="BK789" s="30">
        <v>46093.595138888886</v>
      </c>
      <c r="BL789" t="s">
        <v>1259</v>
      </c>
      <c r="BM789" t="s">
        <v>1259</v>
      </c>
      <c r="BO789" t="s">
        <v>1265</v>
      </c>
    </row>
    <row r="790" spans="1:67" x14ac:dyDescent="0.25">
      <c r="A790" t="s">
        <v>1248</v>
      </c>
      <c r="B790">
        <v>352172</v>
      </c>
      <c r="C790">
        <v>405</v>
      </c>
      <c r="D790">
        <v>51483</v>
      </c>
      <c r="E790">
        <v>1117</v>
      </c>
      <c r="F790">
        <v>0</v>
      </c>
      <c r="G790" t="s">
        <v>1265</v>
      </c>
      <c r="H790">
        <v>1</v>
      </c>
      <c r="I790" t="s">
        <v>1265</v>
      </c>
      <c r="J790" t="s">
        <v>1265</v>
      </c>
      <c r="K790" t="s">
        <v>3191</v>
      </c>
      <c r="L790" t="s">
        <v>3176</v>
      </c>
      <c r="M790" t="s">
        <v>3190</v>
      </c>
      <c r="N790" t="s">
        <v>3174</v>
      </c>
      <c r="O790">
        <v>147</v>
      </c>
      <c r="P790" t="s">
        <v>3792</v>
      </c>
      <c r="R790">
        <v>214</v>
      </c>
      <c r="S790">
        <v>0</v>
      </c>
      <c r="T790">
        <v>23</v>
      </c>
      <c r="U790">
        <v>0</v>
      </c>
      <c r="V790">
        <v>0</v>
      </c>
      <c r="W790">
        <v>0</v>
      </c>
      <c r="X790">
        <v>23</v>
      </c>
      <c r="Y790">
        <v>0</v>
      </c>
      <c r="Z790">
        <v>0</v>
      </c>
      <c r="AA790">
        <v>0</v>
      </c>
      <c r="AE790" s="30">
        <v>45757.583333333336</v>
      </c>
      <c r="AF790" s="30">
        <v>45762.5</v>
      </c>
      <c r="AH790" s="30">
        <v>45720.666666666664</v>
      </c>
      <c r="AI790" s="30">
        <v>45723.625</v>
      </c>
      <c r="AJ790" s="30">
        <v>45720.666666666664</v>
      </c>
      <c r="AK790" s="30">
        <v>45723.625</v>
      </c>
      <c r="AL790" s="30">
        <v>45720.666666666664</v>
      </c>
      <c r="AM790" s="30">
        <v>45723.625</v>
      </c>
      <c r="AN790" s="30">
        <v>45757.583333333336</v>
      </c>
      <c r="AO790" s="30">
        <v>45762.5</v>
      </c>
      <c r="AQ790" t="s">
        <v>3171</v>
      </c>
      <c r="AV790" t="s">
        <v>3791</v>
      </c>
      <c r="AW790" t="s">
        <v>3790</v>
      </c>
      <c r="AZ790" t="s">
        <v>1265</v>
      </c>
      <c r="BA790">
        <v>0</v>
      </c>
      <c r="BB790">
        <v>0</v>
      </c>
      <c r="BJ790" s="30">
        <v>46069.518055555556</v>
      </c>
      <c r="BK790" s="30">
        <v>46093.595138888886</v>
      </c>
      <c r="BL790" t="s">
        <v>1259</v>
      </c>
      <c r="BM790" t="s">
        <v>1259</v>
      </c>
      <c r="BO790" t="s">
        <v>1265</v>
      </c>
    </row>
    <row r="791" spans="1:67" x14ac:dyDescent="0.25">
      <c r="A791" t="s">
        <v>1248</v>
      </c>
      <c r="B791">
        <v>352173</v>
      </c>
      <c r="C791">
        <v>405</v>
      </c>
      <c r="D791">
        <v>51483</v>
      </c>
      <c r="E791">
        <v>1117</v>
      </c>
      <c r="F791">
        <v>0</v>
      </c>
      <c r="G791" t="s">
        <v>1265</v>
      </c>
      <c r="H791">
        <v>1</v>
      </c>
      <c r="I791" t="s">
        <v>1265</v>
      </c>
      <c r="J791" t="s">
        <v>1265</v>
      </c>
      <c r="K791" t="s">
        <v>3191</v>
      </c>
      <c r="L791" t="s">
        <v>3176</v>
      </c>
      <c r="M791" t="s">
        <v>3190</v>
      </c>
      <c r="N791" t="s">
        <v>3174</v>
      </c>
      <c r="O791">
        <v>1448</v>
      </c>
      <c r="P791" t="s">
        <v>3789</v>
      </c>
      <c r="R791">
        <v>214</v>
      </c>
      <c r="S791">
        <v>0</v>
      </c>
      <c r="T791">
        <v>7</v>
      </c>
      <c r="U791">
        <v>0</v>
      </c>
      <c r="V791">
        <v>0</v>
      </c>
      <c r="W791">
        <v>0</v>
      </c>
      <c r="X791">
        <v>7</v>
      </c>
      <c r="Y791">
        <v>0</v>
      </c>
      <c r="Z791">
        <v>0</v>
      </c>
      <c r="AA791">
        <v>0</v>
      </c>
      <c r="AE791" s="30">
        <v>45762.541666666664</v>
      </c>
      <c r="AF791" s="30">
        <v>45763.458333333336</v>
      </c>
      <c r="AH791" s="30">
        <v>45723.625</v>
      </c>
      <c r="AI791" s="30">
        <v>45726.583333333336</v>
      </c>
      <c r="AJ791" s="30">
        <v>45723.625</v>
      </c>
      <c r="AK791" s="30">
        <v>45726.583333333336</v>
      </c>
      <c r="AL791" s="30">
        <v>45723.625</v>
      </c>
      <c r="AM791" s="30">
        <v>45726.583333333336</v>
      </c>
      <c r="AN791" s="30">
        <v>45762.541666666664</v>
      </c>
      <c r="AO791" s="30">
        <v>45763.458333333336</v>
      </c>
      <c r="AQ791" t="s">
        <v>3171</v>
      </c>
      <c r="AV791" t="s">
        <v>3788</v>
      </c>
      <c r="AW791" t="s">
        <v>3787</v>
      </c>
      <c r="AZ791" t="s">
        <v>1265</v>
      </c>
      <c r="BA791">
        <v>0</v>
      </c>
      <c r="BB791">
        <v>0</v>
      </c>
      <c r="BJ791" s="30">
        <v>46069.518055555556</v>
      </c>
      <c r="BK791" s="30">
        <v>46093.595138888886</v>
      </c>
      <c r="BL791" t="s">
        <v>1259</v>
      </c>
      <c r="BM791" t="s">
        <v>1259</v>
      </c>
      <c r="BO791" t="s">
        <v>1265</v>
      </c>
    </row>
    <row r="792" spans="1:67" x14ac:dyDescent="0.25">
      <c r="A792" t="s">
        <v>1248</v>
      </c>
      <c r="B792">
        <v>352174</v>
      </c>
      <c r="C792">
        <v>405</v>
      </c>
      <c r="D792">
        <v>51483</v>
      </c>
      <c r="E792">
        <v>1117</v>
      </c>
      <c r="F792">
        <v>0</v>
      </c>
      <c r="G792" t="s">
        <v>1265</v>
      </c>
      <c r="H792">
        <v>1</v>
      </c>
      <c r="I792" t="s">
        <v>1265</v>
      </c>
      <c r="J792" t="s">
        <v>1265</v>
      </c>
      <c r="K792" t="s">
        <v>3191</v>
      </c>
      <c r="L792" t="s">
        <v>3176</v>
      </c>
      <c r="M792" t="s">
        <v>3190</v>
      </c>
      <c r="N792" t="s">
        <v>3174</v>
      </c>
      <c r="O792">
        <v>1458</v>
      </c>
      <c r="P792" t="s">
        <v>3786</v>
      </c>
      <c r="R792">
        <v>214</v>
      </c>
      <c r="S792">
        <v>0</v>
      </c>
      <c r="T792">
        <v>15</v>
      </c>
      <c r="U792">
        <v>0</v>
      </c>
      <c r="V792">
        <v>0</v>
      </c>
      <c r="W792">
        <v>0</v>
      </c>
      <c r="X792">
        <v>15</v>
      </c>
      <c r="Y792">
        <v>0</v>
      </c>
      <c r="Z792">
        <v>0</v>
      </c>
      <c r="AA792">
        <v>0</v>
      </c>
      <c r="AE792" s="30">
        <v>45763.458333333336</v>
      </c>
      <c r="AF792" s="30">
        <v>45765.416666666664</v>
      </c>
      <c r="AH792" s="30">
        <v>45726.583333333336</v>
      </c>
      <c r="AI792" s="30">
        <v>45728.5</v>
      </c>
      <c r="AJ792" s="30">
        <v>45726.583333333336</v>
      </c>
      <c r="AK792" s="30">
        <v>45728.5</v>
      </c>
      <c r="AL792" s="30">
        <v>45726.583333333336</v>
      </c>
      <c r="AM792" s="30">
        <v>45728.5</v>
      </c>
      <c r="AN792" s="30">
        <v>45763.458333333336</v>
      </c>
      <c r="AO792" s="30">
        <v>45765.416666666664</v>
      </c>
      <c r="AQ792" t="s">
        <v>3171</v>
      </c>
      <c r="AV792" t="s">
        <v>3785</v>
      </c>
      <c r="AW792" t="e">
        <f>+KWp3Pm+Kk6621iFCMpLKQ</f>
        <v>#NAME?</v>
      </c>
      <c r="AZ792" t="s">
        <v>1265</v>
      </c>
      <c r="BA792">
        <v>0</v>
      </c>
      <c r="BB792">
        <v>0</v>
      </c>
      <c r="BJ792" s="30">
        <v>46069.518055555556</v>
      </c>
      <c r="BK792" s="30">
        <v>46093.595138888886</v>
      </c>
      <c r="BL792" t="s">
        <v>1259</v>
      </c>
      <c r="BM792" t="s">
        <v>1259</v>
      </c>
      <c r="BO792" t="s">
        <v>1265</v>
      </c>
    </row>
    <row r="793" spans="1:67" x14ac:dyDescent="0.25">
      <c r="A793" t="s">
        <v>1248</v>
      </c>
      <c r="B793">
        <v>352175</v>
      </c>
      <c r="C793">
        <v>405</v>
      </c>
      <c r="D793">
        <v>51483</v>
      </c>
      <c r="E793">
        <v>1117</v>
      </c>
      <c r="F793">
        <v>0</v>
      </c>
      <c r="G793" t="s">
        <v>1265</v>
      </c>
      <c r="H793">
        <v>1</v>
      </c>
      <c r="I793" t="s">
        <v>1265</v>
      </c>
      <c r="J793" t="s">
        <v>1265</v>
      </c>
      <c r="K793" t="s">
        <v>3191</v>
      </c>
      <c r="L793" t="s">
        <v>3176</v>
      </c>
      <c r="M793" t="s">
        <v>3190</v>
      </c>
      <c r="N793" t="s">
        <v>3174</v>
      </c>
      <c r="O793">
        <v>1468</v>
      </c>
      <c r="P793" t="s">
        <v>3784</v>
      </c>
      <c r="R793">
        <v>214</v>
      </c>
      <c r="S793">
        <v>0</v>
      </c>
      <c r="T793">
        <v>31</v>
      </c>
      <c r="U793">
        <v>0</v>
      </c>
      <c r="V793">
        <v>0</v>
      </c>
      <c r="W793">
        <v>0</v>
      </c>
      <c r="X793">
        <v>31</v>
      </c>
      <c r="Y793">
        <v>0</v>
      </c>
      <c r="Z793">
        <v>0</v>
      </c>
      <c r="AA793">
        <v>0</v>
      </c>
      <c r="AE793" s="30">
        <v>45765.416666666664</v>
      </c>
      <c r="AF793" s="30">
        <v>45771.375</v>
      </c>
      <c r="AH793" s="30">
        <v>45728.541666666664</v>
      </c>
      <c r="AI793" s="30">
        <v>45734.458333333336</v>
      </c>
      <c r="AJ793" s="30">
        <v>45728.541666666664</v>
      </c>
      <c r="AK793" s="30">
        <v>45734.458333333336</v>
      </c>
      <c r="AL793" s="30">
        <v>45728.541666666664</v>
      </c>
      <c r="AM793" s="30">
        <v>45734.458333333336</v>
      </c>
      <c r="AN793" s="30">
        <v>45765.416666666664</v>
      </c>
      <c r="AO793" s="30">
        <v>45771.375</v>
      </c>
      <c r="AQ793" t="s">
        <v>3171</v>
      </c>
      <c r="AV793" t="s">
        <v>3783</v>
      </c>
      <c r="AW793" t="s">
        <v>3782</v>
      </c>
      <c r="AZ793" t="s">
        <v>1265</v>
      </c>
      <c r="BA793">
        <v>0</v>
      </c>
      <c r="BB793">
        <v>0</v>
      </c>
      <c r="BJ793" s="30">
        <v>46069.518055555556</v>
      </c>
      <c r="BK793" s="30">
        <v>46093.595138888886</v>
      </c>
      <c r="BL793" t="s">
        <v>1259</v>
      </c>
      <c r="BM793" t="s">
        <v>1259</v>
      </c>
      <c r="BO793" t="s">
        <v>1265</v>
      </c>
    </row>
    <row r="794" spans="1:67" x14ac:dyDescent="0.25">
      <c r="A794" t="s">
        <v>1248</v>
      </c>
      <c r="B794">
        <v>352176</v>
      </c>
      <c r="C794">
        <v>405</v>
      </c>
      <c r="D794">
        <v>51483</v>
      </c>
      <c r="E794">
        <v>1117</v>
      </c>
      <c r="F794">
        <v>0</v>
      </c>
      <c r="G794" t="s">
        <v>1265</v>
      </c>
      <c r="H794">
        <v>1</v>
      </c>
      <c r="I794" t="s">
        <v>1265</v>
      </c>
      <c r="J794" t="s">
        <v>1265</v>
      </c>
      <c r="K794" t="s">
        <v>3191</v>
      </c>
      <c r="L794" t="s">
        <v>3176</v>
      </c>
      <c r="M794" t="s">
        <v>3190</v>
      </c>
      <c r="N794" t="s">
        <v>3174</v>
      </c>
      <c r="O794">
        <v>1478</v>
      </c>
      <c r="P794" t="s">
        <v>3781</v>
      </c>
      <c r="R794">
        <v>214</v>
      </c>
      <c r="S794">
        <v>32</v>
      </c>
      <c r="T794">
        <v>47</v>
      </c>
      <c r="U794">
        <v>0</v>
      </c>
      <c r="V794">
        <v>0</v>
      </c>
      <c r="W794">
        <v>0</v>
      </c>
      <c r="X794">
        <v>47</v>
      </c>
      <c r="Y794">
        <v>0</v>
      </c>
      <c r="Z794">
        <v>0</v>
      </c>
      <c r="AA794">
        <v>0</v>
      </c>
      <c r="AE794" s="30">
        <v>45771.375</v>
      </c>
      <c r="AF794" s="30">
        <v>45778.708333333336</v>
      </c>
      <c r="AH794" s="30">
        <v>45734.458333333336</v>
      </c>
      <c r="AI794" s="30">
        <v>45742.416666666664</v>
      </c>
      <c r="AJ794" s="30">
        <v>45734.458333333336</v>
      </c>
      <c r="AK794" s="30">
        <v>45742.416666666664</v>
      </c>
      <c r="AL794" s="30">
        <v>45734.458333333336</v>
      </c>
      <c r="AM794" s="30">
        <v>45742.416666666664</v>
      </c>
      <c r="AN794" s="30">
        <v>45771.375</v>
      </c>
      <c r="AO794" s="30">
        <v>45778.708333333336</v>
      </c>
      <c r="AQ794" t="s">
        <v>3171</v>
      </c>
      <c r="AV794" t="s">
        <v>3780</v>
      </c>
      <c r="AW794" t="s">
        <v>3779</v>
      </c>
      <c r="AZ794" t="s">
        <v>1265</v>
      </c>
      <c r="BA794">
        <v>0</v>
      </c>
      <c r="BB794">
        <v>0</v>
      </c>
      <c r="BJ794" s="30">
        <v>46069.518055555556</v>
      </c>
      <c r="BK794" s="30">
        <v>46093.595138888886</v>
      </c>
      <c r="BL794" t="s">
        <v>1259</v>
      </c>
      <c r="BM794" t="s">
        <v>1259</v>
      </c>
      <c r="BO794" t="s">
        <v>1265</v>
      </c>
    </row>
    <row r="795" spans="1:67" x14ac:dyDescent="0.25">
      <c r="A795" t="s">
        <v>1248</v>
      </c>
      <c r="B795">
        <v>352177</v>
      </c>
      <c r="C795">
        <v>405</v>
      </c>
      <c r="D795">
        <v>53303</v>
      </c>
      <c r="E795">
        <v>1117</v>
      </c>
      <c r="F795">
        <v>0</v>
      </c>
      <c r="G795" t="s">
        <v>1265</v>
      </c>
      <c r="H795">
        <v>1</v>
      </c>
      <c r="I795" t="s">
        <v>1265</v>
      </c>
      <c r="J795" t="s">
        <v>1265</v>
      </c>
      <c r="K795" t="s">
        <v>3191</v>
      </c>
      <c r="L795" t="s">
        <v>3176</v>
      </c>
      <c r="M795" t="s">
        <v>3190</v>
      </c>
      <c r="N795" t="s">
        <v>3174</v>
      </c>
      <c r="O795">
        <v>1488</v>
      </c>
      <c r="P795" t="s">
        <v>3778</v>
      </c>
      <c r="R795">
        <v>614</v>
      </c>
      <c r="S795">
        <v>0</v>
      </c>
      <c r="T795">
        <v>7</v>
      </c>
      <c r="U795">
        <v>0</v>
      </c>
      <c r="V795">
        <v>0</v>
      </c>
      <c r="W795">
        <v>0</v>
      </c>
      <c r="X795">
        <v>7</v>
      </c>
      <c r="Y795">
        <v>0</v>
      </c>
      <c r="Z795">
        <v>0</v>
      </c>
      <c r="AA795">
        <v>0</v>
      </c>
      <c r="AE795" s="30">
        <v>45855.333333333336</v>
      </c>
      <c r="AF795" s="30">
        <v>45855.666666666664</v>
      </c>
      <c r="AH795" s="30">
        <v>45748.416666666664</v>
      </c>
      <c r="AI795" s="30">
        <v>45749.375</v>
      </c>
      <c r="AJ795" s="30">
        <v>45748.416666666664</v>
      </c>
      <c r="AK795" s="30">
        <v>45749.375</v>
      </c>
      <c r="AL795" s="30">
        <v>45748.416666666664</v>
      </c>
      <c r="AM795" s="30">
        <v>45749.375</v>
      </c>
      <c r="AN795" s="30">
        <v>45855.333333333336</v>
      </c>
      <c r="AO795" s="30">
        <v>45855.666666666664</v>
      </c>
      <c r="AQ795" t="s">
        <v>3171</v>
      </c>
      <c r="AV795" t="s">
        <v>3777</v>
      </c>
      <c r="AW795" t="s">
        <v>3776</v>
      </c>
      <c r="AZ795" t="s">
        <v>1265</v>
      </c>
      <c r="BA795">
        <v>0</v>
      </c>
      <c r="BB795">
        <v>0</v>
      </c>
      <c r="BJ795" s="30">
        <v>46069.518055555556</v>
      </c>
      <c r="BK795" s="30">
        <v>46093.73333333333</v>
      </c>
      <c r="BL795" t="s">
        <v>1259</v>
      </c>
      <c r="BM795" t="s">
        <v>1259</v>
      </c>
      <c r="BO795" t="s">
        <v>1265</v>
      </c>
    </row>
    <row r="796" spans="1:67" x14ac:dyDescent="0.25">
      <c r="A796" t="s">
        <v>1248</v>
      </c>
      <c r="B796">
        <v>352178</v>
      </c>
      <c r="C796">
        <v>405</v>
      </c>
      <c r="D796">
        <v>53303</v>
      </c>
      <c r="E796">
        <v>1117</v>
      </c>
      <c r="F796">
        <v>0</v>
      </c>
      <c r="G796" t="s">
        <v>1265</v>
      </c>
      <c r="H796">
        <v>1</v>
      </c>
      <c r="I796" t="s">
        <v>1265</v>
      </c>
      <c r="J796" t="s">
        <v>1265</v>
      </c>
      <c r="K796" t="s">
        <v>3191</v>
      </c>
      <c r="L796" t="s">
        <v>3176</v>
      </c>
      <c r="M796" t="s">
        <v>3190</v>
      </c>
      <c r="N796" t="s">
        <v>3174</v>
      </c>
      <c r="O796">
        <v>1498</v>
      </c>
      <c r="P796" t="s">
        <v>3775</v>
      </c>
      <c r="R796">
        <v>166</v>
      </c>
      <c r="S796">
        <v>9</v>
      </c>
      <c r="T796">
        <v>15</v>
      </c>
      <c r="U796">
        <v>0</v>
      </c>
      <c r="V796">
        <v>0</v>
      </c>
      <c r="W796">
        <v>0</v>
      </c>
      <c r="X796">
        <v>15</v>
      </c>
      <c r="Y796">
        <v>0</v>
      </c>
      <c r="Z796">
        <v>0</v>
      </c>
      <c r="AA796">
        <v>0</v>
      </c>
      <c r="AE796" s="30">
        <v>45749.625</v>
      </c>
      <c r="AF796" s="30">
        <v>45751.583333333336</v>
      </c>
      <c r="AH796" s="30">
        <v>45721.333333333336</v>
      </c>
      <c r="AI796" s="30">
        <v>45722.666666666664</v>
      </c>
      <c r="AJ796" s="30">
        <v>45721.333333333336</v>
      </c>
      <c r="AK796" s="30">
        <v>45722.666666666664</v>
      </c>
      <c r="AL796" s="30">
        <v>45721.333333333336</v>
      </c>
      <c r="AM796" s="30">
        <v>45722.666666666664</v>
      </c>
      <c r="AN796" s="30">
        <v>45749.625</v>
      </c>
      <c r="AO796" s="30">
        <v>45751.583333333336</v>
      </c>
      <c r="AQ796" t="s">
        <v>3171</v>
      </c>
      <c r="AV796" t="e">
        <f>+nQvcYTyLkK6wQUawdlzkg</f>
        <v>#NAME?</v>
      </c>
      <c r="AW796" t="s">
        <v>3774</v>
      </c>
      <c r="AZ796" t="s">
        <v>1265</v>
      </c>
      <c r="BA796">
        <v>0</v>
      </c>
      <c r="BB796">
        <v>0</v>
      </c>
      <c r="BJ796" s="30">
        <v>46069.518055555556</v>
      </c>
      <c r="BK796" s="30">
        <v>46093.595138888886</v>
      </c>
      <c r="BL796" t="s">
        <v>1259</v>
      </c>
      <c r="BM796" t="s">
        <v>1259</v>
      </c>
      <c r="BO796" t="s">
        <v>1265</v>
      </c>
    </row>
    <row r="797" spans="1:67" x14ac:dyDescent="0.25">
      <c r="A797" t="s">
        <v>1248</v>
      </c>
      <c r="B797">
        <v>352179</v>
      </c>
      <c r="C797">
        <v>405</v>
      </c>
      <c r="D797">
        <v>51484</v>
      </c>
      <c r="E797">
        <v>1117</v>
      </c>
      <c r="F797">
        <v>0</v>
      </c>
      <c r="G797" t="s">
        <v>1265</v>
      </c>
      <c r="H797">
        <v>1</v>
      </c>
      <c r="I797" t="s">
        <v>1265</v>
      </c>
      <c r="J797" t="s">
        <v>1265</v>
      </c>
      <c r="K797" t="s">
        <v>3191</v>
      </c>
      <c r="L797" t="s">
        <v>3176</v>
      </c>
      <c r="M797" t="s">
        <v>3190</v>
      </c>
      <c r="N797" t="s">
        <v>3174</v>
      </c>
      <c r="O797">
        <v>1508</v>
      </c>
      <c r="P797" t="s">
        <v>3773</v>
      </c>
      <c r="R797">
        <v>157</v>
      </c>
      <c r="S797">
        <v>0</v>
      </c>
      <c r="T797">
        <v>23</v>
      </c>
      <c r="U797">
        <v>0</v>
      </c>
      <c r="V797">
        <v>0</v>
      </c>
      <c r="W797">
        <v>0</v>
      </c>
      <c r="X797">
        <v>23</v>
      </c>
      <c r="Y797">
        <v>0</v>
      </c>
      <c r="Z797">
        <v>0</v>
      </c>
      <c r="AA797">
        <v>0</v>
      </c>
      <c r="AE797" s="30">
        <v>45751.583333333336</v>
      </c>
      <c r="AF797" s="30">
        <v>45756.5</v>
      </c>
      <c r="AH797" s="30">
        <v>45726.333333333336</v>
      </c>
      <c r="AI797" s="30">
        <v>45728.666666666664</v>
      </c>
      <c r="AJ797" s="30">
        <v>45726.333333333336</v>
      </c>
      <c r="AK797" s="30">
        <v>45728.666666666664</v>
      </c>
      <c r="AL797" s="30">
        <v>45726.333333333336</v>
      </c>
      <c r="AM797" s="30">
        <v>45728.666666666664</v>
      </c>
      <c r="AN797" s="30">
        <v>45751.583333333336</v>
      </c>
      <c r="AO797" s="30">
        <v>45756.5</v>
      </c>
      <c r="AQ797" t="s">
        <v>3171</v>
      </c>
      <c r="AV797" t="s">
        <v>3772</v>
      </c>
      <c r="AW797" t="s">
        <v>3771</v>
      </c>
      <c r="AZ797" t="s">
        <v>1265</v>
      </c>
      <c r="BA797">
        <v>0</v>
      </c>
      <c r="BB797">
        <v>0</v>
      </c>
      <c r="BJ797" s="30">
        <v>46069.518055555556</v>
      </c>
      <c r="BK797" s="30">
        <v>46093.595138888886</v>
      </c>
      <c r="BL797" t="s">
        <v>1259</v>
      </c>
      <c r="BM797" t="s">
        <v>1259</v>
      </c>
      <c r="BO797" t="s">
        <v>1265</v>
      </c>
    </row>
    <row r="798" spans="1:67" x14ac:dyDescent="0.25">
      <c r="A798" t="s">
        <v>1248</v>
      </c>
      <c r="B798">
        <v>352180</v>
      </c>
      <c r="C798">
        <v>405</v>
      </c>
      <c r="D798">
        <v>51484</v>
      </c>
      <c r="E798">
        <v>1117</v>
      </c>
      <c r="F798">
        <v>0</v>
      </c>
      <c r="G798" t="s">
        <v>1265</v>
      </c>
      <c r="H798">
        <v>1</v>
      </c>
      <c r="I798" t="s">
        <v>1265</v>
      </c>
      <c r="J798" t="s">
        <v>1265</v>
      </c>
      <c r="K798" t="s">
        <v>3191</v>
      </c>
      <c r="L798" t="s">
        <v>3176</v>
      </c>
      <c r="M798" t="s">
        <v>3190</v>
      </c>
      <c r="N798" t="s">
        <v>3174</v>
      </c>
      <c r="O798">
        <v>1518</v>
      </c>
      <c r="P798" t="s">
        <v>3770</v>
      </c>
      <c r="R798">
        <v>157</v>
      </c>
      <c r="S798">
        <v>0</v>
      </c>
      <c r="T798">
        <v>7</v>
      </c>
      <c r="U798">
        <v>0</v>
      </c>
      <c r="V798">
        <v>0</v>
      </c>
      <c r="W798">
        <v>0</v>
      </c>
      <c r="X798">
        <v>7</v>
      </c>
      <c r="Y798">
        <v>0</v>
      </c>
      <c r="Z798">
        <v>0</v>
      </c>
      <c r="AA798">
        <v>0</v>
      </c>
      <c r="AE798" s="30">
        <v>45756.541666666664</v>
      </c>
      <c r="AF798" s="30">
        <v>45757.458333333336</v>
      </c>
      <c r="AH798" s="30">
        <v>45728.666666666664</v>
      </c>
      <c r="AI798" s="30">
        <v>45729.625</v>
      </c>
      <c r="AJ798" s="30">
        <v>45728.666666666664</v>
      </c>
      <c r="AK798" s="30">
        <v>45729.625</v>
      </c>
      <c r="AL798" s="30">
        <v>45728.666666666664</v>
      </c>
      <c r="AM798" s="30">
        <v>45729.625</v>
      </c>
      <c r="AN798" s="30">
        <v>45756.541666666664</v>
      </c>
      <c r="AO798" s="30">
        <v>45757.458333333336</v>
      </c>
      <c r="AQ798" t="s">
        <v>3171</v>
      </c>
      <c r="AV798" t="s">
        <v>3769</v>
      </c>
      <c r="AW798" t="s">
        <v>3768</v>
      </c>
      <c r="AZ798" t="s">
        <v>1265</v>
      </c>
      <c r="BA798">
        <v>0</v>
      </c>
      <c r="BB798">
        <v>0</v>
      </c>
      <c r="BJ798" s="30">
        <v>46069.518055555556</v>
      </c>
      <c r="BK798" s="30">
        <v>46093.595138888886</v>
      </c>
      <c r="BL798" t="s">
        <v>1259</v>
      </c>
      <c r="BM798" t="s">
        <v>1259</v>
      </c>
      <c r="BO798" t="s">
        <v>1265</v>
      </c>
    </row>
    <row r="799" spans="1:67" x14ac:dyDescent="0.25">
      <c r="A799" t="s">
        <v>1248</v>
      </c>
      <c r="B799">
        <v>352181</v>
      </c>
      <c r="C799">
        <v>405</v>
      </c>
      <c r="D799">
        <v>51484</v>
      </c>
      <c r="E799">
        <v>1117</v>
      </c>
      <c r="F799">
        <v>0</v>
      </c>
      <c r="G799" t="s">
        <v>1265</v>
      </c>
      <c r="H799">
        <v>1</v>
      </c>
      <c r="I799" t="s">
        <v>1265</v>
      </c>
      <c r="J799" t="s">
        <v>1265</v>
      </c>
      <c r="K799" t="s">
        <v>3191</v>
      </c>
      <c r="L799" t="s">
        <v>3176</v>
      </c>
      <c r="M799" t="s">
        <v>3190</v>
      </c>
      <c r="N799" t="s">
        <v>3174</v>
      </c>
      <c r="O799">
        <v>1528</v>
      </c>
      <c r="P799" t="s">
        <v>3767</v>
      </c>
      <c r="R799">
        <v>157</v>
      </c>
      <c r="S799">
        <v>0</v>
      </c>
      <c r="T799">
        <v>15</v>
      </c>
      <c r="U799">
        <v>0</v>
      </c>
      <c r="V799">
        <v>0</v>
      </c>
      <c r="W799">
        <v>0</v>
      </c>
      <c r="X799">
        <v>15</v>
      </c>
      <c r="Y799">
        <v>0</v>
      </c>
      <c r="Z799">
        <v>0</v>
      </c>
      <c r="AA799">
        <v>0</v>
      </c>
      <c r="AE799" s="30">
        <v>45757.458333333336</v>
      </c>
      <c r="AF799" s="30">
        <v>45761.416666666664</v>
      </c>
      <c r="AH799" s="30">
        <v>45729.625</v>
      </c>
      <c r="AI799" s="30">
        <v>45733.583333333336</v>
      </c>
      <c r="AJ799" s="30">
        <v>45729.625</v>
      </c>
      <c r="AK799" s="30">
        <v>45733.583333333336</v>
      </c>
      <c r="AL799" s="30">
        <v>45729.625</v>
      </c>
      <c r="AM799" s="30">
        <v>45733.583333333336</v>
      </c>
      <c r="AN799" s="30">
        <v>45757.458333333336</v>
      </c>
      <c r="AO799" s="30">
        <v>45761.416666666664</v>
      </c>
      <c r="AQ799" t="s">
        <v>3171</v>
      </c>
      <c r="AV799" t="s">
        <v>3766</v>
      </c>
      <c r="AW799" t="s">
        <v>3765</v>
      </c>
      <c r="AZ799" t="s">
        <v>1265</v>
      </c>
      <c r="BA799">
        <v>0</v>
      </c>
      <c r="BB799">
        <v>0</v>
      </c>
      <c r="BJ799" s="30">
        <v>46069.518055555556</v>
      </c>
      <c r="BK799" s="30">
        <v>46093.595138888886</v>
      </c>
      <c r="BL799" t="s">
        <v>1259</v>
      </c>
      <c r="BM799" t="s">
        <v>1259</v>
      </c>
      <c r="BO799" t="s">
        <v>1265</v>
      </c>
    </row>
    <row r="800" spans="1:67" x14ac:dyDescent="0.25">
      <c r="A800" t="s">
        <v>1248</v>
      </c>
      <c r="B800">
        <v>352182</v>
      </c>
      <c r="C800">
        <v>405</v>
      </c>
      <c r="D800">
        <v>51484</v>
      </c>
      <c r="E800">
        <v>1117</v>
      </c>
      <c r="F800">
        <v>0</v>
      </c>
      <c r="G800" t="s">
        <v>1265</v>
      </c>
      <c r="H800">
        <v>1</v>
      </c>
      <c r="I800" t="s">
        <v>1265</v>
      </c>
      <c r="J800" t="s">
        <v>1265</v>
      </c>
      <c r="K800" t="s">
        <v>3191</v>
      </c>
      <c r="L800" t="s">
        <v>3176</v>
      </c>
      <c r="M800" t="s">
        <v>3190</v>
      </c>
      <c r="N800" t="s">
        <v>3174</v>
      </c>
      <c r="O800">
        <v>1538</v>
      </c>
      <c r="P800" t="s">
        <v>3764</v>
      </c>
      <c r="R800">
        <v>157</v>
      </c>
      <c r="S800">
        <v>0</v>
      </c>
      <c r="T800">
        <v>31</v>
      </c>
      <c r="U800">
        <v>0</v>
      </c>
      <c r="V800">
        <v>0</v>
      </c>
      <c r="W800">
        <v>0</v>
      </c>
      <c r="X800">
        <v>31</v>
      </c>
      <c r="Y800">
        <v>0</v>
      </c>
      <c r="Z800">
        <v>0</v>
      </c>
      <c r="AA800">
        <v>0</v>
      </c>
      <c r="AE800" s="30">
        <v>45761.416666666664</v>
      </c>
      <c r="AF800" s="30">
        <v>45765.375</v>
      </c>
      <c r="AH800" s="30">
        <v>45733.583333333336</v>
      </c>
      <c r="AI800" s="30">
        <v>45737.5</v>
      </c>
      <c r="AJ800" s="30">
        <v>45733.583333333336</v>
      </c>
      <c r="AK800" s="30">
        <v>45737.5</v>
      </c>
      <c r="AL800" s="30">
        <v>45733.583333333336</v>
      </c>
      <c r="AM800" s="30">
        <v>45737.5</v>
      </c>
      <c r="AN800" s="30">
        <v>45761.416666666664</v>
      </c>
      <c r="AO800" s="30">
        <v>45765.375</v>
      </c>
      <c r="AQ800" t="s">
        <v>3171</v>
      </c>
      <c r="AV800" t="s">
        <v>3763</v>
      </c>
      <c r="AW800" t="s">
        <v>3762</v>
      </c>
      <c r="AZ800" t="s">
        <v>1265</v>
      </c>
      <c r="BA800">
        <v>0</v>
      </c>
      <c r="BB800">
        <v>0</v>
      </c>
      <c r="BJ800" s="30">
        <v>46069.518055555556</v>
      </c>
      <c r="BK800" s="30">
        <v>46093.595138888886</v>
      </c>
      <c r="BL800" t="s">
        <v>1259</v>
      </c>
      <c r="BM800" t="s">
        <v>1259</v>
      </c>
      <c r="BO800" t="s">
        <v>1265</v>
      </c>
    </row>
    <row r="801" spans="1:67" x14ac:dyDescent="0.25">
      <c r="A801" t="s">
        <v>1248</v>
      </c>
      <c r="B801">
        <v>352183</v>
      </c>
      <c r="C801">
        <v>405</v>
      </c>
      <c r="D801">
        <v>51484</v>
      </c>
      <c r="E801">
        <v>1117</v>
      </c>
      <c r="F801">
        <v>0</v>
      </c>
      <c r="G801" t="s">
        <v>1265</v>
      </c>
      <c r="H801">
        <v>1</v>
      </c>
      <c r="I801" t="s">
        <v>1265</v>
      </c>
      <c r="J801" t="s">
        <v>1265</v>
      </c>
      <c r="K801" t="s">
        <v>3191</v>
      </c>
      <c r="L801" t="s">
        <v>3176</v>
      </c>
      <c r="M801" t="s">
        <v>3190</v>
      </c>
      <c r="N801" t="s">
        <v>3174</v>
      </c>
      <c r="O801">
        <v>1548</v>
      </c>
      <c r="P801" t="s">
        <v>3761</v>
      </c>
      <c r="R801">
        <v>157</v>
      </c>
      <c r="S801">
        <v>0</v>
      </c>
      <c r="T801">
        <v>47</v>
      </c>
      <c r="U801">
        <v>0</v>
      </c>
      <c r="V801">
        <v>0</v>
      </c>
      <c r="W801">
        <v>0</v>
      </c>
      <c r="X801">
        <v>47</v>
      </c>
      <c r="Y801">
        <v>0</v>
      </c>
      <c r="Z801">
        <v>0</v>
      </c>
      <c r="AA801">
        <v>0</v>
      </c>
      <c r="AE801" s="30">
        <v>45765.375</v>
      </c>
      <c r="AF801" s="30">
        <v>45772.708333333336</v>
      </c>
      <c r="AH801" s="30">
        <v>45737.541666666664</v>
      </c>
      <c r="AI801" s="30">
        <v>45747.458333333336</v>
      </c>
      <c r="AJ801" s="30">
        <v>45737.541666666664</v>
      </c>
      <c r="AK801" s="30">
        <v>45747.458333333336</v>
      </c>
      <c r="AL801" s="30">
        <v>45737.541666666664</v>
      </c>
      <c r="AM801" s="30">
        <v>45747.458333333336</v>
      </c>
      <c r="AN801" s="30">
        <v>45765.375</v>
      </c>
      <c r="AO801" s="30">
        <v>45772.708333333336</v>
      </c>
      <c r="AQ801" t="s">
        <v>3171</v>
      </c>
      <c r="AV801" t="s">
        <v>3760</v>
      </c>
      <c r="AW801" t="s">
        <v>3759</v>
      </c>
      <c r="AZ801" t="s">
        <v>1265</v>
      </c>
      <c r="BA801">
        <v>0</v>
      </c>
      <c r="BB801">
        <v>0</v>
      </c>
      <c r="BJ801" s="30">
        <v>46069.518055555556</v>
      </c>
      <c r="BK801" s="30">
        <v>46093.595138888886</v>
      </c>
      <c r="BL801" t="s">
        <v>1259</v>
      </c>
      <c r="BM801" t="s">
        <v>1259</v>
      </c>
      <c r="BO801" t="s">
        <v>1265</v>
      </c>
    </row>
    <row r="802" spans="1:67" x14ac:dyDescent="0.25">
      <c r="A802" t="s">
        <v>1248</v>
      </c>
      <c r="B802">
        <v>352184</v>
      </c>
      <c r="C802">
        <v>405</v>
      </c>
      <c r="D802">
        <v>53303</v>
      </c>
      <c r="E802">
        <v>1117</v>
      </c>
      <c r="F802">
        <v>0</v>
      </c>
      <c r="G802" t="s">
        <v>1265</v>
      </c>
      <c r="H802">
        <v>1</v>
      </c>
      <c r="I802" t="s">
        <v>1265</v>
      </c>
      <c r="J802" t="s">
        <v>1265</v>
      </c>
      <c r="K802" t="s">
        <v>3191</v>
      </c>
      <c r="L802" t="s">
        <v>3176</v>
      </c>
      <c r="M802" t="s">
        <v>3190</v>
      </c>
      <c r="N802" t="s">
        <v>3174</v>
      </c>
      <c r="O802">
        <v>1558</v>
      </c>
      <c r="P802" t="s">
        <v>3758</v>
      </c>
      <c r="R802">
        <v>614</v>
      </c>
      <c r="S802">
        <v>0</v>
      </c>
      <c r="T802">
        <v>7</v>
      </c>
      <c r="U802">
        <v>0</v>
      </c>
      <c r="V802">
        <v>0</v>
      </c>
      <c r="W802">
        <v>0</v>
      </c>
      <c r="X802">
        <v>7</v>
      </c>
      <c r="Y802">
        <v>0</v>
      </c>
      <c r="Z802">
        <v>0</v>
      </c>
      <c r="AA802">
        <v>0</v>
      </c>
      <c r="AE802" s="30">
        <v>45854.375</v>
      </c>
      <c r="AF802" s="30">
        <v>45854.708333333336</v>
      </c>
      <c r="AH802" s="30">
        <v>45747.458333333336</v>
      </c>
      <c r="AI802" s="30">
        <v>45748.416666666664</v>
      </c>
      <c r="AJ802" s="30">
        <v>45747.458333333336</v>
      </c>
      <c r="AK802" s="30">
        <v>45748.416666666664</v>
      </c>
      <c r="AL802" s="30">
        <v>45747.458333333336</v>
      </c>
      <c r="AM802" s="30">
        <v>45748.416666666664</v>
      </c>
      <c r="AN802" s="30">
        <v>45854.375</v>
      </c>
      <c r="AO802" s="30">
        <v>45854.708333333336</v>
      </c>
      <c r="AQ802" t="s">
        <v>3171</v>
      </c>
      <c r="AV802" t="s">
        <v>3757</v>
      </c>
      <c r="AW802" t="s">
        <v>3756</v>
      </c>
      <c r="AZ802" t="s">
        <v>1265</v>
      </c>
      <c r="BA802">
        <v>0</v>
      </c>
      <c r="BB802">
        <v>0</v>
      </c>
      <c r="BJ802" s="30">
        <v>46069.518055555556</v>
      </c>
      <c r="BK802" s="30">
        <v>46093.73333333333</v>
      </c>
      <c r="BL802" t="s">
        <v>1259</v>
      </c>
      <c r="BM802" t="s">
        <v>1259</v>
      </c>
      <c r="BO802" t="s">
        <v>1265</v>
      </c>
    </row>
    <row r="803" spans="1:67" x14ac:dyDescent="0.25">
      <c r="A803" t="s">
        <v>1248</v>
      </c>
      <c r="B803">
        <v>352185</v>
      </c>
      <c r="C803">
        <v>405</v>
      </c>
      <c r="D803">
        <v>53303</v>
      </c>
      <c r="E803">
        <v>1117</v>
      </c>
      <c r="F803">
        <v>0</v>
      </c>
      <c r="G803" t="s">
        <v>1265</v>
      </c>
      <c r="H803">
        <v>1</v>
      </c>
      <c r="I803" t="s">
        <v>1265</v>
      </c>
      <c r="J803" t="s">
        <v>1265</v>
      </c>
      <c r="K803" t="s">
        <v>3191</v>
      </c>
      <c r="L803" t="s">
        <v>3176</v>
      </c>
      <c r="M803" t="s">
        <v>3190</v>
      </c>
      <c r="N803" t="s">
        <v>3174</v>
      </c>
      <c r="O803">
        <v>1568</v>
      </c>
      <c r="P803" t="s">
        <v>3755</v>
      </c>
      <c r="R803">
        <v>144</v>
      </c>
      <c r="S803">
        <v>0</v>
      </c>
      <c r="T803">
        <v>16</v>
      </c>
      <c r="U803">
        <v>0</v>
      </c>
      <c r="V803">
        <v>0</v>
      </c>
      <c r="W803">
        <v>0</v>
      </c>
      <c r="X803">
        <v>16</v>
      </c>
      <c r="Y803">
        <v>0</v>
      </c>
      <c r="Z803">
        <v>0</v>
      </c>
      <c r="AA803">
        <v>0</v>
      </c>
      <c r="AE803" s="30">
        <v>45743.333333333336</v>
      </c>
      <c r="AF803" s="30">
        <v>45744.708333333336</v>
      </c>
      <c r="AH803" s="30">
        <v>45719.333333333336</v>
      </c>
      <c r="AI803" s="30">
        <v>45720.708333333336</v>
      </c>
      <c r="AJ803" s="30">
        <v>45719.333333333336</v>
      </c>
      <c r="AK803" s="30">
        <v>45720.708333333336</v>
      </c>
      <c r="AL803" s="30">
        <v>45719.333333333336</v>
      </c>
      <c r="AM803" s="30">
        <v>45720.708333333336</v>
      </c>
      <c r="AN803" s="30">
        <v>45743.333333333336</v>
      </c>
      <c r="AO803" s="30">
        <v>45744.708333333336</v>
      </c>
      <c r="AQ803" t="s">
        <v>3171</v>
      </c>
      <c r="AV803" t="s">
        <v>3754</v>
      </c>
      <c r="AW803" t="s">
        <v>3753</v>
      </c>
      <c r="AZ803" t="s">
        <v>1265</v>
      </c>
      <c r="BA803">
        <v>0</v>
      </c>
      <c r="BB803">
        <v>0</v>
      </c>
      <c r="BJ803" s="30">
        <v>46069.518055555556</v>
      </c>
      <c r="BK803" s="30">
        <v>46093.595138888886</v>
      </c>
      <c r="BL803" t="s">
        <v>1259</v>
      </c>
      <c r="BM803" t="s">
        <v>1259</v>
      </c>
      <c r="BO803" t="s">
        <v>1265</v>
      </c>
    </row>
    <row r="804" spans="1:67" x14ac:dyDescent="0.25">
      <c r="A804" t="s">
        <v>1248</v>
      </c>
      <c r="B804">
        <v>352186</v>
      </c>
      <c r="C804">
        <v>405</v>
      </c>
      <c r="D804">
        <v>51485</v>
      </c>
      <c r="E804">
        <v>1117</v>
      </c>
      <c r="F804">
        <v>0</v>
      </c>
      <c r="G804" t="s">
        <v>1265</v>
      </c>
      <c r="H804">
        <v>1</v>
      </c>
      <c r="I804" t="s">
        <v>1265</v>
      </c>
      <c r="J804" t="s">
        <v>1265</v>
      </c>
      <c r="K804" t="s">
        <v>3191</v>
      </c>
      <c r="L804" t="s">
        <v>3176</v>
      </c>
      <c r="M804" t="s">
        <v>3190</v>
      </c>
      <c r="N804" t="s">
        <v>3174</v>
      </c>
      <c r="O804">
        <v>1578</v>
      </c>
      <c r="P804" t="s">
        <v>3752</v>
      </c>
      <c r="R804">
        <v>144</v>
      </c>
      <c r="S804">
        <v>0</v>
      </c>
      <c r="T804">
        <v>24</v>
      </c>
      <c r="U804">
        <v>0</v>
      </c>
      <c r="V804">
        <v>0</v>
      </c>
      <c r="W804">
        <v>0</v>
      </c>
      <c r="X804">
        <v>24</v>
      </c>
      <c r="Y804">
        <v>0</v>
      </c>
      <c r="Z804">
        <v>0</v>
      </c>
      <c r="AA804">
        <v>0</v>
      </c>
      <c r="AE804" s="30">
        <v>45747.333333333336</v>
      </c>
      <c r="AF804" s="30">
        <v>45749.708333333336</v>
      </c>
      <c r="AH804" s="30">
        <v>45721.333333333336</v>
      </c>
      <c r="AI804" s="30">
        <v>45723.708333333336</v>
      </c>
      <c r="AJ804" s="30">
        <v>45721.333333333336</v>
      </c>
      <c r="AK804" s="30">
        <v>45723.708333333336</v>
      </c>
      <c r="AL804" s="30">
        <v>45721.333333333336</v>
      </c>
      <c r="AM804" s="30">
        <v>45723.708333333336</v>
      </c>
      <c r="AN804" s="30">
        <v>45747.333333333336</v>
      </c>
      <c r="AO804" s="30">
        <v>45749.708333333336</v>
      </c>
      <c r="AQ804" t="s">
        <v>3171</v>
      </c>
      <c r="AV804" t="s">
        <v>3751</v>
      </c>
      <c r="AW804" t="s">
        <v>3750</v>
      </c>
      <c r="AZ804" t="s">
        <v>1265</v>
      </c>
      <c r="BA804">
        <v>0</v>
      </c>
      <c r="BB804">
        <v>0</v>
      </c>
      <c r="BJ804" s="30">
        <v>46069.518055555556</v>
      </c>
      <c r="BK804" s="30">
        <v>46093.595138888886</v>
      </c>
      <c r="BL804" t="s">
        <v>1259</v>
      </c>
      <c r="BM804" t="s">
        <v>1259</v>
      </c>
      <c r="BO804" t="s">
        <v>1265</v>
      </c>
    </row>
    <row r="805" spans="1:67" x14ac:dyDescent="0.25">
      <c r="A805" t="s">
        <v>1248</v>
      </c>
      <c r="B805">
        <v>352187</v>
      </c>
      <c r="C805">
        <v>405</v>
      </c>
      <c r="D805">
        <v>51485</v>
      </c>
      <c r="E805">
        <v>1117</v>
      </c>
      <c r="F805">
        <v>0</v>
      </c>
      <c r="G805" t="s">
        <v>1265</v>
      </c>
      <c r="H805">
        <v>1</v>
      </c>
      <c r="I805" t="s">
        <v>1265</v>
      </c>
      <c r="J805" t="s">
        <v>1265</v>
      </c>
      <c r="K805" t="s">
        <v>3191</v>
      </c>
      <c r="L805" t="s">
        <v>3176</v>
      </c>
      <c r="M805" t="s">
        <v>3190</v>
      </c>
      <c r="N805" t="s">
        <v>3174</v>
      </c>
      <c r="O805">
        <v>1588</v>
      </c>
      <c r="P805" t="s">
        <v>3749</v>
      </c>
      <c r="R805">
        <v>144</v>
      </c>
      <c r="S805">
        <v>0</v>
      </c>
      <c r="T805">
        <v>8</v>
      </c>
      <c r="U805">
        <v>0</v>
      </c>
      <c r="V805">
        <v>0</v>
      </c>
      <c r="W805">
        <v>0</v>
      </c>
      <c r="X805">
        <v>8</v>
      </c>
      <c r="Y805">
        <v>0</v>
      </c>
      <c r="Z805">
        <v>0</v>
      </c>
      <c r="AA805">
        <v>0</v>
      </c>
      <c r="AE805" s="30">
        <v>45750.333333333336</v>
      </c>
      <c r="AF805" s="30">
        <v>45750.708333333336</v>
      </c>
      <c r="AH805" s="30">
        <v>45726.333333333336</v>
      </c>
      <c r="AI805" s="30">
        <v>45726.708333333336</v>
      </c>
      <c r="AJ805" s="30">
        <v>45726.333333333336</v>
      </c>
      <c r="AK805" s="30">
        <v>45726.708333333336</v>
      </c>
      <c r="AL805" s="30">
        <v>45726.333333333336</v>
      </c>
      <c r="AM805" s="30">
        <v>45726.708333333336</v>
      </c>
      <c r="AN805" s="30">
        <v>45750.333333333336</v>
      </c>
      <c r="AO805" s="30">
        <v>45750.708333333336</v>
      </c>
      <c r="AQ805" t="s">
        <v>3171</v>
      </c>
      <c r="AV805" t="s">
        <v>3748</v>
      </c>
      <c r="AW805" t="s">
        <v>3747</v>
      </c>
      <c r="AZ805" t="s">
        <v>1265</v>
      </c>
      <c r="BA805">
        <v>0</v>
      </c>
      <c r="BB805">
        <v>0</v>
      </c>
      <c r="BJ805" s="30">
        <v>46069.518055555556</v>
      </c>
      <c r="BK805" s="30">
        <v>46093.595138888886</v>
      </c>
      <c r="BL805" t="s">
        <v>1259</v>
      </c>
      <c r="BM805" t="s">
        <v>1259</v>
      </c>
      <c r="BO805" t="s">
        <v>1265</v>
      </c>
    </row>
    <row r="806" spans="1:67" x14ac:dyDescent="0.25">
      <c r="A806" t="s">
        <v>1248</v>
      </c>
      <c r="B806">
        <v>352188</v>
      </c>
      <c r="C806">
        <v>405</v>
      </c>
      <c r="D806">
        <v>51485</v>
      </c>
      <c r="E806">
        <v>1117</v>
      </c>
      <c r="F806">
        <v>0</v>
      </c>
      <c r="G806" t="s">
        <v>1265</v>
      </c>
      <c r="H806">
        <v>1</v>
      </c>
      <c r="I806" t="s">
        <v>1265</v>
      </c>
      <c r="J806" t="s">
        <v>1265</v>
      </c>
      <c r="K806" t="s">
        <v>3191</v>
      </c>
      <c r="L806" t="s">
        <v>3176</v>
      </c>
      <c r="M806" t="s">
        <v>3190</v>
      </c>
      <c r="N806" t="s">
        <v>3174</v>
      </c>
      <c r="O806">
        <v>1598</v>
      </c>
      <c r="P806" t="s">
        <v>3746</v>
      </c>
      <c r="R806">
        <v>144</v>
      </c>
      <c r="S806">
        <v>0</v>
      </c>
      <c r="T806">
        <v>16</v>
      </c>
      <c r="U806">
        <v>0</v>
      </c>
      <c r="V806">
        <v>0</v>
      </c>
      <c r="W806">
        <v>0</v>
      </c>
      <c r="X806">
        <v>16</v>
      </c>
      <c r="Y806">
        <v>0</v>
      </c>
      <c r="Z806">
        <v>0</v>
      </c>
      <c r="AA806">
        <v>0</v>
      </c>
      <c r="AE806" s="30">
        <v>45751.333333333336</v>
      </c>
      <c r="AF806" s="30">
        <v>45754.708333333336</v>
      </c>
      <c r="AH806" s="30">
        <v>45727.333333333336</v>
      </c>
      <c r="AI806" s="30">
        <v>45728.708333333336</v>
      </c>
      <c r="AJ806" s="30">
        <v>45727.333333333336</v>
      </c>
      <c r="AK806" s="30">
        <v>45728.708333333336</v>
      </c>
      <c r="AL806" s="30">
        <v>45727.333333333336</v>
      </c>
      <c r="AM806" s="30">
        <v>45728.708333333336</v>
      </c>
      <c r="AN806" s="30">
        <v>45751.333333333336</v>
      </c>
      <c r="AO806" s="30">
        <v>45754.708333333336</v>
      </c>
      <c r="AQ806" t="s">
        <v>3171</v>
      </c>
      <c r="AV806" t="s">
        <v>3745</v>
      </c>
      <c r="AW806" t="s">
        <v>3744</v>
      </c>
      <c r="AZ806" t="s">
        <v>1265</v>
      </c>
      <c r="BA806">
        <v>0</v>
      </c>
      <c r="BB806">
        <v>0</v>
      </c>
      <c r="BJ806" s="30">
        <v>46069.518055555556</v>
      </c>
      <c r="BK806" s="30">
        <v>46093.595138888886</v>
      </c>
      <c r="BL806" t="s">
        <v>1259</v>
      </c>
      <c r="BM806" t="s">
        <v>1259</v>
      </c>
      <c r="BO806" t="s">
        <v>1265</v>
      </c>
    </row>
    <row r="807" spans="1:67" x14ac:dyDescent="0.25">
      <c r="A807" t="s">
        <v>1248</v>
      </c>
      <c r="B807">
        <v>352189</v>
      </c>
      <c r="C807">
        <v>405</v>
      </c>
      <c r="D807">
        <v>51485</v>
      </c>
      <c r="E807">
        <v>1117</v>
      </c>
      <c r="F807">
        <v>0</v>
      </c>
      <c r="G807" t="s">
        <v>1265</v>
      </c>
      <c r="H807">
        <v>1</v>
      </c>
      <c r="I807" t="s">
        <v>1265</v>
      </c>
      <c r="J807" t="s">
        <v>1265</v>
      </c>
      <c r="K807" t="s">
        <v>3191</v>
      </c>
      <c r="L807" t="s">
        <v>3176</v>
      </c>
      <c r="M807" t="s">
        <v>3190</v>
      </c>
      <c r="N807" t="s">
        <v>3174</v>
      </c>
      <c r="O807">
        <v>1608</v>
      </c>
      <c r="P807" t="s">
        <v>3743</v>
      </c>
      <c r="R807">
        <v>144</v>
      </c>
      <c r="S807">
        <v>0</v>
      </c>
      <c r="T807">
        <v>32</v>
      </c>
      <c r="U807">
        <v>0</v>
      </c>
      <c r="V807">
        <v>0</v>
      </c>
      <c r="W807">
        <v>0</v>
      </c>
      <c r="X807">
        <v>32</v>
      </c>
      <c r="Y807">
        <v>0</v>
      </c>
      <c r="Z807">
        <v>0</v>
      </c>
      <c r="AA807">
        <v>0</v>
      </c>
      <c r="AE807" s="30">
        <v>45755.333333333336</v>
      </c>
      <c r="AF807" s="30">
        <v>45758.708333333336</v>
      </c>
      <c r="AH807" s="30">
        <v>45729.333333333336</v>
      </c>
      <c r="AI807" s="30">
        <v>45734.708333333336</v>
      </c>
      <c r="AJ807" s="30">
        <v>45729.333333333336</v>
      </c>
      <c r="AK807" s="30">
        <v>45734.708333333336</v>
      </c>
      <c r="AL807" s="30">
        <v>45729.333333333336</v>
      </c>
      <c r="AM807" s="30">
        <v>45734.708333333336</v>
      </c>
      <c r="AN807" s="30">
        <v>45755.333333333336</v>
      </c>
      <c r="AO807" s="30">
        <v>45758.708333333336</v>
      </c>
      <c r="AQ807" t="s">
        <v>3171</v>
      </c>
      <c r="AV807" t="s">
        <v>3742</v>
      </c>
      <c r="AW807" t="s">
        <v>3741</v>
      </c>
      <c r="AZ807" t="s">
        <v>1265</v>
      </c>
      <c r="BA807">
        <v>0</v>
      </c>
      <c r="BB807">
        <v>0</v>
      </c>
      <c r="BJ807" s="30">
        <v>46069.518055555556</v>
      </c>
      <c r="BK807" s="30">
        <v>46093.595138888886</v>
      </c>
      <c r="BL807" t="s">
        <v>1259</v>
      </c>
      <c r="BM807" t="s">
        <v>1259</v>
      </c>
      <c r="BO807" t="s">
        <v>1265</v>
      </c>
    </row>
    <row r="808" spans="1:67" x14ac:dyDescent="0.25">
      <c r="A808" t="s">
        <v>1248</v>
      </c>
      <c r="B808">
        <v>352190</v>
      </c>
      <c r="C808">
        <v>405</v>
      </c>
      <c r="D808">
        <v>51485</v>
      </c>
      <c r="E808">
        <v>1117</v>
      </c>
      <c r="F808">
        <v>0</v>
      </c>
      <c r="G808" t="s">
        <v>1265</v>
      </c>
      <c r="H808">
        <v>1</v>
      </c>
      <c r="I808" t="s">
        <v>1265</v>
      </c>
      <c r="J808" t="s">
        <v>1265</v>
      </c>
      <c r="K808" t="s">
        <v>3191</v>
      </c>
      <c r="L808" t="s">
        <v>3176</v>
      </c>
      <c r="M808" t="s">
        <v>3190</v>
      </c>
      <c r="N808" t="s">
        <v>3174</v>
      </c>
      <c r="O808">
        <v>1618</v>
      </c>
      <c r="P808" t="s">
        <v>3740</v>
      </c>
      <c r="R808">
        <v>144</v>
      </c>
      <c r="S808">
        <v>0</v>
      </c>
      <c r="T808">
        <v>48</v>
      </c>
      <c r="U808">
        <v>0</v>
      </c>
      <c r="V808">
        <v>0</v>
      </c>
      <c r="W808">
        <v>0</v>
      </c>
      <c r="X808">
        <v>48</v>
      </c>
      <c r="Y808">
        <v>0</v>
      </c>
      <c r="Z808">
        <v>0</v>
      </c>
      <c r="AA808">
        <v>0</v>
      </c>
      <c r="AE808" s="30">
        <v>45761.333333333336</v>
      </c>
      <c r="AF808" s="30">
        <v>45768.708333333336</v>
      </c>
      <c r="AH808" s="30">
        <v>45735.333333333336</v>
      </c>
      <c r="AI808" s="30">
        <v>45742.708333333336</v>
      </c>
      <c r="AJ808" s="30">
        <v>45735.333333333336</v>
      </c>
      <c r="AK808" s="30">
        <v>45742.708333333336</v>
      </c>
      <c r="AL808" s="30">
        <v>45735.333333333336</v>
      </c>
      <c r="AM808" s="30">
        <v>45742.708333333336</v>
      </c>
      <c r="AN808" s="30">
        <v>45761.333333333336</v>
      </c>
      <c r="AO808" s="30">
        <v>45768.708333333336</v>
      </c>
      <c r="AQ808" t="s">
        <v>3171</v>
      </c>
      <c r="AV808" t="s">
        <v>3739</v>
      </c>
      <c r="AW808" t="s">
        <v>3738</v>
      </c>
      <c r="AZ808" t="s">
        <v>1265</v>
      </c>
      <c r="BA808">
        <v>0</v>
      </c>
      <c r="BB808">
        <v>0</v>
      </c>
      <c r="BJ808" s="30">
        <v>46069.518055555556</v>
      </c>
      <c r="BK808" s="30">
        <v>46093.595138888886</v>
      </c>
      <c r="BL808" t="s">
        <v>1259</v>
      </c>
      <c r="BM808" t="s">
        <v>1259</v>
      </c>
      <c r="BO808" t="s">
        <v>1265</v>
      </c>
    </row>
    <row r="809" spans="1:67" x14ac:dyDescent="0.25">
      <c r="A809" t="s">
        <v>1248</v>
      </c>
      <c r="B809">
        <v>352191</v>
      </c>
      <c r="C809">
        <v>405</v>
      </c>
      <c r="D809">
        <v>53303</v>
      </c>
      <c r="E809">
        <v>1117</v>
      </c>
      <c r="F809">
        <v>0</v>
      </c>
      <c r="G809" t="s">
        <v>1265</v>
      </c>
      <c r="H809">
        <v>1</v>
      </c>
      <c r="I809" t="s">
        <v>1265</v>
      </c>
      <c r="J809" t="s">
        <v>1265</v>
      </c>
      <c r="K809" t="s">
        <v>3191</v>
      </c>
      <c r="L809" t="s">
        <v>3176</v>
      </c>
      <c r="M809" t="s">
        <v>3190</v>
      </c>
      <c r="N809" t="s">
        <v>3174</v>
      </c>
      <c r="O809">
        <v>1628</v>
      </c>
      <c r="P809" t="s">
        <v>3737</v>
      </c>
      <c r="R809">
        <v>625</v>
      </c>
      <c r="S809">
        <v>11</v>
      </c>
      <c r="T809">
        <v>8</v>
      </c>
      <c r="U809">
        <v>0</v>
      </c>
      <c r="V809">
        <v>0</v>
      </c>
      <c r="W809">
        <v>0</v>
      </c>
      <c r="X809">
        <v>8</v>
      </c>
      <c r="Y809">
        <v>0</v>
      </c>
      <c r="Z809">
        <v>0</v>
      </c>
      <c r="AA809">
        <v>0</v>
      </c>
      <c r="AE809" s="30">
        <v>45853.375</v>
      </c>
      <c r="AF809" s="30">
        <v>45854.375</v>
      </c>
      <c r="AH809" s="30">
        <v>45743.333333333336</v>
      </c>
      <c r="AI809" s="30">
        <v>45743.708333333336</v>
      </c>
      <c r="AJ809" s="30">
        <v>45743.333333333336</v>
      </c>
      <c r="AK809" s="30">
        <v>45743.708333333336</v>
      </c>
      <c r="AL809" s="30">
        <v>45743.333333333336</v>
      </c>
      <c r="AM809" s="30">
        <v>45743.708333333336</v>
      </c>
      <c r="AN809" s="30">
        <v>45853.375</v>
      </c>
      <c r="AO809" s="30">
        <v>45854.375</v>
      </c>
      <c r="AQ809" t="s">
        <v>3171</v>
      </c>
      <c r="AV809" t="s">
        <v>3736</v>
      </c>
      <c r="AW809" t="e">
        <f>+l35781moU2qLzV3mybYxA</f>
        <v>#NAME?</v>
      </c>
      <c r="AZ809" t="s">
        <v>1265</v>
      </c>
      <c r="BA809">
        <v>0</v>
      </c>
      <c r="BB809">
        <v>0</v>
      </c>
      <c r="BJ809" s="30">
        <v>46069.518055555556</v>
      </c>
      <c r="BK809" s="30">
        <v>46093.73333333333</v>
      </c>
      <c r="BL809" t="s">
        <v>1259</v>
      </c>
      <c r="BM809" t="s">
        <v>1259</v>
      </c>
      <c r="BO809" t="s">
        <v>1265</v>
      </c>
    </row>
    <row r="810" spans="1:67" x14ac:dyDescent="0.25">
      <c r="A810" t="s">
        <v>1248</v>
      </c>
      <c r="B810">
        <v>352192</v>
      </c>
      <c r="C810">
        <v>405</v>
      </c>
      <c r="D810">
        <v>53304</v>
      </c>
      <c r="E810">
        <v>1117</v>
      </c>
      <c r="F810">
        <v>0</v>
      </c>
      <c r="G810" t="s">
        <v>1265</v>
      </c>
      <c r="H810">
        <v>1</v>
      </c>
      <c r="I810" t="s">
        <v>1265</v>
      </c>
      <c r="J810" t="s">
        <v>1265</v>
      </c>
      <c r="K810" t="s">
        <v>3191</v>
      </c>
      <c r="L810" t="s">
        <v>3176</v>
      </c>
      <c r="M810" t="s">
        <v>3190</v>
      </c>
      <c r="N810" t="s">
        <v>3174</v>
      </c>
      <c r="O810">
        <v>1638</v>
      </c>
      <c r="P810" t="s">
        <v>3735</v>
      </c>
      <c r="R810" s="29">
        <v>273686666666667</v>
      </c>
      <c r="S810">
        <v>0</v>
      </c>
      <c r="T810">
        <v>15</v>
      </c>
      <c r="U810">
        <v>0</v>
      </c>
      <c r="V810">
        <v>0</v>
      </c>
      <c r="W810">
        <v>0</v>
      </c>
      <c r="X810">
        <v>15</v>
      </c>
      <c r="Y810">
        <v>0</v>
      </c>
      <c r="Z810">
        <v>0</v>
      </c>
      <c r="AA810">
        <v>0</v>
      </c>
      <c r="AE810" s="30">
        <v>46384.369444444441</v>
      </c>
      <c r="AF810" s="30">
        <v>46385.702777777777</v>
      </c>
      <c r="AH810" s="30">
        <v>45895.333333333336</v>
      </c>
      <c r="AI810" s="30">
        <v>45896.666666666664</v>
      </c>
      <c r="AJ810" s="30">
        <v>45895.333333333336</v>
      </c>
      <c r="AK810" s="30">
        <v>45896.666666666664</v>
      </c>
      <c r="AL810" s="30">
        <v>45895.333333333336</v>
      </c>
      <c r="AM810" s="30">
        <v>45896.666666666664</v>
      </c>
      <c r="AN810" s="30">
        <v>46384.369444444441</v>
      </c>
      <c r="AO810" s="30">
        <v>46385.702777777777</v>
      </c>
      <c r="AQ810" t="s">
        <v>3171</v>
      </c>
      <c r="AV810" t="s">
        <v>3734</v>
      </c>
      <c r="AW810" t="s">
        <v>3733</v>
      </c>
      <c r="AZ810" t="s">
        <v>1265</v>
      </c>
      <c r="BA810">
        <v>0</v>
      </c>
      <c r="BB810">
        <v>0</v>
      </c>
      <c r="BJ810" s="30">
        <v>46069.523611111108</v>
      </c>
      <c r="BK810" s="30">
        <v>46093.73333333333</v>
      </c>
      <c r="BL810" t="s">
        <v>1259</v>
      </c>
      <c r="BM810" t="s">
        <v>1259</v>
      </c>
      <c r="BO810" t="s">
        <v>1265</v>
      </c>
    </row>
    <row r="811" spans="1:67" x14ac:dyDescent="0.25">
      <c r="A811" t="s">
        <v>1248</v>
      </c>
      <c r="B811">
        <v>352193</v>
      </c>
      <c r="C811">
        <v>405</v>
      </c>
      <c r="D811">
        <v>51486</v>
      </c>
      <c r="E811">
        <v>1117</v>
      </c>
      <c r="F811">
        <v>0</v>
      </c>
      <c r="G811" t="s">
        <v>1265</v>
      </c>
      <c r="H811">
        <v>1</v>
      </c>
      <c r="I811" t="s">
        <v>1265</v>
      </c>
      <c r="J811" t="s">
        <v>1265</v>
      </c>
      <c r="K811" t="s">
        <v>3191</v>
      </c>
      <c r="L811" t="s">
        <v>3176</v>
      </c>
      <c r="M811" t="s">
        <v>3190</v>
      </c>
      <c r="N811" t="s">
        <v>3174</v>
      </c>
      <c r="O811">
        <v>1648</v>
      </c>
      <c r="P811" t="s">
        <v>3732</v>
      </c>
      <c r="R811" s="29">
        <v>273686666666667</v>
      </c>
      <c r="S811">
        <v>0</v>
      </c>
      <c r="T811" s="29">
        <v>441333333333333</v>
      </c>
      <c r="U811">
        <v>0</v>
      </c>
      <c r="V811">
        <v>0</v>
      </c>
      <c r="W811">
        <v>0</v>
      </c>
      <c r="X811" s="29">
        <v>441333333333333</v>
      </c>
      <c r="Y811">
        <v>0</v>
      </c>
      <c r="Z811">
        <v>0</v>
      </c>
      <c r="AA811">
        <v>0</v>
      </c>
      <c r="AE811" s="30">
        <v>46385.702777777777</v>
      </c>
      <c r="AF811" s="30">
        <v>46395.5</v>
      </c>
      <c r="AH811" s="30">
        <v>45896.666666666664</v>
      </c>
      <c r="AI811" s="30">
        <v>45904.463888888888</v>
      </c>
      <c r="AJ811" s="30">
        <v>45896.666666666664</v>
      </c>
      <c r="AK811" s="30">
        <v>45904.463888888888</v>
      </c>
      <c r="AL811" s="30">
        <v>45896.666666666664</v>
      </c>
      <c r="AM811" s="30">
        <v>45904.463888888888</v>
      </c>
      <c r="AN811" s="30">
        <v>46385.702777777777</v>
      </c>
      <c r="AO811" s="30">
        <v>46395.5</v>
      </c>
      <c r="AQ811" t="s">
        <v>3171</v>
      </c>
      <c r="AV811" t="s">
        <v>3731</v>
      </c>
      <c r="AW811" t="s">
        <v>3730</v>
      </c>
      <c r="AZ811" t="s">
        <v>1265</v>
      </c>
      <c r="BA811">
        <v>0</v>
      </c>
      <c r="BB811">
        <v>0</v>
      </c>
      <c r="BJ811" s="30">
        <v>46069.523611111108</v>
      </c>
      <c r="BK811" s="30">
        <v>46093.73333333333</v>
      </c>
      <c r="BL811" t="s">
        <v>1259</v>
      </c>
      <c r="BM811" t="s">
        <v>1259</v>
      </c>
      <c r="BO811" t="s">
        <v>1265</v>
      </c>
    </row>
    <row r="812" spans="1:67" x14ac:dyDescent="0.25">
      <c r="A812" t="s">
        <v>1248</v>
      </c>
      <c r="B812">
        <v>352194</v>
      </c>
      <c r="C812">
        <v>405</v>
      </c>
      <c r="D812">
        <v>51486</v>
      </c>
      <c r="E812">
        <v>1117</v>
      </c>
      <c r="F812">
        <v>0</v>
      </c>
      <c r="G812" t="s">
        <v>1265</v>
      </c>
      <c r="H812">
        <v>1</v>
      </c>
      <c r="I812" t="s">
        <v>1265</v>
      </c>
      <c r="J812" t="s">
        <v>1265</v>
      </c>
      <c r="K812" t="s">
        <v>3191</v>
      </c>
      <c r="L812" t="s">
        <v>3176</v>
      </c>
      <c r="M812" t="s">
        <v>3190</v>
      </c>
      <c r="N812" t="s">
        <v>3174</v>
      </c>
      <c r="O812">
        <v>1658</v>
      </c>
      <c r="P812" t="s">
        <v>3729</v>
      </c>
      <c r="R812" s="29">
        <v>273686666666667</v>
      </c>
      <c r="S812">
        <v>0</v>
      </c>
      <c r="T812">
        <v>7</v>
      </c>
      <c r="U812">
        <v>0</v>
      </c>
      <c r="V812">
        <v>0</v>
      </c>
      <c r="W812">
        <v>0</v>
      </c>
      <c r="X812">
        <v>7</v>
      </c>
      <c r="Y812">
        <v>0</v>
      </c>
      <c r="Z812">
        <v>0</v>
      </c>
      <c r="AA812">
        <v>0</v>
      </c>
      <c r="AE812" s="30">
        <v>46395.541666666664</v>
      </c>
      <c r="AF812" s="30">
        <v>46398.458333333336</v>
      </c>
      <c r="AH812" s="30">
        <v>45904.463888888888</v>
      </c>
      <c r="AI812" s="30">
        <v>45905.422222222223</v>
      </c>
      <c r="AJ812" s="30">
        <v>45904.463888888888</v>
      </c>
      <c r="AK812" s="30">
        <v>45905.422222222223</v>
      </c>
      <c r="AL812" s="30">
        <v>45904.463888888888</v>
      </c>
      <c r="AM812" s="30">
        <v>45905.422222222223</v>
      </c>
      <c r="AN812" s="30">
        <v>46395.541666666664</v>
      </c>
      <c r="AO812" s="30">
        <v>46398.458333333336</v>
      </c>
      <c r="AQ812" t="s">
        <v>3171</v>
      </c>
      <c r="AV812" t="s">
        <v>3728</v>
      </c>
      <c r="AW812" t="s">
        <v>3727</v>
      </c>
      <c r="AZ812" t="s">
        <v>1265</v>
      </c>
      <c r="BA812">
        <v>0</v>
      </c>
      <c r="BB812">
        <v>0</v>
      </c>
      <c r="BJ812" s="30">
        <v>46069.523611111108</v>
      </c>
      <c r="BK812" s="30">
        <v>46093.73333333333</v>
      </c>
      <c r="BL812" t="s">
        <v>1259</v>
      </c>
      <c r="BM812" t="s">
        <v>1259</v>
      </c>
      <c r="BO812" t="s">
        <v>1265</v>
      </c>
    </row>
    <row r="813" spans="1:67" x14ac:dyDescent="0.25">
      <c r="A813" t="s">
        <v>1248</v>
      </c>
      <c r="B813">
        <v>352195</v>
      </c>
      <c r="C813">
        <v>405</v>
      </c>
      <c r="D813">
        <v>51486</v>
      </c>
      <c r="E813">
        <v>1117</v>
      </c>
      <c r="F813">
        <v>0</v>
      </c>
      <c r="G813" t="s">
        <v>1265</v>
      </c>
      <c r="H813">
        <v>1</v>
      </c>
      <c r="I813" t="s">
        <v>1265</v>
      </c>
      <c r="J813" t="s">
        <v>1265</v>
      </c>
      <c r="K813" t="s">
        <v>3191</v>
      </c>
      <c r="L813" t="s">
        <v>3176</v>
      </c>
      <c r="M813" t="s">
        <v>3190</v>
      </c>
      <c r="N813" t="s">
        <v>3174</v>
      </c>
      <c r="O813">
        <v>1668</v>
      </c>
      <c r="P813" t="s">
        <v>3726</v>
      </c>
      <c r="R813" s="29">
        <v>273686666666667</v>
      </c>
      <c r="S813">
        <v>0</v>
      </c>
      <c r="T813">
        <v>15</v>
      </c>
      <c r="U813">
        <v>0</v>
      </c>
      <c r="V813">
        <v>0</v>
      </c>
      <c r="W813">
        <v>0</v>
      </c>
      <c r="X813">
        <v>15</v>
      </c>
      <c r="Y813">
        <v>0</v>
      </c>
      <c r="Z813">
        <v>0</v>
      </c>
      <c r="AA813">
        <v>0</v>
      </c>
      <c r="AE813" s="30">
        <v>46398.458333333336</v>
      </c>
      <c r="AF813" s="30">
        <v>46400.416666666664</v>
      </c>
      <c r="AH813" s="30">
        <v>45905.422222222223</v>
      </c>
      <c r="AI813" s="30">
        <v>45909.380555555559</v>
      </c>
      <c r="AJ813" s="30">
        <v>45905.422222222223</v>
      </c>
      <c r="AK813" s="30">
        <v>45909.380555555559</v>
      </c>
      <c r="AL813" s="30">
        <v>45905.422222222223</v>
      </c>
      <c r="AM813" s="30">
        <v>45909.380555555559</v>
      </c>
      <c r="AN813" s="30">
        <v>46398.458333333336</v>
      </c>
      <c r="AO813" s="30">
        <v>46400.416666666664</v>
      </c>
      <c r="AQ813" t="s">
        <v>3171</v>
      </c>
      <c r="AV813" t="s">
        <v>3725</v>
      </c>
      <c r="AW813" t="s">
        <v>3724</v>
      </c>
      <c r="AZ813" t="s">
        <v>1265</v>
      </c>
      <c r="BA813">
        <v>0</v>
      </c>
      <c r="BB813">
        <v>0</v>
      </c>
      <c r="BJ813" s="30">
        <v>46069.523611111108</v>
      </c>
      <c r="BK813" s="30">
        <v>46093.73333333333</v>
      </c>
      <c r="BL813" t="s">
        <v>1259</v>
      </c>
      <c r="BM813" t="s">
        <v>1259</v>
      </c>
      <c r="BO813" t="s">
        <v>1265</v>
      </c>
    </row>
    <row r="814" spans="1:67" x14ac:dyDescent="0.25">
      <c r="A814" t="s">
        <v>1248</v>
      </c>
      <c r="B814">
        <v>352196</v>
      </c>
      <c r="C814">
        <v>405</v>
      </c>
      <c r="D814">
        <v>51486</v>
      </c>
      <c r="E814">
        <v>1117</v>
      </c>
      <c r="F814">
        <v>0</v>
      </c>
      <c r="G814" t="s">
        <v>1265</v>
      </c>
      <c r="H814">
        <v>1</v>
      </c>
      <c r="I814" t="s">
        <v>1265</v>
      </c>
      <c r="J814" t="s">
        <v>1265</v>
      </c>
      <c r="K814" t="s">
        <v>3191</v>
      </c>
      <c r="L814" t="s">
        <v>3176</v>
      </c>
      <c r="M814" t="s">
        <v>3190</v>
      </c>
      <c r="N814" t="s">
        <v>3174</v>
      </c>
      <c r="O814">
        <v>1678</v>
      </c>
      <c r="P814" t="s">
        <v>3723</v>
      </c>
      <c r="R814" s="29">
        <v>273686666666667</v>
      </c>
      <c r="S814">
        <v>0</v>
      </c>
      <c r="T814">
        <v>32</v>
      </c>
      <c r="U814">
        <v>0</v>
      </c>
      <c r="V814">
        <v>0</v>
      </c>
      <c r="W814">
        <v>0</v>
      </c>
      <c r="X814">
        <v>32</v>
      </c>
      <c r="Y814">
        <v>0</v>
      </c>
      <c r="Z814">
        <v>0</v>
      </c>
      <c r="AA814">
        <v>0</v>
      </c>
      <c r="AE814" s="30">
        <v>46400.416666666664</v>
      </c>
      <c r="AF814" s="30">
        <v>46406.416666666664</v>
      </c>
      <c r="AH814" s="30">
        <v>45909.380555555559</v>
      </c>
      <c r="AI814" s="30">
        <v>45915.380555555559</v>
      </c>
      <c r="AJ814" s="30">
        <v>45909.380555555559</v>
      </c>
      <c r="AK814" s="30">
        <v>45915.380555555559</v>
      </c>
      <c r="AL814" s="30">
        <v>45909.380555555559</v>
      </c>
      <c r="AM814" s="30">
        <v>45915.380555555559</v>
      </c>
      <c r="AN814" s="30">
        <v>46400.416666666664</v>
      </c>
      <c r="AO814" s="30">
        <v>46406.416666666664</v>
      </c>
      <c r="AQ814" t="s">
        <v>3171</v>
      </c>
      <c r="AV814" t="s">
        <v>3722</v>
      </c>
      <c r="AW814" t="s">
        <v>3721</v>
      </c>
      <c r="AZ814" t="s">
        <v>1265</v>
      </c>
      <c r="BA814">
        <v>0</v>
      </c>
      <c r="BB814">
        <v>0</v>
      </c>
      <c r="BJ814" s="30">
        <v>46069.523611111108</v>
      </c>
      <c r="BK814" s="30">
        <v>46093.73333333333</v>
      </c>
      <c r="BL814" t="s">
        <v>1259</v>
      </c>
      <c r="BM814" t="s">
        <v>1259</v>
      </c>
      <c r="BO814" t="s">
        <v>1265</v>
      </c>
    </row>
    <row r="815" spans="1:67" x14ac:dyDescent="0.25">
      <c r="A815" t="s">
        <v>1248</v>
      </c>
      <c r="B815">
        <v>352197</v>
      </c>
      <c r="C815">
        <v>405</v>
      </c>
      <c r="D815">
        <v>51486</v>
      </c>
      <c r="E815">
        <v>1117</v>
      </c>
      <c r="F815">
        <v>0</v>
      </c>
      <c r="G815" t="s">
        <v>1265</v>
      </c>
      <c r="H815">
        <v>1</v>
      </c>
      <c r="I815" t="s">
        <v>1265</v>
      </c>
      <c r="J815" t="s">
        <v>1265</v>
      </c>
      <c r="K815" t="s">
        <v>3191</v>
      </c>
      <c r="L815" t="s">
        <v>3176</v>
      </c>
      <c r="M815" t="s">
        <v>3190</v>
      </c>
      <c r="N815" t="s">
        <v>3174</v>
      </c>
      <c r="O815">
        <v>1688</v>
      </c>
      <c r="P815" t="s">
        <v>3720</v>
      </c>
      <c r="R815" s="29">
        <v>273686666666667</v>
      </c>
      <c r="S815">
        <v>0</v>
      </c>
      <c r="T815">
        <v>47</v>
      </c>
      <c r="U815">
        <v>0</v>
      </c>
      <c r="V815">
        <v>0</v>
      </c>
      <c r="W815">
        <v>0</v>
      </c>
      <c r="X815">
        <v>47</v>
      </c>
      <c r="Y815">
        <v>0</v>
      </c>
      <c r="Z815">
        <v>0</v>
      </c>
      <c r="AA815">
        <v>0</v>
      </c>
      <c r="AE815" s="30">
        <v>46406.416666666664</v>
      </c>
      <c r="AF815" s="30">
        <v>46414.375</v>
      </c>
      <c r="AH815" s="30">
        <v>45915.380555555559</v>
      </c>
      <c r="AI815" s="30">
        <v>45923.338888888888</v>
      </c>
      <c r="AJ815" s="30">
        <v>45915.380555555559</v>
      </c>
      <c r="AK815" s="30">
        <v>45923.338888888888</v>
      </c>
      <c r="AL815" s="30">
        <v>45915.380555555559</v>
      </c>
      <c r="AM815" s="30">
        <v>45923.338888888888</v>
      </c>
      <c r="AN815" s="30">
        <v>46406.416666666664</v>
      </c>
      <c r="AO815" s="30">
        <v>46414.375</v>
      </c>
      <c r="AQ815" t="s">
        <v>3171</v>
      </c>
      <c r="AV815" t="s">
        <v>3719</v>
      </c>
      <c r="AW815" t="s">
        <v>3718</v>
      </c>
      <c r="AZ815" t="s">
        <v>1265</v>
      </c>
      <c r="BA815">
        <v>0</v>
      </c>
      <c r="BB815">
        <v>0</v>
      </c>
      <c r="BJ815" s="30">
        <v>46069.523611111108</v>
      </c>
      <c r="BK815" s="30">
        <v>46093.73333333333</v>
      </c>
      <c r="BL815" t="s">
        <v>1259</v>
      </c>
      <c r="BM815" t="s">
        <v>1259</v>
      </c>
      <c r="BO815" t="s">
        <v>1265</v>
      </c>
    </row>
    <row r="816" spans="1:67" x14ac:dyDescent="0.25">
      <c r="A816" t="s">
        <v>1248</v>
      </c>
      <c r="B816">
        <v>352198</v>
      </c>
      <c r="C816">
        <v>405</v>
      </c>
      <c r="D816">
        <v>53304</v>
      </c>
      <c r="E816">
        <v>1117</v>
      </c>
      <c r="F816">
        <v>0</v>
      </c>
      <c r="G816" t="s">
        <v>1265</v>
      </c>
      <c r="H816">
        <v>1</v>
      </c>
      <c r="I816" t="s">
        <v>1265</v>
      </c>
      <c r="J816" t="s">
        <v>1265</v>
      </c>
      <c r="K816" t="s">
        <v>3191</v>
      </c>
      <c r="L816" t="s">
        <v>3176</v>
      </c>
      <c r="M816" t="s">
        <v>3190</v>
      </c>
      <c r="N816" t="s">
        <v>3174</v>
      </c>
      <c r="O816">
        <v>1698</v>
      </c>
      <c r="P816" t="s">
        <v>3717</v>
      </c>
      <c r="R816" s="29">
        <v>273686666666667</v>
      </c>
      <c r="S816" s="29">
        <v>592866666666667</v>
      </c>
      <c r="T816">
        <v>7</v>
      </c>
      <c r="U816">
        <v>0</v>
      </c>
      <c r="V816">
        <v>0</v>
      </c>
      <c r="W816">
        <v>0</v>
      </c>
      <c r="X816">
        <v>7</v>
      </c>
      <c r="Y816">
        <v>0</v>
      </c>
      <c r="Z816">
        <v>0</v>
      </c>
      <c r="AA816">
        <v>0</v>
      </c>
      <c r="AE816" s="30">
        <v>46414.375</v>
      </c>
      <c r="AF816" s="30">
        <v>46414.708333333336</v>
      </c>
      <c r="AH816" s="30">
        <v>45923.338888888888</v>
      </c>
      <c r="AI816" s="30">
        <v>45923.672222222223</v>
      </c>
      <c r="AJ816" s="30">
        <v>45923.338888888888</v>
      </c>
      <c r="AK816" s="30">
        <v>45923.672222222223</v>
      </c>
      <c r="AL816" s="30">
        <v>45923.338888888888</v>
      </c>
      <c r="AM816" s="30">
        <v>45923.672222222223</v>
      </c>
      <c r="AN816" s="30">
        <v>46414.375</v>
      </c>
      <c r="AO816" s="30">
        <v>46414.708333333336</v>
      </c>
      <c r="AQ816" t="s">
        <v>3171</v>
      </c>
      <c r="AV816" t="s">
        <v>3716</v>
      </c>
      <c r="AW816" t="s">
        <v>3715</v>
      </c>
      <c r="AZ816" t="s">
        <v>1265</v>
      </c>
      <c r="BA816">
        <v>0</v>
      </c>
      <c r="BB816">
        <v>0</v>
      </c>
      <c r="BJ816" s="30">
        <v>46069.523611111108</v>
      </c>
      <c r="BK816" s="30">
        <v>46093.73333333333</v>
      </c>
      <c r="BL816" t="s">
        <v>1259</v>
      </c>
      <c r="BM816" t="s">
        <v>1259</v>
      </c>
      <c r="BO816" t="s">
        <v>1265</v>
      </c>
    </row>
    <row r="817" spans="1:67" x14ac:dyDescent="0.25">
      <c r="A817" t="s">
        <v>1248</v>
      </c>
      <c r="B817">
        <v>352199</v>
      </c>
      <c r="C817">
        <v>405</v>
      </c>
      <c r="D817">
        <v>53304</v>
      </c>
      <c r="E817">
        <v>1117</v>
      </c>
      <c r="F817">
        <v>0</v>
      </c>
      <c r="G817" t="s">
        <v>1265</v>
      </c>
      <c r="H817">
        <v>1</v>
      </c>
      <c r="I817" t="s">
        <v>1265</v>
      </c>
      <c r="J817" t="s">
        <v>1265</v>
      </c>
      <c r="K817" t="s">
        <v>3191</v>
      </c>
      <c r="L817" t="s">
        <v>3176</v>
      </c>
      <c r="M817" t="s">
        <v>3190</v>
      </c>
      <c r="N817" t="s">
        <v>3174</v>
      </c>
      <c r="O817">
        <v>1708</v>
      </c>
      <c r="P817" t="s">
        <v>3714</v>
      </c>
      <c r="R817" s="29">
        <v>266486666666667</v>
      </c>
      <c r="S817">
        <v>0</v>
      </c>
      <c r="T817">
        <v>15</v>
      </c>
      <c r="U817">
        <v>0</v>
      </c>
      <c r="V817">
        <v>0</v>
      </c>
      <c r="W817">
        <v>0</v>
      </c>
      <c r="X817">
        <v>15</v>
      </c>
      <c r="Y817">
        <v>0</v>
      </c>
      <c r="Z817">
        <v>0</v>
      </c>
      <c r="AA817">
        <v>0</v>
      </c>
      <c r="AE817" s="30">
        <v>46365.369444444441</v>
      </c>
      <c r="AF817" s="30">
        <v>46366.702777777777</v>
      </c>
      <c r="AH817" s="30">
        <v>45890.333333333336</v>
      </c>
      <c r="AI817" s="30">
        <v>45891.666666666664</v>
      </c>
      <c r="AJ817" s="30">
        <v>45890.333333333336</v>
      </c>
      <c r="AK817" s="30">
        <v>45891.666666666664</v>
      </c>
      <c r="AL817" s="30">
        <v>45890.333333333336</v>
      </c>
      <c r="AM817" s="30">
        <v>45891.666666666664</v>
      </c>
      <c r="AN817" s="30">
        <v>46365.369444444441</v>
      </c>
      <c r="AO817" s="30">
        <v>46366.702777777777</v>
      </c>
      <c r="AQ817" t="s">
        <v>3171</v>
      </c>
      <c r="AV817" t="s">
        <v>3713</v>
      </c>
      <c r="AW817" t="s">
        <v>3712</v>
      </c>
      <c r="AZ817" t="s">
        <v>1265</v>
      </c>
      <c r="BA817">
        <v>0</v>
      </c>
      <c r="BB817">
        <v>0</v>
      </c>
      <c r="BJ817" s="30">
        <v>46069.523611111108</v>
      </c>
      <c r="BK817" s="30">
        <v>46093.73333333333</v>
      </c>
      <c r="BL817" t="s">
        <v>1259</v>
      </c>
      <c r="BM817" t="s">
        <v>1259</v>
      </c>
      <c r="BO817" t="s">
        <v>1265</v>
      </c>
    </row>
    <row r="818" spans="1:67" x14ac:dyDescent="0.25">
      <c r="A818" t="s">
        <v>1248</v>
      </c>
      <c r="B818">
        <v>352200</v>
      </c>
      <c r="C818">
        <v>405</v>
      </c>
      <c r="D818">
        <v>51487</v>
      </c>
      <c r="E818">
        <v>1117</v>
      </c>
      <c r="F818">
        <v>0</v>
      </c>
      <c r="G818" t="s">
        <v>1265</v>
      </c>
      <c r="H818">
        <v>1</v>
      </c>
      <c r="I818" t="s">
        <v>1265</v>
      </c>
      <c r="J818" t="s">
        <v>1265</v>
      </c>
      <c r="K818" t="s">
        <v>3191</v>
      </c>
      <c r="L818" t="s">
        <v>3176</v>
      </c>
      <c r="M818" t="s">
        <v>3190</v>
      </c>
      <c r="N818" t="s">
        <v>3174</v>
      </c>
      <c r="O818">
        <v>1718</v>
      </c>
      <c r="P818" t="s">
        <v>3711</v>
      </c>
      <c r="R818" s="29">
        <v>266486666666667</v>
      </c>
      <c r="S818">
        <v>0</v>
      </c>
      <c r="T818" s="29">
        <v>441333333333333</v>
      </c>
      <c r="U818">
        <v>0</v>
      </c>
      <c r="V818">
        <v>0</v>
      </c>
      <c r="W818">
        <v>0</v>
      </c>
      <c r="X818" s="29">
        <v>441333333333333</v>
      </c>
      <c r="Y818">
        <v>0</v>
      </c>
      <c r="Z818">
        <v>0</v>
      </c>
      <c r="AA818">
        <v>0</v>
      </c>
      <c r="AE818" s="30">
        <v>46366.702777777777</v>
      </c>
      <c r="AF818" s="30">
        <v>46374.5</v>
      </c>
      <c r="AH818" s="30">
        <v>45891.666666666664</v>
      </c>
      <c r="AI818" s="30">
        <v>45901.463888888888</v>
      </c>
      <c r="AJ818" s="30">
        <v>45891.666666666664</v>
      </c>
      <c r="AK818" s="30">
        <v>45901.463888888888</v>
      </c>
      <c r="AL818" s="30">
        <v>45891.666666666664</v>
      </c>
      <c r="AM818" s="30">
        <v>45901.463888888888</v>
      </c>
      <c r="AN818" s="30">
        <v>46366.702777777777</v>
      </c>
      <c r="AO818" s="30">
        <v>46374.5</v>
      </c>
      <c r="AQ818" t="s">
        <v>3171</v>
      </c>
      <c r="AV818" t="s">
        <v>3710</v>
      </c>
      <c r="AW818" t="s">
        <v>3709</v>
      </c>
      <c r="AZ818" t="s">
        <v>1265</v>
      </c>
      <c r="BA818">
        <v>0</v>
      </c>
      <c r="BB818">
        <v>0</v>
      </c>
      <c r="BJ818" s="30">
        <v>46069.523611111108</v>
      </c>
      <c r="BK818" s="30">
        <v>46093.73333333333</v>
      </c>
      <c r="BL818" t="s">
        <v>1259</v>
      </c>
      <c r="BM818" t="s">
        <v>1259</v>
      </c>
      <c r="BO818" t="s">
        <v>1265</v>
      </c>
    </row>
    <row r="819" spans="1:67" x14ac:dyDescent="0.25">
      <c r="A819" t="s">
        <v>1248</v>
      </c>
      <c r="B819">
        <v>352201</v>
      </c>
      <c r="C819">
        <v>405</v>
      </c>
      <c r="D819">
        <v>51487</v>
      </c>
      <c r="E819">
        <v>1117</v>
      </c>
      <c r="F819">
        <v>0</v>
      </c>
      <c r="G819" t="s">
        <v>1265</v>
      </c>
      <c r="H819">
        <v>1</v>
      </c>
      <c r="I819" t="s">
        <v>1265</v>
      </c>
      <c r="J819" t="s">
        <v>1265</v>
      </c>
      <c r="K819" t="s">
        <v>3191</v>
      </c>
      <c r="L819" t="s">
        <v>3176</v>
      </c>
      <c r="M819" t="s">
        <v>3190</v>
      </c>
      <c r="N819" t="s">
        <v>3174</v>
      </c>
      <c r="O819">
        <v>1728</v>
      </c>
      <c r="P819" t="s">
        <v>3708</v>
      </c>
      <c r="R819" s="29">
        <v>266486666666667</v>
      </c>
      <c r="S819">
        <v>0</v>
      </c>
      <c r="T819">
        <v>7</v>
      </c>
      <c r="U819">
        <v>0</v>
      </c>
      <c r="V819">
        <v>0</v>
      </c>
      <c r="W819">
        <v>0</v>
      </c>
      <c r="X819">
        <v>7</v>
      </c>
      <c r="Y819">
        <v>0</v>
      </c>
      <c r="Z819">
        <v>0</v>
      </c>
      <c r="AA819">
        <v>0</v>
      </c>
      <c r="AE819" s="30">
        <v>46374.541666666664</v>
      </c>
      <c r="AF819" s="30">
        <v>46377.458333333336</v>
      </c>
      <c r="AH819" s="30">
        <v>45901.463888888888</v>
      </c>
      <c r="AI819" s="30">
        <v>45902.422222222223</v>
      </c>
      <c r="AJ819" s="30">
        <v>45901.463888888888</v>
      </c>
      <c r="AK819" s="30">
        <v>45902.422222222223</v>
      </c>
      <c r="AL819" s="30">
        <v>45901.463888888888</v>
      </c>
      <c r="AM819" s="30">
        <v>45902.422222222223</v>
      </c>
      <c r="AN819" s="30">
        <v>46374.541666666664</v>
      </c>
      <c r="AO819" s="30">
        <v>46377.458333333336</v>
      </c>
      <c r="AQ819" t="s">
        <v>3171</v>
      </c>
      <c r="AV819" t="s">
        <v>3707</v>
      </c>
      <c r="AW819" t="s">
        <v>3706</v>
      </c>
      <c r="AZ819" t="s">
        <v>1265</v>
      </c>
      <c r="BA819">
        <v>0</v>
      </c>
      <c r="BB819">
        <v>0</v>
      </c>
      <c r="BJ819" s="30">
        <v>46069.523611111108</v>
      </c>
      <c r="BK819" s="30">
        <v>46093.73333333333</v>
      </c>
      <c r="BL819" t="s">
        <v>1259</v>
      </c>
      <c r="BM819" t="s">
        <v>1259</v>
      </c>
      <c r="BO819" t="s">
        <v>1265</v>
      </c>
    </row>
    <row r="820" spans="1:67" x14ac:dyDescent="0.25">
      <c r="A820" t="s">
        <v>1248</v>
      </c>
      <c r="B820">
        <v>352202</v>
      </c>
      <c r="C820">
        <v>405</v>
      </c>
      <c r="D820">
        <v>51487</v>
      </c>
      <c r="E820">
        <v>1117</v>
      </c>
      <c r="F820">
        <v>0</v>
      </c>
      <c r="G820" t="s">
        <v>1265</v>
      </c>
      <c r="H820">
        <v>1</v>
      </c>
      <c r="I820" t="s">
        <v>1265</v>
      </c>
      <c r="J820" t="s">
        <v>1265</v>
      </c>
      <c r="K820" t="s">
        <v>3191</v>
      </c>
      <c r="L820" t="s">
        <v>3176</v>
      </c>
      <c r="M820" t="s">
        <v>3190</v>
      </c>
      <c r="N820" t="s">
        <v>3174</v>
      </c>
      <c r="O820">
        <v>1738</v>
      </c>
      <c r="P820" t="s">
        <v>3705</v>
      </c>
      <c r="R820" s="29">
        <v>266486666666667</v>
      </c>
      <c r="S820">
        <v>0</v>
      </c>
      <c r="T820">
        <v>15</v>
      </c>
      <c r="U820">
        <v>0</v>
      </c>
      <c r="V820">
        <v>0</v>
      </c>
      <c r="W820">
        <v>0</v>
      </c>
      <c r="X820">
        <v>15</v>
      </c>
      <c r="Y820">
        <v>0</v>
      </c>
      <c r="Z820">
        <v>0</v>
      </c>
      <c r="AA820">
        <v>0</v>
      </c>
      <c r="AE820" s="30">
        <v>46377.458333333336</v>
      </c>
      <c r="AF820" s="30">
        <v>46379.416666666664</v>
      </c>
      <c r="AH820" s="30">
        <v>45902.422222222223</v>
      </c>
      <c r="AI820" s="30">
        <v>45904.380555555559</v>
      </c>
      <c r="AJ820" s="30">
        <v>45902.422222222223</v>
      </c>
      <c r="AK820" s="30">
        <v>45904.380555555559</v>
      </c>
      <c r="AL820" s="30">
        <v>45902.422222222223</v>
      </c>
      <c r="AM820" s="30">
        <v>45904.380555555559</v>
      </c>
      <c r="AN820" s="30">
        <v>46377.458333333336</v>
      </c>
      <c r="AO820" s="30">
        <v>46379.416666666664</v>
      </c>
      <c r="AQ820" t="s">
        <v>3171</v>
      </c>
      <c r="AV820" t="s">
        <v>3704</v>
      </c>
      <c r="AW820" t="s">
        <v>3703</v>
      </c>
      <c r="AZ820" t="s">
        <v>1265</v>
      </c>
      <c r="BA820">
        <v>0</v>
      </c>
      <c r="BB820">
        <v>0</v>
      </c>
      <c r="BJ820" s="30">
        <v>46069.523611111108</v>
      </c>
      <c r="BK820" s="30">
        <v>46093.73333333333</v>
      </c>
      <c r="BL820" t="s">
        <v>1259</v>
      </c>
      <c r="BM820" t="s">
        <v>1259</v>
      </c>
      <c r="BO820" t="s">
        <v>1265</v>
      </c>
    </row>
    <row r="821" spans="1:67" x14ac:dyDescent="0.25">
      <c r="A821" t="s">
        <v>1248</v>
      </c>
      <c r="B821">
        <v>352203</v>
      </c>
      <c r="C821">
        <v>405</v>
      </c>
      <c r="D821">
        <v>51487</v>
      </c>
      <c r="E821">
        <v>1117</v>
      </c>
      <c r="F821">
        <v>0</v>
      </c>
      <c r="G821" t="s">
        <v>1265</v>
      </c>
      <c r="H821">
        <v>1</v>
      </c>
      <c r="I821" t="s">
        <v>1265</v>
      </c>
      <c r="J821" t="s">
        <v>1265</v>
      </c>
      <c r="K821" t="s">
        <v>3191</v>
      </c>
      <c r="L821" t="s">
        <v>3176</v>
      </c>
      <c r="M821" t="s">
        <v>3190</v>
      </c>
      <c r="N821" t="s">
        <v>3174</v>
      </c>
      <c r="O821">
        <v>1748</v>
      </c>
      <c r="P821" t="s">
        <v>3702</v>
      </c>
      <c r="R821" s="29">
        <v>266486666666667</v>
      </c>
      <c r="S821">
        <v>0</v>
      </c>
      <c r="T821">
        <v>32</v>
      </c>
      <c r="U821">
        <v>0</v>
      </c>
      <c r="V821">
        <v>0</v>
      </c>
      <c r="W821">
        <v>0</v>
      </c>
      <c r="X821">
        <v>32</v>
      </c>
      <c r="Y821">
        <v>0</v>
      </c>
      <c r="Z821">
        <v>0</v>
      </c>
      <c r="AA821">
        <v>0</v>
      </c>
      <c r="AE821" s="30">
        <v>46379.416666666664</v>
      </c>
      <c r="AF821" s="30">
        <v>46386.416666666664</v>
      </c>
      <c r="AH821" s="30">
        <v>45904.380555555559</v>
      </c>
      <c r="AI821" s="30">
        <v>45910.380555555559</v>
      </c>
      <c r="AJ821" s="30">
        <v>45904.380555555559</v>
      </c>
      <c r="AK821" s="30">
        <v>45910.380555555559</v>
      </c>
      <c r="AL821" s="30">
        <v>45904.380555555559</v>
      </c>
      <c r="AM821" s="30">
        <v>45910.380555555559</v>
      </c>
      <c r="AN821" s="30">
        <v>46379.416666666664</v>
      </c>
      <c r="AO821" s="30">
        <v>46386.416666666664</v>
      </c>
      <c r="AQ821" t="s">
        <v>3171</v>
      </c>
      <c r="AV821" t="s">
        <v>3701</v>
      </c>
      <c r="AW821" t="s">
        <v>3700</v>
      </c>
      <c r="AZ821" t="s">
        <v>1265</v>
      </c>
      <c r="BA821">
        <v>0</v>
      </c>
      <c r="BB821">
        <v>0</v>
      </c>
      <c r="BJ821" s="30">
        <v>46069.523611111108</v>
      </c>
      <c r="BK821" s="30">
        <v>46093.73333333333</v>
      </c>
      <c r="BL821" t="s">
        <v>1259</v>
      </c>
      <c r="BM821" t="s">
        <v>1259</v>
      </c>
      <c r="BO821" t="s">
        <v>1265</v>
      </c>
    </row>
    <row r="822" spans="1:67" x14ac:dyDescent="0.25">
      <c r="A822" t="s">
        <v>1248</v>
      </c>
      <c r="B822">
        <v>352204</v>
      </c>
      <c r="C822">
        <v>405</v>
      </c>
      <c r="D822">
        <v>51487</v>
      </c>
      <c r="E822">
        <v>1117</v>
      </c>
      <c r="F822">
        <v>0</v>
      </c>
      <c r="G822" t="s">
        <v>1265</v>
      </c>
      <c r="H822">
        <v>1</v>
      </c>
      <c r="I822" t="s">
        <v>1265</v>
      </c>
      <c r="J822" t="s">
        <v>1265</v>
      </c>
      <c r="K822" t="s">
        <v>3191</v>
      </c>
      <c r="L822" t="s">
        <v>3176</v>
      </c>
      <c r="M822" t="s">
        <v>3190</v>
      </c>
      <c r="N822" t="s">
        <v>3174</v>
      </c>
      <c r="O822">
        <v>1758</v>
      </c>
      <c r="P822" t="s">
        <v>3699</v>
      </c>
      <c r="R822" s="29">
        <v>266486666666667</v>
      </c>
      <c r="S822">
        <v>0</v>
      </c>
      <c r="T822">
        <v>47</v>
      </c>
      <c r="U822">
        <v>0</v>
      </c>
      <c r="V822">
        <v>0</v>
      </c>
      <c r="W822">
        <v>0</v>
      </c>
      <c r="X822">
        <v>47</v>
      </c>
      <c r="Y822">
        <v>0</v>
      </c>
      <c r="Z822">
        <v>0</v>
      </c>
      <c r="AA822">
        <v>0</v>
      </c>
      <c r="AE822" s="30">
        <v>46386.416666666664</v>
      </c>
      <c r="AF822" s="30">
        <v>46398.375</v>
      </c>
      <c r="AH822" s="30">
        <v>45910.380555555559</v>
      </c>
      <c r="AI822" s="30">
        <v>45918.338888888888</v>
      </c>
      <c r="AJ822" s="30">
        <v>45910.380555555559</v>
      </c>
      <c r="AK822" s="30">
        <v>45918.338888888888</v>
      </c>
      <c r="AL822" s="30">
        <v>45910.380555555559</v>
      </c>
      <c r="AM822" s="30">
        <v>45918.338888888888</v>
      </c>
      <c r="AN822" s="30">
        <v>46386.416666666664</v>
      </c>
      <c r="AO822" s="30">
        <v>46398.375</v>
      </c>
      <c r="AQ822" t="s">
        <v>3171</v>
      </c>
      <c r="AV822" t="s">
        <v>3698</v>
      </c>
      <c r="AW822" t="s">
        <v>3697</v>
      </c>
      <c r="AZ822" t="s">
        <v>1265</v>
      </c>
      <c r="BA822">
        <v>0</v>
      </c>
      <c r="BB822">
        <v>0</v>
      </c>
      <c r="BJ822" s="30">
        <v>46069.523611111108</v>
      </c>
      <c r="BK822" s="30">
        <v>46093.73333333333</v>
      </c>
      <c r="BL822" t="s">
        <v>1259</v>
      </c>
      <c r="BM822" t="s">
        <v>1259</v>
      </c>
      <c r="BO822" t="s">
        <v>1265</v>
      </c>
    </row>
    <row r="823" spans="1:67" x14ac:dyDescent="0.25">
      <c r="A823" t="s">
        <v>1248</v>
      </c>
      <c r="B823">
        <v>352205</v>
      </c>
      <c r="C823">
        <v>405</v>
      </c>
      <c r="D823">
        <v>53304</v>
      </c>
      <c r="E823">
        <v>1117</v>
      </c>
      <c r="F823">
        <v>0</v>
      </c>
      <c r="G823" t="s">
        <v>1265</v>
      </c>
      <c r="H823">
        <v>1</v>
      </c>
      <c r="I823" t="s">
        <v>1265</v>
      </c>
      <c r="J823" t="s">
        <v>1265</v>
      </c>
      <c r="K823" t="s">
        <v>3191</v>
      </c>
      <c r="L823" t="s">
        <v>3176</v>
      </c>
      <c r="M823" t="s">
        <v>3190</v>
      </c>
      <c r="N823" t="s">
        <v>3174</v>
      </c>
      <c r="O823">
        <v>1768</v>
      </c>
      <c r="P823" t="s">
        <v>3696</v>
      </c>
      <c r="R823" s="29">
        <v>266486666666667</v>
      </c>
      <c r="S823">
        <v>17</v>
      </c>
      <c r="T823">
        <v>7</v>
      </c>
      <c r="U823">
        <v>0</v>
      </c>
      <c r="V823">
        <v>0</v>
      </c>
      <c r="W823">
        <v>0</v>
      </c>
      <c r="X823">
        <v>7</v>
      </c>
      <c r="Y823">
        <v>0</v>
      </c>
      <c r="Z823">
        <v>0</v>
      </c>
      <c r="AA823">
        <v>0</v>
      </c>
      <c r="AE823" s="30">
        <v>46398.375</v>
      </c>
      <c r="AF823" s="30">
        <v>46398.708333333336</v>
      </c>
      <c r="AH823" s="30">
        <v>45918.338888888888</v>
      </c>
      <c r="AI823" s="30">
        <v>45918.672222222223</v>
      </c>
      <c r="AJ823" s="30">
        <v>45918.338888888888</v>
      </c>
      <c r="AK823" s="30">
        <v>45918.672222222223</v>
      </c>
      <c r="AL823" s="30">
        <v>45918.338888888888</v>
      </c>
      <c r="AM823" s="30">
        <v>45918.672222222223</v>
      </c>
      <c r="AN823" s="30">
        <v>46398.375</v>
      </c>
      <c r="AO823" s="30">
        <v>46398.708333333336</v>
      </c>
      <c r="AQ823" t="s">
        <v>3171</v>
      </c>
      <c r="AV823" t="s">
        <v>3695</v>
      </c>
      <c r="AW823" t="s">
        <v>3694</v>
      </c>
      <c r="AZ823" t="s">
        <v>1265</v>
      </c>
      <c r="BA823">
        <v>0</v>
      </c>
      <c r="BB823">
        <v>0</v>
      </c>
      <c r="BJ823" s="30">
        <v>46069.523611111108</v>
      </c>
      <c r="BK823" s="30">
        <v>46093.73333333333</v>
      </c>
      <c r="BL823" t="s">
        <v>1259</v>
      </c>
      <c r="BM823" t="s">
        <v>1259</v>
      </c>
      <c r="BO823" t="s">
        <v>1265</v>
      </c>
    </row>
    <row r="824" spans="1:67" x14ac:dyDescent="0.25">
      <c r="A824" t="s">
        <v>1248</v>
      </c>
      <c r="B824">
        <v>352206</v>
      </c>
      <c r="C824">
        <v>405</v>
      </c>
      <c r="D824">
        <v>53304</v>
      </c>
      <c r="E824">
        <v>1117</v>
      </c>
      <c r="F824">
        <v>0</v>
      </c>
      <c r="G824" t="s">
        <v>1265</v>
      </c>
      <c r="H824">
        <v>1</v>
      </c>
      <c r="I824" t="s">
        <v>1265</v>
      </c>
      <c r="J824" t="s">
        <v>1265</v>
      </c>
      <c r="K824" t="s">
        <v>3191</v>
      </c>
      <c r="L824" t="s">
        <v>3176</v>
      </c>
      <c r="M824" t="s">
        <v>3190</v>
      </c>
      <c r="N824" t="s">
        <v>3174</v>
      </c>
      <c r="O824">
        <v>1778</v>
      </c>
      <c r="P824" t="s">
        <v>3693</v>
      </c>
      <c r="R824" s="29">
        <v>259286666666667</v>
      </c>
      <c r="S824">
        <v>0</v>
      </c>
      <c r="T824">
        <v>15</v>
      </c>
      <c r="U824">
        <v>0</v>
      </c>
      <c r="V824">
        <v>0</v>
      </c>
      <c r="W824">
        <v>0</v>
      </c>
      <c r="X824">
        <v>15</v>
      </c>
      <c r="Y824">
        <v>0</v>
      </c>
      <c r="Z824">
        <v>0</v>
      </c>
      <c r="AA824">
        <v>0</v>
      </c>
      <c r="AE824" s="30">
        <v>46346.369444444441</v>
      </c>
      <c r="AF824" s="30">
        <v>46349.702777777777</v>
      </c>
      <c r="AH824" s="30">
        <v>45887.333333333336</v>
      </c>
      <c r="AI824" s="30">
        <v>45888.666666666664</v>
      </c>
      <c r="AJ824" s="30">
        <v>45887.333333333336</v>
      </c>
      <c r="AK824" s="30">
        <v>45888.666666666664</v>
      </c>
      <c r="AL824" s="30">
        <v>45887.333333333336</v>
      </c>
      <c r="AM824" s="30">
        <v>45888.666666666664</v>
      </c>
      <c r="AN824" s="30">
        <v>46346.369444444441</v>
      </c>
      <c r="AO824" s="30">
        <v>46349.702777777777</v>
      </c>
      <c r="AQ824" t="s">
        <v>3171</v>
      </c>
      <c r="AV824" t="s">
        <v>3692</v>
      </c>
      <c r="AW824" t="s">
        <v>3691</v>
      </c>
      <c r="AZ824" t="s">
        <v>1265</v>
      </c>
      <c r="BA824">
        <v>0</v>
      </c>
      <c r="BB824">
        <v>0</v>
      </c>
      <c r="BJ824" s="30">
        <v>46069.523611111108</v>
      </c>
      <c r="BK824" s="30">
        <v>46093.73333333333</v>
      </c>
      <c r="BL824" t="s">
        <v>1259</v>
      </c>
      <c r="BM824" t="s">
        <v>1259</v>
      </c>
      <c r="BO824" t="s">
        <v>1265</v>
      </c>
    </row>
    <row r="825" spans="1:67" x14ac:dyDescent="0.25">
      <c r="A825" t="s">
        <v>1248</v>
      </c>
      <c r="B825">
        <v>352207</v>
      </c>
      <c r="C825">
        <v>405</v>
      </c>
      <c r="D825">
        <v>51488</v>
      </c>
      <c r="E825">
        <v>1117</v>
      </c>
      <c r="F825">
        <v>0</v>
      </c>
      <c r="G825" t="s">
        <v>1265</v>
      </c>
      <c r="H825">
        <v>1</v>
      </c>
      <c r="I825" t="s">
        <v>1265</v>
      </c>
      <c r="J825" t="s">
        <v>1265</v>
      </c>
      <c r="K825" t="s">
        <v>3191</v>
      </c>
      <c r="L825" t="s">
        <v>3176</v>
      </c>
      <c r="M825" t="s">
        <v>3190</v>
      </c>
      <c r="N825" t="s">
        <v>3174</v>
      </c>
      <c r="O825">
        <v>1788</v>
      </c>
      <c r="P825" t="s">
        <v>3690</v>
      </c>
      <c r="R825" s="29">
        <v>259286666666667</v>
      </c>
      <c r="S825">
        <v>0</v>
      </c>
      <c r="T825" s="29">
        <v>441333333333333</v>
      </c>
      <c r="U825">
        <v>0</v>
      </c>
      <c r="V825">
        <v>0</v>
      </c>
      <c r="W825">
        <v>0</v>
      </c>
      <c r="X825" s="29">
        <v>441333333333333</v>
      </c>
      <c r="Y825">
        <v>0</v>
      </c>
      <c r="Z825">
        <v>0</v>
      </c>
      <c r="AA825">
        <v>0</v>
      </c>
      <c r="AE825" s="30">
        <v>46349.702777777777</v>
      </c>
      <c r="AF825" s="30">
        <v>46357.5</v>
      </c>
      <c r="AH825" s="30">
        <v>45888.666666666664</v>
      </c>
      <c r="AI825" s="30">
        <v>45896.463888888888</v>
      </c>
      <c r="AJ825" s="30">
        <v>45888.666666666664</v>
      </c>
      <c r="AK825" s="30">
        <v>45896.463888888888</v>
      </c>
      <c r="AL825" s="30">
        <v>45888.666666666664</v>
      </c>
      <c r="AM825" s="30">
        <v>45896.463888888888</v>
      </c>
      <c r="AN825" s="30">
        <v>46349.702777777777</v>
      </c>
      <c r="AO825" s="30">
        <v>46357.5</v>
      </c>
      <c r="AQ825" t="s">
        <v>3171</v>
      </c>
      <c r="AV825" t="s">
        <v>3689</v>
      </c>
      <c r="AW825" t="s">
        <v>3688</v>
      </c>
      <c r="AZ825" t="s">
        <v>1265</v>
      </c>
      <c r="BA825">
        <v>0</v>
      </c>
      <c r="BB825">
        <v>0</v>
      </c>
      <c r="BJ825" s="30">
        <v>46069.523611111108</v>
      </c>
      <c r="BK825" s="30">
        <v>46093.73333333333</v>
      </c>
      <c r="BL825" t="s">
        <v>1259</v>
      </c>
      <c r="BM825" t="s">
        <v>1259</v>
      </c>
      <c r="BO825" t="s">
        <v>1265</v>
      </c>
    </row>
    <row r="826" spans="1:67" x14ac:dyDescent="0.25">
      <c r="A826" t="s">
        <v>1248</v>
      </c>
      <c r="B826">
        <v>352208</v>
      </c>
      <c r="C826">
        <v>405</v>
      </c>
      <c r="D826">
        <v>51488</v>
      </c>
      <c r="E826">
        <v>1117</v>
      </c>
      <c r="F826">
        <v>0</v>
      </c>
      <c r="G826" t="s">
        <v>1265</v>
      </c>
      <c r="H826">
        <v>1</v>
      </c>
      <c r="I826" t="s">
        <v>1265</v>
      </c>
      <c r="J826" t="s">
        <v>1265</v>
      </c>
      <c r="K826" t="s">
        <v>3191</v>
      </c>
      <c r="L826" t="s">
        <v>3176</v>
      </c>
      <c r="M826" t="s">
        <v>3190</v>
      </c>
      <c r="N826" t="s">
        <v>3174</v>
      </c>
      <c r="O826">
        <v>1798</v>
      </c>
      <c r="P826" t="s">
        <v>3687</v>
      </c>
      <c r="R826" s="29">
        <v>259286666666667</v>
      </c>
      <c r="S826">
        <v>0</v>
      </c>
      <c r="T826">
        <v>7</v>
      </c>
      <c r="U826">
        <v>0</v>
      </c>
      <c r="V826">
        <v>0</v>
      </c>
      <c r="W826">
        <v>0</v>
      </c>
      <c r="X826">
        <v>7</v>
      </c>
      <c r="Y826">
        <v>0</v>
      </c>
      <c r="Z826">
        <v>0</v>
      </c>
      <c r="AA826">
        <v>0</v>
      </c>
      <c r="AE826" s="30">
        <v>46357.541666666664</v>
      </c>
      <c r="AF826" s="30">
        <v>46358.458333333336</v>
      </c>
      <c r="AH826" s="30">
        <v>45896.463888888888</v>
      </c>
      <c r="AI826" s="30">
        <v>45897.422222222223</v>
      </c>
      <c r="AJ826" s="30">
        <v>45896.463888888888</v>
      </c>
      <c r="AK826" s="30">
        <v>45897.422222222223</v>
      </c>
      <c r="AL826" s="30">
        <v>45896.463888888888</v>
      </c>
      <c r="AM826" s="30">
        <v>45897.422222222223</v>
      </c>
      <c r="AN826" s="30">
        <v>46357.541666666664</v>
      </c>
      <c r="AO826" s="30">
        <v>46358.458333333336</v>
      </c>
      <c r="AQ826" t="s">
        <v>3171</v>
      </c>
      <c r="AV826" t="s">
        <v>3686</v>
      </c>
      <c r="AW826" t="s">
        <v>3685</v>
      </c>
      <c r="AZ826" t="s">
        <v>1265</v>
      </c>
      <c r="BA826">
        <v>0</v>
      </c>
      <c r="BB826">
        <v>0</v>
      </c>
      <c r="BJ826" s="30">
        <v>46069.523611111108</v>
      </c>
      <c r="BK826" s="30">
        <v>46093.73333333333</v>
      </c>
      <c r="BL826" t="s">
        <v>1259</v>
      </c>
      <c r="BM826" t="s">
        <v>1259</v>
      </c>
      <c r="BO826" t="s">
        <v>1265</v>
      </c>
    </row>
    <row r="827" spans="1:67" x14ac:dyDescent="0.25">
      <c r="A827" t="s">
        <v>1248</v>
      </c>
      <c r="B827">
        <v>352209</v>
      </c>
      <c r="C827">
        <v>405</v>
      </c>
      <c r="D827">
        <v>51488</v>
      </c>
      <c r="E827">
        <v>1117</v>
      </c>
      <c r="F827">
        <v>0</v>
      </c>
      <c r="G827" t="s">
        <v>1265</v>
      </c>
      <c r="H827">
        <v>1</v>
      </c>
      <c r="I827" t="s">
        <v>1265</v>
      </c>
      <c r="J827" t="s">
        <v>1265</v>
      </c>
      <c r="K827" t="s">
        <v>3191</v>
      </c>
      <c r="L827" t="s">
        <v>3176</v>
      </c>
      <c r="M827" t="s">
        <v>3190</v>
      </c>
      <c r="N827" t="s">
        <v>3174</v>
      </c>
      <c r="O827">
        <v>1808</v>
      </c>
      <c r="P827" t="s">
        <v>3684</v>
      </c>
      <c r="R827" s="29">
        <v>259286666666667</v>
      </c>
      <c r="S827">
        <v>0</v>
      </c>
      <c r="T827">
        <v>15</v>
      </c>
      <c r="U827">
        <v>0</v>
      </c>
      <c r="V827">
        <v>0</v>
      </c>
      <c r="W827">
        <v>0</v>
      </c>
      <c r="X827">
        <v>15</v>
      </c>
      <c r="Y827">
        <v>0</v>
      </c>
      <c r="Z827">
        <v>0</v>
      </c>
      <c r="AA827">
        <v>0</v>
      </c>
      <c r="AE827" s="30">
        <v>46358.458333333336</v>
      </c>
      <c r="AF827" s="30">
        <v>46360.416666666664</v>
      </c>
      <c r="AH827" s="30">
        <v>45897.422222222223</v>
      </c>
      <c r="AI827" s="30">
        <v>45901.380555555559</v>
      </c>
      <c r="AJ827" s="30">
        <v>45897.422222222223</v>
      </c>
      <c r="AK827" s="30">
        <v>45901.380555555559</v>
      </c>
      <c r="AL827" s="30">
        <v>45897.422222222223</v>
      </c>
      <c r="AM827" s="30">
        <v>45901.380555555559</v>
      </c>
      <c r="AN827" s="30">
        <v>46358.458333333336</v>
      </c>
      <c r="AO827" s="30">
        <v>46360.416666666664</v>
      </c>
      <c r="AQ827" t="s">
        <v>3171</v>
      </c>
      <c r="AV827" t="s">
        <v>3683</v>
      </c>
      <c r="AW827" t="s">
        <v>3682</v>
      </c>
      <c r="AZ827" t="s">
        <v>1265</v>
      </c>
      <c r="BA827">
        <v>0</v>
      </c>
      <c r="BB827">
        <v>0</v>
      </c>
      <c r="BJ827" s="30">
        <v>46069.523611111108</v>
      </c>
      <c r="BK827" s="30">
        <v>46093.73333333333</v>
      </c>
      <c r="BL827" t="s">
        <v>1259</v>
      </c>
      <c r="BM827" t="s">
        <v>1259</v>
      </c>
      <c r="BO827" t="s">
        <v>1265</v>
      </c>
    </row>
    <row r="828" spans="1:67" x14ac:dyDescent="0.25">
      <c r="A828" t="s">
        <v>1248</v>
      </c>
      <c r="B828">
        <v>352210</v>
      </c>
      <c r="C828">
        <v>405</v>
      </c>
      <c r="D828">
        <v>51488</v>
      </c>
      <c r="E828">
        <v>1117</v>
      </c>
      <c r="F828">
        <v>0</v>
      </c>
      <c r="G828" t="s">
        <v>1265</v>
      </c>
      <c r="H828">
        <v>1</v>
      </c>
      <c r="I828" t="s">
        <v>1265</v>
      </c>
      <c r="J828" t="s">
        <v>1265</v>
      </c>
      <c r="K828" t="s">
        <v>3191</v>
      </c>
      <c r="L828" t="s">
        <v>3176</v>
      </c>
      <c r="M828" t="s">
        <v>3190</v>
      </c>
      <c r="N828" t="s">
        <v>3174</v>
      </c>
      <c r="O828">
        <v>1818</v>
      </c>
      <c r="P828" t="s">
        <v>3681</v>
      </c>
      <c r="R828" s="29">
        <v>259286666666667</v>
      </c>
      <c r="S828">
        <v>0</v>
      </c>
      <c r="T828">
        <v>32</v>
      </c>
      <c r="U828">
        <v>0</v>
      </c>
      <c r="V828">
        <v>0</v>
      </c>
      <c r="W828">
        <v>0</v>
      </c>
      <c r="X828">
        <v>32</v>
      </c>
      <c r="Y828">
        <v>0</v>
      </c>
      <c r="Z828">
        <v>0</v>
      </c>
      <c r="AA828">
        <v>0</v>
      </c>
      <c r="AE828" s="30">
        <v>46360.416666666664</v>
      </c>
      <c r="AF828" s="30">
        <v>46367.416666666664</v>
      </c>
      <c r="AH828" s="30">
        <v>45901.380555555559</v>
      </c>
      <c r="AI828" s="30">
        <v>45905.380555555559</v>
      </c>
      <c r="AJ828" s="30">
        <v>45901.380555555559</v>
      </c>
      <c r="AK828" s="30">
        <v>45905.380555555559</v>
      </c>
      <c r="AL828" s="30">
        <v>45901.380555555559</v>
      </c>
      <c r="AM828" s="30">
        <v>45905.380555555559</v>
      </c>
      <c r="AN828" s="30">
        <v>46360.416666666664</v>
      </c>
      <c r="AO828" s="30">
        <v>46367.416666666664</v>
      </c>
      <c r="AQ828" t="s">
        <v>3171</v>
      </c>
      <c r="AV828" t="s">
        <v>3680</v>
      </c>
      <c r="AW828" t="s">
        <v>3679</v>
      </c>
      <c r="AZ828" t="s">
        <v>1265</v>
      </c>
      <c r="BA828">
        <v>0</v>
      </c>
      <c r="BB828">
        <v>0</v>
      </c>
      <c r="BJ828" s="30">
        <v>46069.523611111108</v>
      </c>
      <c r="BK828" s="30">
        <v>46093.73333333333</v>
      </c>
      <c r="BL828" t="s">
        <v>1259</v>
      </c>
      <c r="BM828" t="s">
        <v>1259</v>
      </c>
      <c r="BO828" t="s">
        <v>1265</v>
      </c>
    </row>
    <row r="829" spans="1:67" x14ac:dyDescent="0.25">
      <c r="A829" t="s">
        <v>1248</v>
      </c>
      <c r="B829">
        <v>352211</v>
      </c>
      <c r="C829">
        <v>405</v>
      </c>
      <c r="D829">
        <v>51488</v>
      </c>
      <c r="E829">
        <v>1117</v>
      </c>
      <c r="F829">
        <v>0</v>
      </c>
      <c r="G829" t="s">
        <v>1265</v>
      </c>
      <c r="H829">
        <v>1</v>
      </c>
      <c r="I829" t="s">
        <v>1265</v>
      </c>
      <c r="J829" t="s">
        <v>1265</v>
      </c>
      <c r="K829" t="s">
        <v>3191</v>
      </c>
      <c r="L829" t="s">
        <v>3176</v>
      </c>
      <c r="M829" t="s">
        <v>3190</v>
      </c>
      <c r="N829" t="s">
        <v>3174</v>
      </c>
      <c r="O829">
        <v>1828</v>
      </c>
      <c r="P829" t="s">
        <v>3678</v>
      </c>
      <c r="R829" s="29">
        <v>259286666666667</v>
      </c>
      <c r="S829">
        <v>0</v>
      </c>
      <c r="T829">
        <v>47</v>
      </c>
      <c r="U829">
        <v>0</v>
      </c>
      <c r="V829">
        <v>0</v>
      </c>
      <c r="W829">
        <v>0</v>
      </c>
      <c r="X829">
        <v>47</v>
      </c>
      <c r="Y829">
        <v>0</v>
      </c>
      <c r="Z829">
        <v>0</v>
      </c>
      <c r="AA829">
        <v>0</v>
      </c>
      <c r="AE829" s="30">
        <v>46367.416666666664</v>
      </c>
      <c r="AF829" s="30">
        <v>46377.375</v>
      </c>
      <c r="AH829" s="30">
        <v>45905.380555555559</v>
      </c>
      <c r="AI829" s="30">
        <v>45915.338888888888</v>
      </c>
      <c r="AJ829" s="30">
        <v>45905.380555555559</v>
      </c>
      <c r="AK829" s="30">
        <v>45915.338888888888</v>
      </c>
      <c r="AL829" s="30">
        <v>45905.380555555559</v>
      </c>
      <c r="AM829" s="30">
        <v>45915.338888888888</v>
      </c>
      <c r="AN829" s="30">
        <v>46367.416666666664</v>
      </c>
      <c r="AO829" s="30">
        <v>46377.375</v>
      </c>
      <c r="AQ829" t="s">
        <v>3171</v>
      </c>
      <c r="AV829" t="s">
        <v>3677</v>
      </c>
      <c r="AW829" t="s">
        <v>3676</v>
      </c>
      <c r="AZ829" t="s">
        <v>1265</v>
      </c>
      <c r="BA829">
        <v>0</v>
      </c>
      <c r="BB829">
        <v>0</v>
      </c>
      <c r="BJ829" s="30">
        <v>46069.523611111108</v>
      </c>
      <c r="BK829" s="30">
        <v>46093.73333333333</v>
      </c>
      <c r="BL829" t="s">
        <v>1259</v>
      </c>
      <c r="BM829" t="s">
        <v>1259</v>
      </c>
      <c r="BO829" t="s">
        <v>1265</v>
      </c>
    </row>
    <row r="830" spans="1:67" x14ac:dyDescent="0.25">
      <c r="A830" t="s">
        <v>1248</v>
      </c>
      <c r="B830">
        <v>352212</v>
      </c>
      <c r="C830">
        <v>405</v>
      </c>
      <c r="D830">
        <v>53304</v>
      </c>
      <c r="E830">
        <v>1117</v>
      </c>
      <c r="F830">
        <v>0</v>
      </c>
      <c r="G830" t="s">
        <v>1265</v>
      </c>
      <c r="H830">
        <v>1</v>
      </c>
      <c r="I830" t="s">
        <v>1265</v>
      </c>
      <c r="J830" t="s">
        <v>1265</v>
      </c>
      <c r="K830" t="s">
        <v>3191</v>
      </c>
      <c r="L830" t="s">
        <v>3176</v>
      </c>
      <c r="M830" t="s">
        <v>3190</v>
      </c>
      <c r="N830" t="s">
        <v>3174</v>
      </c>
      <c r="O830">
        <v>1838</v>
      </c>
      <c r="P830" t="s">
        <v>3675</v>
      </c>
      <c r="R830" s="29">
        <v>259286666666667</v>
      </c>
      <c r="S830">
        <v>17</v>
      </c>
      <c r="T830">
        <v>7</v>
      </c>
      <c r="U830">
        <v>0</v>
      </c>
      <c r="V830">
        <v>0</v>
      </c>
      <c r="W830">
        <v>0</v>
      </c>
      <c r="X830">
        <v>7</v>
      </c>
      <c r="Y830">
        <v>0</v>
      </c>
      <c r="Z830">
        <v>0</v>
      </c>
      <c r="AA830">
        <v>0</v>
      </c>
      <c r="AE830" s="30">
        <v>46377.375</v>
      </c>
      <c r="AF830" s="30">
        <v>46377.708333333336</v>
      </c>
      <c r="AH830" s="30">
        <v>45915.338888888888</v>
      </c>
      <c r="AI830" s="30">
        <v>45915.672222222223</v>
      </c>
      <c r="AJ830" s="30">
        <v>45915.338888888888</v>
      </c>
      <c r="AK830" s="30">
        <v>45915.672222222223</v>
      </c>
      <c r="AL830" s="30">
        <v>45915.338888888888</v>
      </c>
      <c r="AM830" s="30">
        <v>45915.672222222223</v>
      </c>
      <c r="AN830" s="30">
        <v>46377.375</v>
      </c>
      <c r="AO830" s="30">
        <v>46377.708333333336</v>
      </c>
      <c r="AQ830" t="s">
        <v>3171</v>
      </c>
      <c r="AV830" t="s">
        <v>3674</v>
      </c>
      <c r="AW830" t="s">
        <v>3673</v>
      </c>
      <c r="AZ830" t="s">
        <v>1265</v>
      </c>
      <c r="BA830">
        <v>0</v>
      </c>
      <c r="BB830">
        <v>0</v>
      </c>
      <c r="BJ830" s="30">
        <v>46069.523611111108</v>
      </c>
      <c r="BK830" s="30">
        <v>46093.73333333333</v>
      </c>
      <c r="BL830" t="s">
        <v>1259</v>
      </c>
      <c r="BM830" t="s">
        <v>1259</v>
      </c>
      <c r="BO830" t="s">
        <v>1265</v>
      </c>
    </row>
    <row r="831" spans="1:67" x14ac:dyDescent="0.25">
      <c r="A831" t="s">
        <v>1248</v>
      </c>
      <c r="B831">
        <v>352213</v>
      </c>
      <c r="C831">
        <v>405</v>
      </c>
      <c r="D831">
        <v>53304</v>
      </c>
      <c r="E831">
        <v>1117</v>
      </c>
      <c r="F831">
        <v>0</v>
      </c>
      <c r="G831" t="s">
        <v>1265</v>
      </c>
      <c r="H831">
        <v>1</v>
      </c>
      <c r="I831" t="s">
        <v>1265</v>
      </c>
      <c r="J831" t="s">
        <v>1265</v>
      </c>
      <c r="K831" t="s">
        <v>3191</v>
      </c>
      <c r="L831" t="s">
        <v>3176</v>
      </c>
      <c r="M831" t="s">
        <v>3190</v>
      </c>
      <c r="N831" t="s">
        <v>3174</v>
      </c>
      <c r="O831">
        <v>1848</v>
      </c>
      <c r="P831" t="s">
        <v>3672</v>
      </c>
      <c r="R831" s="29">
        <v>252086666666667</v>
      </c>
      <c r="S831">
        <v>0</v>
      </c>
      <c r="T831">
        <v>15</v>
      </c>
      <c r="U831">
        <v>0</v>
      </c>
      <c r="V831">
        <v>0</v>
      </c>
      <c r="W831">
        <v>0</v>
      </c>
      <c r="X831">
        <v>15</v>
      </c>
      <c r="Y831">
        <v>0</v>
      </c>
      <c r="Z831">
        <v>0</v>
      </c>
      <c r="AA831">
        <v>0</v>
      </c>
      <c r="AE831" s="30">
        <v>46330.369444444441</v>
      </c>
      <c r="AF831" s="30">
        <v>46331.702777777777</v>
      </c>
      <c r="AH831" s="30">
        <v>45882.333333333336</v>
      </c>
      <c r="AI831" s="30">
        <v>45883.666666666664</v>
      </c>
      <c r="AJ831" s="30">
        <v>45882.333333333336</v>
      </c>
      <c r="AK831" s="30">
        <v>45883.666666666664</v>
      </c>
      <c r="AL831" s="30">
        <v>45882.333333333336</v>
      </c>
      <c r="AM831" s="30">
        <v>45883.666666666664</v>
      </c>
      <c r="AN831" s="30">
        <v>46330.369444444441</v>
      </c>
      <c r="AO831" s="30">
        <v>46331.702777777777</v>
      </c>
      <c r="AQ831" t="s">
        <v>3171</v>
      </c>
      <c r="AV831" t="s">
        <v>3671</v>
      </c>
      <c r="AW831" t="s">
        <v>3670</v>
      </c>
      <c r="AZ831" t="s">
        <v>1265</v>
      </c>
      <c r="BA831">
        <v>0</v>
      </c>
      <c r="BB831">
        <v>0</v>
      </c>
      <c r="BJ831" s="30">
        <v>46069.523611111108</v>
      </c>
      <c r="BK831" s="30">
        <v>46093.73333333333</v>
      </c>
      <c r="BL831" t="s">
        <v>1259</v>
      </c>
      <c r="BM831" t="s">
        <v>1259</v>
      </c>
      <c r="BO831" t="s">
        <v>1265</v>
      </c>
    </row>
    <row r="832" spans="1:67" x14ac:dyDescent="0.25">
      <c r="A832" t="s">
        <v>1248</v>
      </c>
      <c r="B832">
        <v>352214</v>
      </c>
      <c r="C832">
        <v>405</v>
      </c>
      <c r="D832">
        <v>51489</v>
      </c>
      <c r="E832">
        <v>1117</v>
      </c>
      <c r="F832">
        <v>0</v>
      </c>
      <c r="G832" t="s">
        <v>1265</v>
      </c>
      <c r="H832">
        <v>1</v>
      </c>
      <c r="I832" t="s">
        <v>1265</v>
      </c>
      <c r="J832" t="s">
        <v>1265</v>
      </c>
      <c r="K832" t="s">
        <v>3191</v>
      </c>
      <c r="L832" t="s">
        <v>3176</v>
      </c>
      <c r="M832" t="s">
        <v>3190</v>
      </c>
      <c r="N832" t="s">
        <v>3174</v>
      </c>
      <c r="O832">
        <v>1858</v>
      </c>
      <c r="P832" t="s">
        <v>3669</v>
      </c>
      <c r="R832" s="29">
        <v>252086666666667</v>
      </c>
      <c r="S832">
        <v>0</v>
      </c>
      <c r="T832" s="29">
        <v>441333333333333</v>
      </c>
      <c r="U832">
        <v>0</v>
      </c>
      <c r="V832">
        <v>0</v>
      </c>
      <c r="W832">
        <v>0</v>
      </c>
      <c r="X832" s="29">
        <v>441333333333333</v>
      </c>
      <c r="Y832">
        <v>0</v>
      </c>
      <c r="Z832">
        <v>0</v>
      </c>
      <c r="AA832">
        <v>0</v>
      </c>
      <c r="AE832" s="30">
        <v>46331.702777777777</v>
      </c>
      <c r="AF832" s="30">
        <v>46339.5</v>
      </c>
      <c r="AH832" s="30">
        <v>45883.666666666664</v>
      </c>
      <c r="AI832" s="30">
        <v>45891.463888888888</v>
      </c>
      <c r="AJ832" s="30">
        <v>45883.666666666664</v>
      </c>
      <c r="AK832" s="30">
        <v>45891.463888888888</v>
      </c>
      <c r="AL832" s="30">
        <v>45883.666666666664</v>
      </c>
      <c r="AM832" s="30">
        <v>45891.463888888888</v>
      </c>
      <c r="AN832" s="30">
        <v>46331.702777777777</v>
      </c>
      <c r="AO832" s="30">
        <v>46339.5</v>
      </c>
      <c r="AQ832" t="s">
        <v>3171</v>
      </c>
      <c r="AV832" t="s">
        <v>3668</v>
      </c>
      <c r="AW832" t="s">
        <v>3667</v>
      </c>
      <c r="AZ832" t="s">
        <v>1265</v>
      </c>
      <c r="BA832">
        <v>0</v>
      </c>
      <c r="BB832">
        <v>0</v>
      </c>
      <c r="BJ832" s="30">
        <v>46069.523611111108</v>
      </c>
      <c r="BK832" s="30">
        <v>46093.73333333333</v>
      </c>
      <c r="BL832" t="s">
        <v>1259</v>
      </c>
      <c r="BM832" t="s">
        <v>1259</v>
      </c>
      <c r="BO832" t="s">
        <v>1265</v>
      </c>
    </row>
    <row r="833" spans="1:67" x14ac:dyDescent="0.25">
      <c r="A833" t="s">
        <v>1248</v>
      </c>
      <c r="B833">
        <v>352215</v>
      </c>
      <c r="C833">
        <v>405</v>
      </c>
      <c r="D833">
        <v>51489</v>
      </c>
      <c r="E833">
        <v>1117</v>
      </c>
      <c r="F833">
        <v>0</v>
      </c>
      <c r="G833" t="s">
        <v>1265</v>
      </c>
      <c r="H833">
        <v>1</v>
      </c>
      <c r="I833" t="s">
        <v>1265</v>
      </c>
      <c r="J833" t="s">
        <v>1265</v>
      </c>
      <c r="K833" t="s">
        <v>3191</v>
      </c>
      <c r="L833" t="s">
        <v>3176</v>
      </c>
      <c r="M833" t="s">
        <v>3190</v>
      </c>
      <c r="N833" t="s">
        <v>3174</v>
      </c>
      <c r="O833">
        <v>1868</v>
      </c>
      <c r="P833" t="s">
        <v>3666</v>
      </c>
      <c r="R833" s="29">
        <v>252086666666667</v>
      </c>
      <c r="S833">
        <v>0</v>
      </c>
      <c r="T833">
        <v>7</v>
      </c>
      <c r="U833">
        <v>0</v>
      </c>
      <c r="V833">
        <v>0</v>
      </c>
      <c r="W833">
        <v>0</v>
      </c>
      <c r="X833">
        <v>7</v>
      </c>
      <c r="Y833">
        <v>0</v>
      </c>
      <c r="Z833">
        <v>0</v>
      </c>
      <c r="AA833">
        <v>0</v>
      </c>
      <c r="AE833" s="30">
        <v>46339.541666666664</v>
      </c>
      <c r="AF833" s="30">
        <v>46342.458333333336</v>
      </c>
      <c r="AH833" s="30">
        <v>45891.463888888888</v>
      </c>
      <c r="AI833" s="30">
        <v>45894.422222222223</v>
      </c>
      <c r="AJ833" s="30">
        <v>45891.463888888888</v>
      </c>
      <c r="AK833" s="30">
        <v>45894.422222222223</v>
      </c>
      <c r="AL833" s="30">
        <v>45891.463888888888</v>
      </c>
      <c r="AM833" s="30">
        <v>45894.422222222223</v>
      </c>
      <c r="AN833" s="30">
        <v>46339.541666666664</v>
      </c>
      <c r="AO833" s="30">
        <v>46342.458333333336</v>
      </c>
      <c r="AQ833" t="s">
        <v>3171</v>
      </c>
      <c r="AV833" t="s">
        <v>3665</v>
      </c>
      <c r="AW833" t="s">
        <v>3664</v>
      </c>
      <c r="AZ833" t="s">
        <v>1265</v>
      </c>
      <c r="BA833">
        <v>0</v>
      </c>
      <c r="BB833">
        <v>0</v>
      </c>
      <c r="BJ833" s="30">
        <v>46069.523611111108</v>
      </c>
      <c r="BK833" s="30">
        <v>46093.73333333333</v>
      </c>
      <c r="BL833" t="s">
        <v>1259</v>
      </c>
      <c r="BM833" t="s">
        <v>1259</v>
      </c>
      <c r="BO833" t="s">
        <v>1265</v>
      </c>
    </row>
    <row r="834" spans="1:67" x14ac:dyDescent="0.25">
      <c r="A834" t="s">
        <v>1248</v>
      </c>
      <c r="B834">
        <v>352216</v>
      </c>
      <c r="C834">
        <v>405</v>
      </c>
      <c r="D834">
        <v>51489</v>
      </c>
      <c r="E834">
        <v>1117</v>
      </c>
      <c r="F834">
        <v>0</v>
      </c>
      <c r="G834" t="s">
        <v>1265</v>
      </c>
      <c r="H834">
        <v>1</v>
      </c>
      <c r="I834" t="s">
        <v>1265</v>
      </c>
      <c r="J834" t="s">
        <v>1265</v>
      </c>
      <c r="K834" t="s">
        <v>3191</v>
      </c>
      <c r="L834" t="s">
        <v>3176</v>
      </c>
      <c r="M834" t="s">
        <v>3190</v>
      </c>
      <c r="N834" t="s">
        <v>3174</v>
      </c>
      <c r="O834">
        <v>1878</v>
      </c>
      <c r="P834" t="s">
        <v>3663</v>
      </c>
      <c r="R834" s="29">
        <v>252086666666667</v>
      </c>
      <c r="S834">
        <v>0</v>
      </c>
      <c r="T834">
        <v>15</v>
      </c>
      <c r="U834">
        <v>0</v>
      </c>
      <c r="V834">
        <v>0</v>
      </c>
      <c r="W834">
        <v>0</v>
      </c>
      <c r="X834">
        <v>15</v>
      </c>
      <c r="Y834">
        <v>0</v>
      </c>
      <c r="Z834">
        <v>0</v>
      </c>
      <c r="AA834">
        <v>0</v>
      </c>
      <c r="AE834" s="30">
        <v>46342.458333333336</v>
      </c>
      <c r="AF834" s="30">
        <v>46344.416666666664</v>
      </c>
      <c r="AH834" s="30">
        <v>45894.422222222223</v>
      </c>
      <c r="AI834" s="30">
        <v>45896.380555555559</v>
      </c>
      <c r="AJ834" s="30">
        <v>45894.422222222223</v>
      </c>
      <c r="AK834" s="30">
        <v>45896.380555555559</v>
      </c>
      <c r="AL834" s="30">
        <v>45894.422222222223</v>
      </c>
      <c r="AM834" s="30">
        <v>45896.380555555559</v>
      </c>
      <c r="AN834" s="30">
        <v>46342.458333333336</v>
      </c>
      <c r="AO834" s="30">
        <v>46344.416666666664</v>
      </c>
      <c r="AQ834" t="s">
        <v>3171</v>
      </c>
      <c r="AV834" t="s">
        <v>3662</v>
      </c>
      <c r="AW834" t="s">
        <v>3661</v>
      </c>
      <c r="AZ834" t="s">
        <v>1265</v>
      </c>
      <c r="BA834">
        <v>0</v>
      </c>
      <c r="BB834">
        <v>0</v>
      </c>
      <c r="BJ834" s="30">
        <v>46069.523611111108</v>
      </c>
      <c r="BK834" s="30">
        <v>46093.73333333333</v>
      </c>
      <c r="BL834" t="s">
        <v>1259</v>
      </c>
      <c r="BM834" t="s">
        <v>1259</v>
      </c>
      <c r="BO834" t="s">
        <v>1265</v>
      </c>
    </row>
    <row r="835" spans="1:67" x14ac:dyDescent="0.25">
      <c r="A835" t="s">
        <v>1248</v>
      </c>
      <c r="B835">
        <v>352217</v>
      </c>
      <c r="C835">
        <v>405</v>
      </c>
      <c r="D835">
        <v>51489</v>
      </c>
      <c r="E835">
        <v>1117</v>
      </c>
      <c r="F835">
        <v>0</v>
      </c>
      <c r="G835" t="s">
        <v>1265</v>
      </c>
      <c r="H835">
        <v>1</v>
      </c>
      <c r="I835" t="s">
        <v>1265</v>
      </c>
      <c r="J835" t="s">
        <v>1265</v>
      </c>
      <c r="K835" t="s">
        <v>3191</v>
      </c>
      <c r="L835" t="s">
        <v>3176</v>
      </c>
      <c r="M835" t="s">
        <v>3190</v>
      </c>
      <c r="N835" t="s">
        <v>3174</v>
      </c>
      <c r="O835">
        <v>1888</v>
      </c>
      <c r="P835" t="s">
        <v>3660</v>
      </c>
      <c r="R835" s="29">
        <v>252086666666667</v>
      </c>
      <c r="S835">
        <v>0</v>
      </c>
      <c r="T835">
        <v>32</v>
      </c>
      <c r="U835">
        <v>0</v>
      </c>
      <c r="V835">
        <v>0</v>
      </c>
      <c r="W835">
        <v>0</v>
      </c>
      <c r="X835">
        <v>32</v>
      </c>
      <c r="Y835">
        <v>0</v>
      </c>
      <c r="Z835">
        <v>0</v>
      </c>
      <c r="AA835">
        <v>0</v>
      </c>
      <c r="AE835" s="30">
        <v>46352.375</v>
      </c>
      <c r="AF835" s="30">
        <v>46358.375</v>
      </c>
      <c r="AH835" s="30">
        <v>45904.338888888888</v>
      </c>
      <c r="AI835" s="30">
        <v>45910.338888888888</v>
      </c>
      <c r="AJ835" s="30">
        <v>45904.338888888888</v>
      </c>
      <c r="AK835" s="30">
        <v>45910.338888888888</v>
      </c>
      <c r="AL835" s="30">
        <v>45904.338888888888</v>
      </c>
      <c r="AM835" s="30">
        <v>45910.338888888888</v>
      </c>
      <c r="AN835" s="30">
        <v>46352.375</v>
      </c>
      <c r="AO835" s="30">
        <v>46358.375</v>
      </c>
      <c r="AQ835" t="s">
        <v>3171</v>
      </c>
      <c r="AV835" t="s">
        <v>3659</v>
      </c>
      <c r="AW835" t="s">
        <v>3658</v>
      </c>
      <c r="AZ835" t="s">
        <v>1265</v>
      </c>
      <c r="BA835">
        <v>0</v>
      </c>
      <c r="BB835">
        <v>0</v>
      </c>
      <c r="BJ835" s="30">
        <v>46069.523611111108</v>
      </c>
      <c r="BK835" s="30">
        <v>46093.73333333333</v>
      </c>
      <c r="BL835" t="s">
        <v>1259</v>
      </c>
      <c r="BM835" t="s">
        <v>1259</v>
      </c>
      <c r="BO835" t="s">
        <v>1265</v>
      </c>
    </row>
    <row r="836" spans="1:67" x14ac:dyDescent="0.25">
      <c r="A836" t="s">
        <v>1248</v>
      </c>
      <c r="B836">
        <v>352218</v>
      </c>
      <c r="C836">
        <v>405</v>
      </c>
      <c r="D836">
        <v>51489</v>
      </c>
      <c r="E836">
        <v>1117</v>
      </c>
      <c r="F836">
        <v>0</v>
      </c>
      <c r="G836" t="s">
        <v>1265</v>
      </c>
      <c r="H836">
        <v>1</v>
      </c>
      <c r="I836" t="s">
        <v>1265</v>
      </c>
      <c r="J836" t="s">
        <v>1265</v>
      </c>
      <c r="K836" t="s">
        <v>3191</v>
      </c>
      <c r="L836" t="s">
        <v>3176</v>
      </c>
      <c r="M836" t="s">
        <v>3190</v>
      </c>
      <c r="N836" t="s">
        <v>3174</v>
      </c>
      <c r="O836">
        <v>1898</v>
      </c>
      <c r="P836" t="s">
        <v>3657</v>
      </c>
      <c r="R836" s="29">
        <v>252086666666667</v>
      </c>
      <c r="S836">
        <v>0</v>
      </c>
      <c r="T836">
        <v>47</v>
      </c>
      <c r="U836">
        <v>0</v>
      </c>
      <c r="V836">
        <v>0</v>
      </c>
      <c r="W836">
        <v>0</v>
      </c>
      <c r="X836">
        <v>47</v>
      </c>
      <c r="Y836">
        <v>0</v>
      </c>
      <c r="Z836">
        <v>0</v>
      </c>
      <c r="AA836">
        <v>0</v>
      </c>
      <c r="AE836" s="30">
        <v>46344.416666666664</v>
      </c>
      <c r="AF836" s="30">
        <v>46352.375</v>
      </c>
      <c r="AH836" s="30">
        <v>45896.380555555559</v>
      </c>
      <c r="AI836" s="30">
        <v>45904.338888888888</v>
      </c>
      <c r="AJ836" s="30">
        <v>45896.380555555559</v>
      </c>
      <c r="AK836" s="30">
        <v>45904.338888888888</v>
      </c>
      <c r="AL836" s="30">
        <v>45896.380555555559</v>
      </c>
      <c r="AM836" s="30">
        <v>45904.338888888888</v>
      </c>
      <c r="AN836" s="30">
        <v>46344.416666666664</v>
      </c>
      <c r="AO836" s="30">
        <v>46352.375</v>
      </c>
      <c r="AQ836" t="s">
        <v>3171</v>
      </c>
      <c r="AV836" t="s">
        <v>3656</v>
      </c>
      <c r="AW836" t="s">
        <v>3655</v>
      </c>
      <c r="AZ836" t="s">
        <v>1265</v>
      </c>
      <c r="BA836">
        <v>0</v>
      </c>
      <c r="BB836">
        <v>0</v>
      </c>
      <c r="BJ836" s="30">
        <v>46069.523611111108</v>
      </c>
      <c r="BK836" s="30">
        <v>46093.73333333333</v>
      </c>
      <c r="BL836" t="s">
        <v>1259</v>
      </c>
      <c r="BM836" t="s">
        <v>1259</v>
      </c>
      <c r="BO836" t="s">
        <v>1265</v>
      </c>
    </row>
    <row r="837" spans="1:67" x14ac:dyDescent="0.25">
      <c r="A837" t="s">
        <v>1248</v>
      </c>
      <c r="B837">
        <v>352219</v>
      </c>
      <c r="C837">
        <v>405</v>
      </c>
      <c r="D837">
        <v>53304</v>
      </c>
      <c r="E837">
        <v>1117</v>
      </c>
      <c r="F837">
        <v>0</v>
      </c>
      <c r="G837" t="s">
        <v>1265</v>
      </c>
      <c r="H837">
        <v>1</v>
      </c>
      <c r="I837" t="s">
        <v>1265</v>
      </c>
      <c r="J837" t="s">
        <v>1265</v>
      </c>
      <c r="K837" t="s">
        <v>3191</v>
      </c>
      <c r="L837" t="s">
        <v>3176</v>
      </c>
      <c r="M837" t="s">
        <v>3190</v>
      </c>
      <c r="N837" t="s">
        <v>3174</v>
      </c>
      <c r="O837">
        <v>1908</v>
      </c>
      <c r="P837" t="s">
        <v>3654</v>
      </c>
      <c r="R837" s="29">
        <v>252086666666667</v>
      </c>
      <c r="S837">
        <v>17</v>
      </c>
      <c r="T837">
        <v>7</v>
      </c>
      <c r="U837">
        <v>0</v>
      </c>
      <c r="V837">
        <v>0</v>
      </c>
      <c r="W837">
        <v>0</v>
      </c>
      <c r="X837">
        <v>7</v>
      </c>
      <c r="Y837">
        <v>0</v>
      </c>
      <c r="Z837">
        <v>0</v>
      </c>
      <c r="AA837">
        <v>0</v>
      </c>
      <c r="AE837" s="30">
        <v>46358.375</v>
      </c>
      <c r="AF837" s="30">
        <v>46358.708333333336</v>
      </c>
      <c r="AH837" s="30">
        <v>45910.338888888888</v>
      </c>
      <c r="AI837" s="30">
        <v>45910.672222222223</v>
      </c>
      <c r="AJ837" s="30">
        <v>45910.338888888888</v>
      </c>
      <c r="AK837" s="30">
        <v>45910.672222222223</v>
      </c>
      <c r="AL837" s="30">
        <v>45910.338888888888</v>
      </c>
      <c r="AM837" s="30">
        <v>45910.672222222223</v>
      </c>
      <c r="AN837" s="30">
        <v>46358.375</v>
      </c>
      <c r="AO837" s="30">
        <v>46358.708333333336</v>
      </c>
      <c r="AQ837" t="s">
        <v>3171</v>
      </c>
      <c r="AV837" t="s">
        <v>3653</v>
      </c>
      <c r="AW837" t="s">
        <v>3652</v>
      </c>
      <c r="AZ837" t="s">
        <v>1265</v>
      </c>
      <c r="BA837">
        <v>0</v>
      </c>
      <c r="BB837">
        <v>0</v>
      </c>
      <c r="BJ837" s="30">
        <v>46069.523611111108</v>
      </c>
      <c r="BK837" s="30">
        <v>46093.73333333333</v>
      </c>
      <c r="BL837" t="s">
        <v>1259</v>
      </c>
      <c r="BM837" t="s">
        <v>1259</v>
      </c>
      <c r="BO837" t="s">
        <v>1265</v>
      </c>
    </row>
    <row r="838" spans="1:67" x14ac:dyDescent="0.25">
      <c r="A838" t="s">
        <v>1248</v>
      </c>
      <c r="B838">
        <v>352220</v>
      </c>
      <c r="C838">
        <v>405</v>
      </c>
      <c r="D838">
        <v>53304</v>
      </c>
      <c r="E838">
        <v>1117</v>
      </c>
      <c r="F838">
        <v>0</v>
      </c>
      <c r="G838" t="s">
        <v>1265</v>
      </c>
      <c r="H838">
        <v>1</v>
      </c>
      <c r="I838" t="s">
        <v>1265</v>
      </c>
      <c r="J838" t="s">
        <v>1265</v>
      </c>
      <c r="K838" t="s">
        <v>3191</v>
      </c>
      <c r="L838" t="s">
        <v>3176</v>
      </c>
      <c r="M838" t="s">
        <v>3190</v>
      </c>
      <c r="N838" t="s">
        <v>3174</v>
      </c>
      <c r="O838">
        <v>1918</v>
      </c>
      <c r="P838" t="s">
        <v>3651</v>
      </c>
      <c r="R838" s="29">
        <v>244586666666667</v>
      </c>
      <c r="S838">
        <v>0</v>
      </c>
      <c r="T838">
        <v>15</v>
      </c>
      <c r="U838">
        <v>0</v>
      </c>
      <c r="V838">
        <v>0</v>
      </c>
      <c r="W838">
        <v>0</v>
      </c>
      <c r="X838">
        <v>15</v>
      </c>
      <c r="Y838">
        <v>0</v>
      </c>
      <c r="Z838">
        <v>0</v>
      </c>
      <c r="AA838">
        <v>0</v>
      </c>
      <c r="AE838" s="30">
        <v>46314.369444444441</v>
      </c>
      <c r="AF838" s="30">
        <v>46315.702777777777</v>
      </c>
      <c r="AH838" s="30">
        <v>45877.458333333336</v>
      </c>
      <c r="AI838" s="30">
        <v>45881.416666666664</v>
      </c>
      <c r="AJ838" s="30">
        <v>45877.458333333336</v>
      </c>
      <c r="AK838" s="30">
        <v>45881.416666666664</v>
      </c>
      <c r="AL838" s="30">
        <v>45877.458333333336</v>
      </c>
      <c r="AM838" s="30">
        <v>45881.416666666664</v>
      </c>
      <c r="AN838" s="30">
        <v>46314.369444444441</v>
      </c>
      <c r="AO838" s="30">
        <v>46315.702777777777</v>
      </c>
      <c r="AQ838" t="s">
        <v>3171</v>
      </c>
      <c r="AV838" t="s">
        <v>3650</v>
      </c>
      <c r="AW838" t="s">
        <v>3649</v>
      </c>
      <c r="AZ838" t="s">
        <v>1265</v>
      </c>
      <c r="BA838">
        <v>0</v>
      </c>
      <c r="BB838">
        <v>0</v>
      </c>
      <c r="BJ838" s="30">
        <v>46069.523611111108</v>
      </c>
      <c r="BK838" s="30">
        <v>46093.73333333333</v>
      </c>
      <c r="BL838" t="s">
        <v>1259</v>
      </c>
      <c r="BM838" t="s">
        <v>1259</v>
      </c>
      <c r="BO838" t="s">
        <v>1265</v>
      </c>
    </row>
    <row r="839" spans="1:67" x14ac:dyDescent="0.25">
      <c r="A839" t="s">
        <v>1248</v>
      </c>
      <c r="B839">
        <v>352221</v>
      </c>
      <c r="C839">
        <v>405</v>
      </c>
      <c r="D839">
        <v>51490</v>
      </c>
      <c r="E839">
        <v>1117</v>
      </c>
      <c r="F839">
        <v>0</v>
      </c>
      <c r="G839" t="s">
        <v>1265</v>
      </c>
      <c r="H839">
        <v>1</v>
      </c>
      <c r="I839" t="s">
        <v>1265</v>
      </c>
      <c r="J839" t="s">
        <v>1265</v>
      </c>
      <c r="K839" t="s">
        <v>3191</v>
      </c>
      <c r="L839" t="s">
        <v>3176</v>
      </c>
      <c r="M839" t="s">
        <v>3190</v>
      </c>
      <c r="N839" t="s">
        <v>3174</v>
      </c>
      <c r="O839">
        <v>1928</v>
      </c>
      <c r="P839" t="s">
        <v>3648</v>
      </c>
      <c r="R839" s="29">
        <v>244586666666667</v>
      </c>
      <c r="S839">
        <v>0</v>
      </c>
      <c r="T839" s="29">
        <v>441333333333333</v>
      </c>
      <c r="U839">
        <v>0</v>
      </c>
      <c r="V839">
        <v>0</v>
      </c>
      <c r="W839">
        <v>0</v>
      </c>
      <c r="X839" s="29">
        <v>441333333333333</v>
      </c>
      <c r="Y839">
        <v>0</v>
      </c>
      <c r="Z839">
        <v>0</v>
      </c>
      <c r="AA839">
        <v>0</v>
      </c>
      <c r="AE839" s="30">
        <v>46315.702777777777</v>
      </c>
      <c r="AF839" s="30">
        <v>46323.5</v>
      </c>
      <c r="AH839" s="30">
        <v>45881.416666666664</v>
      </c>
      <c r="AI839" s="30">
        <v>45888.630555555559</v>
      </c>
      <c r="AJ839" s="30">
        <v>45881.416666666664</v>
      </c>
      <c r="AK839" s="30">
        <v>45888.630555555559</v>
      </c>
      <c r="AL839" s="30">
        <v>45881.416666666664</v>
      </c>
      <c r="AM839" s="30">
        <v>45888.630555555559</v>
      </c>
      <c r="AN839" s="30">
        <v>46315.702777777777</v>
      </c>
      <c r="AO839" s="30">
        <v>46323.5</v>
      </c>
      <c r="AQ839" t="s">
        <v>3171</v>
      </c>
      <c r="AV839" t="s">
        <v>3647</v>
      </c>
      <c r="AW839" t="s">
        <v>3646</v>
      </c>
      <c r="AZ839" t="s">
        <v>1265</v>
      </c>
      <c r="BA839">
        <v>0</v>
      </c>
      <c r="BB839">
        <v>0</v>
      </c>
      <c r="BJ839" s="30">
        <v>46069.523611111108</v>
      </c>
      <c r="BK839" s="30">
        <v>46093.73333333333</v>
      </c>
      <c r="BL839" t="s">
        <v>1259</v>
      </c>
      <c r="BM839" t="s">
        <v>1259</v>
      </c>
      <c r="BO839" t="s">
        <v>1265</v>
      </c>
    </row>
    <row r="840" spans="1:67" x14ac:dyDescent="0.25">
      <c r="A840" t="s">
        <v>1248</v>
      </c>
      <c r="B840">
        <v>352222</v>
      </c>
      <c r="C840">
        <v>405</v>
      </c>
      <c r="D840">
        <v>51490</v>
      </c>
      <c r="E840">
        <v>1117</v>
      </c>
      <c r="F840">
        <v>0</v>
      </c>
      <c r="G840" t="s">
        <v>1265</v>
      </c>
      <c r="H840">
        <v>1</v>
      </c>
      <c r="I840" t="s">
        <v>1265</v>
      </c>
      <c r="J840" t="s">
        <v>1265</v>
      </c>
      <c r="K840" t="s">
        <v>3191</v>
      </c>
      <c r="L840" t="s">
        <v>3176</v>
      </c>
      <c r="M840" t="s">
        <v>3190</v>
      </c>
      <c r="N840" t="s">
        <v>3174</v>
      </c>
      <c r="O840">
        <v>1938</v>
      </c>
      <c r="P840" t="s">
        <v>3645</v>
      </c>
      <c r="R840" s="29">
        <v>244586666666667</v>
      </c>
      <c r="S840">
        <v>0</v>
      </c>
      <c r="T840">
        <v>7</v>
      </c>
      <c r="U840">
        <v>0</v>
      </c>
      <c r="V840">
        <v>0</v>
      </c>
      <c r="W840">
        <v>0</v>
      </c>
      <c r="X840">
        <v>7</v>
      </c>
      <c r="Y840">
        <v>0</v>
      </c>
      <c r="Z840">
        <v>0</v>
      </c>
      <c r="AA840">
        <v>0</v>
      </c>
      <c r="AE840" s="30">
        <v>46323.541666666664</v>
      </c>
      <c r="AF840" s="30">
        <v>46324.458333333336</v>
      </c>
      <c r="AH840" s="30">
        <v>45888.630555555559</v>
      </c>
      <c r="AI840" s="30">
        <v>45889.588888888888</v>
      </c>
      <c r="AJ840" s="30">
        <v>45888.630555555559</v>
      </c>
      <c r="AK840" s="30">
        <v>45889.588888888888</v>
      </c>
      <c r="AL840" s="30">
        <v>45888.630555555559</v>
      </c>
      <c r="AM840" s="30">
        <v>45889.588888888888</v>
      </c>
      <c r="AN840" s="30">
        <v>46323.541666666664</v>
      </c>
      <c r="AO840" s="30">
        <v>46324.458333333336</v>
      </c>
      <c r="AQ840" t="s">
        <v>3171</v>
      </c>
      <c r="AV840" t="s">
        <v>3644</v>
      </c>
      <c r="AW840" t="s">
        <v>3643</v>
      </c>
      <c r="AZ840" t="s">
        <v>1265</v>
      </c>
      <c r="BA840">
        <v>0</v>
      </c>
      <c r="BB840">
        <v>0</v>
      </c>
      <c r="BJ840" s="30">
        <v>46069.523611111108</v>
      </c>
      <c r="BK840" s="30">
        <v>46093.73333333333</v>
      </c>
      <c r="BL840" t="s">
        <v>1259</v>
      </c>
      <c r="BM840" t="s">
        <v>1259</v>
      </c>
      <c r="BO840" t="s">
        <v>1265</v>
      </c>
    </row>
    <row r="841" spans="1:67" x14ac:dyDescent="0.25">
      <c r="A841" t="s">
        <v>1248</v>
      </c>
      <c r="B841">
        <v>352223</v>
      </c>
      <c r="C841">
        <v>405</v>
      </c>
      <c r="D841">
        <v>51490</v>
      </c>
      <c r="E841">
        <v>1117</v>
      </c>
      <c r="F841">
        <v>0</v>
      </c>
      <c r="G841" t="s">
        <v>1265</v>
      </c>
      <c r="H841">
        <v>1</v>
      </c>
      <c r="I841" t="s">
        <v>1265</v>
      </c>
      <c r="J841" t="s">
        <v>1265</v>
      </c>
      <c r="K841" t="s">
        <v>3191</v>
      </c>
      <c r="L841" t="s">
        <v>3176</v>
      </c>
      <c r="M841" t="s">
        <v>3190</v>
      </c>
      <c r="N841" t="s">
        <v>3174</v>
      </c>
      <c r="O841">
        <v>1948</v>
      </c>
      <c r="P841" t="s">
        <v>3642</v>
      </c>
      <c r="R841" s="29">
        <v>244586666666667</v>
      </c>
      <c r="S841">
        <v>0</v>
      </c>
      <c r="T841">
        <v>15</v>
      </c>
      <c r="U841">
        <v>0</v>
      </c>
      <c r="V841">
        <v>0</v>
      </c>
      <c r="W841">
        <v>0</v>
      </c>
      <c r="X841">
        <v>15</v>
      </c>
      <c r="Y841">
        <v>0</v>
      </c>
      <c r="Z841">
        <v>0</v>
      </c>
      <c r="AA841">
        <v>0</v>
      </c>
      <c r="AE841" s="30">
        <v>46324.458333333336</v>
      </c>
      <c r="AF841" s="30">
        <v>46328.416666666664</v>
      </c>
      <c r="AH841" s="30">
        <v>45889.588888888888</v>
      </c>
      <c r="AI841" s="30">
        <v>45891.547222222223</v>
      </c>
      <c r="AJ841" s="30">
        <v>45889.588888888888</v>
      </c>
      <c r="AK841" s="30">
        <v>45891.547222222223</v>
      </c>
      <c r="AL841" s="30">
        <v>45889.588888888888</v>
      </c>
      <c r="AM841" s="30">
        <v>45891.547222222223</v>
      </c>
      <c r="AN841" s="30">
        <v>46324.458333333336</v>
      </c>
      <c r="AO841" s="30">
        <v>46328.416666666664</v>
      </c>
      <c r="AQ841" t="s">
        <v>3171</v>
      </c>
      <c r="AV841" t="s">
        <v>3641</v>
      </c>
      <c r="AW841" t="s">
        <v>3640</v>
      </c>
      <c r="AZ841" t="s">
        <v>1265</v>
      </c>
      <c r="BA841">
        <v>0</v>
      </c>
      <c r="BB841">
        <v>0</v>
      </c>
      <c r="BJ841" s="30">
        <v>46069.523611111108</v>
      </c>
      <c r="BK841" s="30">
        <v>46093.73333333333</v>
      </c>
      <c r="BL841" t="s">
        <v>1259</v>
      </c>
      <c r="BM841" t="s">
        <v>1259</v>
      </c>
      <c r="BO841" t="s">
        <v>1265</v>
      </c>
    </row>
    <row r="842" spans="1:67" x14ac:dyDescent="0.25">
      <c r="A842" t="s">
        <v>1248</v>
      </c>
      <c r="B842">
        <v>352224</v>
      </c>
      <c r="C842">
        <v>405</v>
      </c>
      <c r="D842">
        <v>51490</v>
      </c>
      <c r="E842">
        <v>1117</v>
      </c>
      <c r="F842">
        <v>0</v>
      </c>
      <c r="G842" t="s">
        <v>1265</v>
      </c>
      <c r="H842">
        <v>1</v>
      </c>
      <c r="I842" t="s">
        <v>1265</v>
      </c>
      <c r="J842" t="s">
        <v>1265</v>
      </c>
      <c r="K842" t="s">
        <v>3191</v>
      </c>
      <c r="L842" t="s">
        <v>3176</v>
      </c>
      <c r="M842" t="s">
        <v>3190</v>
      </c>
      <c r="N842" t="s">
        <v>3174</v>
      </c>
      <c r="O842">
        <v>1958</v>
      </c>
      <c r="P842" t="s">
        <v>3639</v>
      </c>
      <c r="R842" s="29">
        <v>244586666666667</v>
      </c>
      <c r="S842">
        <v>0</v>
      </c>
      <c r="T842">
        <v>32</v>
      </c>
      <c r="U842">
        <v>0</v>
      </c>
      <c r="V842">
        <v>0</v>
      </c>
      <c r="W842">
        <v>0</v>
      </c>
      <c r="X842">
        <v>32</v>
      </c>
      <c r="Y842">
        <v>0</v>
      </c>
      <c r="Z842">
        <v>0</v>
      </c>
      <c r="AA842">
        <v>0</v>
      </c>
      <c r="AE842" s="30">
        <v>46328.416666666664</v>
      </c>
      <c r="AF842" s="30">
        <v>46332.416666666664</v>
      </c>
      <c r="AH842" s="30">
        <v>45891.547222222223</v>
      </c>
      <c r="AI842" s="30">
        <v>45897.547222222223</v>
      </c>
      <c r="AJ842" s="30">
        <v>45891.547222222223</v>
      </c>
      <c r="AK842" s="30">
        <v>45897.547222222223</v>
      </c>
      <c r="AL842" s="30">
        <v>45891.547222222223</v>
      </c>
      <c r="AM842" s="30">
        <v>45897.547222222223</v>
      </c>
      <c r="AN842" s="30">
        <v>46328.416666666664</v>
      </c>
      <c r="AO842" s="30">
        <v>46332.416666666664</v>
      </c>
      <c r="AQ842" t="s">
        <v>3171</v>
      </c>
      <c r="AV842" t="s">
        <v>3638</v>
      </c>
      <c r="AW842" t="s">
        <v>3637</v>
      </c>
      <c r="AZ842" t="s">
        <v>1265</v>
      </c>
      <c r="BA842">
        <v>0</v>
      </c>
      <c r="BB842">
        <v>0</v>
      </c>
      <c r="BJ842" s="30">
        <v>46069.523611111108</v>
      </c>
      <c r="BK842" s="30">
        <v>46093.73333333333</v>
      </c>
      <c r="BL842" t="s">
        <v>1259</v>
      </c>
      <c r="BM842" t="s">
        <v>1259</v>
      </c>
      <c r="BO842" t="s">
        <v>1265</v>
      </c>
    </row>
    <row r="843" spans="1:67" x14ac:dyDescent="0.25">
      <c r="A843" t="s">
        <v>1248</v>
      </c>
      <c r="B843">
        <v>352225</v>
      </c>
      <c r="C843">
        <v>405</v>
      </c>
      <c r="D843">
        <v>51490</v>
      </c>
      <c r="E843">
        <v>1117</v>
      </c>
      <c r="F843">
        <v>0</v>
      </c>
      <c r="G843" t="s">
        <v>1265</v>
      </c>
      <c r="H843">
        <v>1</v>
      </c>
      <c r="I843" t="s">
        <v>1265</v>
      </c>
      <c r="J843" t="s">
        <v>1265</v>
      </c>
      <c r="K843" t="s">
        <v>3191</v>
      </c>
      <c r="L843" t="s">
        <v>3176</v>
      </c>
      <c r="M843" t="s">
        <v>3190</v>
      </c>
      <c r="N843" t="s">
        <v>3174</v>
      </c>
      <c r="O843">
        <v>1968</v>
      </c>
      <c r="P843" t="s">
        <v>3636</v>
      </c>
      <c r="R843" s="29">
        <v>244586666666667</v>
      </c>
      <c r="S843" s="29">
        <v>126666666666667</v>
      </c>
      <c r="T843">
        <v>47</v>
      </c>
      <c r="U843">
        <v>0</v>
      </c>
      <c r="V843">
        <v>0</v>
      </c>
      <c r="W843">
        <v>0</v>
      </c>
      <c r="X843">
        <v>47</v>
      </c>
      <c r="Y843">
        <v>0</v>
      </c>
      <c r="Z843">
        <v>0</v>
      </c>
      <c r="AA843">
        <v>0</v>
      </c>
      <c r="AE843" s="30">
        <v>46332.416666666664</v>
      </c>
      <c r="AF843" s="30">
        <v>46342.375</v>
      </c>
      <c r="AH843" s="30">
        <v>45897.547222222223</v>
      </c>
      <c r="AI843" s="30">
        <v>45905.463888888888</v>
      </c>
      <c r="AJ843" s="30">
        <v>45897.547222222223</v>
      </c>
      <c r="AK843" s="30">
        <v>45905.463888888888</v>
      </c>
      <c r="AL843" s="30">
        <v>45897.547222222223</v>
      </c>
      <c r="AM843" s="30">
        <v>45905.463888888888</v>
      </c>
      <c r="AN843" s="30">
        <v>46332.416666666664</v>
      </c>
      <c r="AO843" s="30">
        <v>46342.375</v>
      </c>
      <c r="AQ843" t="s">
        <v>3171</v>
      </c>
      <c r="AV843" t="s">
        <v>3635</v>
      </c>
      <c r="AW843" t="s">
        <v>3634</v>
      </c>
      <c r="AZ843" t="s">
        <v>1265</v>
      </c>
      <c r="BA843">
        <v>0</v>
      </c>
      <c r="BB843">
        <v>0</v>
      </c>
      <c r="BJ843" s="30">
        <v>46069.523611111108</v>
      </c>
      <c r="BK843" s="30">
        <v>46093.73333333333</v>
      </c>
      <c r="BL843" t="s">
        <v>1259</v>
      </c>
      <c r="BM843" t="s">
        <v>1259</v>
      </c>
      <c r="BO843" t="s">
        <v>1265</v>
      </c>
    </row>
    <row r="844" spans="1:67" x14ac:dyDescent="0.25">
      <c r="A844" t="s">
        <v>1248</v>
      </c>
      <c r="B844">
        <v>352226</v>
      </c>
      <c r="C844">
        <v>405</v>
      </c>
      <c r="D844">
        <v>53304</v>
      </c>
      <c r="E844">
        <v>1117</v>
      </c>
      <c r="F844">
        <v>0</v>
      </c>
      <c r="G844" t="s">
        <v>1265</v>
      </c>
      <c r="H844">
        <v>1</v>
      </c>
      <c r="I844" t="s">
        <v>1265</v>
      </c>
      <c r="J844" t="s">
        <v>1265</v>
      </c>
      <c r="K844" t="s">
        <v>3191</v>
      </c>
      <c r="L844" t="s">
        <v>3176</v>
      </c>
      <c r="M844" t="s">
        <v>3190</v>
      </c>
      <c r="N844" t="s">
        <v>3174</v>
      </c>
      <c r="O844">
        <v>1978</v>
      </c>
      <c r="P844" t="s">
        <v>3633</v>
      </c>
      <c r="R844" t="s">
        <v>3632</v>
      </c>
      <c r="S844" s="29">
        <v>127333333333333</v>
      </c>
      <c r="T844">
        <v>7</v>
      </c>
      <c r="U844">
        <v>0</v>
      </c>
      <c r="V844">
        <v>0</v>
      </c>
      <c r="W844">
        <v>0</v>
      </c>
      <c r="X844">
        <v>7</v>
      </c>
      <c r="Y844">
        <v>0</v>
      </c>
      <c r="Z844">
        <v>0</v>
      </c>
      <c r="AA844">
        <v>0</v>
      </c>
      <c r="AE844" s="30">
        <v>46342.375</v>
      </c>
      <c r="AF844" s="30">
        <v>46342.708333333336</v>
      </c>
      <c r="AH844" s="30">
        <v>45905.558333333334</v>
      </c>
      <c r="AI844" s="30">
        <v>45908.474999999999</v>
      </c>
      <c r="AJ844" s="30">
        <v>45905.558333333334</v>
      </c>
      <c r="AK844" s="30">
        <v>45908.474999999999</v>
      </c>
      <c r="AL844" s="30">
        <v>45905.558333333334</v>
      </c>
      <c r="AM844" s="30">
        <v>45908.474999999999</v>
      </c>
      <c r="AN844" s="30">
        <v>46342.375</v>
      </c>
      <c r="AO844" s="30">
        <v>46342.708333333336</v>
      </c>
      <c r="AQ844" t="s">
        <v>3171</v>
      </c>
      <c r="AV844" t="s">
        <v>3631</v>
      </c>
      <c r="AW844" t="s">
        <v>3630</v>
      </c>
      <c r="AZ844" t="s">
        <v>1265</v>
      </c>
      <c r="BA844">
        <v>0</v>
      </c>
      <c r="BB844">
        <v>0</v>
      </c>
      <c r="BJ844" s="30">
        <v>46069.523611111108</v>
      </c>
      <c r="BK844" s="30">
        <v>46093.73333333333</v>
      </c>
      <c r="BL844" t="s">
        <v>1259</v>
      </c>
      <c r="BM844" t="s">
        <v>1259</v>
      </c>
      <c r="BO844" t="s">
        <v>1265</v>
      </c>
    </row>
    <row r="845" spans="1:67" x14ac:dyDescent="0.25">
      <c r="A845" t="s">
        <v>1248</v>
      </c>
      <c r="B845">
        <v>352227</v>
      </c>
      <c r="C845">
        <v>405</v>
      </c>
      <c r="D845">
        <v>53304</v>
      </c>
      <c r="E845">
        <v>1117</v>
      </c>
      <c r="F845">
        <v>0</v>
      </c>
      <c r="G845" t="s">
        <v>1265</v>
      </c>
      <c r="H845">
        <v>1</v>
      </c>
      <c r="I845" t="s">
        <v>1265</v>
      </c>
      <c r="J845" t="s">
        <v>1265</v>
      </c>
      <c r="K845" t="s">
        <v>3191</v>
      </c>
      <c r="L845" t="s">
        <v>3176</v>
      </c>
      <c r="M845" t="s">
        <v>3190</v>
      </c>
      <c r="N845" t="s">
        <v>3174</v>
      </c>
      <c r="O845">
        <v>1988</v>
      </c>
      <c r="P845" t="s">
        <v>3629</v>
      </c>
      <c r="R845" s="29">
        <v>236486666666667</v>
      </c>
      <c r="S845">
        <v>0</v>
      </c>
      <c r="T845">
        <v>15</v>
      </c>
      <c r="U845">
        <v>0</v>
      </c>
      <c r="V845">
        <v>0</v>
      </c>
      <c r="W845">
        <v>0</v>
      </c>
      <c r="X845">
        <v>15</v>
      </c>
      <c r="Y845">
        <v>0</v>
      </c>
      <c r="Z845">
        <v>0</v>
      </c>
      <c r="AA845">
        <v>0</v>
      </c>
      <c r="AE845" s="30">
        <v>46296.369444444441</v>
      </c>
      <c r="AF845" s="30">
        <v>46297.702777777777</v>
      </c>
      <c r="AH845" s="30">
        <v>45875.541666666664</v>
      </c>
      <c r="AI845" s="30">
        <v>45877.458333333336</v>
      </c>
      <c r="AJ845" s="30">
        <v>45875.541666666664</v>
      </c>
      <c r="AK845" s="30">
        <v>45877.458333333336</v>
      </c>
      <c r="AL845" s="30">
        <v>45875.541666666664</v>
      </c>
      <c r="AM845" s="30">
        <v>45877.458333333336</v>
      </c>
      <c r="AN845" s="30">
        <v>46296.369444444441</v>
      </c>
      <c r="AO845" s="30">
        <v>46297.702777777777</v>
      </c>
      <c r="AQ845" t="s">
        <v>3171</v>
      </c>
      <c r="AV845" t="s">
        <v>3628</v>
      </c>
      <c r="AW845" t="s">
        <v>3627</v>
      </c>
      <c r="AZ845" t="s">
        <v>1265</v>
      </c>
      <c r="BA845">
        <v>0</v>
      </c>
      <c r="BB845">
        <v>0</v>
      </c>
      <c r="BJ845" s="30">
        <v>46069.523611111108</v>
      </c>
      <c r="BK845" s="30">
        <v>46093.73333333333</v>
      </c>
      <c r="BL845" t="s">
        <v>1259</v>
      </c>
      <c r="BM845" t="s">
        <v>1259</v>
      </c>
      <c r="BO845" t="s">
        <v>1265</v>
      </c>
    </row>
    <row r="846" spans="1:67" x14ac:dyDescent="0.25">
      <c r="A846" t="s">
        <v>1248</v>
      </c>
      <c r="B846">
        <v>352228</v>
      </c>
      <c r="C846">
        <v>405</v>
      </c>
      <c r="D846">
        <v>51491</v>
      </c>
      <c r="E846">
        <v>1117</v>
      </c>
      <c r="F846">
        <v>0</v>
      </c>
      <c r="G846" t="s">
        <v>1265</v>
      </c>
      <c r="H846">
        <v>1</v>
      </c>
      <c r="I846" t="s">
        <v>1265</v>
      </c>
      <c r="J846" t="s">
        <v>1265</v>
      </c>
      <c r="K846" t="s">
        <v>3191</v>
      </c>
      <c r="L846" t="s">
        <v>3176</v>
      </c>
      <c r="M846" t="s">
        <v>3190</v>
      </c>
      <c r="N846" t="s">
        <v>3174</v>
      </c>
      <c r="O846">
        <v>1998</v>
      </c>
      <c r="P846" t="s">
        <v>3626</v>
      </c>
      <c r="R846" s="29">
        <v>236486666666667</v>
      </c>
      <c r="S846">
        <v>0</v>
      </c>
      <c r="T846" s="29">
        <v>441333333333333</v>
      </c>
      <c r="U846">
        <v>0</v>
      </c>
      <c r="V846">
        <v>0</v>
      </c>
      <c r="W846">
        <v>0</v>
      </c>
      <c r="X846" s="29">
        <v>441333333333333</v>
      </c>
      <c r="Y846">
        <v>0</v>
      </c>
      <c r="Z846">
        <v>0</v>
      </c>
      <c r="AA846">
        <v>0</v>
      </c>
      <c r="AE846" s="30">
        <v>46297.702777777777</v>
      </c>
      <c r="AF846" s="30">
        <v>46307.5</v>
      </c>
      <c r="AH846" s="30">
        <v>45877.458333333336</v>
      </c>
      <c r="AI846" s="30">
        <v>45884.672222222223</v>
      </c>
      <c r="AJ846" s="30">
        <v>45877.458333333336</v>
      </c>
      <c r="AK846" s="30">
        <v>45884.672222222223</v>
      </c>
      <c r="AL846" s="30">
        <v>45877.458333333336</v>
      </c>
      <c r="AM846" s="30">
        <v>45884.672222222223</v>
      </c>
      <c r="AN846" s="30">
        <v>46297.702777777777</v>
      </c>
      <c r="AO846" s="30">
        <v>46307.5</v>
      </c>
      <c r="AQ846" t="s">
        <v>3171</v>
      </c>
      <c r="AV846" t="s">
        <v>3625</v>
      </c>
      <c r="AW846" t="s">
        <v>3624</v>
      </c>
      <c r="AZ846" t="s">
        <v>1265</v>
      </c>
      <c r="BA846">
        <v>0</v>
      </c>
      <c r="BB846">
        <v>0</v>
      </c>
      <c r="BJ846" s="30">
        <v>46069.523611111108</v>
      </c>
      <c r="BK846" s="30">
        <v>46093.73333333333</v>
      </c>
      <c r="BL846" t="s">
        <v>1259</v>
      </c>
      <c r="BM846" t="s">
        <v>1259</v>
      </c>
      <c r="BO846" t="s">
        <v>1265</v>
      </c>
    </row>
    <row r="847" spans="1:67" x14ac:dyDescent="0.25">
      <c r="A847" t="s">
        <v>1248</v>
      </c>
      <c r="B847">
        <v>352229</v>
      </c>
      <c r="C847">
        <v>405</v>
      </c>
      <c r="D847">
        <v>51491</v>
      </c>
      <c r="E847">
        <v>1117</v>
      </c>
      <c r="F847">
        <v>0</v>
      </c>
      <c r="G847" t="s">
        <v>1265</v>
      </c>
      <c r="H847">
        <v>1</v>
      </c>
      <c r="I847" t="s">
        <v>1265</v>
      </c>
      <c r="J847" t="s">
        <v>1265</v>
      </c>
      <c r="K847" t="s">
        <v>3191</v>
      </c>
      <c r="L847" t="s">
        <v>3176</v>
      </c>
      <c r="M847" t="s">
        <v>3190</v>
      </c>
      <c r="N847" t="s">
        <v>3174</v>
      </c>
      <c r="O847">
        <v>2008</v>
      </c>
      <c r="P847" t="s">
        <v>3623</v>
      </c>
      <c r="R847" s="29">
        <v>236486666666667</v>
      </c>
      <c r="S847">
        <v>0</v>
      </c>
      <c r="T847">
        <v>7</v>
      </c>
      <c r="U847">
        <v>0</v>
      </c>
      <c r="V847">
        <v>0</v>
      </c>
      <c r="W847">
        <v>0</v>
      </c>
      <c r="X847">
        <v>7</v>
      </c>
      <c r="Y847">
        <v>0</v>
      </c>
      <c r="Z847">
        <v>0</v>
      </c>
      <c r="AA847">
        <v>0</v>
      </c>
      <c r="AE847" s="30">
        <v>46307.541666666664</v>
      </c>
      <c r="AF847" s="30">
        <v>46308.458333333336</v>
      </c>
      <c r="AH847" s="30">
        <v>45884.672222222223</v>
      </c>
      <c r="AI847" s="30">
        <v>45887.630555555559</v>
      </c>
      <c r="AJ847" s="30">
        <v>45884.672222222223</v>
      </c>
      <c r="AK847" s="30">
        <v>45887.630555555559</v>
      </c>
      <c r="AL847" s="30">
        <v>45884.672222222223</v>
      </c>
      <c r="AM847" s="30">
        <v>45887.630555555559</v>
      </c>
      <c r="AN847" s="30">
        <v>46307.541666666664</v>
      </c>
      <c r="AO847" s="30">
        <v>46308.458333333336</v>
      </c>
      <c r="AQ847" t="s">
        <v>3171</v>
      </c>
      <c r="AV847" t="s">
        <v>3622</v>
      </c>
      <c r="AW847" t="s">
        <v>3621</v>
      </c>
      <c r="AZ847" t="s">
        <v>1265</v>
      </c>
      <c r="BA847">
        <v>0</v>
      </c>
      <c r="BB847">
        <v>0</v>
      </c>
      <c r="BJ847" s="30">
        <v>46069.523611111108</v>
      </c>
      <c r="BK847" s="30">
        <v>46093.73333333333</v>
      </c>
      <c r="BL847" t="s">
        <v>1259</v>
      </c>
      <c r="BM847" t="s">
        <v>1259</v>
      </c>
      <c r="BO847" t="s">
        <v>1265</v>
      </c>
    </row>
    <row r="848" spans="1:67" x14ac:dyDescent="0.25">
      <c r="A848" t="s">
        <v>1248</v>
      </c>
      <c r="B848">
        <v>352230</v>
      </c>
      <c r="C848">
        <v>405</v>
      </c>
      <c r="D848">
        <v>51491</v>
      </c>
      <c r="E848">
        <v>1117</v>
      </c>
      <c r="F848">
        <v>0</v>
      </c>
      <c r="G848" t="s">
        <v>1265</v>
      </c>
      <c r="H848">
        <v>1</v>
      </c>
      <c r="I848" t="s">
        <v>1265</v>
      </c>
      <c r="J848" t="s">
        <v>1265</v>
      </c>
      <c r="K848" t="s">
        <v>3191</v>
      </c>
      <c r="L848" t="s">
        <v>3176</v>
      </c>
      <c r="M848" t="s">
        <v>3190</v>
      </c>
      <c r="N848" t="s">
        <v>3174</v>
      </c>
      <c r="O848">
        <v>2018</v>
      </c>
      <c r="P848" t="s">
        <v>3620</v>
      </c>
      <c r="R848" s="29">
        <v>236486666666667</v>
      </c>
      <c r="S848">
        <v>0</v>
      </c>
      <c r="T848">
        <v>15</v>
      </c>
      <c r="U848">
        <v>0</v>
      </c>
      <c r="V848">
        <v>0</v>
      </c>
      <c r="W848">
        <v>0</v>
      </c>
      <c r="X848">
        <v>15</v>
      </c>
      <c r="Y848">
        <v>0</v>
      </c>
      <c r="Z848">
        <v>0</v>
      </c>
      <c r="AA848">
        <v>0</v>
      </c>
      <c r="AE848" s="30">
        <v>46308.458333333336</v>
      </c>
      <c r="AF848" s="30">
        <v>46310.416666666664</v>
      </c>
      <c r="AH848" s="30">
        <v>45887.630555555559</v>
      </c>
      <c r="AI848" s="30">
        <v>45889.588888888888</v>
      </c>
      <c r="AJ848" s="30">
        <v>45887.630555555559</v>
      </c>
      <c r="AK848" s="30">
        <v>45889.588888888888</v>
      </c>
      <c r="AL848" s="30">
        <v>45887.630555555559</v>
      </c>
      <c r="AM848" s="30">
        <v>45889.588888888888</v>
      </c>
      <c r="AN848" s="30">
        <v>46308.458333333336</v>
      </c>
      <c r="AO848" s="30">
        <v>46310.416666666664</v>
      </c>
      <c r="AQ848" t="s">
        <v>3171</v>
      </c>
      <c r="AV848" t="s">
        <v>3619</v>
      </c>
      <c r="AW848" t="s">
        <v>3618</v>
      </c>
      <c r="AZ848" t="s">
        <v>1265</v>
      </c>
      <c r="BA848">
        <v>0</v>
      </c>
      <c r="BB848">
        <v>0</v>
      </c>
      <c r="BJ848" s="30">
        <v>46069.523611111108</v>
      </c>
      <c r="BK848" s="30">
        <v>46093.73333333333</v>
      </c>
      <c r="BL848" t="s">
        <v>1259</v>
      </c>
      <c r="BM848" t="s">
        <v>1259</v>
      </c>
      <c r="BO848" t="s">
        <v>1265</v>
      </c>
    </row>
    <row r="849" spans="1:67" x14ac:dyDescent="0.25">
      <c r="A849" t="s">
        <v>1248</v>
      </c>
      <c r="B849">
        <v>352231</v>
      </c>
      <c r="C849">
        <v>405</v>
      </c>
      <c r="D849">
        <v>51491</v>
      </c>
      <c r="E849">
        <v>1117</v>
      </c>
      <c r="F849">
        <v>0</v>
      </c>
      <c r="G849" t="s">
        <v>1265</v>
      </c>
      <c r="H849">
        <v>1</v>
      </c>
      <c r="I849" t="s">
        <v>1265</v>
      </c>
      <c r="J849" t="s">
        <v>1265</v>
      </c>
      <c r="K849" t="s">
        <v>3191</v>
      </c>
      <c r="L849" t="s">
        <v>3176</v>
      </c>
      <c r="M849" t="s">
        <v>3190</v>
      </c>
      <c r="N849" t="s">
        <v>3174</v>
      </c>
      <c r="O849">
        <v>2028</v>
      </c>
      <c r="P849" t="s">
        <v>3617</v>
      </c>
      <c r="R849" s="29">
        <v>236486666666667</v>
      </c>
      <c r="S849">
        <v>0</v>
      </c>
      <c r="T849">
        <v>32</v>
      </c>
      <c r="U849">
        <v>0</v>
      </c>
      <c r="V849">
        <v>0</v>
      </c>
      <c r="W849">
        <v>0</v>
      </c>
      <c r="X849">
        <v>32</v>
      </c>
      <c r="Y849">
        <v>0</v>
      </c>
      <c r="Z849">
        <v>0</v>
      </c>
      <c r="AA849">
        <v>0</v>
      </c>
      <c r="AE849" s="30">
        <v>46310.416666666664</v>
      </c>
      <c r="AF849" s="30">
        <v>46316.416666666664</v>
      </c>
      <c r="AH849" s="30">
        <v>45889.588888888888</v>
      </c>
      <c r="AI849" s="30">
        <v>45895.588888888888</v>
      </c>
      <c r="AJ849" s="30">
        <v>45889.588888888888</v>
      </c>
      <c r="AK849" s="30">
        <v>45895.588888888888</v>
      </c>
      <c r="AL849" s="30">
        <v>45889.588888888888</v>
      </c>
      <c r="AM849" s="30">
        <v>45895.588888888888</v>
      </c>
      <c r="AN849" s="30">
        <v>46310.416666666664</v>
      </c>
      <c r="AO849" s="30">
        <v>46316.416666666664</v>
      </c>
      <c r="AQ849" t="s">
        <v>3171</v>
      </c>
      <c r="AV849" t="s">
        <v>3616</v>
      </c>
      <c r="AW849" t="s">
        <v>3615</v>
      </c>
      <c r="AZ849" t="s">
        <v>1265</v>
      </c>
      <c r="BA849">
        <v>0</v>
      </c>
      <c r="BB849">
        <v>0</v>
      </c>
      <c r="BJ849" s="30">
        <v>46069.523611111108</v>
      </c>
      <c r="BK849" s="30">
        <v>46093.73333333333</v>
      </c>
      <c r="BL849" t="s">
        <v>1259</v>
      </c>
      <c r="BM849" t="s">
        <v>1259</v>
      </c>
      <c r="BO849" t="s">
        <v>1265</v>
      </c>
    </row>
    <row r="850" spans="1:67" x14ac:dyDescent="0.25">
      <c r="A850" t="s">
        <v>1248</v>
      </c>
      <c r="B850">
        <v>352232</v>
      </c>
      <c r="C850">
        <v>405</v>
      </c>
      <c r="D850">
        <v>51491</v>
      </c>
      <c r="E850">
        <v>1117</v>
      </c>
      <c r="F850">
        <v>0</v>
      </c>
      <c r="G850" t="s">
        <v>1265</v>
      </c>
      <c r="H850">
        <v>1</v>
      </c>
      <c r="I850" t="s">
        <v>1265</v>
      </c>
      <c r="J850" t="s">
        <v>1265</v>
      </c>
      <c r="K850" t="s">
        <v>3191</v>
      </c>
      <c r="L850" t="s">
        <v>3176</v>
      </c>
      <c r="M850" t="s">
        <v>3190</v>
      </c>
      <c r="N850" t="s">
        <v>3174</v>
      </c>
      <c r="O850">
        <v>2038</v>
      </c>
      <c r="P850" t="s">
        <v>3614</v>
      </c>
      <c r="R850" s="29">
        <v>236486666666667</v>
      </c>
      <c r="S850" s="29">
        <v>926666666666667</v>
      </c>
      <c r="T850">
        <v>47</v>
      </c>
      <c r="U850">
        <v>0</v>
      </c>
      <c r="V850">
        <v>0</v>
      </c>
      <c r="W850">
        <v>0</v>
      </c>
      <c r="X850">
        <v>47</v>
      </c>
      <c r="Y850">
        <v>0</v>
      </c>
      <c r="Z850">
        <v>0</v>
      </c>
      <c r="AA850">
        <v>0</v>
      </c>
      <c r="AE850" s="30">
        <v>46316.416666666664</v>
      </c>
      <c r="AF850" s="30">
        <v>46324.375</v>
      </c>
      <c r="AH850" s="30">
        <v>45895.588888888888</v>
      </c>
      <c r="AI850" s="30">
        <v>45903.547222222223</v>
      </c>
      <c r="AJ850" s="30">
        <v>45895.588888888888</v>
      </c>
      <c r="AK850" s="30">
        <v>45903.547222222223</v>
      </c>
      <c r="AL850" s="30">
        <v>45895.588888888888</v>
      </c>
      <c r="AM850" s="30">
        <v>45903.547222222223</v>
      </c>
      <c r="AN850" s="30">
        <v>46316.416666666664</v>
      </c>
      <c r="AO850" s="30">
        <v>46324.375</v>
      </c>
      <c r="AQ850" t="s">
        <v>3171</v>
      </c>
      <c r="AV850" t="s">
        <v>3613</v>
      </c>
      <c r="AW850" t="s">
        <v>3612</v>
      </c>
      <c r="AZ850" t="s">
        <v>1265</v>
      </c>
      <c r="BA850">
        <v>0</v>
      </c>
      <c r="BB850">
        <v>0</v>
      </c>
      <c r="BJ850" s="30">
        <v>46069.523611111108</v>
      </c>
      <c r="BK850" s="30">
        <v>46093.73333333333</v>
      </c>
      <c r="BL850" t="s">
        <v>1259</v>
      </c>
      <c r="BM850" t="s">
        <v>1259</v>
      </c>
      <c r="BO850" t="s">
        <v>1265</v>
      </c>
    </row>
    <row r="851" spans="1:67" x14ac:dyDescent="0.25">
      <c r="A851" t="s">
        <v>1248</v>
      </c>
      <c r="B851">
        <v>352233</v>
      </c>
      <c r="C851">
        <v>405</v>
      </c>
      <c r="D851">
        <v>53304</v>
      </c>
      <c r="E851">
        <v>1117</v>
      </c>
      <c r="F851">
        <v>0</v>
      </c>
      <c r="G851" t="s">
        <v>1265</v>
      </c>
      <c r="H851">
        <v>1</v>
      </c>
      <c r="I851" t="s">
        <v>1265</v>
      </c>
      <c r="J851" t="s">
        <v>1265</v>
      </c>
      <c r="K851" t="s">
        <v>3191</v>
      </c>
      <c r="L851" t="s">
        <v>3176</v>
      </c>
      <c r="M851" t="s">
        <v>3190</v>
      </c>
      <c r="N851" t="s">
        <v>3174</v>
      </c>
      <c r="O851">
        <v>2048</v>
      </c>
      <c r="P851" t="s">
        <v>3611</v>
      </c>
      <c r="R851" t="s">
        <v>3610</v>
      </c>
      <c r="S851">
        <v>0</v>
      </c>
      <c r="T851">
        <v>7</v>
      </c>
      <c r="U851">
        <v>0</v>
      </c>
      <c r="V851">
        <v>0</v>
      </c>
      <c r="W851">
        <v>0</v>
      </c>
      <c r="X851">
        <v>7</v>
      </c>
      <c r="Y851">
        <v>0</v>
      </c>
      <c r="Z851">
        <v>0</v>
      </c>
      <c r="AA851">
        <v>0</v>
      </c>
      <c r="AE851" s="30">
        <v>46324.375</v>
      </c>
      <c r="AF851" s="30">
        <v>46324.708333333336</v>
      </c>
      <c r="AH851" s="30">
        <v>45904.6</v>
      </c>
      <c r="AI851" s="30">
        <v>45905.558333333334</v>
      </c>
      <c r="AJ851" s="30">
        <v>45904.6</v>
      </c>
      <c r="AK851" s="30">
        <v>45905.558333333334</v>
      </c>
      <c r="AL851" s="30">
        <v>45904.6</v>
      </c>
      <c r="AM851" s="30">
        <v>45905.558333333334</v>
      </c>
      <c r="AN851" s="30">
        <v>46324.375</v>
      </c>
      <c r="AO851" s="30">
        <v>46324.708333333336</v>
      </c>
      <c r="AQ851" t="s">
        <v>3171</v>
      </c>
      <c r="AV851" t="s">
        <v>3609</v>
      </c>
      <c r="AW851" t="s">
        <v>3608</v>
      </c>
      <c r="AZ851" t="s">
        <v>1265</v>
      </c>
      <c r="BA851">
        <v>0</v>
      </c>
      <c r="BB851">
        <v>0</v>
      </c>
      <c r="BJ851" s="30">
        <v>46069.523611111108</v>
      </c>
      <c r="BK851" s="30">
        <v>46093.657638888886</v>
      </c>
      <c r="BL851" t="s">
        <v>1259</v>
      </c>
      <c r="BM851" t="s">
        <v>1259</v>
      </c>
      <c r="BO851" t="s">
        <v>1265</v>
      </c>
    </row>
    <row r="852" spans="1:67" x14ac:dyDescent="0.25">
      <c r="A852" t="s">
        <v>1248</v>
      </c>
      <c r="B852">
        <v>352234</v>
      </c>
      <c r="C852">
        <v>405</v>
      </c>
      <c r="D852">
        <v>53304</v>
      </c>
      <c r="E852">
        <v>1117</v>
      </c>
      <c r="F852">
        <v>0</v>
      </c>
      <c r="G852" t="s">
        <v>1265</v>
      </c>
      <c r="H852">
        <v>1</v>
      </c>
      <c r="I852" t="s">
        <v>1265</v>
      </c>
      <c r="J852" t="s">
        <v>1265</v>
      </c>
      <c r="K852" t="s">
        <v>3191</v>
      </c>
      <c r="L852" t="s">
        <v>3176</v>
      </c>
      <c r="M852" t="s">
        <v>3190</v>
      </c>
      <c r="N852" t="s">
        <v>3174</v>
      </c>
      <c r="O852">
        <v>2058</v>
      </c>
      <c r="P852" t="s">
        <v>3607</v>
      </c>
      <c r="R852" s="29">
        <v>228386666666667</v>
      </c>
      <c r="S852">
        <v>0</v>
      </c>
      <c r="T852">
        <v>15</v>
      </c>
      <c r="U852">
        <v>0</v>
      </c>
      <c r="V852">
        <v>0</v>
      </c>
      <c r="W852">
        <v>0</v>
      </c>
      <c r="X852">
        <v>15</v>
      </c>
      <c r="Y852">
        <v>0</v>
      </c>
      <c r="Z852">
        <v>0</v>
      </c>
      <c r="AA852">
        <v>0</v>
      </c>
      <c r="AE852" s="30">
        <v>46280.369444444441</v>
      </c>
      <c r="AF852" s="30">
        <v>46281.702777777777</v>
      </c>
      <c r="AH852" s="30">
        <v>45873.583333333336</v>
      </c>
      <c r="AI852" s="30">
        <v>45875.5</v>
      </c>
      <c r="AJ852" s="30">
        <v>45873.583333333336</v>
      </c>
      <c r="AK852" s="30">
        <v>45875.5</v>
      </c>
      <c r="AL852" s="30">
        <v>45873.583333333336</v>
      </c>
      <c r="AM852" s="30">
        <v>45875.5</v>
      </c>
      <c r="AN852" s="30">
        <v>46280.369444444441</v>
      </c>
      <c r="AO852" s="30">
        <v>46281.702777777777</v>
      </c>
      <c r="AQ852" t="s">
        <v>3171</v>
      </c>
      <c r="AV852" t="s">
        <v>3606</v>
      </c>
      <c r="AW852" t="s">
        <v>3605</v>
      </c>
      <c r="AZ852" t="s">
        <v>1265</v>
      </c>
      <c r="BA852">
        <v>0</v>
      </c>
      <c r="BB852">
        <v>0</v>
      </c>
      <c r="BJ852" s="30">
        <v>46069.523611111108</v>
      </c>
      <c r="BK852" s="30">
        <v>46093.73333333333</v>
      </c>
      <c r="BL852" t="s">
        <v>1259</v>
      </c>
      <c r="BM852" t="s">
        <v>1259</v>
      </c>
      <c r="BO852" t="s">
        <v>1265</v>
      </c>
    </row>
    <row r="853" spans="1:67" x14ac:dyDescent="0.25">
      <c r="A853" t="s">
        <v>1248</v>
      </c>
      <c r="B853">
        <v>352235</v>
      </c>
      <c r="C853">
        <v>405</v>
      </c>
      <c r="D853">
        <v>51492</v>
      </c>
      <c r="E853">
        <v>1117</v>
      </c>
      <c r="F853">
        <v>0</v>
      </c>
      <c r="G853" t="s">
        <v>1265</v>
      </c>
      <c r="H853">
        <v>1</v>
      </c>
      <c r="I853" t="s">
        <v>1265</v>
      </c>
      <c r="J853" t="s">
        <v>1265</v>
      </c>
      <c r="K853" t="s">
        <v>3191</v>
      </c>
      <c r="L853" t="s">
        <v>3176</v>
      </c>
      <c r="M853" t="s">
        <v>3190</v>
      </c>
      <c r="N853" t="s">
        <v>3174</v>
      </c>
      <c r="O853">
        <v>2068</v>
      </c>
      <c r="P853" t="s">
        <v>3604</v>
      </c>
      <c r="R853" s="29">
        <v>228386666666667</v>
      </c>
      <c r="S853">
        <v>0</v>
      </c>
      <c r="T853" s="29">
        <v>441333333333333</v>
      </c>
      <c r="U853">
        <v>0</v>
      </c>
      <c r="V853">
        <v>0</v>
      </c>
      <c r="W853">
        <v>0</v>
      </c>
      <c r="X853" s="29">
        <v>441333333333333</v>
      </c>
      <c r="Y853">
        <v>0</v>
      </c>
      <c r="Z853">
        <v>0</v>
      </c>
      <c r="AA853">
        <v>0</v>
      </c>
      <c r="AE853" s="30">
        <v>46281.702777777777</v>
      </c>
      <c r="AF853" s="30">
        <v>46289.5</v>
      </c>
      <c r="AH853" s="30">
        <v>45875.541666666664</v>
      </c>
      <c r="AI853" s="30">
        <v>45883.338888888888</v>
      </c>
      <c r="AJ853" s="30">
        <v>45875.541666666664</v>
      </c>
      <c r="AK853" s="30">
        <v>45883.338888888888</v>
      </c>
      <c r="AL853" s="30">
        <v>45875.541666666664</v>
      </c>
      <c r="AM853" s="30">
        <v>45883.338888888888</v>
      </c>
      <c r="AN853" s="30">
        <v>46281.702777777777</v>
      </c>
      <c r="AO853" s="30">
        <v>46289.5</v>
      </c>
      <c r="AQ853" t="s">
        <v>3171</v>
      </c>
      <c r="AV853" t="s">
        <v>3603</v>
      </c>
      <c r="AW853" t="s">
        <v>3602</v>
      </c>
      <c r="AZ853" t="s">
        <v>1265</v>
      </c>
      <c r="BA853">
        <v>0</v>
      </c>
      <c r="BB853">
        <v>0</v>
      </c>
      <c r="BJ853" s="30">
        <v>46069.523611111108</v>
      </c>
      <c r="BK853" s="30">
        <v>46093.73333333333</v>
      </c>
      <c r="BL853" t="s">
        <v>1259</v>
      </c>
      <c r="BM853" t="s">
        <v>1259</v>
      </c>
      <c r="BO853" t="s">
        <v>1265</v>
      </c>
    </row>
    <row r="854" spans="1:67" x14ac:dyDescent="0.25">
      <c r="A854" t="s">
        <v>1248</v>
      </c>
      <c r="B854">
        <v>352236</v>
      </c>
      <c r="C854">
        <v>405</v>
      </c>
      <c r="D854">
        <v>51492</v>
      </c>
      <c r="E854">
        <v>1117</v>
      </c>
      <c r="F854">
        <v>0</v>
      </c>
      <c r="G854" t="s">
        <v>1265</v>
      </c>
      <c r="H854">
        <v>1</v>
      </c>
      <c r="I854" t="s">
        <v>1265</v>
      </c>
      <c r="J854" t="s">
        <v>1265</v>
      </c>
      <c r="K854" t="s">
        <v>3191</v>
      </c>
      <c r="L854" t="s">
        <v>3176</v>
      </c>
      <c r="M854" t="s">
        <v>3190</v>
      </c>
      <c r="N854" t="s">
        <v>3174</v>
      </c>
      <c r="O854">
        <v>2078</v>
      </c>
      <c r="P854" t="s">
        <v>3601</v>
      </c>
      <c r="R854" s="29">
        <v>228386666666667</v>
      </c>
      <c r="S854">
        <v>0</v>
      </c>
      <c r="T854">
        <v>7</v>
      </c>
      <c r="U854">
        <v>0</v>
      </c>
      <c r="V854">
        <v>0</v>
      </c>
      <c r="W854">
        <v>0</v>
      </c>
      <c r="X854">
        <v>7</v>
      </c>
      <c r="Y854">
        <v>0</v>
      </c>
      <c r="Z854">
        <v>0</v>
      </c>
      <c r="AA854">
        <v>0</v>
      </c>
      <c r="AE854" s="30">
        <v>46289.541666666664</v>
      </c>
      <c r="AF854" s="30">
        <v>46290.458333333336</v>
      </c>
      <c r="AH854" s="30">
        <v>45883.338888888888</v>
      </c>
      <c r="AI854" s="30">
        <v>45883.672222222223</v>
      </c>
      <c r="AJ854" s="30">
        <v>45883.338888888888</v>
      </c>
      <c r="AK854" s="30">
        <v>45883.672222222223</v>
      </c>
      <c r="AL854" s="30">
        <v>45883.338888888888</v>
      </c>
      <c r="AM854" s="30">
        <v>45883.672222222223</v>
      </c>
      <c r="AN854" s="30">
        <v>46289.541666666664</v>
      </c>
      <c r="AO854" s="30">
        <v>46290.458333333336</v>
      </c>
      <c r="AQ854" t="s">
        <v>3171</v>
      </c>
      <c r="AV854" t="s">
        <v>3600</v>
      </c>
      <c r="AW854" t="s">
        <v>3599</v>
      </c>
      <c r="AZ854" t="s">
        <v>1265</v>
      </c>
      <c r="BA854">
        <v>0</v>
      </c>
      <c r="BB854">
        <v>0</v>
      </c>
      <c r="BJ854" s="30">
        <v>46069.523611111108</v>
      </c>
      <c r="BK854" s="30">
        <v>46093.73333333333</v>
      </c>
      <c r="BL854" t="s">
        <v>1259</v>
      </c>
      <c r="BM854" t="s">
        <v>1259</v>
      </c>
      <c r="BO854" t="s">
        <v>1265</v>
      </c>
    </row>
    <row r="855" spans="1:67" x14ac:dyDescent="0.25">
      <c r="A855" t="s">
        <v>1248</v>
      </c>
      <c r="B855">
        <v>352237</v>
      </c>
      <c r="C855">
        <v>405</v>
      </c>
      <c r="D855">
        <v>51492</v>
      </c>
      <c r="E855">
        <v>1117</v>
      </c>
      <c r="F855">
        <v>0</v>
      </c>
      <c r="G855" t="s">
        <v>1265</v>
      </c>
      <c r="H855">
        <v>1</v>
      </c>
      <c r="I855" t="s">
        <v>1265</v>
      </c>
      <c r="J855" t="s">
        <v>1265</v>
      </c>
      <c r="K855" t="s">
        <v>3191</v>
      </c>
      <c r="L855" t="s">
        <v>3176</v>
      </c>
      <c r="M855" t="s">
        <v>3190</v>
      </c>
      <c r="N855" t="s">
        <v>3174</v>
      </c>
      <c r="O855">
        <v>2088</v>
      </c>
      <c r="P855" t="s">
        <v>3598</v>
      </c>
      <c r="R855" s="29">
        <v>228386666666667</v>
      </c>
      <c r="S855">
        <v>0</v>
      </c>
      <c r="T855">
        <v>15</v>
      </c>
      <c r="U855">
        <v>0</v>
      </c>
      <c r="V855">
        <v>0</v>
      </c>
      <c r="W855">
        <v>0</v>
      </c>
      <c r="X855">
        <v>15</v>
      </c>
      <c r="Y855">
        <v>0</v>
      </c>
      <c r="Z855">
        <v>0</v>
      </c>
      <c r="AA855">
        <v>0</v>
      </c>
      <c r="AE855" s="30">
        <v>46290.458333333336</v>
      </c>
      <c r="AF855" s="30">
        <v>46294.416666666664</v>
      </c>
      <c r="AH855" s="30">
        <v>45883.672222222223</v>
      </c>
      <c r="AI855" s="30">
        <v>45887.630555555559</v>
      </c>
      <c r="AJ855" s="30">
        <v>45883.672222222223</v>
      </c>
      <c r="AK855" s="30">
        <v>45887.630555555559</v>
      </c>
      <c r="AL855" s="30">
        <v>45883.672222222223</v>
      </c>
      <c r="AM855" s="30">
        <v>45887.630555555559</v>
      </c>
      <c r="AN855" s="30">
        <v>46290.458333333336</v>
      </c>
      <c r="AO855" s="30">
        <v>46294.416666666664</v>
      </c>
      <c r="AQ855" t="s">
        <v>3171</v>
      </c>
      <c r="AV855" t="s">
        <v>3597</v>
      </c>
      <c r="AW855" t="s">
        <v>3596</v>
      </c>
      <c r="AZ855" t="s">
        <v>1265</v>
      </c>
      <c r="BA855">
        <v>0</v>
      </c>
      <c r="BB855">
        <v>0</v>
      </c>
      <c r="BJ855" s="30">
        <v>46069.523611111108</v>
      </c>
      <c r="BK855" s="30">
        <v>46093.73333333333</v>
      </c>
      <c r="BL855" t="s">
        <v>1259</v>
      </c>
      <c r="BM855" t="s">
        <v>1259</v>
      </c>
      <c r="BO855" t="s">
        <v>1265</v>
      </c>
    </row>
    <row r="856" spans="1:67" x14ac:dyDescent="0.25">
      <c r="A856" t="s">
        <v>1248</v>
      </c>
      <c r="B856">
        <v>352238</v>
      </c>
      <c r="C856">
        <v>405</v>
      </c>
      <c r="D856">
        <v>51492</v>
      </c>
      <c r="E856">
        <v>1117</v>
      </c>
      <c r="F856">
        <v>0</v>
      </c>
      <c r="G856" t="s">
        <v>1265</v>
      </c>
      <c r="H856">
        <v>1</v>
      </c>
      <c r="I856" t="s">
        <v>1265</v>
      </c>
      <c r="J856" t="s">
        <v>1265</v>
      </c>
      <c r="K856" t="s">
        <v>3191</v>
      </c>
      <c r="L856" t="s">
        <v>3176</v>
      </c>
      <c r="M856" t="s">
        <v>3190</v>
      </c>
      <c r="N856" t="s">
        <v>3174</v>
      </c>
      <c r="O856">
        <v>2098</v>
      </c>
      <c r="P856" t="s">
        <v>3595</v>
      </c>
      <c r="R856" s="29">
        <v>228386666666667</v>
      </c>
      <c r="S856">
        <v>0</v>
      </c>
      <c r="T856">
        <v>32</v>
      </c>
      <c r="U856">
        <v>0</v>
      </c>
      <c r="V856">
        <v>0</v>
      </c>
      <c r="W856">
        <v>0</v>
      </c>
      <c r="X856">
        <v>32</v>
      </c>
      <c r="Y856">
        <v>0</v>
      </c>
      <c r="Z856">
        <v>0</v>
      </c>
      <c r="AA856">
        <v>0</v>
      </c>
      <c r="AE856" s="30">
        <v>46294.416666666664</v>
      </c>
      <c r="AF856" s="30">
        <v>46300.416666666664</v>
      </c>
      <c r="AH856" s="30">
        <v>45887.630555555559</v>
      </c>
      <c r="AI856" s="30">
        <v>45891.630555555559</v>
      </c>
      <c r="AJ856" s="30">
        <v>45887.630555555559</v>
      </c>
      <c r="AK856" s="30">
        <v>45891.630555555559</v>
      </c>
      <c r="AL856" s="30">
        <v>45887.630555555559</v>
      </c>
      <c r="AM856" s="30">
        <v>45891.630555555559</v>
      </c>
      <c r="AN856" s="30">
        <v>46294.416666666664</v>
      </c>
      <c r="AO856" s="30">
        <v>46300.416666666664</v>
      </c>
      <c r="AQ856" t="s">
        <v>3171</v>
      </c>
      <c r="AV856" t="s">
        <v>3594</v>
      </c>
      <c r="AW856" t="s">
        <v>3593</v>
      </c>
      <c r="AZ856" t="s">
        <v>1265</v>
      </c>
      <c r="BA856">
        <v>0</v>
      </c>
      <c r="BB856">
        <v>0</v>
      </c>
      <c r="BJ856" s="30">
        <v>46069.523611111108</v>
      </c>
      <c r="BK856" s="30">
        <v>46093.73333333333</v>
      </c>
      <c r="BL856" t="s">
        <v>1259</v>
      </c>
      <c r="BM856" t="s">
        <v>1259</v>
      </c>
      <c r="BO856" t="s">
        <v>1265</v>
      </c>
    </row>
    <row r="857" spans="1:67" x14ac:dyDescent="0.25">
      <c r="A857" t="s">
        <v>1248</v>
      </c>
      <c r="B857">
        <v>352239</v>
      </c>
      <c r="C857">
        <v>405</v>
      </c>
      <c r="D857">
        <v>51492</v>
      </c>
      <c r="E857">
        <v>1117</v>
      </c>
      <c r="F857">
        <v>0</v>
      </c>
      <c r="G857" t="s">
        <v>1265</v>
      </c>
      <c r="H857">
        <v>1</v>
      </c>
      <c r="I857" t="s">
        <v>1265</v>
      </c>
      <c r="J857" t="s">
        <v>1265</v>
      </c>
      <c r="K857" t="s">
        <v>3191</v>
      </c>
      <c r="L857" t="s">
        <v>3176</v>
      </c>
      <c r="M857" t="s">
        <v>3190</v>
      </c>
      <c r="N857" t="s">
        <v>3174</v>
      </c>
      <c r="O857">
        <v>2108</v>
      </c>
      <c r="P857" t="s">
        <v>3592</v>
      </c>
      <c r="R857" s="29">
        <v>228386666666667</v>
      </c>
      <c r="S857" s="29">
        <v>172666666666667</v>
      </c>
      <c r="T857">
        <v>47</v>
      </c>
      <c r="U857">
        <v>0</v>
      </c>
      <c r="V857">
        <v>0</v>
      </c>
      <c r="W857">
        <v>0</v>
      </c>
      <c r="X857">
        <v>47</v>
      </c>
      <c r="Y857">
        <v>0</v>
      </c>
      <c r="Z857">
        <v>0</v>
      </c>
      <c r="AA857">
        <v>0</v>
      </c>
      <c r="AE857" s="30">
        <v>46300.416666666664</v>
      </c>
      <c r="AF857" s="30">
        <v>46308.375</v>
      </c>
      <c r="AH857" s="30">
        <v>45891.630555555559</v>
      </c>
      <c r="AI857" s="30">
        <v>45901.588888888888</v>
      </c>
      <c r="AJ857" s="30">
        <v>45891.630555555559</v>
      </c>
      <c r="AK857" s="30">
        <v>45901.588888888888</v>
      </c>
      <c r="AL857" s="30">
        <v>45891.630555555559</v>
      </c>
      <c r="AM857" s="30">
        <v>45901.588888888888</v>
      </c>
      <c r="AN857" s="30">
        <v>46300.416666666664</v>
      </c>
      <c r="AO857" s="30">
        <v>46308.375</v>
      </c>
      <c r="AQ857" t="s">
        <v>3171</v>
      </c>
      <c r="AV857" t="s">
        <v>3591</v>
      </c>
      <c r="AW857" t="s">
        <v>3590</v>
      </c>
      <c r="AZ857" t="s">
        <v>1265</v>
      </c>
      <c r="BA857">
        <v>0</v>
      </c>
      <c r="BB857">
        <v>0</v>
      </c>
      <c r="BJ857" s="30">
        <v>46069.523611111108</v>
      </c>
      <c r="BK857" s="30">
        <v>46093.73333333333</v>
      </c>
      <c r="BL857" t="s">
        <v>1259</v>
      </c>
      <c r="BM857" t="s">
        <v>1259</v>
      </c>
      <c r="BO857" t="s">
        <v>1265</v>
      </c>
    </row>
    <row r="858" spans="1:67" x14ac:dyDescent="0.25">
      <c r="A858" t="s">
        <v>1248</v>
      </c>
      <c r="B858">
        <v>352240</v>
      </c>
      <c r="C858">
        <v>405</v>
      </c>
      <c r="D858">
        <v>53304</v>
      </c>
      <c r="E858">
        <v>1117</v>
      </c>
      <c r="F858">
        <v>0</v>
      </c>
      <c r="G858" t="s">
        <v>1265</v>
      </c>
      <c r="H858">
        <v>1</v>
      </c>
      <c r="I858" t="s">
        <v>1265</v>
      </c>
      <c r="J858" t="s">
        <v>1265</v>
      </c>
      <c r="K858" t="s">
        <v>3191</v>
      </c>
      <c r="L858" t="s">
        <v>3176</v>
      </c>
      <c r="M858" t="s">
        <v>3190</v>
      </c>
      <c r="N858" t="s">
        <v>3174</v>
      </c>
      <c r="O858">
        <v>2118</v>
      </c>
      <c r="P858" t="s">
        <v>3589</v>
      </c>
      <c r="R858" t="s">
        <v>3588</v>
      </c>
      <c r="S858">
        <v>0</v>
      </c>
      <c r="T858">
        <v>7</v>
      </c>
      <c r="U858">
        <v>0</v>
      </c>
      <c r="V858">
        <v>0</v>
      </c>
      <c r="W858">
        <v>0</v>
      </c>
      <c r="X858">
        <v>7</v>
      </c>
      <c r="Y858">
        <v>0</v>
      </c>
      <c r="Z858">
        <v>0</v>
      </c>
      <c r="AA858">
        <v>0</v>
      </c>
      <c r="AE858" s="30">
        <v>46308.375</v>
      </c>
      <c r="AF858" s="30">
        <v>46308.708333333336</v>
      </c>
      <c r="AH858" s="30">
        <v>45903.64166666667</v>
      </c>
      <c r="AI858" s="30">
        <v>45904.6</v>
      </c>
      <c r="AJ858" s="30">
        <v>45903.64166666667</v>
      </c>
      <c r="AK858" s="30">
        <v>45904.6</v>
      </c>
      <c r="AL858" s="30">
        <v>45903.64166666667</v>
      </c>
      <c r="AM858" s="30">
        <v>45904.6</v>
      </c>
      <c r="AN858" s="30">
        <v>46308.375</v>
      </c>
      <c r="AO858" s="30">
        <v>46308.708333333336</v>
      </c>
      <c r="AQ858" t="s">
        <v>3171</v>
      </c>
      <c r="AV858" t="s">
        <v>3587</v>
      </c>
      <c r="AW858" t="s">
        <v>3586</v>
      </c>
      <c r="AZ858" t="s">
        <v>1265</v>
      </c>
      <c r="BA858">
        <v>0</v>
      </c>
      <c r="BB858">
        <v>0</v>
      </c>
      <c r="BJ858" s="30">
        <v>46069.523611111108</v>
      </c>
      <c r="BK858" s="30">
        <v>46093.657638888886</v>
      </c>
      <c r="BL858" t="s">
        <v>1259</v>
      </c>
      <c r="BM858" t="s">
        <v>1259</v>
      </c>
      <c r="BO858" t="s">
        <v>1265</v>
      </c>
    </row>
    <row r="859" spans="1:67" x14ac:dyDescent="0.25">
      <c r="A859" t="s">
        <v>1248</v>
      </c>
      <c r="B859">
        <v>352241</v>
      </c>
      <c r="C859">
        <v>405</v>
      </c>
      <c r="D859">
        <v>53304</v>
      </c>
      <c r="E859">
        <v>1117</v>
      </c>
      <c r="F859">
        <v>0</v>
      </c>
      <c r="G859" t="s">
        <v>1265</v>
      </c>
      <c r="H859">
        <v>1</v>
      </c>
      <c r="I859" t="s">
        <v>1265</v>
      </c>
      <c r="J859" t="s">
        <v>1265</v>
      </c>
      <c r="K859" t="s">
        <v>3191</v>
      </c>
      <c r="L859" t="s">
        <v>3176</v>
      </c>
      <c r="M859" t="s">
        <v>3190</v>
      </c>
      <c r="N859" t="s">
        <v>3174</v>
      </c>
      <c r="O859">
        <v>2128</v>
      </c>
      <c r="P859" t="s">
        <v>3585</v>
      </c>
      <c r="R859" t="s">
        <v>3566</v>
      </c>
      <c r="S859">
        <v>0</v>
      </c>
      <c r="T859">
        <v>15</v>
      </c>
      <c r="U859">
        <v>0</v>
      </c>
      <c r="V859">
        <v>0</v>
      </c>
      <c r="W859">
        <v>0</v>
      </c>
      <c r="X859">
        <v>15</v>
      </c>
      <c r="Y859">
        <v>0</v>
      </c>
      <c r="Z859">
        <v>0</v>
      </c>
      <c r="AA859">
        <v>0</v>
      </c>
      <c r="AE859" s="30">
        <v>46258.691666666666</v>
      </c>
      <c r="AF859" s="30">
        <v>46260.65</v>
      </c>
      <c r="AH859" s="30">
        <v>45869.625</v>
      </c>
      <c r="AI859" s="30">
        <v>45873.583333333336</v>
      </c>
      <c r="AJ859" s="30">
        <v>45869.625</v>
      </c>
      <c r="AK859" s="30">
        <v>45873.583333333336</v>
      </c>
      <c r="AL859" s="30">
        <v>45869.625</v>
      </c>
      <c r="AM859" s="30">
        <v>45873.583333333336</v>
      </c>
      <c r="AN859" s="30">
        <v>46258.691666666666</v>
      </c>
      <c r="AO859" s="30">
        <v>46260.65</v>
      </c>
      <c r="AQ859" t="s">
        <v>3171</v>
      </c>
      <c r="AV859" t="s">
        <v>3584</v>
      </c>
      <c r="AW859" t="s">
        <v>3583</v>
      </c>
      <c r="AZ859" t="s">
        <v>1265</v>
      </c>
      <c r="BA859">
        <v>0</v>
      </c>
      <c r="BB859">
        <v>0</v>
      </c>
      <c r="BJ859" s="30">
        <v>46069.523611111108</v>
      </c>
      <c r="BK859" s="30">
        <v>46093.657638888886</v>
      </c>
      <c r="BL859" t="s">
        <v>1259</v>
      </c>
      <c r="BM859" t="s">
        <v>1259</v>
      </c>
      <c r="BO859" t="s">
        <v>1265</v>
      </c>
    </row>
    <row r="860" spans="1:67" x14ac:dyDescent="0.25">
      <c r="A860" t="s">
        <v>1248</v>
      </c>
      <c r="B860">
        <v>352242</v>
      </c>
      <c r="C860">
        <v>405</v>
      </c>
      <c r="D860">
        <v>51493</v>
      </c>
      <c r="E860">
        <v>1117</v>
      </c>
      <c r="F860">
        <v>0</v>
      </c>
      <c r="G860" t="s">
        <v>1265</v>
      </c>
      <c r="H860">
        <v>1</v>
      </c>
      <c r="I860" t="s">
        <v>1265</v>
      </c>
      <c r="J860" t="s">
        <v>1265</v>
      </c>
      <c r="K860" t="s">
        <v>3191</v>
      </c>
      <c r="L860" t="s">
        <v>3176</v>
      </c>
      <c r="M860" t="s">
        <v>3190</v>
      </c>
      <c r="N860" t="s">
        <v>3174</v>
      </c>
      <c r="O860">
        <v>2138</v>
      </c>
      <c r="P860" t="s">
        <v>3582</v>
      </c>
      <c r="R860" t="s">
        <v>3566</v>
      </c>
      <c r="S860">
        <v>0</v>
      </c>
      <c r="T860" s="29">
        <v>441333333333333</v>
      </c>
      <c r="U860">
        <v>0</v>
      </c>
      <c r="V860">
        <v>0</v>
      </c>
      <c r="W860">
        <v>0</v>
      </c>
      <c r="X860" s="29">
        <v>441333333333333</v>
      </c>
      <c r="Y860">
        <v>0</v>
      </c>
      <c r="Z860">
        <v>0</v>
      </c>
      <c r="AA860">
        <v>0</v>
      </c>
      <c r="AE860" s="30">
        <v>46260.65</v>
      </c>
      <c r="AF860" s="30">
        <v>46268.447222222225</v>
      </c>
      <c r="AH860" s="30">
        <v>45873.583333333336</v>
      </c>
      <c r="AI860" s="30">
        <v>45881.380555555559</v>
      </c>
      <c r="AJ860" s="30">
        <v>45873.583333333336</v>
      </c>
      <c r="AK860" s="30">
        <v>45881.380555555559</v>
      </c>
      <c r="AL860" s="30">
        <v>45873.583333333336</v>
      </c>
      <c r="AM860" s="30">
        <v>45881.380555555559</v>
      </c>
      <c r="AN860" s="30">
        <v>46260.65</v>
      </c>
      <c r="AO860" s="30">
        <v>46268.447222222225</v>
      </c>
      <c r="AQ860" t="s">
        <v>3171</v>
      </c>
      <c r="AV860" t="s">
        <v>3581</v>
      </c>
      <c r="AW860" t="s">
        <v>3580</v>
      </c>
      <c r="AZ860" t="s">
        <v>1265</v>
      </c>
      <c r="BA860">
        <v>0</v>
      </c>
      <c r="BB860">
        <v>0</v>
      </c>
      <c r="BJ860" s="30">
        <v>46069.523611111108</v>
      </c>
      <c r="BK860" s="30">
        <v>46093.73333333333</v>
      </c>
      <c r="BL860" t="s">
        <v>1259</v>
      </c>
      <c r="BM860" t="s">
        <v>1259</v>
      </c>
      <c r="BO860" t="s">
        <v>1265</v>
      </c>
    </row>
    <row r="861" spans="1:67" x14ac:dyDescent="0.25">
      <c r="A861" t="s">
        <v>1248</v>
      </c>
      <c r="B861">
        <v>352243</v>
      </c>
      <c r="C861">
        <v>405</v>
      </c>
      <c r="D861">
        <v>51493</v>
      </c>
      <c r="E861">
        <v>1117</v>
      </c>
      <c r="F861">
        <v>0</v>
      </c>
      <c r="G861" t="s">
        <v>1265</v>
      </c>
      <c r="H861">
        <v>1</v>
      </c>
      <c r="I861" t="s">
        <v>1265</v>
      </c>
      <c r="J861" t="s">
        <v>1265</v>
      </c>
      <c r="K861" t="s">
        <v>3191</v>
      </c>
      <c r="L861" t="s">
        <v>3176</v>
      </c>
      <c r="M861" t="s">
        <v>3190</v>
      </c>
      <c r="N861" t="s">
        <v>3174</v>
      </c>
      <c r="O861">
        <v>2148</v>
      </c>
      <c r="P861" t="s">
        <v>3579</v>
      </c>
      <c r="R861" t="s">
        <v>3566</v>
      </c>
      <c r="S861">
        <v>0</v>
      </c>
      <c r="T861">
        <v>7</v>
      </c>
      <c r="U861">
        <v>0</v>
      </c>
      <c r="V861">
        <v>0</v>
      </c>
      <c r="W861">
        <v>0</v>
      </c>
      <c r="X861">
        <v>7</v>
      </c>
      <c r="Y861">
        <v>0</v>
      </c>
      <c r="Z861">
        <v>0</v>
      </c>
      <c r="AA861">
        <v>0</v>
      </c>
      <c r="AE861" s="30">
        <v>46268.447222222225</v>
      </c>
      <c r="AF861" s="30">
        <v>46269.405555555553</v>
      </c>
      <c r="AH861" s="30">
        <v>45881.380555555559</v>
      </c>
      <c r="AI861" s="30">
        <v>45882.338888888888</v>
      </c>
      <c r="AJ861" s="30">
        <v>45881.380555555559</v>
      </c>
      <c r="AK861" s="30">
        <v>45882.338888888888</v>
      </c>
      <c r="AL861" s="30">
        <v>45881.380555555559</v>
      </c>
      <c r="AM861" s="30">
        <v>45882.338888888888</v>
      </c>
      <c r="AN861" s="30">
        <v>46268.447222222225</v>
      </c>
      <c r="AO861" s="30">
        <v>46269.405555555553</v>
      </c>
      <c r="AQ861" t="s">
        <v>3171</v>
      </c>
      <c r="AV861" t="s">
        <v>3578</v>
      </c>
      <c r="AW861" t="s">
        <v>3577</v>
      </c>
      <c r="AZ861" t="s">
        <v>1265</v>
      </c>
      <c r="BA861">
        <v>0</v>
      </c>
      <c r="BB861">
        <v>0</v>
      </c>
      <c r="BJ861" s="30">
        <v>46069.523611111108</v>
      </c>
      <c r="BK861" s="30">
        <v>46093.657638888886</v>
      </c>
      <c r="BL861" t="s">
        <v>1259</v>
      </c>
      <c r="BM861" t="s">
        <v>1259</v>
      </c>
      <c r="BO861" t="s">
        <v>1265</v>
      </c>
    </row>
    <row r="862" spans="1:67" x14ac:dyDescent="0.25">
      <c r="A862" t="s">
        <v>1248</v>
      </c>
      <c r="B862">
        <v>352244</v>
      </c>
      <c r="C862">
        <v>405</v>
      </c>
      <c r="D862">
        <v>51493</v>
      </c>
      <c r="E862">
        <v>1117</v>
      </c>
      <c r="F862">
        <v>0</v>
      </c>
      <c r="G862" t="s">
        <v>1265</v>
      </c>
      <c r="H862">
        <v>1</v>
      </c>
      <c r="I862" t="s">
        <v>1265</v>
      </c>
      <c r="J862" t="s">
        <v>1265</v>
      </c>
      <c r="K862" t="s">
        <v>3191</v>
      </c>
      <c r="L862" t="s">
        <v>3176</v>
      </c>
      <c r="M862" t="s">
        <v>3190</v>
      </c>
      <c r="N862" t="s">
        <v>3174</v>
      </c>
      <c r="O862">
        <v>2158</v>
      </c>
      <c r="P862" t="s">
        <v>3576</v>
      </c>
      <c r="R862" t="s">
        <v>3566</v>
      </c>
      <c r="S862">
        <v>0</v>
      </c>
      <c r="T862" s="29">
        <v>402666666666667</v>
      </c>
      <c r="U862">
        <v>0</v>
      </c>
      <c r="V862">
        <v>0</v>
      </c>
      <c r="W862">
        <v>0</v>
      </c>
      <c r="X862" s="29">
        <v>402666666666667</v>
      </c>
      <c r="Y862">
        <v>0</v>
      </c>
      <c r="Z862">
        <v>0</v>
      </c>
      <c r="AA862">
        <v>0</v>
      </c>
      <c r="AE862" s="30">
        <v>46269.405555555553</v>
      </c>
      <c r="AF862" s="30">
        <v>46276.416666666664</v>
      </c>
      <c r="AH862" s="30">
        <v>45882.338888888888</v>
      </c>
      <c r="AI862" s="30">
        <v>45889.35</v>
      </c>
      <c r="AJ862" s="30">
        <v>45882.338888888888</v>
      </c>
      <c r="AK862" s="30">
        <v>45889.35</v>
      </c>
      <c r="AL862" s="30">
        <v>45882.338888888888</v>
      </c>
      <c r="AM862" s="30">
        <v>45889.35</v>
      </c>
      <c r="AN862" s="30">
        <v>46269.405555555553</v>
      </c>
      <c r="AO862" s="30">
        <v>46276.416666666664</v>
      </c>
      <c r="AQ862" t="s">
        <v>3171</v>
      </c>
      <c r="AV862" t="s">
        <v>3575</v>
      </c>
      <c r="AW862" t="s">
        <v>3574</v>
      </c>
      <c r="AZ862" t="s">
        <v>1265</v>
      </c>
      <c r="BA862">
        <v>0</v>
      </c>
      <c r="BB862">
        <v>0</v>
      </c>
      <c r="BJ862" s="30">
        <v>46069.523611111108</v>
      </c>
      <c r="BK862" s="30">
        <v>46093.73333333333</v>
      </c>
      <c r="BL862" t="s">
        <v>1259</v>
      </c>
      <c r="BM862" t="s">
        <v>1259</v>
      </c>
      <c r="BO862" t="s">
        <v>1265</v>
      </c>
    </row>
    <row r="863" spans="1:67" x14ac:dyDescent="0.25">
      <c r="A863" t="s">
        <v>1248</v>
      </c>
      <c r="B863">
        <v>352245</v>
      </c>
      <c r="C863">
        <v>405</v>
      </c>
      <c r="D863">
        <v>51493</v>
      </c>
      <c r="E863">
        <v>1117</v>
      </c>
      <c r="F863">
        <v>0</v>
      </c>
      <c r="G863" t="s">
        <v>1265</v>
      </c>
      <c r="H863">
        <v>1</v>
      </c>
      <c r="I863" t="s">
        <v>1265</v>
      </c>
      <c r="J863" t="s">
        <v>1265</v>
      </c>
      <c r="K863" t="s">
        <v>3191</v>
      </c>
      <c r="L863" t="s">
        <v>3176</v>
      </c>
      <c r="M863" t="s">
        <v>3190</v>
      </c>
      <c r="N863" t="s">
        <v>3174</v>
      </c>
      <c r="O863">
        <v>2168</v>
      </c>
      <c r="P863" t="s">
        <v>3573</v>
      </c>
      <c r="R863" t="s">
        <v>3566</v>
      </c>
      <c r="S863">
        <v>0</v>
      </c>
      <c r="T863">
        <v>32</v>
      </c>
      <c r="U863">
        <v>0</v>
      </c>
      <c r="V863">
        <v>0</v>
      </c>
      <c r="W863">
        <v>0</v>
      </c>
      <c r="X863">
        <v>32</v>
      </c>
      <c r="Y863">
        <v>0</v>
      </c>
      <c r="Z863">
        <v>0</v>
      </c>
      <c r="AA863">
        <v>0</v>
      </c>
      <c r="AE863" s="30">
        <v>46276.416666666664</v>
      </c>
      <c r="AF863" s="30">
        <v>46282.416666666664</v>
      </c>
      <c r="AH863" s="30">
        <v>45889.35</v>
      </c>
      <c r="AI863" s="30">
        <v>45895.35</v>
      </c>
      <c r="AJ863" s="30">
        <v>45889.35</v>
      </c>
      <c r="AK863" s="30">
        <v>45895.35</v>
      </c>
      <c r="AL863" s="30">
        <v>45889.35</v>
      </c>
      <c r="AM863" s="30">
        <v>45895.35</v>
      </c>
      <c r="AN863" s="30">
        <v>46276.416666666664</v>
      </c>
      <c r="AO863" s="30">
        <v>46282.416666666664</v>
      </c>
      <c r="AQ863" t="s">
        <v>3171</v>
      </c>
      <c r="AV863" t="s">
        <v>3572</v>
      </c>
      <c r="AW863" t="s">
        <v>3571</v>
      </c>
      <c r="AZ863" t="s">
        <v>1265</v>
      </c>
      <c r="BA863">
        <v>0</v>
      </c>
      <c r="BB863">
        <v>0</v>
      </c>
      <c r="BJ863" s="30">
        <v>46069.523611111108</v>
      </c>
      <c r="BK863" s="30">
        <v>46093.657638888886</v>
      </c>
      <c r="BL863" t="s">
        <v>1259</v>
      </c>
      <c r="BM863" t="s">
        <v>1259</v>
      </c>
      <c r="BO863" t="s">
        <v>1265</v>
      </c>
    </row>
    <row r="864" spans="1:67" x14ac:dyDescent="0.25">
      <c r="A864" t="s">
        <v>1248</v>
      </c>
      <c r="B864">
        <v>352246</v>
      </c>
      <c r="C864">
        <v>405</v>
      </c>
      <c r="D864">
        <v>51493</v>
      </c>
      <c r="E864">
        <v>1117</v>
      </c>
      <c r="F864">
        <v>0</v>
      </c>
      <c r="G864" t="s">
        <v>1265</v>
      </c>
      <c r="H864">
        <v>1</v>
      </c>
      <c r="I864" t="s">
        <v>1265</v>
      </c>
      <c r="J864" t="s">
        <v>1265</v>
      </c>
      <c r="K864" t="s">
        <v>3191</v>
      </c>
      <c r="L864" t="s">
        <v>3176</v>
      </c>
      <c r="M864" t="s">
        <v>3190</v>
      </c>
      <c r="N864" t="s">
        <v>3174</v>
      </c>
      <c r="O864">
        <v>2178</v>
      </c>
      <c r="P864" t="s">
        <v>3570</v>
      </c>
      <c r="R864" t="s">
        <v>3566</v>
      </c>
      <c r="S864">
        <v>0</v>
      </c>
      <c r="T864">
        <v>47</v>
      </c>
      <c r="U864">
        <v>0</v>
      </c>
      <c r="V864">
        <v>0</v>
      </c>
      <c r="W864">
        <v>0</v>
      </c>
      <c r="X864">
        <v>47</v>
      </c>
      <c r="Y864">
        <v>0</v>
      </c>
      <c r="Z864">
        <v>0</v>
      </c>
      <c r="AA864">
        <v>0</v>
      </c>
      <c r="AE864" s="30">
        <v>46282.416666666664</v>
      </c>
      <c r="AF864" s="30">
        <v>46290.375</v>
      </c>
      <c r="AH864" s="30">
        <v>45895.35</v>
      </c>
      <c r="AI864" s="30">
        <v>45902.683333333334</v>
      </c>
      <c r="AJ864" s="30">
        <v>45895.35</v>
      </c>
      <c r="AK864" s="30">
        <v>45902.683333333334</v>
      </c>
      <c r="AL864" s="30">
        <v>45895.35</v>
      </c>
      <c r="AM864" s="30">
        <v>45902.683333333334</v>
      </c>
      <c r="AN864" s="30">
        <v>46282.416666666664</v>
      </c>
      <c r="AO864" s="30">
        <v>46290.375</v>
      </c>
      <c r="AQ864" t="s">
        <v>3171</v>
      </c>
      <c r="AV864" t="s">
        <v>3569</v>
      </c>
      <c r="AW864" t="s">
        <v>3568</v>
      </c>
      <c r="AZ864" t="s">
        <v>1265</v>
      </c>
      <c r="BA864">
        <v>0</v>
      </c>
      <c r="BB864">
        <v>0</v>
      </c>
      <c r="BJ864" s="30">
        <v>46069.523611111108</v>
      </c>
      <c r="BK864" s="30">
        <v>46093.657638888886</v>
      </c>
      <c r="BL864" t="s">
        <v>1259</v>
      </c>
      <c r="BM864" t="s">
        <v>1259</v>
      </c>
      <c r="BO864" t="s">
        <v>1265</v>
      </c>
    </row>
    <row r="865" spans="1:67" x14ac:dyDescent="0.25">
      <c r="A865" t="s">
        <v>1248</v>
      </c>
      <c r="B865">
        <v>352247</v>
      </c>
      <c r="C865">
        <v>405</v>
      </c>
      <c r="D865">
        <v>53304</v>
      </c>
      <c r="E865">
        <v>1117</v>
      </c>
      <c r="F865">
        <v>0</v>
      </c>
      <c r="G865" t="s">
        <v>1265</v>
      </c>
      <c r="H865">
        <v>1</v>
      </c>
      <c r="I865" t="s">
        <v>1265</v>
      </c>
      <c r="J865" t="s">
        <v>1265</v>
      </c>
      <c r="K865" t="s">
        <v>3191</v>
      </c>
      <c r="L865" t="s">
        <v>3176</v>
      </c>
      <c r="M865" t="s">
        <v>3190</v>
      </c>
      <c r="N865" t="s">
        <v>3174</v>
      </c>
      <c r="O865">
        <v>2188</v>
      </c>
      <c r="P865" t="s">
        <v>3567</v>
      </c>
      <c r="R865" t="s">
        <v>3566</v>
      </c>
      <c r="S865">
        <v>0</v>
      </c>
      <c r="T865">
        <v>7</v>
      </c>
      <c r="U865">
        <v>0</v>
      </c>
      <c r="V865">
        <v>0</v>
      </c>
      <c r="W865">
        <v>0</v>
      </c>
      <c r="X865">
        <v>7</v>
      </c>
      <c r="Y865">
        <v>0</v>
      </c>
      <c r="Z865">
        <v>0</v>
      </c>
      <c r="AA865">
        <v>0</v>
      </c>
      <c r="AE865" s="30">
        <v>46290.375</v>
      </c>
      <c r="AF865" s="30">
        <v>46290.708333333336</v>
      </c>
      <c r="AH865" s="30">
        <v>45902.683333333334</v>
      </c>
      <c r="AI865" s="30">
        <v>45903.64166666667</v>
      </c>
      <c r="AJ865" s="30">
        <v>45902.683333333334</v>
      </c>
      <c r="AK865" s="30">
        <v>45903.64166666667</v>
      </c>
      <c r="AL865" s="30">
        <v>45902.683333333334</v>
      </c>
      <c r="AM865" s="30">
        <v>45903.64166666667</v>
      </c>
      <c r="AN865" s="30">
        <v>46290.375</v>
      </c>
      <c r="AO865" s="30">
        <v>46290.708333333336</v>
      </c>
      <c r="AQ865" t="s">
        <v>3171</v>
      </c>
      <c r="AV865" t="s">
        <v>3565</v>
      </c>
      <c r="AW865" t="s">
        <v>3564</v>
      </c>
      <c r="AZ865" t="s">
        <v>1265</v>
      </c>
      <c r="BA865">
        <v>0</v>
      </c>
      <c r="BB865">
        <v>0</v>
      </c>
      <c r="BJ865" s="30">
        <v>46069.523611111108</v>
      </c>
      <c r="BK865" s="30">
        <v>46093.657638888886</v>
      </c>
      <c r="BL865" t="s">
        <v>1259</v>
      </c>
      <c r="BM865" t="s">
        <v>1259</v>
      </c>
      <c r="BO865" t="s">
        <v>1265</v>
      </c>
    </row>
    <row r="866" spans="1:67" x14ac:dyDescent="0.25">
      <c r="A866" t="s">
        <v>1248</v>
      </c>
      <c r="B866">
        <v>352248</v>
      </c>
      <c r="C866">
        <v>405</v>
      </c>
      <c r="D866">
        <v>53304</v>
      </c>
      <c r="E866">
        <v>1117</v>
      </c>
      <c r="F866">
        <v>0</v>
      </c>
      <c r="G866" t="s">
        <v>1265</v>
      </c>
      <c r="H866">
        <v>1</v>
      </c>
      <c r="I866" t="s">
        <v>1265</v>
      </c>
      <c r="J866" t="s">
        <v>1265</v>
      </c>
      <c r="K866" t="s">
        <v>3191</v>
      </c>
      <c r="L866" t="s">
        <v>3176</v>
      </c>
      <c r="M866" t="s">
        <v>3190</v>
      </c>
      <c r="N866" t="s">
        <v>3174</v>
      </c>
      <c r="O866">
        <v>2198</v>
      </c>
      <c r="P866" t="s">
        <v>3563</v>
      </c>
      <c r="R866" t="s">
        <v>3544</v>
      </c>
      <c r="S866">
        <v>0</v>
      </c>
      <c r="T866">
        <v>15</v>
      </c>
      <c r="U866">
        <v>0</v>
      </c>
      <c r="V866">
        <v>0</v>
      </c>
      <c r="W866">
        <v>0</v>
      </c>
      <c r="X866">
        <v>15</v>
      </c>
      <c r="Y866">
        <v>0</v>
      </c>
      <c r="Z866">
        <v>0</v>
      </c>
      <c r="AA866">
        <v>0</v>
      </c>
      <c r="AE866" s="30">
        <v>46240.691666666666</v>
      </c>
      <c r="AF866" s="30">
        <v>46244.65</v>
      </c>
      <c r="AH866" s="30">
        <v>45867.666666666664</v>
      </c>
      <c r="AI866" s="30">
        <v>45869.625</v>
      </c>
      <c r="AJ866" s="30">
        <v>45867.666666666664</v>
      </c>
      <c r="AK866" s="30">
        <v>45869.625</v>
      </c>
      <c r="AL866" s="30">
        <v>45867.666666666664</v>
      </c>
      <c r="AM866" s="30">
        <v>45869.625</v>
      </c>
      <c r="AN866" s="30">
        <v>46240.691666666666</v>
      </c>
      <c r="AO866" s="30">
        <v>46244.65</v>
      </c>
      <c r="AQ866" t="s">
        <v>3171</v>
      </c>
      <c r="AV866" t="s">
        <v>3562</v>
      </c>
      <c r="AW866" t="s">
        <v>3561</v>
      </c>
      <c r="AZ866" t="s">
        <v>1265</v>
      </c>
      <c r="BA866">
        <v>0</v>
      </c>
      <c r="BB866">
        <v>0</v>
      </c>
      <c r="BJ866" s="30">
        <v>46069.523611111108</v>
      </c>
      <c r="BK866" s="30">
        <v>46093.667361111111</v>
      </c>
      <c r="BL866" t="s">
        <v>1259</v>
      </c>
      <c r="BM866" t="s">
        <v>1259</v>
      </c>
      <c r="BO866" t="s">
        <v>1265</v>
      </c>
    </row>
    <row r="867" spans="1:67" x14ac:dyDescent="0.25">
      <c r="A867" t="s">
        <v>1248</v>
      </c>
      <c r="B867">
        <v>352249</v>
      </c>
      <c r="C867">
        <v>405</v>
      </c>
      <c r="D867">
        <v>51494</v>
      </c>
      <c r="E867">
        <v>1117</v>
      </c>
      <c r="F867">
        <v>0</v>
      </c>
      <c r="G867" t="s">
        <v>1265</v>
      </c>
      <c r="H867">
        <v>1</v>
      </c>
      <c r="I867" t="s">
        <v>1265</v>
      </c>
      <c r="J867" t="s">
        <v>1265</v>
      </c>
      <c r="K867" t="s">
        <v>3191</v>
      </c>
      <c r="L867" t="s">
        <v>3176</v>
      </c>
      <c r="M867" t="s">
        <v>3190</v>
      </c>
      <c r="N867" t="s">
        <v>3174</v>
      </c>
      <c r="O867">
        <v>2208</v>
      </c>
      <c r="P867" t="s">
        <v>3560</v>
      </c>
      <c r="R867" t="s">
        <v>3544</v>
      </c>
      <c r="S867">
        <v>0</v>
      </c>
      <c r="T867" s="29">
        <v>441333333333333</v>
      </c>
      <c r="U867">
        <v>0</v>
      </c>
      <c r="V867">
        <v>0</v>
      </c>
      <c r="W867">
        <v>0</v>
      </c>
      <c r="X867" s="29">
        <v>441333333333333</v>
      </c>
      <c r="Y867">
        <v>0</v>
      </c>
      <c r="Z867">
        <v>0</v>
      </c>
      <c r="AA867">
        <v>0</v>
      </c>
      <c r="AE867" s="30">
        <v>46244.65</v>
      </c>
      <c r="AF867" s="30">
        <v>46252.447222222225</v>
      </c>
      <c r="AH867" s="30">
        <v>45869.625</v>
      </c>
      <c r="AI867" s="30">
        <v>45877.422222222223</v>
      </c>
      <c r="AJ867" s="30">
        <v>45869.625</v>
      </c>
      <c r="AK867" s="30">
        <v>45877.422222222223</v>
      </c>
      <c r="AL867" s="30">
        <v>45869.625</v>
      </c>
      <c r="AM867" s="30">
        <v>45877.422222222223</v>
      </c>
      <c r="AN867" s="30">
        <v>46244.65</v>
      </c>
      <c r="AO867" s="30">
        <v>46252.447222222225</v>
      </c>
      <c r="AQ867" t="s">
        <v>3171</v>
      </c>
      <c r="AV867" t="s">
        <v>3559</v>
      </c>
      <c r="AW867" t="s">
        <v>3558</v>
      </c>
      <c r="AZ867" t="s">
        <v>1265</v>
      </c>
      <c r="BA867">
        <v>0</v>
      </c>
      <c r="BB867">
        <v>0</v>
      </c>
      <c r="BJ867" s="30">
        <v>46069.523611111108</v>
      </c>
      <c r="BK867" s="30">
        <v>46093.73333333333</v>
      </c>
      <c r="BL867" t="s">
        <v>1259</v>
      </c>
      <c r="BM867" t="s">
        <v>1259</v>
      </c>
      <c r="BO867" t="s">
        <v>1265</v>
      </c>
    </row>
    <row r="868" spans="1:67" x14ac:dyDescent="0.25">
      <c r="A868" t="s">
        <v>1248</v>
      </c>
      <c r="B868">
        <v>352250</v>
      </c>
      <c r="C868">
        <v>405</v>
      </c>
      <c r="D868">
        <v>51494</v>
      </c>
      <c r="E868">
        <v>1117</v>
      </c>
      <c r="F868">
        <v>0</v>
      </c>
      <c r="G868" t="s">
        <v>1265</v>
      </c>
      <c r="H868">
        <v>1</v>
      </c>
      <c r="I868" t="s">
        <v>1265</v>
      </c>
      <c r="J868" t="s">
        <v>1265</v>
      </c>
      <c r="K868" t="s">
        <v>3191</v>
      </c>
      <c r="L868" t="s">
        <v>3176</v>
      </c>
      <c r="M868" t="s">
        <v>3190</v>
      </c>
      <c r="N868" t="s">
        <v>3174</v>
      </c>
      <c r="O868">
        <v>2218</v>
      </c>
      <c r="P868" t="s">
        <v>3557</v>
      </c>
      <c r="R868" t="s">
        <v>3544</v>
      </c>
      <c r="S868">
        <v>0</v>
      </c>
      <c r="T868">
        <v>7</v>
      </c>
      <c r="U868">
        <v>0</v>
      </c>
      <c r="V868">
        <v>0</v>
      </c>
      <c r="W868">
        <v>0</v>
      </c>
      <c r="X868">
        <v>7</v>
      </c>
      <c r="Y868">
        <v>0</v>
      </c>
      <c r="Z868">
        <v>0</v>
      </c>
      <c r="AA868">
        <v>0</v>
      </c>
      <c r="AE868" s="30">
        <v>46252.447222222225</v>
      </c>
      <c r="AF868" s="30">
        <v>46253.405555555553</v>
      </c>
      <c r="AH868" s="30">
        <v>45877.422222222223</v>
      </c>
      <c r="AI868" s="30">
        <v>45880.380555555559</v>
      </c>
      <c r="AJ868" s="30">
        <v>45877.422222222223</v>
      </c>
      <c r="AK868" s="30">
        <v>45880.380555555559</v>
      </c>
      <c r="AL868" s="30">
        <v>45877.422222222223</v>
      </c>
      <c r="AM868" s="30">
        <v>45880.380555555559</v>
      </c>
      <c r="AN868" s="30">
        <v>46252.447222222225</v>
      </c>
      <c r="AO868" s="30">
        <v>46253.405555555553</v>
      </c>
      <c r="AQ868" t="s">
        <v>3171</v>
      </c>
      <c r="AV868" t="s">
        <v>3556</v>
      </c>
      <c r="AW868" t="s">
        <v>3555</v>
      </c>
      <c r="AZ868" t="s">
        <v>1265</v>
      </c>
      <c r="BA868">
        <v>0</v>
      </c>
      <c r="BB868">
        <v>0</v>
      </c>
      <c r="BJ868" s="30">
        <v>46069.523611111108</v>
      </c>
      <c r="BK868" s="30">
        <v>46093.667361111111</v>
      </c>
      <c r="BL868" t="s">
        <v>1259</v>
      </c>
      <c r="BM868" t="s">
        <v>1259</v>
      </c>
      <c r="BO868" t="s">
        <v>1265</v>
      </c>
    </row>
    <row r="869" spans="1:67" x14ac:dyDescent="0.25">
      <c r="A869" t="s">
        <v>1248</v>
      </c>
      <c r="B869">
        <v>352251</v>
      </c>
      <c r="C869">
        <v>405</v>
      </c>
      <c r="D869">
        <v>51494</v>
      </c>
      <c r="E869">
        <v>1117</v>
      </c>
      <c r="F869">
        <v>0</v>
      </c>
      <c r="G869" t="s">
        <v>1265</v>
      </c>
      <c r="H869">
        <v>1</v>
      </c>
      <c r="I869" t="s">
        <v>1265</v>
      </c>
      <c r="J869" t="s">
        <v>1265</v>
      </c>
      <c r="K869" t="s">
        <v>3191</v>
      </c>
      <c r="L869" t="s">
        <v>3176</v>
      </c>
      <c r="M869" t="s">
        <v>3190</v>
      </c>
      <c r="N869" t="s">
        <v>3174</v>
      </c>
      <c r="O869">
        <v>2228</v>
      </c>
      <c r="P869" t="s">
        <v>3554</v>
      </c>
      <c r="R869" t="s">
        <v>3544</v>
      </c>
      <c r="S869">
        <v>0</v>
      </c>
      <c r="T869" s="29">
        <v>402666666666667</v>
      </c>
      <c r="U869">
        <v>0</v>
      </c>
      <c r="V869">
        <v>0</v>
      </c>
      <c r="W869">
        <v>0</v>
      </c>
      <c r="X869" s="29">
        <v>402666666666667</v>
      </c>
      <c r="Y869">
        <v>0</v>
      </c>
      <c r="Z869">
        <v>0</v>
      </c>
      <c r="AA869">
        <v>0</v>
      </c>
      <c r="AE869" s="30">
        <v>46253.405555555553</v>
      </c>
      <c r="AF869" s="30">
        <v>46260.416666666664</v>
      </c>
      <c r="AH869" s="30">
        <v>45880.380555555559</v>
      </c>
      <c r="AI869" s="30">
        <v>45887.39166666667</v>
      </c>
      <c r="AJ869" s="30">
        <v>45880.380555555559</v>
      </c>
      <c r="AK869" s="30">
        <v>45887.39166666667</v>
      </c>
      <c r="AL869" s="30">
        <v>45880.380555555559</v>
      </c>
      <c r="AM869" s="30">
        <v>45887.39166666667</v>
      </c>
      <c r="AN869" s="30">
        <v>46253.405555555553</v>
      </c>
      <c r="AO869" s="30">
        <v>46260.416666666664</v>
      </c>
      <c r="AQ869" t="s">
        <v>3171</v>
      </c>
      <c r="AV869" t="s">
        <v>3553</v>
      </c>
      <c r="AW869" t="s">
        <v>3552</v>
      </c>
      <c r="AZ869" t="s">
        <v>1265</v>
      </c>
      <c r="BA869">
        <v>0</v>
      </c>
      <c r="BB869">
        <v>0</v>
      </c>
      <c r="BJ869" s="30">
        <v>46069.523611111108</v>
      </c>
      <c r="BK869" s="30">
        <v>46093.73333333333</v>
      </c>
      <c r="BL869" t="s">
        <v>1259</v>
      </c>
      <c r="BM869" t="s">
        <v>1259</v>
      </c>
      <c r="BO869" t="s">
        <v>1265</v>
      </c>
    </row>
    <row r="870" spans="1:67" x14ac:dyDescent="0.25">
      <c r="A870" t="s">
        <v>1248</v>
      </c>
      <c r="B870">
        <v>352252</v>
      </c>
      <c r="C870">
        <v>405</v>
      </c>
      <c r="D870">
        <v>51494</v>
      </c>
      <c r="E870">
        <v>1117</v>
      </c>
      <c r="F870">
        <v>0</v>
      </c>
      <c r="G870" t="s">
        <v>1265</v>
      </c>
      <c r="H870">
        <v>1</v>
      </c>
      <c r="I870" t="s">
        <v>1265</v>
      </c>
      <c r="J870" t="s">
        <v>1265</v>
      </c>
      <c r="K870" t="s">
        <v>3191</v>
      </c>
      <c r="L870" t="s">
        <v>3176</v>
      </c>
      <c r="M870" t="s">
        <v>3190</v>
      </c>
      <c r="N870" t="s">
        <v>3174</v>
      </c>
      <c r="O870">
        <v>2238</v>
      </c>
      <c r="P870" t="s">
        <v>3551</v>
      </c>
      <c r="R870" t="s">
        <v>3544</v>
      </c>
      <c r="S870">
        <v>0</v>
      </c>
      <c r="T870">
        <v>32</v>
      </c>
      <c r="U870">
        <v>0</v>
      </c>
      <c r="V870">
        <v>0</v>
      </c>
      <c r="W870">
        <v>0</v>
      </c>
      <c r="X870">
        <v>32</v>
      </c>
      <c r="Y870">
        <v>0</v>
      </c>
      <c r="Z870">
        <v>0</v>
      </c>
      <c r="AA870">
        <v>0</v>
      </c>
      <c r="AE870" s="30">
        <v>46260.416666666664</v>
      </c>
      <c r="AF870" s="30">
        <v>46266.416666666664</v>
      </c>
      <c r="AH870" s="30">
        <v>45887.39166666667</v>
      </c>
      <c r="AI870" s="30">
        <v>45891.39166666667</v>
      </c>
      <c r="AJ870" s="30">
        <v>45887.39166666667</v>
      </c>
      <c r="AK870" s="30">
        <v>45891.39166666667</v>
      </c>
      <c r="AL870" s="30">
        <v>45887.39166666667</v>
      </c>
      <c r="AM870" s="30">
        <v>45891.39166666667</v>
      </c>
      <c r="AN870" s="30">
        <v>46260.416666666664</v>
      </c>
      <c r="AO870" s="30">
        <v>46266.416666666664</v>
      </c>
      <c r="AQ870" t="s">
        <v>3171</v>
      </c>
      <c r="AV870" t="s">
        <v>3550</v>
      </c>
      <c r="AW870" t="s">
        <v>3549</v>
      </c>
      <c r="AZ870" t="s">
        <v>1265</v>
      </c>
      <c r="BA870">
        <v>0</v>
      </c>
      <c r="BB870">
        <v>0</v>
      </c>
      <c r="BJ870" s="30">
        <v>46069.523611111108</v>
      </c>
      <c r="BK870" s="30">
        <v>46093.667361111111</v>
      </c>
      <c r="BL870" t="s">
        <v>1259</v>
      </c>
      <c r="BM870" t="s">
        <v>1259</v>
      </c>
      <c r="BO870" t="s">
        <v>1265</v>
      </c>
    </row>
    <row r="871" spans="1:67" x14ac:dyDescent="0.25">
      <c r="A871" t="s">
        <v>1248</v>
      </c>
      <c r="B871">
        <v>352253</v>
      </c>
      <c r="C871">
        <v>405</v>
      </c>
      <c r="D871">
        <v>51494</v>
      </c>
      <c r="E871">
        <v>1117</v>
      </c>
      <c r="F871">
        <v>0</v>
      </c>
      <c r="G871" t="s">
        <v>1265</v>
      </c>
      <c r="H871">
        <v>1</v>
      </c>
      <c r="I871" t="s">
        <v>1265</v>
      </c>
      <c r="J871" t="s">
        <v>1265</v>
      </c>
      <c r="K871" t="s">
        <v>3191</v>
      </c>
      <c r="L871" t="s">
        <v>3176</v>
      </c>
      <c r="M871" t="s">
        <v>3190</v>
      </c>
      <c r="N871" t="s">
        <v>3174</v>
      </c>
      <c r="O871">
        <v>2248</v>
      </c>
      <c r="P871" t="s">
        <v>3548</v>
      </c>
      <c r="R871" t="s">
        <v>3544</v>
      </c>
      <c r="S871">
        <v>0</v>
      </c>
      <c r="T871">
        <v>47</v>
      </c>
      <c r="U871">
        <v>0</v>
      </c>
      <c r="V871">
        <v>0</v>
      </c>
      <c r="W871">
        <v>0</v>
      </c>
      <c r="X871">
        <v>47</v>
      </c>
      <c r="Y871">
        <v>0</v>
      </c>
      <c r="Z871">
        <v>0</v>
      </c>
      <c r="AA871">
        <v>0</v>
      </c>
      <c r="AE871" s="30">
        <v>46266.416666666664</v>
      </c>
      <c r="AF871" s="30">
        <v>46274.375</v>
      </c>
      <c r="AH871" s="30">
        <v>45891.39166666667</v>
      </c>
      <c r="AI871" s="30">
        <v>45901.35</v>
      </c>
      <c r="AJ871" s="30">
        <v>45891.39166666667</v>
      </c>
      <c r="AK871" s="30">
        <v>45901.35</v>
      </c>
      <c r="AL871" s="30">
        <v>45891.39166666667</v>
      </c>
      <c r="AM871" s="30">
        <v>45901.35</v>
      </c>
      <c r="AN871" s="30">
        <v>46266.416666666664</v>
      </c>
      <c r="AO871" s="30">
        <v>46274.375</v>
      </c>
      <c r="AQ871" t="s">
        <v>3171</v>
      </c>
      <c r="AV871" t="s">
        <v>3547</v>
      </c>
      <c r="AW871" t="s">
        <v>3546</v>
      </c>
      <c r="AZ871" t="s">
        <v>1265</v>
      </c>
      <c r="BA871">
        <v>0</v>
      </c>
      <c r="BB871">
        <v>0</v>
      </c>
      <c r="BJ871" s="30">
        <v>46069.523611111108</v>
      </c>
      <c r="BK871" s="30">
        <v>46093.667361111111</v>
      </c>
      <c r="BL871" t="s">
        <v>1259</v>
      </c>
      <c r="BM871" t="s">
        <v>1259</v>
      </c>
      <c r="BO871" t="s">
        <v>1265</v>
      </c>
    </row>
    <row r="872" spans="1:67" x14ac:dyDescent="0.25">
      <c r="A872" t="s">
        <v>1248</v>
      </c>
      <c r="B872">
        <v>352254</v>
      </c>
      <c r="C872">
        <v>405</v>
      </c>
      <c r="D872">
        <v>53304</v>
      </c>
      <c r="E872">
        <v>1117</v>
      </c>
      <c r="F872">
        <v>0</v>
      </c>
      <c r="G872" t="s">
        <v>1265</v>
      </c>
      <c r="H872">
        <v>1</v>
      </c>
      <c r="I872" t="s">
        <v>1265</v>
      </c>
      <c r="J872" t="s">
        <v>1265</v>
      </c>
      <c r="K872" t="s">
        <v>3191</v>
      </c>
      <c r="L872" t="s">
        <v>3176</v>
      </c>
      <c r="M872" t="s">
        <v>3190</v>
      </c>
      <c r="N872" t="s">
        <v>3174</v>
      </c>
      <c r="O872">
        <v>2258</v>
      </c>
      <c r="P872" t="s">
        <v>3545</v>
      </c>
      <c r="R872" t="s">
        <v>3544</v>
      </c>
      <c r="S872">
        <v>8</v>
      </c>
      <c r="T872">
        <v>7</v>
      </c>
      <c r="U872">
        <v>0</v>
      </c>
      <c r="V872">
        <v>0</v>
      </c>
      <c r="W872">
        <v>0</v>
      </c>
      <c r="X872">
        <v>7</v>
      </c>
      <c r="Y872">
        <v>0</v>
      </c>
      <c r="Z872">
        <v>0</v>
      </c>
      <c r="AA872">
        <v>0</v>
      </c>
      <c r="AE872" s="30">
        <v>46274.375</v>
      </c>
      <c r="AF872" s="30">
        <v>46274.708333333336</v>
      </c>
      <c r="AH872" s="30">
        <v>45901.35</v>
      </c>
      <c r="AI872" s="30">
        <v>45901.683333333334</v>
      </c>
      <c r="AJ872" s="30">
        <v>45901.35</v>
      </c>
      <c r="AK872" s="30">
        <v>45901.683333333334</v>
      </c>
      <c r="AL872" s="30">
        <v>45901.35</v>
      </c>
      <c r="AM872" s="30">
        <v>45901.683333333334</v>
      </c>
      <c r="AN872" s="30">
        <v>46274.375</v>
      </c>
      <c r="AO872" s="30">
        <v>46274.708333333336</v>
      </c>
      <c r="AQ872" t="s">
        <v>3171</v>
      </c>
      <c r="AV872" t="s">
        <v>3543</v>
      </c>
      <c r="AW872" t="s">
        <v>3542</v>
      </c>
      <c r="AZ872" t="s">
        <v>1265</v>
      </c>
      <c r="BA872">
        <v>0</v>
      </c>
      <c r="BB872">
        <v>0</v>
      </c>
      <c r="BJ872" s="30">
        <v>46069.523611111108</v>
      </c>
      <c r="BK872" s="30">
        <v>46093.667361111111</v>
      </c>
      <c r="BL872" t="s">
        <v>1259</v>
      </c>
      <c r="BM872" t="s">
        <v>1259</v>
      </c>
      <c r="BO872" t="s">
        <v>1265</v>
      </c>
    </row>
    <row r="873" spans="1:67" x14ac:dyDescent="0.25">
      <c r="A873" t="s">
        <v>1248</v>
      </c>
      <c r="B873">
        <v>352255</v>
      </c>
      <c r="C873">
        <v>405</v>
      </c>
      <c r="D873">
        <v>53304</v>
      </c>
      <c r="E873">
        <v>1117</v>
      </c>
      <c r="F873">
        <v>0</v>
      </c>
      <c r="G873" t="s">
        <v>1265</v>
      </c>
      <c r="H873">
        <v>1</v>
      </c>
      <c r="I873" t="s">
        <v>1265</v>
      </c>
      <c r="J873" t="s">
        <v>1265</v>
      </c>
      <c r="K873" t="s">
        <v>3191</v>
      </c>
      <c r="L873" t="s">
        <v>3176</v>
      </c>
      <c r="M873" t="s">
        <v>3190</v>
      </c>
      <c r="N873" t="s">
        <v>3174</v>
      </c>
      <c r="O873">
        <v>2268</v>
      </c>
      <c r="P873" t="s">
        <v>3541</v>
      </c>
      <c r="R873" t="s">
        <v>3522</v>
      </c>
      <c r="S873">
        <v>0</v>
      </c>
      <c r="T873">
        <v>15</v>
      </c>
      <c r="U873">
        <v>0</v>
      </c>
      <c r="V873">
        <v>0</v>
      </c>
      <c r="W873">
        <v>0</v>
      </c>
      <c r="X873">
        <v>15</v>
      </c>
      <c r="Y873">
        <v>0</v>
      </c>
      <c r="Z873">
        <v>0</v>
      </c>
      <c r="AA873">
        <v>0</v>
      </c>
      <c r="AE873" s="30">
        <v>46224.691666666666</v>
      </c>
      <c r="AF873" s="30">
        <v>46226.65</v>
      </c>
      <c r="AH873" s="30">
        <v>45866.333333333336</v>
      </c>
      <c r="AI873" s="30">
        <v>45867.666666666664</v>
      </c>
      <c r="AJ873" s="30">
        <v>45866.333333333336</v>
      </c>
      <c r="AK873" s="30">
        <v>45867.666666666664</v>
      </c>
      <c r="AL873" s="30">
        <v>45866.333333333336</v>
      </c>
      <c r="AM873" s="30">
        <v>45867.666666666664</v>
      </c>
      <c r="AN873" s="30">
        <v>46224.691666666666</v>
      </c>
      <c r="AO873" s="30">
        <v>46226.65</v>
      </c>
      <c r="AQ873" t="s">
        <v>3171</v>
      </c>
      <c r="AV873" t="s">
        <v>3540</v>
      </c>
      <c r="AW873" t="s">
        <v>3539</v>
      </c>
      <c r="AZ873" t="s">
        <v>1265</v>
      </c>
      <c r="BA873">
        <v>0</v>
      </c>
      <c r="BB873">
        <v>0</v>
      </c>
      <c r="BJ873" s="30">
        <v>46069.523611111108</v>
      </c>
      <c r="BK873" s="30">
        <v>46093.667361111111</v>
      </c>
      <c r="BL873" t="s">
        <v>1259</v>
      </c>
      <c r="BM873" t="s">
        <v>1259</v>
      </c>
      <c r="BO873" t="s">
        <v>1265</v>
      </c>
    </row>
    <row r="874" spans="1:67" x14ac:dyDescent="0.25">
      <c r="A874" t="s">
        <v>1248</v>
      </c>
      <c r="B874">
        <v>352256</v>
      </c>
      <c r="C874">
        <v>405</v>
      </c>
      <c r="D874">
        <v>51495</v>
      </c>
      <c r="E874">
        <v>1117</v>
      </c>
      <c r="F874">
        <v>0</v>
      </c>
      <c r="G874" t="s">
        <v>1265</v>
      </c>
      <c r="H874">
        <v>1</v>
      </c>
      <c r="I874" t="s">
        <v>1265</v>
      </c>
      <c r="J874" t="s">
        <v>1265</v>
      </c>
      <c r="K874" t="s">
        <v>3191</v>
      </c>
      <c r="L874" t="s">
        <v>3176</v>
      </c>
      <c r="M874" t="s">
        <v>3190</v>
      </c>
      <c r="N874" t="s">
        <v>3174</v>
      </c>
      <c r="O874">
        <v>2278</v>
      </c>
      <c r="P874" t="s">
        <v>3538</v>
      </c>
      <c r="R874" t="s">
        <v>3522</v>
      </c>
      <c r="S874">
        <v>0</v>
      </c>
      <c r="T874" s="29">
        <v>441333333333333</v>
      </c>
      <c r="U874">
        <v>0</v>
      </c>
      <c r="V874">
        <v>0</v>
      </c>
      <c r="W874">
        <v>0</v>
      </c>
      <c r="X874" s="29">
        <v>441333333333333</v>
      </c>
      <c r="Y874">
        <v>0</v>
      </c>
      <c r="Z874">
        <v>0</v>
      </c>
      <c r="AA874">
        <v>0</v>
      </c>
      <c r="AE874" s="30">
        <v>46226.65</v>
      </c>
      <c r="AF874" s="30">
        <v>46234.447222222225</v>
      </c>
      <c r="AH874" s="30">
        <v>45867.666666666664</v>
      </c>
      <c r="AI874" s="30">
        <v>45875.463888888888</v>
      </c>
      <c r="AJ874" s="30">
        <v>45867.666666666664</v>
      </c>
      <c r="AK874" s="30">
        <v>45875.463888888888</v>
      </c>
      <c r="AL874" s="30">
        <v>45867.666666666664</v>
      </c>
      <c r="AM874" s="30">
        <v>45875.463888888888</v>
      </c>
      <c r="AN874" s="30">
        <v>46226.65</v>
      </c>
      <c r="AO874" s="30">
        <v>46234.447222222225</v>
      </c>
      <c r="AQ874" t="s">
        <v>3171</v>
      </c>
      <c r="AV874" t="s">
        <v>3537</v>
      </c>
      <c r="AW874" t="s">
        <v>3536</v>
      </c>
      <c r="AZ874" t="s">
        <v>1265</v>
      </c>
      <c r="BA874">
        <v>0</v>
      </c>
      <c r="BB874">
        <v>0</v>
      </c>
      <c r="BJ874" s="30">
        <v>46069.523611111108</v>
      </c>
      <c r="BK874" s="30">
        <v>46093.73333333333</v>
      </c>
      <c r="BL874" t="s">
        <v>1259</v>
      </c>
      <c r="BM874" t="s">
        <v>1259</v>
      </c>
      <c r="BO874" t="s">
        <v>1265</v>
      </c>
    </row>
    <row r="875" spans="1:67" x14ac:dyDescent="0.25">
      <c r="A875" t="s">
        <v>1248</v>
      </c>
      <c r="B875">
        <v>352257</v>
      </c>
      <c r="C875">
        <v>405</v>
      </c>
      <c r="D875">
        <v>51495</v>
      </c>
      <c r="E875">
        <v>1117</v>
      </c>
      <c r="F875">
        <v>0</v>
      </c>
      <c r="G875" t="s">
        <v>1265</v>
      </c>
      <c r="H875">
        <v>1</v>
      </c>
      <c r="I875" t="s">
        <v>1265</v>
      </c>
      <c r="J875" t="s">
        <v>1265</v>
      </c>
      <c r="K875" t="s">
        <v>3191</v>
      </c>
      <c r="L875" t="s">
        <v>3176</v>
      </c>
      <c r="M875" t="s">
        <v>3190</v>
      </c>
      <c r="N875" t="s">
        <v>3174</v>
      </c>
      <c r="O875">
        <v>2288</v>
      </c>
      <c r="P875" t="s">
        <v>3535</v>
      </c>
      <c r="R875" t="s">
        <v>3522</v>
      </c>
      <c r="S875">
        <v>0</v>
      </c>
      <c r="T875">
        <v>7</v>
      </c>
      <c r="U875">
        <v>0</v>
      </c>
      <c r="V875">
        <v>0</v>
      </c>
      <c r="W875">
        <v>0</v>
      </c>
      <c r="X875">
        <v>7</v>
      </c>
      <c r="Y875">
        <v>0</v>
      </c>
      <c r="Z875">
        <v>0</v>
      </c>
      <c r="AA875">
        <v>0</v>
      </c>
      <c r="AE875" s="30">
        <v>46234.447222222225</v>
      </c>
      <c r="AF875" s="30">
        <v>46237.405555555553</v>
      </c>
      <c r="AH875" s="30">
        <v>45875.463888888888</v>
      </c>
      <c r="AI875" s="30">
        <v>45876.422222222223</v>
      </c>
      <c r="AJ875" s="30">
        <v>45875.463888888888</v>
      </c>
      <c r="AK875" s="30">
        <v>45876.422222222223</v>
      </c>
      <c r="AL875" s="30">
        <v>45875.463888888888</v>
      </c>
      <c r="AM875" s="30">
        <v>45876.422222222223</v>
      </c>
      <c r="AN875" s="30">
        <v>46234.447222222225</v>
      </c>
      <c r="AO875" s="30">
        <v>46237.405555555553</v>
      </c>
      <c r="AQ875" t="s">
        <v>3171</v>
      </c>
      <c r="AV875" t="s">
        <v>3534</v>
      </c>
      <c r="AW875" t="s">
        <v>3533</v>
      </c>
      <c r="AZ875" t="s">
        <v>1265</v>
      </c>
      <c r="BA875">
        <v>0</v>
      </c>
      <c r="BB875">
        <v>0</v>
      </c>
      <c r="BJ875" s="30">
        <v>46069.523611111108</v>
      </c>
      <c r="BK875" s="30">
        <v>46093.667361111111</v>
      </c>
      <c r="BL875" t="s">
        <v>1259</v>
      </c>
      <c r="BM875" t="s">
        <v>1259</v>
      </c>
      <c r="BO875" t="s">
        <v>1265</v>
      </c>
    </row>
    <row r="876" spans="1:67" x14ac:dyDescent="0.25">
      <c r="A876" t="s">
        <v>1248</v>
      </c>
      <c r="B876">
        <v>352258</v>
      </c>
      <c r="C876">
        <v>405</v>
      </c>
      <c r="D876">
        <v>51495</v>
      </c>
      <c r="E876">
        <v>1117</v>
      </c>
      <c r="F876">
        <v>0</v>
      </c>
      <c r="G876" t="s">
        <v>1265</v>
      </c>
      <c r="H876">
        <v>1</v>
      </c>
      <c r="I876" t="s">
        <v>1265</v>
      </c>
      <c r="J876" t="s">
        <v>1265</v>
      </c>
      <c r="K876" t="s">
        <v>3191</v>
      </c>
      <c r="L876" t="s">
        <v>3176</v>
      </c>
      <c r="M876" t="s">
        <v>3190</v>
      </c>
      <c r="N876" t="s">
        <v>3174</v>
      </c>
      <c r="O876">
        <v>2298</v>
      </c>
      <c r="P876" t="s">
        <v>3532</v>
      </c>
      <c r="R876" t="s">
        <v>3522</v>
      </c>
      <c r="S876">
        <v>0</v>
      </c>
      <c r="T876" s="29">
        <v>402666666666667</v>
      </c>
      <c r="U876">
        <v>0</v>
      </c>
      <c r="V876">
        <v>0</v>
      </c>
      <c r="W876">
        <v>0</v>
      </c>
      <c r="X876" s="29">
        <v>402666666666667</v>
      </c>
      <c r="Y876">
        <v>0</v>
      </c>
      <c r="Z876">
        <v>0</v>
      </c>
      <c r="AA876">
        <v>0</v>
      </c>
      <c r="AE876" s="30">
        <v>46237.405555555553</v>
      </c>
      <c r="AF876" s="30">
        <v>46244.416666666664</v>
      </c>
      <c r="AH876" s="30">
        <v>45876.422222222223</v>
      </c>
      <c r="AI876" s="30">
        <v>45883.433333333334</v>
      </c>
      <c r="AJ876" s="30">
        <v>45876.422222222223</v>
      </c>
      <c r="AK876" s="30">
        <v>45883.433333333334</v>
      </c>
      <c r="AL876" s="30">
        <v>45876.422222222223</v>
      </c>
      <c r="AM876" s="30">
        <v>45883.433333333334</v>
      </c>
      <c r="AN876" s="30">
        <v>46237.405555555553</v>
      </c>
      <c r="AO876" s="30">
        <v>46244.416666666664</v>
      </c>
      <c r="AQ876" t="s">
        <v>3171</v>
      </c>
      <c r="AV876" t="s">
        <v>3531</v>
      </c>
      <c r="AW876" t="s">
        <v>3530</v>
      </c>
      <c r="AZ876" t="s">
        <v>1265</v>
      </c>
      <c r="BA876">
        <v>0</v>
      </c>
      <c r="BB876">
        <v>0</v>
      </c>
      <c r="BJ876" s="30">
        <v>46069.523611111108</v>
      </c>
      <c r="BK876" s="30">
        <v>46093.73333333333</v>
      </c>
      <c r="BL876" t="s">
        <v>1259</v>
      </c>
      <c r="BM876" t="s">
        <v>1259</v>
      </c>
      <c r="BO876" t="s">
        <v>1265</v>
      </c>
    </row>
    <row r="877" spans="1:67" x14ac:dyDescent="0.25">
      <c r="A877" t="s">
        <v>1248</v>
      </c>
      <c r="B877">
        <v>352259</v>
      </c>
      <c r="C877">
        <v>405</v>
      </c>
      <c r="D877">
        <v>51495</v>
      </c>
      <c r="E877">
        <v>1117</v>
      </c>
      <c r="F877">
        <v>0</v>
      </c>
      <c r="G877" t="s">
        <v>1265</v>
      </c>
      <c r="H877">
        <v>1</v>
      </c>
      <c r="I877" t="s">
        <v>1265</v>
      </c>
      <c r="J877" t="s">
        <v>1265</v>
      </c>
      <c r="K877" t="s">
        <v>3191</v>
      </c>
      <c r="L877" t="s">
        <v>3176</v>
      </c>
      <c r="M877" t="s">
        <v>3190</v>
      </c>
      <c r="N877" t="s">
        <v>3174</v>
      </c>
      <c r="O877">
        <v>2308</v>
      </c>
      <c r="P877" t="s">
        <v>3529</v>
      </c>
      <c r="R877" t="s">
        <v>3522</v>
      </c>
      <c r="S877">
        <v>0</v>
      </c>
      <c r="T877">
        <v>32</v>
      </c>
      <c r="U877">
        <v>0</v>
      </c>
      <c r="V877">
        <v>0</v>
      </c>
      <c r="W877">
        <v>0</v>
      </c>
      <c r="X877">
        <v>32</v>
      </c>
      <c r="Y877">
        <v>0</v>
      </c>
      <c r="Z877">
        <v>0</v>
      </c>
      <c r="AA877">
        <v>0</v>
      </c>
      <c r="AE877" s="30">
        <v>46244.416666666664</v>
      </c>
      <c r="AF877" s="30">
        <v>46248.416666666664</v>
      </c>
      <c r="AH877" s="30">
        <v>45883.433333333334</v>
      </c>
      <c r="AI877" s="30">
        <v>45889.433333333334</v>
      </c>
      <c r="AJ877" s="30">
        <v>45883.433333333334</v>
      </c>
      <c r="AK877" s="30">
        <v>45889.433333333334</v>
      </c>
      <c r="AL877" s="30">
        <v>45883.433333333334</v>
      </c>
      <c r="AM877" s="30">
        <v>45889.433333333334</v>
      </c>
      <c r="AN877" s="30">
        <v>46244.416666666664</v>
      </c>
      <c r="AO877" s="30">
        <v>46248.416666666664</v>
      </c>
      <c r="AQ877" t="s">
        <v>3171</v>
      </c>
      <c r="AV877" t="s">
        <v>3528</v>
      </c>
      <c r="AW877" t="s">
        <v>3527</v>
      </c>
      <c r="AZ877" t="s">
        <v>1265</v>
      </c>
      <c r="BA877">
        <v>0</v>
      </c>
      <c r="BB877">
        <v>0</v>
      </c>
      <c r="BJ877" s="30">
        <v>46069.523611111108</v>
      </c>
      <c r="BK877" s="30">
        <v>46093.667361111111</v>
      </c>
      <c r="BL877" t="s">
        <v>1259</v>
      </c>
      <c r="BM877" t="s">
        <v>1259</v>
      </c>
      <c r="BO877" t="s">
        <v>1265</v>
      </c>
    </row>
    <row r="878" spans="1:67" x14ac:dyDescent="0.25">
      <c r="A878" t="s">
        <v>1248</v>
      </c>
      <c r="B878">
        <v>352260</v>
      </c>
      <c r="C878">
        <v>405</v>
      </c>
      <c r="D878">
        <v>51495</v>
      </c>
      <c r="E878">
        <v>1117</v>
      </c>
      <c r="F878">
        <v>0</v>
      </c>
      <c r="G878" t="s">
        <v>1265</v>
      </c>
      <c r="H878">
        <v>1</v>
      </c>
      <c r="I878" t="s">
        <v>1265</v>
      </c>
      <c r="J878" t="s">
        <v>1265</v>
      </c>
      <c r="K878" t="s">
        <v>3191</v>
      </c>
      <c r="L878" t="s">
        <v>3176</v>
      </c>
      <c r="M878" t="s">
        <v>3190</v>
      </c>
      <c r="N878" t="s">
        <v>3174</v>
      </c>
      <c r="O878">
        <v>2318</v>
      </c>
      <c r="P878" t="s">
        <v>3526</v>
      </c>
      <c r="R878" t="s">
        <v>3522</v>
      </c>
      <c r="S878">
        <v>0</v>
      </c>
      <c r="T878">
        <v>47</v>
      </c>
      <c r="U878">
        <v>0</v>
      </c>
      <c r="V878">
        <v>0</v>
      </c>
      <c r="W878">
        <v>0</v>
      </c>
      <c r="X878">
        <v>47</v>
      </c>
      <c r="Y878">
        <v>0</v>
      </c>
      <c r="Z878">
        <v>0</v>
      </c>
      <c r="AA878">
        <v>0</v>
      </c>
      <c r="AE878" s="30">
        <v>46248.416666666664</v>
      </c>
      <c r="AF878" s="30">
        <v>46258.375</v>
      </c>
      <c r="AH878" s="30">
        <v>45889.433333333334</v>
      </c>
      <c r="AI878" s="30">
        <v>45897.39166666667</v>
      </c>
      <c r="AJ878" s="30">
        <v>45889.433333333334</v>
      </c>
      <c r="AK878" s="30">
        <v>45897.39166666667</v>
      </c>
      <c r="AL878" s="30">
        <v>45889.433333333334</v>
      </c>
      <c r="AM878" s="30">
        <v>45897.39166666667</v>
      </c>
      <c r="AN878" s="30">
        <v>46248.416666666664</v>
      </c>
      <c r="AO878" s="30">
        <v>46258.375</v>
      </c>
      <c r="AQ878" t="s">
        <v>3171</v>
      </c>
      <c r="AV878" t="s">
        <v>3525</v>
      </c>
      <c r="AW878" t="s">
        <v>3524</v>
      </c>
      <c r="AZ878" t="s">
        <v>1265</v>
      </c>
      <c r="BA878">
        <v>0</v>
      </c>
      <c r="BB878">
        <v>0</v>
      </c>
      <c r="BJ878" s="30">
        <v>46069.523611111108</v>
      </c>
      <c r="BK878" s="30">
        <v>46093.667361111111</v>
      </c>
      <c r="BL878" t="s">
        <v>1259</v>
      </c>
      <c r="BM878" t="s">
        <v>1259</v>
      </c>
      <c r="BO878" t="s">
        <v>1265</v>
      </c>
    </row>
    <row r="879" spans="1:67" x14ac:dyDescent="0.25">
      <c r="A879" t="s">
        <v>1248</v>
      </c>
      <c r="B879">
        <v>352261</v>
      </c>
      <c r="C879">
        <v>405</v>
      </c>
      <c r="D879">
        <v>53304</v>
      </c>
      <c r="E879">
        <v>1117</v>
      </c>
      <c r="F879">
        <v>0</v>
      </c>
      <c r="G879" t="s">
        <v>1265</v>
      </c>
      <c r="H879">
        <v>1</v>
      </c>
      <c r="I879" t="s">
        <v>1265</v>
      </c>
      <c r="J879" t="s">
        <v>1265</v>
      </c>
      <c r="K879" t="s">
        <v>3191</v>
      </c>
      <c r="L879" t="s">
        <v>3176</v>
      </c>
      <c r="M879" t="s">
        <v>3190</v>
      </c>
      <c r="N879" t="s">
        <v>3174</v>
      </c>
      <c r="O879">
        <v>2328</v>
      </c>
      <c r="P879" t="s">
        <v>3523</v>
      </c>
      <c r="R879" t="s">
        <v>3522</v>
      </c>
      <c r="S879">
        <v>8</v>
      </c>
      <c r="T879">
        <v>7</v>
      </c>
      <c r="U879">
        <v>0</v>
      </c>
      <c r="V879">
        <v>0</v>
      </c>
      <c r="W879">
        <v>0</v>
      </c>
      <c r="X879">
        <v>7</v>
      </c>
      <c r="Y879">
        <v>0</v>
      </c>
      <c r="Z879">
        <v>0</v>
      </c>
      <c r="AA879">
        <v>0</v>
      </c>
      <c r="AE879" s="30">
        <v>46258.375</v>
      </c>
      <c r="AF879" s="30">
        <v>46258.708333333336</v>
      </c>
      <c r="AH879" s="30">
        <v>45897.39166666667</v>
      </c>
      <c r="AI879" s="30">
        <v>45898.35</v>
      </c>
      <c r="AJ879" s="30">
        <v>45897.39166666667</v>
      </c>
      <c r="AK879" s="30">
        <v>45898.35</v>
      </c>
      <c r="AL879" s="30">
        <v>45897.39166666667</v>
      </c>
      <c r="AM879" s="30">
        <v>45898.35</v>
      </c>
      <c r="AN879" s="30">
        <v>46258.375</v>
      </c>
      <c r="AO879" s="30">
        <v>46258.708333333336</v>
      </c>
      <c r="AQ879" t="s">
        <v>3171</v>
      </c>
      <c r="AV879" t="s">
        <v>3521</v>
      </c>
      <c r="AW879" t="s">
        <v>3520</v>
      </c>
      <c r="AZ879" t="s">
        <v>1265</v>
      </c>
      <c r="BA879">
        <v>0</v>
      </c>
      <c r="BB879">
        <v>0</v>
      </c>
      <c r="BJ879" s="30">
        <v>46069.523611111108</v>
      </c>
      <c r="BK879" s="30">
        <v>46093.667361111111</v>
      </c>
      <c r="BL879" t="s">
        <v>1259</v>
      </c>
      <c r="BM879" t="s">
        <v>1259</v>
      </c>
      <c r="BO879" t="s">
        <v>1265</v>
      </c>
    </row>
    <row r="880" spans="1:67" x14ac:dyDescent="0.25">
      <c r="A880" t="s">
        <v>1248</v>
      </c>
      <c r="B880">
        <v>352262</v>
      </c>
      <c r="C880">
        <v>405</v>
      </c>
      <c r="D880">
        <v>53304</v>
      </c>
      <c r="E880">
        <v>1117</v>
      </c>
      <c r="F880">
        <v>0</v>
      </c>
      <c r="G880" t="s">
        <v>1265</v>
      </c>
      <c r="H880">
        <v>1</v>
      </c>
      <c r="I880" t="s">
        <v>1265</v>
      </c>
      <c r="J880" t="s">
        <v>1265</v>
      </c>
      <c r="K880" t="s">
        <v>3191</v>
      </c>
      <c r="L880" t="s">
        <v>3176</v>
      </c>
      <c r="M880" t="s">
        <v>3190</v>
      </c>
      <c r="N880" t="s">
        <v>3174</v>
      </c>
      <c r="O880">
        <v>2338</v>
      </c>
      <c r="P880" t="s">
        <v>3519</v>
      </c>
      <c r="R880" t="s">
        <v>3500</v>
      </c>
      <c r="S880">
        <v>0</v>
      </c>
      <c r="T880">
        <v>15</v>
      </c>
      <c r="U880">
        <v>0</v>
      </c>
      <c r="V880">
        <v>0</v>
      </c>
      <c r="W880">
        <v>0</v>
      </c>
      <c r="X880">
        <v>15</v>
      </c>
      <c r="Y880">
        <v>0</v>
      </c>
      <c r="Z880">
        <v>0</v>
      </c>
      <c r="AA880">
        <v>0</v>
      </c>
      <c r="AE880" s="30">
        <v>46206.691666666666</v>
      </c>
      <c r="AF880" s="30">
        <v>46210.65</v>
      </c>
      <c r="AH880" s="30">
        <v>45854.6</v>
      </c>
      <c r="AI880" s="30">
        <v>45856.558333333334</v>
      </c>
      <c r="AJ880" s="30">
        <v>45854.6</v>
      </c>
      <c r="AK880" s="30">
        <v>45856.558333333334</v>
      </c>
      <c r="AL880" s="30">
        <v>45854.6</v>
      </c>
      <c r="AM880" s="30">
        <v>45856.558333333334</v>
      </c>
      <c r="AN880" s="30">
        <v>46206.691666666666</v>
      </c>
      <c r="AO880" s="30">
        <v>46210.65</v>
      </c>
      <c r="AQ880" t="s">
        <v>3171</v>
      </c>
      <c r="AV880" t="s">
        <v>3518</v>
      </c>
      <c r="AW880" t="s">
        <v>3517</v>
      </c>
      <c r="AZ880" t="s">
        <v>1265</v>
      </c>
      <c r="BA880">
        <v>0</v>
      </c>
      <c r="BB880">
        <v>0</v>
      </c>
      <c r="BJ880" s="30">
        <v>46069.523611111108</v>
      </c>
      <c r="BK880" s="30">
        <v>46093.667361111111</v>
      </c>
      <c r="BL880" t="s">
        <v>1259</v>
      </c>
      <c r="BM880" t="s">
        <v>1259</v>
      </c>
      <c r="BO880" t="s">
        <v>1265</v>
      </c>
    </row>
    <row r="881" spans="1:67" x14ac:dyDescent="0.25">
      <c r="A881" t="s">
        <v>1248</v>
      </c>
      <c r="B881">
        <v>352263</v>
      </c>
      <c r="C881">
        <v>405</v>
      </c>
      <c r="D881">
        <v>51496</v>
      </c>
      <c r="E881">
        <v>1117</v>
      </c>
      <c r="F881">
        <v>0</v>
      </c>
      <c r="G881" t="s">
        <v>1265</v>
      </c>
      <c r="H881">
        <v>1</v>
      </c>
      <c r="I881" t="s">
        <v>1265</v>
      </c>
      <c r="J881" t="s">
        <v>1265</v>
      </c>
      <c r="K881" t="s">
        <v>3191</v>
      </c>
      <c r="L881" t="s">
        <v>3176</v>
      </c>
      <c r="M881" t="s">
        <v>3190</v>
      </c>
      <c r="N881" t="s">
        <v>3174</v>
      </c>
      <c r="O881">
        <v>2348</v>
      </c>
      <c r="P881" t="s">
        <v>3516</v>
      </c>
      <c r="R881" t="s">
        <v>3500</v>
      </c>
      <c r="S881">
        <v>0</v>
      </c>
      <c r="T881" s="29">
        <v>441333333333333</v>
      </c>
      <c r="U881">
        <v>0</v>
      </c>
      <c r="V881">
        <v>0</v>
      </c>
      <c r="W881">
        <v>0</v>
      </c>
      <c r="X881" s="29">
        <v>441333333333333</v>
      </c>
      <c r="Y881">
        <v>0</v>
      </c>
      <c r="Z881">
        <v>0</v>
      </c>
      <c r="AA881">
        <v>0</v>
      </c>
      <c r="AE881" s="30">
        <v>46210.65</v>
      </c>
      <c r="AF881" s="30">
        <v>46218.447222222225</v>
      </c>
      <c r="AH881" s="30">
        <v>45856.558333333334</v>
      </c>
      <c r="AI881" s="30">
        <v>45866.355555555558</v>
      </c>
      <c r="AJ881" s="30">
        <v>45856.558333333334</v>
      </c>
      <c r="AK881" s="30">
        <v>45866.355555555558</v>
      </c>
      <c r="AL881" s="30">
        <v>45856.558333333334</v>
      </c>
      <c r="AM881" s="30">
        <v>45866.355555555558</v>
      </c>
      <c r="AN881" s="30">
        <v>46210.65</v>
      </c>
      <c r="AO881" s="30">
        <v>46218.447222222225</v>
      </c>
      <c r="AQ881" t="s">
        <v>3171</v>
      </c>
      <c r="AV881" t="s">
        <v>3515</v>
      </c>
      <c r="AW881" t="s">
        <v>3514</v>
      </c>
      <c r="AZ881" t="s">
        <v>1265</v>
      </c>
      <c r="BA881">
        <v>0</v>
      </c>
      <c r="BB881">
        <v>0</v>
      </c>
      <c r="BJ881" s="30">
        <v>46069.523611111108</v>
      </c>
      <c r="BK881" s="30">
        <v>46093.73333333333</v>
      </c>
      <c r="BL881" t="s">
        <v>1259</v>
      </c>
      <c r="BM881" t="s">
        <v>1259</v>
      </c>
      <c r="BO881" t="s">
        <v>1265</v>
      </c>
    </row>
    <row r="882" spans="1:67" x14ac:dyDescent="0.25">
      <c r="A882" t="s">
        <v>1248</v>
      </c>
      <c r="B882">
        <v>352264</v>
      </c>
      <c r="C882">
        <v>405</v>
      </c>
      <c r="D882">
        <v>51496</v>
      </c>
      <c r="E882">
        <v>1117</v>
      </c>
      <c r="F882">
        <v>0</v>
      </c>
      <c r="G882" t="s">
        <v>1265</v>
      </c>
      <c r="H882">
        <v>1</v>
      </c>
      <c r="I882" t="s">
        <v>1265</v>
      </c>
      <c r="J882" t="s">
        <v>1265</v>
      </c>
      <c r="K882" t="s">
        <v>3191</v>
      </c>
      <c r="L882" t="s">
        <v>3176</v>
      </c>
      <c r="M882" t="s">
        <v>3190</v>
      </c>
      <c r="N882" t="s">
        <v>3174</v>
      </c>
      <c r="O882">
        <v>2358</v>
      </c>
      <c r="P882" t="s">
        <v>3513</v>
      </c>
      <c r="R882" t="s">
        <v>3500</v>
      </c>
      <c r="S882">
        <v>0</v>
      </c>
      <c r="T882">
        <v>7</v>
      </c>
      <c r="U882">
        <v>0</v>
      </c>
      <c r="V882">
        <v>0</v>
      </c>
      <c r="W882">
        <v>0</v>
      </c>
      <c r="X882">
        <v>7</v>
      </c>
      <c r="Y882">
        <v>0</v>
      </c>
      <c r="Z882">
        <v>0</v>
      </c>
      <c r="AA882">
        <v>0</v>
      </c>
      <c r="AE882" s="30">
        <v>46218.447222222225</v>
      </c>
      <c r="AF882" s="30">
        <v>46219.405555555553</v>
      </c>
      <c r="AH882" s="30">
        <v>45866.355555555558</v>
      </c>
      <c r="AI882" s="30">
        <v>45866.688888888886</v>
      </c>
      <c r="AJ882" s="30">
        <v>45866.355555555558</v>
      </c>
      <c r="AK882" s="30">
        <v>45866.688888888886</v>
      </c>
      <c r="AL882" s="30">
        <v>45866.355555555558</v>
      </c>
      <c r="AM882" s="30">
        <v>45866.688888888886</v>
      </c>
      <c r="AN882" s="30">
        <v>46218.447222222225</v>
      </c>
      <c r="AO882" s="30">
        <v>46219.405555555553</v>
      </c>
      <c r="AQ882" t="s">
        <v>3171</v>
      </c>
      <c r="AV882" t="s">
        <v>3512</v>
      </c>
      <c r="AW882" t="s">
        <v>3511</v>
      </c>
      <c r="AZ882" t="s">
        <v>1265</v>
      </c>
      <c r="BA882">
        <v>0</v>
      </c>
      <c r="BB882">
        <v>0</v>
      </c>
      <c r="BJ882" s="30">
        <v>46069.523611111108</v>
      </c>
      <c r="BK882" s="30">
        <v>46093.667361111111</v>
      </c>
      <c r="BL882" t="s">
        <v>1259</v>
      </c>
      <c r="BM882" t="s">
        <v>1259</v>
      </c>
      <c r="BO882" t="s">
        <v>1265</v>
      </c>
    </row>
    <row r="883" spans="1:67" x14ac:dyDescent="0.25">
      <c r="A883" t="s">
        <v>1248</v>
      </c>
      <c r="B883">
        <v>352265</v>
      </c>
      <c r="C883">
        <v>405</v>
      </c>
      <c r="D883">
        <v>51496</v>
      </c>
      <c r="E883">
        <v>1117</v>
      </c>
      <c r="F883">
        <v>0</v>
      </c>
      <c r="G883" t="s">
        <v>1265</v>
      </c>
      <c r="H883">
        <v>1</v>
      </c>
      <c r="I883" t="s">
        <v>1265</v>
      </c>
      <c r="J883" t="s">
        <v>1265</v>
      </c>
      <c r="K883" t="s">
        <v>3191</v>
      </c>
      <c r="L883" t="s">
        <v>3176</v>
      </c>
      <c r="M883" t="s">
        <v>3190</v>
      </c>
      <c r="N883" t="s">
        <v>3174</v>
      </c>
      <c r="O883">
        <v>2368</v>
      </c>
      <c r="P883" t="s">
        <v>3510</v>
      </c>
      <c r="R883" t="s">
        <v>3500</v>
      </c>
      <c r="S883">
        <v>0</v>
      </c>
      <c r="T883" s="29">
        <v>402666666666667</v>
      </c>
      <c r="U883">
        <v>0</v>
      </c>
      <c r="V883">
        <v>0</v>
      </c>
      <c r="W883">
        <v>0</v>
      </c>
      <c r="X883" s="29">
        <v>402666666666667</v>
      </c>
      <c r="Y883">
        <v>0</v>
      </c>
      <c r="Z883">
        <v>0</v>
      </c>
      <c r="AA883">
        <v>0</v>
      </c>
      <c r="AE883" s="30">
        <v>46219.405555555553</v>
      </c>
      <c r="AF883" s="30">
        <v>46226.416666666664</v>
      </c>
      <c r="AH883" s="30">
        <v>45866.688888888886</v>
      </c>
      <c r="AI883" s="30">
        <v>45873.7</v>
      </c>
      <c r="AJ883" s="30">
        <v>45866.688888888886</v>
      </c>
      <c r="AK883" s="30">
        <v>45873.7</v>
      </c>
      <c r="AL883" s="30">
        <v>45866.688888888886</v>
      </c>
      <c r="AM883" s="30">
        <v>45873.7</v>
      </c>
      <c r="AN883" s="30">
        <v>46219.405555555553</v>
      </c>
      <c r="AO883" s="30">
        <v>46226.416666666664</v>
      </c>
      <c r="AQ883" t="s">
        <v>3171</v>
      </c>
      <c r="AV883" t="s">
        <v>3509</v>
      </c>
      <c r="AW883" t="s">
        <v>3508</v>
      </c>
      <c r="AZ883" t="s">
        <v>1265</v>
      </c>
      <c r="BA883">
        <v>0</v>
      </c>
      <c r="BB883">
        <v>0</v>
      </c>
      <c r="BJ883" s="30">
        <v>46069.523611111108</v>
      </c>
      <c r="BK883" s="30">
        <v>46093.73333333333</v>
      </c>
      <c r="BL883" t="s">
        <v>1259</v>
      </c>
      <c r="BM883" t="s">
        <v>1259</v>
      </c>
      <c r="BO883" t="s">
        <v>1265</v>
      </c>
    </row>
    <row r="884" spans="1:67" x14ac:dyDescent="0.25">
      <c r="A884" t="s">
        <v>1248</v>
      </c>
      <c r="B884">
        <v>352266</v>
      </c>
      <c r="C884">
        <v>405</v>
      </c>
      <c r="D884">
        <v>51496</v>
      </c>
      <c r="E884">
        <v>1117</v>
      </c>
      <c r="F884">
        <v>0</v>
      </c>
      <c r="G884" t="s">
        <v>1265</v>
      </c>
      <c r="H884">
        <v>1</v>
      </c>
      <c r="I884" t="s">
        <v>1265</v>
      </c>
      <c r="J884" t="s">
        <v>1265</v>
      </c>
      <c r="K884" t="s">
        <v>3191</v>
      </c>
      <c r="L884" t="s">
        <v>3176</v>
      </c>
      <c r="M884" t="s">
        <v>3190</v>
      </c>
      <c r="N884" t="s">
        <v>3174</v>
      </c>
      <c r="O884">
        <v>2378</v>
      </c>
      <c r="P884" t="s">
        <v>3507</v>
      </c>
      <c r="R884" t="s">
        <v>3500</v>
      </c>
      <c r="S884">
        <v>0</v>
      </c>
      <c r="T884">
        <v>32</v>
      </c>
      <c r="U884">
        <v>0</v>
      </c>
      <c r="V884">
        <v>0</v>
      </c>
      <c r="W884">
        <v>0</v>
      </c>
      <c r="X884">
        <v>32</v>
      </c>
      <c r="Y884">
        <v>0</v>
      </c>
      <c r="Z884">
        <v>0</v>
      </c>
      <c r="AA884">
        <v>0</v>
      </c>
      <c r="AE884" s="30">
        <v>46226.416666666664</v>
      </c>
      <c r="AF884" s="30">
        <v>46232.416666666664</v>
      </c>
      <c r="AH884" s="30">
        <v>45873.7</v>
      </c>
      <c r="AI884" s="30">
        <v>45877.7</v>
      </c>
      <c r="AJ884" s="30">
        <v>45873.7</v>
      </c>
      <c r="AK884" s="30">
        <v>45877.7</v>
      </c>
      <c r="AL884" s="30">
        <v>45873.7</v>
      </c>
      <c r="AM884" s="30">
        <v>45877.7</v>
      </c>
      <c r="AN884" s="30">
        <v>46226.416666666664</v>
      </c>
      <c r="AO884" s="30">
        <v>46232.416666666664</v>
      </c>
      <c r="AQ884" t="s">
        <v>3171</v>
      </c>
      <c r="AV884" t="s">
        <v>3506</v>
      </c>
      <c r="AW884" t="s">
        <v>3505</v>
      </c>
      <c r="AZ884" t="s">
        <v>1265</v>
      </c>
      <c r="BA884">
        <v>0</v>
      </c>
      <c r="BB884">
        <v>0</v>
      </c>
      <c r="BJ884" s="30">
        <v>46069.523611111108</v>
      </c>
      <c r="BK884" s="30">
        <v>46093.667361111111</v>
      </c>
      <c r="BL884" t="s">
        <v>1259</v>
      </c>
      <c r="BM884" t="s">
        <v>1259</v>
      </c>
      <c r="BO884" t="s">
        <v>1265</v>
      </c>
    </row>
    <row r="885" spans="1:67" x14ac:dyDescent="0.25">
      <c r="A885" t="s">
        <v>1248</v>
      </c>
      <c r="B885">
        <v>352267</v>
      </c>
      <c r="C885">
        <v>405</v>
      </c>
      <c r="D885">
        <v>51496</v>
      </c>
      <c r="E885">
        <v>1117</v>
      </c>
      <c r="F885">
        <v>0</v>
      </c>
      <c r="G885" t="s">
        <v>1265</v>
      </c>
      <c r="H885">
        <v>1</v>
      </c>
      <c r="I885" t="s">
        <v>1265</v>
      </c>
      <c r="J885" t="s">
        <v>1265</v>
      </c>
      <c r="K885" t="s">
        <v>3191</v>
      </c>
      <c r="L885" t="s">
        <v>3176</v>
      </c>
      <c r="M885" t="s">
        <v>3190</v>
      </c>
      <c r="N885" t="s">
        <v>3174</v>
      </c>
      <c r="O885">
        <v>2388</v>
      </c>
      <c r="P885" t="s">
        <v>3504</v>
      </c>
      <c r="R885" t="s">
        <v>3500</v>
      </c>
      <c r="S885">
        <v>0</v>
      </c>
      <c r="T885">
        <v>47</v>
      </c>
      <c r="U885">
        <v>0</v>
      </c>
      <c r="V885">
        <v>0</v>
      </c>
      <c r="W885">
        <v>0</v>
      </c>
      <c r="X885">
        <v>47</v>
      </c>
      <c r="Y885">
        <v>0</v>
      </c>
      <c r="Z885">
        <v>0</v>
      </c>
      <c r="AA885">
        <v>0</v>
      </c>
      <c r="AE885" s="30">
        <v>46232.416666666664</v>
      </c>
      <c r="AF885" s="30">
        <v>46240.375</v>
      </c>
      <c r="AH885" s="30">
        <v>45877.7</v>
      </c>
      <c r="AI885" s="30">
        <v>45887.658333333333</v>
      </c>
      <c r="AJ885" s="30">
        <v>45877.7</v>
      </c>
      <c r="AK885" s="30">
        <v>45887.658333333333</v>
      </c>
      <c r="AL885" s="30">
        <v>45877.7</v>
      </c>
      <c r="AM885" s="30">
        <v>45887.658333333333</v>
      </c>
      <c r="AN885" s="30">
        <v>46232.416666666664</v>
      </c>
      <c r="AO885" s="30">
        <v>46240.375</v>
      </c>
      <c r="AQ885" t="s">
        <v>3171</v>
      </c>
      <c r="AV885" t="s">
        <v>3503</v>
      </c>
      <c r="AW885" t="s">
        <v>3502</v>
      </c>
      <c r="AZ885" t="s">
        <v>1265</v>
      </c>
      <c r="BA885">
        <v>0</v>
      </c>
      <c r="BB885">
        <v>0</v>
      </c>
      <c r="BJ885" s="30">
        <v>46069.523611111108</v>
      </c>
      <c r="BK885" s="30">
        <v>46093.667361111111</v>
      </c>
      <c r="BL885" t="s">
        <v>1259</v>
      </c>
      <c r="BM885" t="s">
        <v>1259</v>
      </c>
      <c r="BO885" t="s">
        <v>1265</v>
      </c>
    </row>
    <row r="886" spans="1:67" x14ac:dyDescent="0.25">
      <c r="A886" t="s">
        <v>1248</v>
      </c>
      <c r="B886">
        <v>352268</v>
      </c>
      <c r="C886">
        <v>405</v>
      </c>
      <c r="D886">
        <v>53304</v>
      </c>
      <c r="E886">
        <v>1117</v>
      </c>
      <c r="F886">
        <v>0</v>
      </c>
      <c r="G886" t="s">
        <v>1265</v>
      </c>
      <c r="H886">
        <v>1</v>
      </c>
      <c r="I886" t="s">
        <v>1265</v>
      </c>
      <c r="J886" t="s">
        <v>1265</v>
      </c>
      <c r="K886" t="s">
        <v>3191</v>
      </c>
      <c r="L886" t="s">
        <v>3176</v>
      </c>
      <c r="M886" t="s">
        <v>3190</v>
      </c>
      <c r="N886" t="s">
        <v>3174</v>
      </c>
      <c r="O886">
        <v>2398</v>
      </c>
      <c r="P886" t="s">
        <v>3501</v>
      </c>
      <c r="R886" t="s">
        <v>3500</v>
      </c>
      <c r="S886" t="s">
        <v>3499</v>
      </c>
      <c r="T886">
        <v>7</v>
      </c>
      <c r="U886">
        <v>0</v>
      </c>
      <c r="V886">
        <v>0</v>
      </c>
      <c r="W886">
        <v>0</v>
      </c>
      <c r="X886">
        <v>7</v>
      </c>
      <c r="Y886">
        <v>0</v>
      </c>
      <c r="Z886">
        <v>0</v>
      </c>
      <c r="AA886">
        <v>0</v>
      </c>
      <c r="AE886" s="30">
        <v>46240.375</v>
      </c>
      <c r="AF886" s="30">
        <v>46240.708333333336</v>
      </c>
      <c r="AH886" s="30">
        <v>45887.658333333333</v>
      </c>
      <c r="AI886" s="30">
        <v>45888.616666666669</v>
      </c>
      <c r="AJ886" s="30">
        <v>45887.658333333333</v>
      </c>
      <c r="AK886" s="30">
        <v>45888.616666666669</v>
      </c>
      <c r="AL886" s="30">
        <v>45887.658333333333</v>
      </c>
      <c r="AM886" s="30">
        <v>45888.616666666669</v>
      </c>
      <c r="AN886" s="30">
        <v>46240.375</v>
      </c>
      <c r="AO886" s="30">
        <v>46240.708333333336</v>
      </c>
      <c r="AQ886" t="s">
        <v>3171</v>
      </c>
      <c r="AV886" t="s">
        <v>3498</v>
      </c>
      <c r="AW886" t="s">
        <v>3497</v>
      </c>
      <c r="AZ886" t="s">
        <v>1265</v>
      </c>
      <c r="BA886">
        <v>0</v>
      </c>
      <c r="BB886">
        <v>0</v>
      </c>
      <c r="BJ886" s="30">
        <v>46069.523611111108</v>
      </c>
      <c r="BK886" s="30">
        <v>46093.667361111111</v>
      </c>
      <c r="BL886" t="s">
        <v>1259</v>
      </c>
      <c r="BM886" t="s">
        <v>1259</v>
      </c>
      <c r="BO886" t="s">
        <v>1265</v>
      </c>
    </row>
    <row r="887" spans="1:67" x14ac:dyDescent="0.25">
      <c r="A887" t="s">
        <v>1248</v>
      </c>
      <c r="B887">
        <v>352269</v>
      </c>
      <c r="C887">
        <v>405</v>
      </c>
      <c r="D887">
        <v>53304</v>
      </c>
      <c r="E887">
        <v>1117</v>
      </c>
      <c r="F887">
        <v>0</v>
      </c>
      <c r="G887" t="s">
        <v>1265</v>
      </c>
      <c r="H887">
        <v>1</v>
      </c>
      <c r="I887" t="s">
        <v>1265</v>
      </c>
      <c r="J887" t="s">
        <v>1265</v>
      </c>
      <c r="K887" t="s">
        <v>3191</v>
      </c>
      <c r="L887" t="s">
        <v>3176</v>
      </c>
      <c r="M887" t="s">
        <v>3190</v>
      </c>
      <c r="N887" t="s">
        <v>3174</v>
      </c>
      <c r="O887">
        <v>2408</v>
      </c>
      <c r="P887" t="s">
        <v>3496</v>
      </c>
      <c r="R887" t="s">
        <v>3477</v>
      </c>
      <c r="S887">
        <v>0</v>
      </c>
      <c r="T887">
        <v>15</v>
      </c>
      <c r="U887">
        <v>0</v>
      </c>
      <c r="V887">
        <v>0</v>
      </c>
      <c r="W887">
        <v>0</v>
      </c>
      <c r="X887">
        <v>15</v>
      </c>
      <c r="Y887">
        <v>0</v>
      </c>
      <c r="Z887">
        <v>0</v>
      </c>
      <c r="AA887">
        <v>0</v>
      </c>
      <c r="AE887" s="30">
        <v>46190.691666666666</v>
      </c>
      <c r="AF887" s="30">
        <v>46192.65</v>
      </c>
      <c r="AH887" s="30">
        <v>45852.64166666667</v>
      </c>
      <c r="AI887" s="30">
        <v>45854.6</v>
      </c>
      <c r="AJ887" s="30">
        <v>45852.64166666667</v>
      </c>
      <c r="AK887" s="30">
        <v>45854.6</v>
      </c>
      <c r="AL887" s="30">
        <v>45852.64166666667</v>
      </c>
      <c r="AM887" s="30">
        <v>45854.6</v>
      </c>
      <c r="AN887" s="30">
        <v>46190.691666666666</v>
      </c>
      <c r="AO887" s="30">
        <v>46192.65</v>
      </c>
      <c r="AQ887" t="s">
        <v>3171</v>
      </c>
      <c r="AV887" t="s">
        <v>3495</v>
      </c>
      <c r="AW887" t="s">
        <v>3494</v>
      </c>
      <c r="AZ887" t="s">
        <v>1265</v>
      </c>
      <c r="BA887">
        <v>0</v>
      </c>
      <c r="BB887">
        <v>0</v>
      </c>
      <c r="BJ887" s="30">
        <v>46069.523611111108</v>
      </c>
      <c r="BK887" s="30">
        <v>46093.667361111111</v>
      </c>
      <c r="BL887" t="s">
        <v>1259</v>
      </c>
      <c r="BM887" t="s">
        <v>1259</v>
      </c>
      <c r="BO887" t="s">
        <v>1265</v>
      </c>
    </row>
    <row r="888" spans="1:67" x14ac:dyDescent="0.25">
      <c r="A888" t="s">
        <v>1248</v>
      </c>
      <c r="B888">
        <v>352270</v>
      </c>
      <c r="C888">
        <v>405</v>
      </c>
      <c r="D888">
        <v>51497</v>
      </c>
      <c r="E888">
        <v>1117</v>
      </c>
      <c r="F888">
        <v>0</v>
      </c>
      <c r="G888" t="s">
        <v>1265</v>
      </c>
      <c r="H888">
        <v>1</v>
      </c>
      <c r="I888" t="s">
        <v>1265</v>
      </c>
      <c r="J888" t="s">
        <v>1265</v>
      </c>
      <c r="K888" t="s">
        <v>3191</v>
      </c>
      <c r="L888" t="s">
        <v>3176</v>
      </c>
      <c r="M888" t="s">
        <v>3190</v>
      </c>
      <c r="N888" t="s">
        <v>3174</v>
      </c>
      <c r="O888">
        <v>2418</v>
      </c>
      <c r="P888" t="s">
        <v>3493</v>
      </c>
      <c r="R888" t="s">
        <v>3477</v>
      </c>
      <c r="S888">
        <v>0</v>
      </c>
      <c r="T888" s="29">
        <v>441333333333333</v>
      </c>
      <c r="U888">
        <v>0</v>
      </c>
      <c r="V888">
        <v>0</v>
      </c>
      <c r="W888">
        <v>0</v>
      </c>
      <c r="X888" s="29">
        <v>441333333333333</v>
      </c>
      <c r="Y888">
        <v>0</v>
      </c>
      <c r="Z888">
        <v>0</v>
      </c>
      <c r="AA888">
        <v>0</v>
      </c>
      <c r="AE888" s="30">
        <v>46192.65</v>
      </c>
      <c r="AF888" s="30">
        <v>46202.447222222225</v>
      </c>
      <c r="AH888" s="30">
        <v>45854.6</v>
      </c>
      <c r="AI888" s="30">
        <v>45862.397222222222</v>
      </c>
      <c r="AJ888" s="30">
        <v>45854.6</v>
      </c>
      <c r="AK888" s="30">
        <v>45862.397222222222</v>
      </c>
      <c r="AL888" s="30">
        <v>45854.6</v>
      </c>
      <c r="AM888" s="30">
        <v>45862.397222222222</v>
      </c>
      <c r="AN888" s="30">
        <v>46192.65</v>
      </c>
      <c r="AO888" s="30">
        <v>46202.447222222225</v>
      </c>
      <c r="AQ888" t="s">
        <v>3171</v>
      </c>
      <c r="AV888" t="s">
        <v>3492</v>
      </c>
      <c r="AW888" t="s">
        <v>3491</v>
      </c>
      <c r="AZ888" t="s">
        <v>1265</v>
      </c>
      <c r="BA888">
        <v>0</v>
      </c>
      <c r="BB888">
        <v>0</v>
      </c>
      <c r="BJ888" s="30">
        <v>46069.523611111108</v>
      </c>
      <c r="BK888" s="30">
        <v>46093.73333333333</v>
      </c>
      <c r="BL888" t="s">
        <v>1259</v>
      </c>
      <c r="BM888" t="s">
        <v>1259</v>
      </c>
      <c r="BO888" t="s">
        <v>1265</v>
      </c>
    </row>
    <row r="889" spans="1:67" x14ac:dyDescent="0.25">
      <c r="A889" t="s">
        <v>1248</v>
      </c>
      <c r="B889">
        <v>352271</v>
      </c>
      <c r="C889">
        <v>405</v>
      </c>
      <c r="D889">
        <v>51497</v>
      </c>
      <c r="E889">
        <v>1117</v>
      </c>
      <c r="F889">
        <v>0</v>
      </c>
      <c r="G889" t="s">
        <v>1265</v>
      </c>
      <c r="H889">
        <v>1</v>
      </c>
      <c r="I889" t="s">
        <v>1265</v>
      </c>
      <c r="J889" t="s">
        <v>1265</v>
      </c>
      <c r="K889" t="s">
        <v>3191</v>
      </c>
      <c r="L889" t="s">
        <v>3176</v>
      </c>
      <c r="M889" t="s">
        <v>3190</v>
      </c>
      <c r="N889" t="s">
        <v>3174</v>
      </c>
      <c r="O889">
        <v>2428</v>
      </c>
      <c r="P889" t="s">
        <v>3490</v>
      </c>
      <c r="R889" t="s">
        <v>3477</v>
      </c>
      <c r="S889">
        <v>0</v>
      </c>
      <c r="T889">
        <v>7</v>
      </c>
      <c r="U889">
        <v>0</v>
      </c>
      <c r="V889">
        <v>0</v>
      </c>
      <c r="W889">
        <v>0</v>
      </c>
      <c r="X889">
        <v>7</v>
      </c>
      <c r="Y889">
        <v>0</v>
      </c>
      <c r="Z889">
        <v>0</v>
      </c>
      <c r="AA889">
        <v>0</v>
      </c>
      <c r="AE889" s="30">
        <v>46202.447222222225</v>
      </c>
      <c r="AF889" s="30">
        <v>46203.405555555553</v>
      </c>
      <c r="AH889" s="30">
        <v>45862.397222222222</v>
      </c>
      <c r="AI889" s="30">
        <v>45863.355555555558</v>
      </c>
      <c r="AJ889" s="30">
        <v>45862.397222222222</v>
      </c>
      <c r="AK889" s="30">
        <v>45863.355555555558</v>
      </c>
      <c r="AL889" s="30">
        <v>45862.397222222222</v>
      </c>
      <c r="AM889" s="30">
        <v>45863.355555555558</v>
      </c>
      <c r="AN889" s="30">
        <v>46202.447222222225</v>
      </c>
      <c r="AO889" s="30">
        <v>46203.405555555553</v>
      </c>
      <c r="AQ889" t="s">
        <v>3171</v>
      </c>
      <c r="AV889" t="s">
        <v>3489</v>
      </c>
      <c r="AW889" t="s">
        <v>3488</v>
      </c>
      <c r="AZ889" t="s">
        <v>1265</v>
      </c>
      <c r="BA889">
        <v>0</v>
      </c>
      <c r="BB889">
        <v>0</v>
      </c>
      <c r="BJ889" s="30">
        <v>46069.523611111108</v>
      </c>
      <c r="BK889" s="30">
        <v>46093.667361111111</v>
      </c>
      <c r="BL889" t="s">
        <v>1259</v>
      </c>
      <c r="BM889" t="s">
        <v>1259</v>
      </c>
      <c r="BO889" t="s">
        <v>1265</v>
      </c>
    </row>
    <row r="890" spans="1:67" x14ac:dyDescent="0.25">
      <c r="A890" t="s">
        <v>1248</v>
      </c>
      <c r="B890">
        <v>352272</v>
      </c>
      <c r="C890">
        <v>405</v>
      </c>
      <c r="D890">
        <v>51497</v>
      </c>
      <c r="E890">
        <v>1117</v>
      </c>
      <c r="F890">
        <v>0</v>
      </c>
      <c r="G890" t="s">
        <v>1265</v>
      </c>
      <c r="H890">
        <v>1</v>
      </c>
      <c r="I890" t="s">
        <v>1265</v>
      </c>
      <c r="J890" t="s">
        <v>1265</v>
      </c>
      <c r="K890" t="s">
        <v>3191</v>
      </c>
      <c r="L890" t="s">
        <v>3176</v>
      </c>
      <c r="M890" t="s">
        <v>3190</v>
      </c>
      <c r="N890" t="s">
        <v>3174</v>
      </c>
      <c r="O890">
        <v>2438</v>
      </c>
      <c r="P890" t="s">
        <v>3487</v>
      </c>
      <c r="R890" t="s">
        <v>3477</v>
      </c>
      <c r="S890">
        <v>0</v>
      </c>
      <c r="T890" s="29">
        <v>402666666666667</v>
      </c>
      <c r="U890">
        <v>0</v>
      </c>
      <c r="V890">
        <v>0</v>
      </c>
      <c r="W890">
        <v>0</v>
      </c>
      <c r="X890" s="29">
        <v>402666666666667</v>
      </c>
      <c r="Y890">
        <v>0</v>
      </c>
      <c r="Z890">
        <v>0</v>
      </c>
      <c r="AA890">
        <v>0</v>
      </c>
      <c r="AE890" s="30">
        <v>46203.405555555553</v>
      </c>
      <c r="AF890" s="30">
        <v>46210.416666666664</v>
      </c>
      <c r="AH890" s="30">
        <v>45863.355555555558</v>
      </c>
      <c r="AI890" s="30">
        <v>45870.366666666669</v>
      </c>
      <c r="AJ890" s="30">
        <v>45863.355555555558</v>
      </c>
      <c r="AK890" s="30">
        <v>45870.366666666669</v>
      </c>
      <c r="AL890" s="30">
        <v>45863.355555555558</v>
      </c>
      <c r="AM890" s="30">
        <v>45870.366666666669</v>
      </c>
      <c r="AN890" s="30">
        <v>46203.405555555553</v>
      </c>
      <c r="AO890" s="30">
        <v>46210.416666666664</v>
      </c>
      <c r="AQ890" t="s">
        <v>3171</v>
      </c>
      <c r="AV890" t="s">
        <v>3486</v>
      </c>
      <c r="AW890" t="s">
        <v>3485</v>
      </c>
      <c r="AZ890" t="s">
        <v>1265</v>
      </c>
      <c r="BA890">
        <v>0</v>
      </c>
      <c r="BB890">
        <v>0</v>
      </c>
      <c r="BJ890" s="30">
        <v>46069.523611111108</v>
      </c>
      <c r="BK890" s="30">
        <v>46093.73333333333</v>
      </c>
      <c r="BL890" t="s">
        <v>1259</v>
      </c>
      <c r="BM890" t="s">
        <v>1259</v>
      </c>
      <c r="BO890" t="s">
        <v>1265</v>
      </c>
    </row>
    <row r="891" spans="1:67" x14ac:dyDescent="0.25">
      <c r="A891" t="s">
        <v>1248</v>
      </c>
      <c r="B891">
        <v>352273</v>
      </c>
      <c r="C891">
        <v>405</v>
      </c>
      <c r="D891">
        <v>51497</v>
      </c>
      <c r="E891">
        <v>1117</v>
      </c>
      <c r="F891">
        <v>0</v>
      </c>
      <c r="G891" t="s">
        <v>1265</v>
      </c>
      <c r="H891">
        <v>1</v>
      </c>
      <c r="I891" t="s">
        <v>1265</v>
      </c>
      <c r="J891" t="s">
        <v>1265</v>
      </c>
      <c r="K891" t="s">
        <v>3191</v>
      </c>
      <c r="L891" t="s">
        <v>3176</v>
      </c>
      <c r="M891" t="s">
        <v>3190</v>
      </c>
      <c r="N891" t="s">
        <v>3174</v>
      </c>
      <c r="O891">
        <v>2448</v>
      </c>
      <c r="P891" t="s">
        <v>3484</v>
      </c>
      <c r="R891" t="s">
        <v>3477</v>
      </c>
      <c r="S891">
        <v>0</v>
      </c>
      <c r="T891">
        <v>32</v>
      </c>
      <c r="U891">
        <v>0</v>
      </c>
      <c r="V891">
        <v>0</v>
      </c>
      <c r="W891">
        <v>0</v>
      </c>
      <c r="X891">
        <v>32</v>
      </c>
      <c r="Y891">
        <v>0</v>
      </c>
      <c r="Z891">
        <v>0</v>
      </c>
      <c r="AA891">
        <v>0</v>
      </c>
      <c r="AE891" s="30">
        <v>46210.416666666664</v>
      </c>
      <c r="AF891" s="30">
        <v>46216.416666666664</v>
      </c>
      <c r="AH891" s="30">
        <v>45870.366666666669</v>
      </c>
      <c r="AI891" s="30">
        <v>45876.366666666669</v>
      </c>
      <c r="AJ891" s="30">
        <v>45870.366666666669</v>
      </c>
      <c r="AK891" s="30">
        <v>45876.366666666669</v>
      </c>
      <c r="AL891" s="30">
        <v>45870.366666666669</v>
      </c>
      <c r="AM891" s="30">
        <v>45876.366666666669</v>
      </c>
      <c r="AN891" s="30">
        <v>46210.416666666664</v>
      </c>
      <c r="AO891" s="30">
        <v>46216.416666666664</v>
      </c>
      <c r="AQ891" t="s">
        <v>3171</v>
      </c>
      <c r="AV891" t="s">
        <v>3483</v>
      </c>
      <c r="AW891" t="s">
        <v>3482</v>
      </c>
      <c r="AZ891" t="s">
        <v>1265</v>
      </c>
      <c r="BA891">
        <v>0</v>
      </c>
      <c r="BB891">
        <v>0</v>
      </c>
      <c r="BJ891" s="30">
        <v>46069.523611111108</v>
      </c>
      <c r="BK891" s="30">
        <v>46093.667361111111</v>
      </c>
      <c r="BL891" t="s">
        <v>1259</v>
      </c>
      <c r="BM891" t="s">
        <v>1259</v>
      </c>
      <c r="BO891" t="s">
        <v>1265</v>
      </c>
    </row>
    <row r="892" spans="1:67" x14ac:dyDescent="0.25">
      <c r="A892" t="s">
        <v>1248</v>
      </c>
      <c r="B892">
        <v>352274</v>
      </c>
      <c r="C892">
        <v>405</v>
      </c>
      <c r="D892">
        <v>51497</v>
      </c>
      <c r="E892">
        <v>1117</v>
      </c>
      <c r="F892">
        <v>0</v>
      </c>
      <c r="G892" t="s">
        <v>1265</v>
      </c>
      <c r="H892">
        <v>1</v>
      </c>
      <c r="I892" t="s">
        <v>1265</v>
      </c>
      <c r="J892" t="s">
        <v>1265</v>
      </c>
      <c r="K892" t="s">
        <v>3191</v>
      </c>
      <c r="L892" t="s">
        <v>3176</v>
      </c>
      <c r="M892" t="s">
        <v>3190</v>
      </c>
      <c r="N892" t="s">
        <v>3174</v>
      </c>
      <c r="O892">
        <v>2458</v>
      </c>
      <c r="P892" t="s">
        <v>3481</v>
      </c>
      <c r="R892" t="s">
        <v>3477</v>
      </c>
      <c r="S892">
        <v>0</v>
      </c>
      <c r="T892">
        <v>47</v>
      </c>
      <c r="U892">
        <v>0</v>
      </c>
      <c r="V892">
        <v>0</v>
      </c>
      <c r="W892">
        <v>0</v>
      </c>
      <c r="X892">
        <v>47</v>
      </c>
      <c r="Y892">
        <v>0</v>
      </c>
      <c r="Z892">
        <v>0</v>
      </c>
      <c r="AA892">
        <v>0</v>
      </c>
      <c r="AE892" s="30">
        <v>46216.416666666664</v>
      </c>
      <c r="AF892" s="30">
        <v>46224.375</v>
      </c>
      <c r="AH892" s="30">
        <v>45876.366666666669</v>
      </c>
      <c r="AI892" s="30">
        <v>45883.7</v>
      </c>
      <c r="AJ892" s="30">
        <v>45876.366666666669</v>
      </c>
      <c r="AK892" s="30">
        <v>45883.7</v>
      </c>
      <c r="AL892" s="30">
        <v>45876.366666666669</v>
      </c>
      <c r="AM892" s="30">
        <v>45883.7</v>
      </c>
      <c r="AN892" s="30">
        <v>46216.416666666664</v>
      </c>
      <c r="AO892" s="30">
        <v>46224.375</v>
      </c>
      <c r="AQ892" t="s">
        <v>3171</v>
      </c>
      <c r="AV892" t="s">
        <v>3480</v>
      </c>
      <c r="AW892" t="s">
        <v>3479</v>
      </c>
      <c r="AZ892" t="s">
        <v>1265</v>
      </c>
      <c r="BA892">
        <v>0</v>
      </c>
      <c r="BB892">
        <v>0</v>
      </c>
      <c r="BJ892" s="30">
        <v>46069.523611111108</v>
      </c>
      <c r="BK892" s="30">
        <v>46093.667361111111</v>
      </c>
      <c r="BL892" t="s">
        <v>1259</v>
      </c>
      <c r="BM892" t="s">
        <v>1259</v>
      </c>
      <c r="BO892" t="s">
        <v>1265</v>
      </c>
    </row>
    <row r="893" spans="1:67" x14ac:dyDescent="0.25">
      <c r="A893" t="s">
        <v>1248</v>
      </c>
      <c r="B893">
        <v>352275</v>
      </c>
      <c r="C893">
        <v>405</v>
      </c>
      <c r="D893">
        <v>53304</v>
      </c>
      <c r="E893">
        <v>1117</v>
      </c>
      <c r="F893">
        <v>0</v>
      </c>
      <c r="G893" t="s">
        <v>1265</v>
      </c>
      <c r="H893">
        <v>1</v>
      </c>
      <c r="I893" t="s">
        <v>1265</v>
      </c>
      <c r="J893" t="s">
        <v>1265</v>
      </c>
      <c r="K893" t="s">
        <v>3191</v>
      </c>
      <c r="L893" t="s">
        <v>3176</v>
      </c>
      <c r="M893" t="s">
        <v>3190</v>
      </c>
      <c r="N893" t="s">
        <v>3174</v>
      </c>
      <c r="O893">
        <v>2468</v>
      </c>
      <c r="P893" t="s">
        <v>3478</v>
      </c>
      <c r="R893" t="s">
        <v>3477</v>
      </c>
      <c r="S893">
        <v>8</v>
      </c>
      <c r="T893">
        <v>7</v>
      </c>
      <c r="U893">
        <v>0</v>
      </c>
      <c r="V893">
        <v>0</v>
      </c>
      <c r="W893">
        <v>0</v>
      </c>
      <c r="X893">
        <v>7</v>
      </c>
      <c r="Y893">
        <v>0</v>
      </c>
      <c r="Z893">
        <v>0</v>
      </c>
      <c r="AA893">
        <v>0</v>
      </c>
      <c r="AE893" s="30">
        <v>46224.375</v>
      </c>
      <c r="AF893" s="30">
        <v>46224.708333333336</v>
      </c>
      <c r="AH893" s="30">
        <v>45883.7</v>
      </c>
      <c r="AI893" s="30">
        <v>45884.658333333333</v>
      </c>
      <c r="AJ893" s="30">
        <v>45883.7</v>
      </c>
      <c r="AK893" s="30">
        <v>45884.658333333333</v>
      </c>
      <c r="AL893" s="30">
        <v>45883.7</v>
      </c>
      <c r="AM893" s="30">
        <v>45884.658333333333</v>
      </c>
      <c r="AN893" s="30">
        <v>46224.375</v>
      </c>
      <c r="AO893" s="30">
        <v>46224.708333333336</v>
      </c>
      <c r="AQ893" t="s">
        <v>3171</v>
      </c>
      <c r="AV893" t="s">
        <v>3476</v>
      </c>
      <c r="AW893" t="s">
        <v>3475</v>
      </c>
      <c r="AZ893" t="s">
        <v>1265</v>
      </c>
      <c r="BA893">
        <v>0</v>
      </c>
      <c r="BB893">
        <v>0</v>
      </c>
      <c r="BJ893" s="30">
        <v>46069.523611111108</v>
      </c>
      <c r="BK893" s="30">
        <v>46093.667361111111</v>
      </c>
      <c r="BL893" t="s">
        <v>1259</v>
      </c>
      <c r="BM893" t="s">
        <v>1259</v>
      </c>
      <c r="BO893" t="s">
        <v>1265</v>
      </c>
    </row>
    <row r="894" spans="1:67" x14ac:dyDescent="0.25">
      <c r="A894" t="s">
        <v>1248</v>
      </c>
      <c r="B894">
        <v>352276</v>
      </c>
      <c r="C894">
        <v>405</v>
      </c>
      <c r="D894">
        <v>53304</v>
      </c>
      <c r="E894">
        <v>1117</v>
      </c>
      <c r="F894">
        <v>0</v>
      </c>
      <c r="G894" t="s">
        <v>1265</v>
      </c>
      <c r="H894">
        <v>1</v>
      </c>
      <c r="I894" t="s">
        <v>1265</v>
      </c>
      <c r="J894" t="s">
        <v>1265</v>
      </c>
      <c r="K894" t="s">
        <v>3191</v>
      </c>
      <c r="L894" t="s">
        <v>3176</v>
      </c>
      <c r="M894" t="s">
        <v>3190</v>
      </c>
      <c r="N894" t="s">
        <v>3174</v>
      </c>
      <c r="O894">
        <v>2478</v>
      </c>
      <c r="P894" t="s">
        <v>3474</v>
      </c>
      <c r="R894" t="s">
        <v>3456</v>
      </c>
      <c r="S894">
        <v>0</v>
      </c>
      <c r="T894">
        <v>15</v>
      </c>
      <c r="U894">
        <v>0</v>
      </c>
      <c r="V894">
        <v>0</v>
      </c>
      <c r="W894">
        <v>0</v>
      </c>
      <c r="X894">
        <v>15</v>
      </c>
      <c r="Y894">
        <v>0</v>
      </c>
      <c r="Z894">
        <v>0</v>
      </c>
      <c r="AA894">
        <v>0</v>
      </c>
      <c r="AE894" s="30">
        <v>46171.691666666666</v>
      </c>
      <c r="AF894" s="30">
        <v>46176.65</v>
      </c>
      <c r="AH894" s="30">
        <v>45848.683333333334</v>
      </c>
      <c r="AI894" s="30">
        <v>45852.64166666667</v>
      </c>
      <c r="AJ894" s="30">
        <v>45848.683333333334</v>
      </c>
      <c r="AK894" s="30">
        <v>45852.64166666667</v>
      </c>
      <c r="AL894" s="30">
        <v>45848.683333333334</v>
      </c>
      <c r="AM894" s="30">
        <v>45852.64166666667</v>
      </c>
      <c r="AN894" s="30">
        <v>46171.691666666666</v>
      </c>
      <c r="AO894" s="30">
        <v>46176.65</v>
      </c>
      <c r="AQ894" t="s">
        <v>3171</v>
      </c>
      <c r="AV894" t="s">
        <v>3473</v>
      </c>
      <c r="AW894" t="s">
        <v>3472</v>
      </c>
      <c r="AZ894" t="s">
        <v>1265</v>
      </c>
      <c r="BA894">
        <v>0</v>
      </c>
      <c r="BB894">
        <v>0</v>
      </c>
      <c r="BJ894" s="30">
        <v>46069.523611111108</v>
      </c>
      <c r="BK894" s="30">
        <v>46093.667361111111</v>
      </c>
      <c r="BL894" t="s">
        <v>1259</v>
      </c>
      <c r="BM894" t="s">
        <v>1259</v>
      </c>
      <c r="BO894" t="s">
        <v>1265</v>
      </c>
    </row>
    <row r="895" spans="1:67" x14ac:dyDescent="0.25">
      <c r="A895" t="s">
        <v>1248</v>
      </c>
      <c r="B895">
        <v>352277</v>
      </c>
      <c r="C895">
        <v>405</v>
      </c>
      <c r="D895">
        <v>51498</v>
      </c>
      <c r="E895">
        <v>1117</v>
      </c>
      <c r="F895">
        <v>0</v>
      </c>
      <c r="G895" t="s">
        <v>1265</v>
      </c>
      <c r="H895">
        <v>1</v>
      </c>
      <c r="I895" t="s">
        <v>1265</v>
      </c>
      <c r="J895" t="s">
        <v>1265</v>
      </c>
      <c r="K895" t="s">
        <v>3191</v>
      </c>
      <c r="L895" t="s">
        <v>3176</v>
      </c>
      <c r="M895" t="s">
        <v>3190</v>
      </c>
      <c r="N895" t="s">
        <v>3174</v>
      </c>
      <c r="O895">
        <v>2488</v>
      </c>
      <c r="P895" t="s">
        <v>3471</v>
      </c>
      <c r="R895" t="s">
        <v>3456</v>
      </c>
      <c r="S895">
        <v>0</v>
      </c>
      <c r="T895" s="29">
        <v>441333333333333</v>
      </c>
      <c r="U895">
        <v>0</v>
      </c>
      <c r="V895">
        <v>0</v>
      </c>
      <c r="W895">
        <v>0</v>
      </c>
      <c r="X895" s="29">
        <v>441333333333333</v>
      </c>
      <c r="Y895">
        <v>0</v>
      </c>
      <c r="Z895">
        <v>0</v>
      </c>
      <c r="AA895">
        <v>0</v>
      </c>
      <c r="AE895" s="30">
        <v>46176.65</v>
      </c>
      <c r="AF895" s="30">
        <v>46184.447222222225</v>
      </c>
      <c r="AH895" s="30">
        <v>45852.64166666667</v>
      </c>
      <c r="AI895" s="30">
        <v>45860.438888888886</v>
      </c>
      <c r="AJ895" s="30">
        <v>45852.64166666667</v>
      </c>
      <c r="AK895" s="30">
        <v>45860.438888888886</v>
      </c>
      <c r="AL895" s="30">
        <v>45852.64166666667</v>
      </c>
      <c r="AM895" s="30">
        <v>45860.438888888886</v>
      </c>
      <c r="AN895" s="30">
        <v>46176.65</v>
      </c>
      <c r="AO895" s="30">
        <v>46184.447222222225</v>
      </c>
      <c r="AQ895" t="s">
        <v>3171</v>
      </c>
      <c r="AV895" t="e">
        <f>+P1nRiCtLUm7QvQl+jSNPQ</f>
        <v>#NAME?</v>
      </c>
      <c r="AW895" t="s">
        <v>3470</v>
      </c>
      <c r="AZ895" t="s">
        <v>1265</v>
      </c>
      <c r="BA895">
        <v>0</v>
      </c>
      <c r="BB895">
        <v>0</v>
      </c>
      <c r="BJ895" s="30">
        <v>46069.523611111108</v>
      </c>
      <c r="BK895" s="30">
        <v>46093.73333333333</v>
      </c>
      <c r="BL895" t="s">
        <v>1259</v>
      </c>
      <c r="BM895" t="s">
        <v>1259</v>
      </c>
      <c r="BO895" t="s">
        <v>1265</v>
      </c>
    </row>
    <row r="896" spans="1:67" x14ac:dyDescent="0.25">
      <c r="A896" t="s">
        <v>1248</v>
      </c>
      <c r="B896">
        <v>352278</v>
      </c>
      <c r="C896">
        <v>405</v>
      </c>
      <c r="D896">
        <v>51498</v>
      </c>
      <c r="E896">
        <v>1117</v>
      </c>
      <c r="F896">
        <v>0</v>
      </c>
      <c r="G896" t="s">
        <v>1265</v>
      </c>
      <c r="H896">
        <v>1</v>
      </c>
      <c r="I896" t="s">
        <v>1265</v>
      </c>
      <c r="J896" t="s">
        <v>1265</v>
      </c>
      <c r="K896" t="s">
        <v>3191</v>
      </c>
      <c r="L896" t="s">
        <v>3176</v>
      </c>
      <c r="M896" t="s">
        <v>3190</v>
      </c>
      <c r="N896" t="s">
        <v>3174</v>
      </c>
      <c r="O896">
        <v>2498</v>
      </c>
      <c r="P896" t="s">
        <v>3469</v>
      </c>
      <c r="R896" t="s">
        <v>3456</v>
      </c>
      <c r="S896">
        <v>0</v>
      </c>
      <c r="T896">
        <v>7</v>
      </c>
      <c r="U896">
        <v>0</v>
      </c>
      <c r="V896">
        <v>0</v>
      </c>
      <c r="W896">
        <v>0</v>
      </c>
      <c r="X896">
        <v>7</v>
      </c>
      <c r="Y896">
        <v>0</v>
      </c>
      <c r="Z896">
        <v>0</v>
      </c>
      <c r="AA896">
        <v>0</v>
      </c>
      <c r="AE896" s="30">
        <v>46184.447222222225</v>
      </c>
      <c r="AF896" s="30">
        <v>46185.405555555553</v>
      </c>
      <c r="AH896" s="30">
        <v>45860.438888888886</v>
      </c>
      <c r="AI896" s="30">
        <v>45861.397222222222</v>
      </c>
      <c r="AJ896" s="30">
        <v>45860.438888888886</v>
      </c>
      <c r="AK896" s="30">
        <v>45861.397222222222</v>
      </c>
      <c r="AL896" s="30">
        <v>45860.438888888886</v>
      </c>
      <c r="AM896" s="30">
        <v>45861.397222222222</v>
      </c>
      <c r="AN896" s="30">
        <v>46184.447222222225</v>
      </c>
      <c r="AO896" s="30">
        <v>46185.405555555553</v>
      </c>
      <c r="AQ896" t="s">
        <v>3171</v>
      </c>
      <c r="AV896" t="s">
        <v>3468</v>
      </c>
      <c r="AW896" t="s">
        <v>3467</v>
      </c>
      <c r="AZ896" t="s">
        <v>1265</v>
      </c>
      <c r="BA896">
        <v>0</v>
      </c>
      <c r="BB896">
        <v>0</v>
      </c>
      <c r="BJ896" s="30">
        <v>46069.523611111108</v>
      </c>
      <c r="BK896" s="30">
        <v>46093.667361111111</v>
      </c>
      <c r="BL896" t="s">
        <v>1259</v>
      </c>
      <c r="BM896" t="s">
        <v>1259</v>
      </c>
      <c r="BO896" t="s">
        <v>1265</v>
      </c>
    </row>
    <row r="897" spans="1:67" x14ac:dyDescent="0.25">
      <c r="A897" t="s">
        <v>1248</v>
      </c>
      <c r="B897">
        <v>352279</v>
      </c>
      <c r="C897">
        <v>405</v>
      </c>
      <c r="D897">
        <v>51498</v>
      </c>
      <c r="E897">
        <v>1117</v>
      </c>
      <c r="F897">
        <v>0</v>
      </c>
      <c r="G897" t="s">
        <v>1265</v>
      </c>
      <c r="H897">
        <v>1</v>
      </c>
      <c r="I897" t="s">
        <v>1265</v>
      </c>
      <c r="J897" t="s">
        <v>1265</v>
      </c>
      <c r="K897" t="s">
        <v>3191</v>
      </c>
      <c r="L897" t="s">
        <v>3176</v>
      </c>
      <c r="M897" t="s">
        <v>3190</v>
      </c>
      <c r="N897" t="s">
        <v>3174</v>
      </c>
      <c r="O897">
        <v>2508</v>
      </c>
      <c r="P897" t="s">
        <v>3466</v>
      </c>
      <c r="R897" t="s">
        <v>3456</v>
      </c>
      <c r="S897">
        <v>0</v>
      </c>
      <c r="T897" s="29">
        <v>402666666666667</v>
      </c>
      <c r="U897">
        <v>0</v>
      </c>
      <c r="V897">
        <v>0</v>
      </c>
      <c r="W897">
        <v>0</v>
      </c>
      <c r="X897" s="29">
        <v>402666666666667</v>
      </c>
      <c r="Y897">
        <v>0</v>
      </c>
      <c r="Z897">
        <v>0</v>
      </c>
      <c r="AA897">
        <v>0</v>
      </c>
      <c r="AE897" s="30">
        <v>46185.405555555553</v>
      </c>
      <c r="AF897" s="30">
        <v>46192.416666666664</v>
      </c>
      <c r="AH897" s="30">
        <v>45861.397222222222</v>
      </c>
      <c r="AI897" s="30">
        <v>45868.408333333333</v>
      </c>
      <c r="AJ897" s="30">
        <v>45861.397222222222</v>
      </c>
      <c r="AK897" s="30">
        <v>45868.408333333333</v>
      </c>
      <c r="AL897" s="30">
        <v>45861.397222222222</v>
      </c>
      <c r="AM897" s="30">
        <v>45868.408333333333</v>
      </c>
      <c r="AN897" s="30">
        <v>46185.405555555553</v>
      </c>
      <c r="AO897" s="30">
        <v>46192.416666666664</v>
      </c>
      <c r="AQ897" t="s">
        <v>3171</v>
      </c>
      <c r="AV897" t="s">
        <v>3465</v>
      </c>
      <c r="AW897" t="s">
        <v>3464</v>
      </c>
      <c r="AZ897" t="s">
        <v>1265</v>
      </c>
      <c r="BA897">
        <v>0</v>
      </c>
      <c r="BB897">
        <v>0</v>
      </c>
      <c r="BJ897" s="30">
        <v>46069.523611111108</v>
      </c>
      <c r="BK897" s="30">
        <v>46093.73333333333</v>
      </c>
      <c r="BL897" t="s">
        <v>1259</v>
      </c>
      <c r="BM897" t="s">
        <v>1259</v>
      </c>
      <c r="BO897" t="s">
        <v>1265</v>
      </c>
    </row>
    <row r="898" spans="1:67" x14ac:dyDescent="0.25">
      <c r="A898" t="s">
        <v>1248</v>
      </c>
      <c r="B898">
        <v>352280</v>
      </c>
      <c r="C898">
        <v>405</v>
      </c>
      <c r="D898">
        <v>51498</v>
      </c>
      <c r="E898">
        <v>1117</v>
      </c>
      <c r="F898">
        <v>0</v>
      </c>
      <c r="G898" t="s">
        <v>1265</v>
      </c>
      <c r="H898">
        <v>1</v>
      </c>
      <c r="I898" t="s">
        <v>1265</v>
      </c>
      <c r="J898" t="s">
        <v>1265</v>
      </c>
      <c r="K898" t="s">
        <v>3191</v>
      </c>
      <c r="L898" t="s">
        <v>3176</v>
      </c>
      <c r="M898" t="s">
        <v>3190</v>
      </c>
      <c r="N898" t="s">
        <v>3174</v>
      </c>
      <c r="O898">
        <v>2518</v>
      </c>
      <c r="P898" t="s">
        <v>3463</v>
      </c>
      <c r="R898" t="s">
        <v>3456</v>
      </c>
      <c r="S898">
        <v>0</v>
      </c>
      <c r="T898">
        <v>32</v>
      </c>
      <c r="U898">
        <v>0</v>
      </c>
      <c r="V898">
        <v>0</v>
      </c>
      <c r="W898">
        <v>0</v>
      </c>
      <c r="X898">
        <v>32</v>
      </c>
      <c r="Y898">
        <v>0</v>
      </c>
      <c r="Z898">
        <v>0</v>
      </c>
      <c r="AA898">
        <v>0</v>
      </c>
      <c r="AE898" s="30">
        <v>46192.416666666664</v>
      </c>
      <c r="AF898" s="30">
        <v>46198.416666666664</v>
      </c>
      <c r="AH898" s="30">
        <v>45868.408333333333</v>
      </c>
      <c r="AI898" s="30">
        <v>45874.408333333333</v>
      </c>
      <c r="AJ898" s="30">
        <v>45868.408333333333</v>
      </c>
      <c r="AK898" s="30">
        <v>45874.408333333333</v>
      </c>
      <c r="AL898" s="30">
        <v>45868.408333333333</v>
      </c>
      <c r="AM898" s="30">
        <v>45874.408333333333</v>
      </c>
      <c r="AN898" s="30">
        <v>46192.416666666664</v>
      </c>
      <c r="AO898" s="30">
        <v>46198.416666666664</v>
      </c>
      <c r="AQ898" t="s">
        <v>3171</v>
      </c>
      <c r="AV898" t="s">
        <v>3462</v>
      </c>
      <c r="AW898" t="s">
        <v>3461</v>
      </c>
      <c r="AZ898" t="s">
        <v>1265</v>
      </c>
      <c r="BA898">
        <v>0</v>
      </c>
      <c r="BB898">
        <v>0</v>
      </c>
      <c r="BJ898" s="30">
        <v>46069.523611111108</v>
      </c>
      <c r="BK898" s="30">
        <v>46093.667361111111</v>
      </c>
      <c r="BL898" t="s">
        <v>1259</v>
      </c>
      <c r="BM898" t="s">
        <v>1259</v>
      </c>
      <c r="BO898" t="s">
        <v>1265</v>
      </c>
    </row>
    <row r="899" spans="1:67" x14ac:dyDescent="0.25">
      <c r="A899" t="s">
        <v>1248</v>
      </c>
      <c r="B899">
        <v>352281</v>
      </c>
      <c r="C899">
        <v>405</v>
      </c>
      <c r="D899">
        <v>51498</v>
      </c>
      <c r="E899">
        <v>1117</v>
      </c>
      <c r="F899">
        <v>0</v>
      </c>
      <c r="G899" t="s">
        <v>1265</v>
      </c>
      <c r="H899">
        <v>1</v>
      </c>
      <c r="I899" t="s">
        <v>1265</v>
      </c>
      <c r="J899" t="s">
        <v>1265</v>
      </c>
      <c r="K899" t="s">
        <v>3191</v>
      </c>
      <c r="L899" t="s">
        <v>3176</v>
      </c>
      <c r="M899" t="s">
        <v>3190</v>
      </c>
      <c r="N899" t="s">
        <v>3174</v>
      </c>
      <c r="O899">
        <v>2528</v>
      </c>
      <c r="P899" t="s">
        <v>3460</v>
      </c>
      <c r="R899" t="s">
        <v>3456</v>
      </c>
      <c r="S899">
        <v>0</v>
      </c>
      <c r="T899">
        <v>47</v>
      </c>
      <c r="U899">
        <v>0</v>
      </c>
      <c r="V899">
        <v>0</v>
      </c>
      <c r="W899">
        <v>0</v>
      </c>
      <c r="X899">
        <v>47</v>
      </c>
      <c r="Y899">
        <v>0</v>
      </c>
      <c r="Z899">
        <v>0</v>
      </c>
      <c r="AA899">
        <v>0</v>
      </c>
      <c r="AE899" s="30">
        <v>46198.416666666664</v>
      </c>
      <c r="AF899" s="30">
        <v>46206.375</v>
      </c>
      <c r="AH899" s="30">
        <v>45874.408333333333</v>
      </c>
      <c r="AI899" s="30">
        <v>45882.366666666669</v>
      </c>
      <c r="AJ899" s="30">
        <v>45874.408333333333</v>
      </c>
      <c r="AK899" s="30">
        <v>45882.366666666669</v>
      </c>
      <c r="AL899" s="30">
        <v>45874.408333333333</v>
      </c>
      <c r="AM899" s="30">
        <v>45882.366666666669</v>
      </c>
      <c r="AN899" s="30">
        <v>46198.416666666664</v>
      </c>
      <c r="AO899" s="30">
        <v>46206.375</v>
      </c>
      <c r="AQ899" t="s">
        <v>3171</v>
      </c>
      <c r="AV899" t="s">
        <v>3459</v>
      </c>
      <c r="AW899" t="s">
        <v>3458</v>
      </c>
      <c r="AZ899" t="s">
        <v>1265</v>
      </c>
      <c r="BA899">
        <v>0</v>
      </c>
      <c r="BB899">
        <v>0</v>
      </c>
      <c r="BJ899" s="30">
        <v>46069.523611111108</v>
      </c>
      <c r="BK899" s="30">
        <v>46093.667361111111</v>
      </c>
      <c r="BL899" t="s">
        <v>1259</v>
      </c>
      <c r="BM899" t="s">
        <v>1259</v>
      </c>
      <c r="BO899" t="s">
        <v>1265</v>
      </c>
    </row>
    <row r="900" spans="1:67" x14ac:dyDescent="0.25">
      <c r="A900" t="s">
        <v>1248</v>
      </c>
      <c r="B900">
        <v>352282</v>
      </c>
      <c r="C900">
        <v>405</v>
      </c>
      <c r="D900">
        <v>53304</v>
      </c>
      <c r="E900">
        <v>1117</v>
      </c>
      <c r="F900">
        <v>0</v>
      </c>
      <c r="G900" t="s">
        <v>1265</v>
      </c>
      <c r="H900">
        <v>1</v>
      </c>
      <c r="I900" t="s">
        <v>1265</v>
      </c>
      <c r="J900" t="s">
        <v>1265</v>
      </c>
      <c r="K900" t="s">
        <v>3191</v>
      </c>
      <c r="L900" t="s">
        <v>3176</v>
      </c>
      <c r="M900" t="s">
        <v>3190</v>
      </c>
      <c r="N900" t="s">
        <v>3174</v>
      </c>
      <c r="O900">
        <v>2538</v>
      </c>
      <c r="P900" t="s">
        <v>3457</v>
      </c>
      <c r="R900" t="s">
        <v>3456</v>
      </c>
      <c r="S900">
        <v>8</v>
      </c>
      <c r="T900">
        <v>7</v>
      </c>
      <c r="U900">
        <v>0</v>
      </c>
      <c r="V900">
        <v>0</v>
      </c>
      <c r="W900">
        <v>0</v>
      </c>
      <c r="X900">
        <v>7</v>
      </c>
      <c r="Y900">
        <v>0</v>
      </c>
      <c r="Z900">
        <v>0</v>
      </c>
      <c r="AA900">
        <v>0</v>
      </c>
      <c r="AE900" s="30">
        <v>46206.375</v>
      </c>
      <c r="AF900" s="30">
        <v>46206.708333333336</v>
      </c>
      <c r="AH900" s="30">
        <v>45882.366666666669</v>
      </c>
      <c r="AI900" s="30">
        <v>45882.7</v>
      </c>
      <c r="AJ900" s="30">
        <v>45882.366666666669</v>
      </c>
      <c r="AK900" s="30">
        <v>45882.7</v>
      </c>
      <c r="AL900" s="30">
        <v>45882.366666666669</v>
      </c>
      <c r="AM900" s="30">
        <v>45882.7</v>
      </c>
      <c r="AN900" s="30">
        <v>46206.375</v>
      </c>
      <c r="AO900" s="30">
        <v>46206.708333333336</v>
      </c>
      <c r="AQ900" t="s">
        <v>3171</v>
      </c>
      <c r="AV900" t="s">
        <v>3455</v>
      </c>
      <c r="AW900" t="s">
        <v>3454</v>
      </c>
      <c r="AZ900" t="s">
        <v>1265</v>
      </c>
      <c r="BA900">
        <v>0</v>
      </c>
      <c r="BB900">
        <v>0</v>
      </c>
      <c r="BJ900" s="30">
        <v>46069.523611111108</v>
      </c>
      <c r="BK900" s="30">
        <v>46093.667361111111</v>
      </c>
      <c r="BL900" t="s">
        <v>1259</v>
      </c>
      <c r="BM900" t="s">
        <v>1259</v>
      </c>
      <c r="BO900" t="s">
        <v>1265</v>
      </c>
    </row>
    <row r="901" spans="1:67" x14ac:dyDescent="0.25">
      <c r="A901" t="s">
        <v>1248</v>
      </c>
      <c r="B901">
        <v>352283</v>
      </c>
      <c r="C901">
        <v>405</v>
      </c>
      <c r="D901">
        <v>53304</v>
      </c>
      <c r="E901">
        <v>1117</v>
      </c>
      <c r="F901">
        <v>0</v>
      </c>
      <c r="G901" t="s">
        <v>1265</v>
      </c>
      <c r="H901">
        <v>1</v>
      </c>
      <c r="I901" t="s">
        <v>1265</v>
      </c>
      <c r="J901" t="s">
        <v>1265</v>
      </c>
      <c r="K901" t="s">
        <v>3191</v>
      </c>
      <c r="L901" t="s">
        <v>3176</v>
      </c>
      <c r="M901" t="s">
        <v>3190</v>
      </c>
      <c r="N901" t="s">
        <v>3174</v>
      </c>
      <c r="O901">
        <v>2548</v>
      </c>
      <c r="P901" t="s">
        <v>3453</v>
      </c>
      <c r="R901" t="s">
        <v>3434</v>
      </c>
      <c r="S901">
        <v>0</v>
      </c>
      <c r="T901">
        <v>15</v>
      </c>
      <c r="U901">
        <v>0</v>
      </c>
      <c r="V901">
        <v>0</v>
      </c>
      <c r="W901">
        <v>0</v>
      </c>
      <c r="X901">
        <v>15</v>
      </c>
      <c r="Y901">
        <v>0</v>
      </c>
      <c r="Z901">
        <v>0</v>
      </c>
      <c r="AA901">
        <v>0</v>
      </c>
      <c r="AE901" s="30">
        <v>46155.691666666666</v>
      </c>
      <c r="AF901" s="30">
        <v>46157.65</v>
      </c>
      <c r="AH901" s="30">
        <v>45847.35</v>
      </c>
      <c r="AI901" s="30">
        <v>45848.683333333334</v>
      </c>
      <c r="AJ901" s="30">
        <v>45847.35</v>
      </c>
      <c r="AK901" s="30">
        <v>45848.683333333334</v>
      </c>
      <c r="AL901" s="30">
        <v>45847.35</v>
      </c>
      <c r="AM901" s="30">
        <v>45848.683333333334</v>
      </c>
      <c r="AN901" s="30">
        <v>46155.691666666666</v>
      </c>
      <c r="AO901" s="30">
        <v>46157.65</v>
      </c>
      <c r="AQ901" t="s">
        <v>3171</v>
      </c>
      <c r="AV901" t="s">
        <v>3452</v>
      </c>
      <c r="AW901" t="s">
        <v>3451</v>
      </c>
      <c r="AZ901" t="s">
        <v>1265</v>
      </c>
      <c r="BA901">
        <v>0</v>
      </c>
      <c r="BB901">
        <v>0</v>
      </c>
      <c r="BJ901" s="30">
        <v>46069.523611111108</v>
      </c>
      <c r="BK901" s="30">
        <v>46093.667361111111</v>
      </c>
      <c r="BL901" t="s">
        <v>1259</v>
      </c>
      <c r="BM901" t="s">
        <v>1259</v>
      </c>
      <c r="BO901" t="s">
        <v>1265</v>
      </c>
    </row>
    <row r="902" spans="1:67" x14ac:dyDescent="0.25">
      <c r="A902" t="s">
        <v>1248</v>
      </c>
      <c r="B902">
        <v>352284</v>
      </c>
      <c r="C902">
        <v>405</v>
      </c>
      <c r="D902">
        <v>51499</v>
      </c>
      <c r="E902">
        <v>1117</v>
      </c>
      <c r="F902">
        <v>0</v>
      </c>
      <c r="G902" t="s">
        <v>1265</v>
      </c>
      <c r="H902">
        <v>1</v>
      </c>
      <c r="I902" t="s">
        <v>1265</v>
      </c>
      <c r="J902" t="s">
        <v>1265</v>
      </c>
      <c r="K902" t="s">
        <v>3191</v>
      </c>
      <c r="L902" t="s">
        <v>3176</v>
      </c>
      <c r="M902" t="s">
        <v>3190</v>
      </c>
      <c r="N902" t="s">
        <v>3174</v>
      </c>
      <c r="O902">
        <v>2558</v>
      </c>
      <c r="P902" t="s">
        <v>3450</v>
      </c>
      <c r="R902" t="s">
        <v>3434</v>
      </c>
      <c r="S902">
        <v>0</v>
      </c>
      <c r="T902" s="29">
        <v>441333333333333</v>
      </c>
      <c r="U902">
        <v>0</v>
      </c>
      <c r="V902">
        <v>0</v>
      </c>
      <c r="W902">
        <v>0</v>
      </c>
      <c r="X902" s="29">
        <v>441333333333333</v>
      </c>
      <c r="Y902">
        <v>0</v>
      </c>
      <c r="Z902">
        <v>0</v>
      </c>
      <c r="AA902">
        <v>0</v>
      </c>
      <c r="AE902" s="30">
        <v>46157.65</v>
      </c>
      <c r="AF902" s="30">
        <v>46167.447222222225</v>
      </c>
      <c r="AH902" s="30">
        <v>45848.683333333334</v>
      </c>
      <c r="AI902" s="30">
        <v>45856.480555555558</v>
      </c>
      <c r="AJ902" s="30">
        <v>45848.683333333334</v>
      </c>
      <c r="AK902" s="30">
        <v>45856.480555555558</v>
      </c>
      <c r="AL902" s="30">
        <v>45848.683333333334</v>
      </c>
      <c r="AM902" s="30">
        <v>45856.480555555558</v>
      </c>
      <c r="AN902" s="30">
        <v>46157.65</v>
      </c>
      <c r="AO902" s="30">
        <v>46167.447222222225</v>
      </c>
      <c r="AQ902" t="s">
        <v>3171</v>
      </c>
      <c r="AV902" t="s">
        <v>3449</v>
      </c>
      <c r="AW902" t="s">
        <v>3448</v>
      </c>
      <c r="AZ902" t="s">
        <v>1265</v>
      </c>
      <c r="BA902">
        <v>0</v>
      </c>
      <c r="BB902">
        <v>0</v>
      </c>
      <c r="BJ902" s="30">
        <v>46069.523611111108</v>
      </c>
      <c r="BK902" s="30">
        <v>46093.73333333333</v>
      </c>
      <c r="BL902" t="s">
        <v>1259</v>
      </c>
      <c r="BM902" t="s">
        <v>1259</v>
      </c>
      <c r="BO902" t="s">
        <v>1265</v>
      </c>
    </row>
    <row r="903" spans="1:67" x14ac:dyDescent="0.25">
      <c r="A903" t="s">
        <v>1248</v>
      </c>
      <c r="B903">
        <v>352285</v>
      </c>
      <c r="C903">
        <v>405</v>
      </c>
      <c r="D903">
        <v>51499</v>
      </c>
      <c r="E903">
        <v>1117</v>
      </c>
      <c r="F903">
        <v>0</v>
      </c>
      <c r="G903" t="s">
        <v>1265</v>
      </c>
      <c r="H903">
        <v>1</v>
      </c>
      <c r="I903" t="s">
        <v>1265</v>
      </c>
      <c r="J903" t="s">
        <v>1265</v>
      </c>
      <c r="K903" t="s">
        <v>3191</v>
      </c>
      <c r="L903" t="s">
        <v>3176</v>
      </c>
      <c r="M903" t="s">
        <v>3190</v>
      </c>
      <c r="N903" t="s">
        <v>3174</v>
      </c>
      <c r="O903">
        <v>2568</v>
      </c>
      <c r="P903" t="s">
        <v>3447</v>
      </c>
      <c r="R903" t="s">
        <v>3434</v>
      </c>
      <c r="S903">
        <v>0</v>
      </c>
      <c r="T903">
        <v>7</v>
      </c>
      <c r="U903">
        <v>0</v>
      </c>
      <c r="V903">
        <v>0</v>
      </c>
      <c r="W903">
        <v>0</v>
      </c>
      <c r="X903">
        <v>7</v>
      </c>
      <c r="Y903">
        <v>0</v>
      </c>
      <c r="Z903">
        <v>0</v>
      </c>
      <c r="AA903">
        <v>0</v>
      </c>
      <c r="AE903" s="30">
        <v>46167.447222222225</v>
      </c>
      <c r="AF903" s="30">
        <v>46168.405555555553</v>
      </c>
      <c r="AH903" s="30">
        <v>45856.480555555558</v>
      </c>
      <c r="AI903" s="30">
        <v>45859.438888888886</v>
      </c>
      <c r="AJ903" s="30">
        <v>45856.480555555558</v>
      </c>
      <c r="AK903" s="30">
        <v>45859.438888888886</v>
      </c>
      <c r="AL903" s="30">
        <v>45856.480555555558</v>
      </c>
      <c r="AM903" s="30">
        <v>45859.438888888886</v>
      </c>
      <c r="AN903" s="30">
        <v>46167.447222222225</v>
      </c>
      <c r="AO903" s="30">
        <v>46168.405555555553</v>
      </c>
      <c r="AQ903" t="s">
        <v>3171</v>
      </c>
      <c r="AV903" t="s">
        <v>3446</v>
      </c>
      <c r="AW903" t="s">
        <v>3445</v>
      </c>
      <c r="AZ903" t="s">
        <v>1265</v>
      </c>
      <c r="BA903">
        <v>0</v>
      </c>
      <c r="BB903">
        <v>0</v>
      </c>
      <c r="BJ903" s="30">
        <v>46069.523611111108</v>
      </c>
      <c r="BK903" s="30">
        <v>46093.667361111111</v>
      </c>
      <c r="BL903" t="s">
        <v>1259</v>
      </c>
      <c r="BM903" t="s">
        <v>1259</v>
      </c>
      <c r="BO903" t="s">
        <v>1265</v>
      </c>
    </row>
    <row r="904" spans="1:67" x14ac:dyDescent="0.25">
      <c r="A904" t="s">
        <v>1248</v>
      </c>
      <c r="B904">
        <v>352286</v>
      </c>
      <c r="C904">
        <v>405</v>
      </c>
      <c r="D904">
        <v>51499</v>
      </c>
      <c r="E904">
        <v>1117</v>
      </c>
      <c r="F904">
        <v>0</v>
      </c>
      <c r="G904" t="s">
        <v>1265</v>
      </c>
      <c r="H904">
        <v>1</v>
      </c>
      <c r="I904" t="s">
        <v>1265</v>
      </c>
      <c r="J904" t="s">
        <v>1265</v>
      </c>
      <c r="K904" t="s">
        <v>3191</v>
      </c>
      <c r="L904" t="s">
        <v>3176</v>
      </c>
      <c r="M904" t="s">
        <v>3190</v>
      </c>
      <c r="N904" t="s">
        <v>3174</v>
      </c>
      <c r="O904">
        <v>2578</v>
      </c>
      <c r="P904" t="s">
        <v>3444</v>
      </c>
      <c r="R904" t="s">
        <v>3434</v>
      </c>
      <c r="S904">
        <v>0</v>
      </c>
      <c r="T904" s="29">
        <v>402666666666667</v>
      </c>
      <c r="U904">
        <v>0</v>
      </c>
      <c r="V904">
        <v>0</v>
      </c>
      <c r="W904">
        <v>0</v>
      </c>
      <c r="X904" s="29">
        <v>402666666666667</v>
      </c>
      <c r="Y904">
        <v>0</v>
      </c>
      <c r="Z904">
        <v>0</v>
      </c>
      <c r="AA904">
        <v>0</v>
      </c>
      <c r="AE904" s="30">
        <v>46168.405555555553</v>
      </c>
      <c r="AF904" s="30">
        <v>46176.416666666664</v>
      </c>
      <c r="AH904" s="30">
        <v>45859.438888888886</v>
      </c>
      <c r="AI904" s="30">
        <v>45866.45</v>
      </c>
      <c r="AJ904" s="30">
        <v>45859.438888888886</v>
      </c>
      <c r="AK904" s="30">
        <v>45866.45</v>
      </c>
      <c r="AL904" s="30">
        <v>45859.438888888886</v>
      </c>
      <c r="AM904" s="30">
        <v>45866.45</v>
      </c>
      <c r="AN904" s="30">
        <v>46168.405555555553</v>
      </c>
      <c r="AO904" s="30">
        <v>46176.416666666664</v>
      </c>
      <c r="AQ904" t="s">
        <v>3171</v>
      </c>
      <c r="AV904" t="s">
        <v>3443</v>
      </c>
      <c r="AW904" t="s">
        <v>3442</v>
      </c>
      <c r="AZ904" t="s">
        <v>1265</v>
      </c>
      <c r="BA904">
        <v>0</v>
      </c>
      <c r="BB904">
        <v>0</v>
      </c>
      <c r="BJ904" s="30">
        <v>46069.523611111108</v>
      </c>
      <c r="BK904" s="30">
        <v>46093.73333333333</v>
      </c>
      <c r="BL904" t="s">
        <v>1259</v>
      </c>
      <c r="BM904" t="s">
        <v>1259</v>
      </c>
      <c r="BO904" t="s">
        <v>1265</v>
      </c>
    </row>
    <row r="905" spans="1:67" x14ac:dyDescent="0.25">
      <c r="A905" t="s">
        <v>1248</v>
      </c>
      <c r="B905">
        <v>352287</v>
      </c>
      <c r="C905">
        <v>405</v>
      </c>
      <c r="D905">
        <v>51499</v>
      </c>
      <c r="E905">
        <v>1117</v>
      </c>
      <c r="F905">
        <v>0</v>
      </c>
      <c r="G905" t="s">
        <v>1265</v>
      </c>
      <c r="H905">
        <v>1</v>
      </c>
      <c r="I905" t="s">
        <v>1265</v>
      </c>
      <c r="J905" t="s">
        <v>1265</v>
      </c>
      <c r="K905" t="s">
        <v>3191</v>
      </c>
      <c r="L905" t="s">
        <v>3176</v>
      </c>
      <c r="M905" t="s">
        <v>3190</v>
      </c>
      <c r="N905" t="s">
        <v>3174</v>
      </c>
      <c r="O905">
        <v>2588</v>
      </c>
      <c r="P905" t="s">
        <v>3441</v>
      </c>
      <c r="R905" t="s">
        <v>3434</v>
      </c>
      <c r="S905">
        <v>0</v>
      </c>
      <c r="T905">
        <v>32</v>
      </c>
      <c r="U905">
        <v>0</v>
      </c>
      <c r="V905">
        <v>0</v>
      </c>
      <c r="W905">
        <v>0</v>
      </c>
      <c r="X905">
        <v>32</v>
      </c>
      <c r="Y905">
        <v>0</v>
      </c>
      <c r="Z905">
        <v>0</v>
      </c>
      <c r="AA905">
        <v>0</v>
      </c>
      <c r="AE905" s="30">
        <v>46176.416666666664</v>
      </c>
      <c r="AF905" s="30">
        <v>46182.416666666664</v>
      </c>
      <c r="AH905" s="30">
        <v>45866.45</v>
      </c>
      <c r="AI905" s="30">
        <v>45870.45</v>
      </c>
      <c r="AJ905" s="30">
        <v>45866.45</v>
      </c>
      <c r="AK905" s="30">
        <v>45870.45</v>
      </c>
      <c r="AL905" s="30">
        <v>45866.45</v>
      </c>
      <c r="AM905" s="30">
        <v>45870.45</v>
      </c>
      <c r="AN905" s="30">
        <v>46176.416666666664</v>
      </c>
      <c r="AO905" s="30">
        <v>46182.416666666664</v>
      </c>
      <c r="AQ905" t="s">
        <v>3171</v>
      </c>
      <c r="AV905" t="s">
        <v>3440</v>
      </c>
      <c r="AW905" t="s">
        <v>3439</v>
      </c>
      <c r="AZ905" t="s">
        <v>1265</v>
      </c>
      <c r="BA905">
        <v>0</v>
      </c>
      <c r="BB905">
        <v>0</v>
      </c>
      <c r="BJ905" s="30">
        <v>46069.523611111108</v>
      </c>
      <c r="BK905" s="30">
        <v>46093.667361111111</v>
      </c>
      <c r="BL905" t="s">
        <v>1259</v>
      </c>
      <c r="BM905" t="s">
        <v>1259</v>
      </c>
      <c r="BO905" t="s">
        <v>1265</v>
      </c>
    </row>
    <row r="906" spans="1:67" x14ac:dyDescent="0.25">
      <c r="A906" t="s">
        <v>1248</v>
      </c>
      <c r="B906">
        <v>352288</v>
      </c>
      <c r="C906">
        <v>405</v>
      </c>
      <c r="D906">
        <v>51499</v>
      </c>
      <c r="E906">
        <v>1117</v>
      </c>
      <c r="F906">
        <v>0</v>
      </c>
      <c r="G906" t="s">
        <v>1265</v>
      </c>
      <c r="H906">
        <v>1</v>
      </c>
      <c r="I906" t="s">
        <v>1265</v>
      </c>
      <c r="J906" t="s">
        <v>1265</v>
      </c>
      <c r="K906" t="s">
        <v>3191</v>
      </c>
      <c r="L906" t="s">
        <v>3176</v>
      </c>
      <c r="M906" t="s">
        <v>3190</v>
      </c>
      <c r="N906" t="s">
        <v>3174</v>
      </c>
      <c r="O906">
        <v>2598</v>
      </c>
      <c r="P906" t="s">
        <v>3438</v>
      </c>
      <c r="R906" t="s">
        <v>3434</v>
      </c>
      <c r="S906">
        <v>0</v>
      </c>
      <c r="T906">
        <v>47</v>
      </c>
      <c r="U906">
        <v>0</v>
      </c>
      <c r="V906">
        <v>0</v>
      </c>
      <c r="W906">
        <v>0</v>
      </c>
      <c r="X906">
        <v>47</v>
      </c>
      <c r="Y906">
        <v>0</v>
      </c>
      <c r="Z906">
        <v>0</v>
      </c>
      <c r="AA906">
        <v>0</v>
      </c>
      <c r="AE906" s="30">
        <v>46182.416666666664</v>
      </c>
      <c r="AF906" s="30">
        <v>46190.375</v>
      </c>
      <c r="AH906" s="30">
        <v>45870.45</v>
      </c>
      <c r="AI906" s="30">
        <v>45880.408333333333</v>
      </c>
      <c r="AJ906" s="30">
        <v>45870.45</v>
      </c>
      <c r="AK906" s="30">
        <v>45880.408333333333</v>
      </c>
      <c r="AL906" s="30">
        <v>45870.45</v>
      </c>
      <c r="AM906" s="30">
        <v>45880.408333333333</v>
      </c>
      <c r="AN906" s="30">
        <v>46182.416666666664</v>
      </c>
      <c r="AO906" s="30">
        <v>46190.375</v>
      </c>
      <c r="AQ906" t="s">
        <v>3171</v>
      </c>
      <c r="AV906" t="s">
        <v>3437</v>
      </c>
      <c r="AW906" t="s">
        <v>3436</v>
      </c>
      <c r="AZ906" t="s">
        <v>1265</v>
      </c>
      <c r="BA906">
        <v>0</v>
      </c>
      <c r="BB906">
        <v>0</v>
      </c>
      <c r="BJ906" s="30">
        <v>46069.523611111108</v>
      </c>
      <c r="BK906" s="30">
        <v>46093.667361111111</v>
      </c>
      <c r="BL906" t="s">
        <v>1259</v>
      </c>
      <c r="BM906" t="s">
        <v>1259</v>
      </c>
      <c r="BO906" t="s">
        <v>1265</v>
      </c>
    </row>
    <row r="907" spans="1:67" x14ac:dyDescent="0.25">
      <c r="A907" t="s">
        <v>1248</v>
      </c>
      <c r="B907">
        <v>352289</v>
      </c>
      <c r="C907">
        <v>405</v>
      </c>
      <c r="D907">
        <v>53304</v>
      </c>
      <c r="E907">
        <v>1117</v>
      </c>
      <c r="F907">
        <v>0</v>
      </c>
      <c r="G907" t="s">
        <v>1265</v>
      </c>
      <c r="H907">
        <v>1</v>
      </c>
      <c r="I907" t="s">
        <v>1265</v>
      </c>
      <c r="J907" t="s">
        <v>1265</v>
      </c>
      <c r="K907" t="s">
        <v>3191</v>
      </c>
      <c r="L907" t="s">
        <v>3176</v>
      </c>
      <c r="M907" t="s">
        <v>3190</v>
      </c>
      <c r="N907" t="s">
        <v>3174</v>
      </c>
      <c r="O907">
        <v>2608</v>
      </c>
      <c r="P907" t="s">
        <v>3435</v>
      </c>
      <c r="R907" t="s">
        <v>3434</v>
      </c>
      <c r="S907">
        <v>8</v>
      </c>
      <c r="T907">
        <v>7</v>
      </c>
      <c r="U907">
        <v>0</v>
      </c>
      <c r="V907">
        <v>0</v>
      </c>
      <c r="W907">
        <v>0</v>
      </c>
      <c r="X907">
        <v>7</v>
      </c>
      <c r="Y907">
        <v>0</v>
      </c>
      <c r="Z907">
        <v>0</v>
      </c>
      <c r="AA907">
        <v>0</v>
      </c>
      <c r="AE907" s="30">
        <v>46190.375</v>
      </c>
      <c r="AF907" s="30">
        <v>46190.708333333336</v>
      </c>
      <c r="AH907" s="30">
        <v>45880.408333333333</v>
      </c>
      <c r="AI907" s="30">
        <v>45881.366666666669</v>
      </c>
      <c r="AJ907" s="30">
        <v>45880.408333333333</v>
      </c>
      <c r="AK907" s="30">
        <v>45881.366666666669</v>
      </c>
      <c r="AL907" s="30">
        <v>45880.408333333333</v>
      </c>
      <c r="AM907" s="30">
        <v>45881.366666666669</v>
      </c>
      <c r="AN907" s="30">
        <v>46190.375</v>
      </c>
      <c r="AO907" s="30">
        <v>46190.708333333336</v>
      </c>
      <c r="AQ907" t="s">
        <v>3171</v>
      </c>
      <c r="AV907" t="s">
        <v>3433</v>
      </c>
      <c r="AW907" t="s">
        <v>3432</v>
      </c>
      <c r="AZ907" t="s">
        <v>1265</v>
      </c>
      <c r="BA907">
        <v>0</v>
      </c>
      <c r="BB907">
        <v>0</v>
      </c>
      <c r="BJ907" s="30">
        <v>46069.523611111108</v>
      </c>
      <c r="BK907" s="30">
        <v>46093.667361111111</v>
      </c>
      <c r="BL907" t="s">
        <v>1259</v>
      </c>
      <c r="BM907" t="s">
        <v>1259</v>
      </c>
      <c r="BO907" t="s">
        <v>1265</v>
      </c>
    </row>
    <row r="908" spans="1:67" x14ac:dyDescent="0.25">
      <c r="A908" t="s">
        <v>1248</v>
      </c>
      <c r="B908">
        <v>352290</v>
      </c>
      <c r="C908">
        <v>405</v>
      </c>
      <c r="D908">
        <v>53304</v>
      </c>
      <c r="E908">
        <v>1117</v>
      </c>
      <c r="F908">
        <v>0</v>
      </c>
      <c r="G908" t="s">
        <v>1265</v>
      </c>
      <c r="H908">
        <v>1</v>
      </c>
      <c r="I908" t="s">
        <v>1265</v>
      </c>
      <c r="J908" t="s">
        <v>1265</v>
      </c>
      <c r="K908" t="s">
        <v>3191</v>
      </c>
      <c r="L908" t="s">
        <v>3176</v>
      </c>
      <c r="M908" t="s">
        <v>3190</v>
      </c>
      <c r="N908" t="s">
        <v>3174</v>
      </c>
      <c r="O908">
        <v>2618</v>
      </c>
      <c r="P908" t="s">
        <v>3431</v>
      </c>
      <c r="R908" t="s">
        <v>3412</v>
      </c>
      <c r="S908">
        <v>0</v>
      </c>
      <c r="T908">
        <v>15</v>
      </c>
      <c r="U908">
        <v>0</v>
      </c>
      <c r="V908">
        <v>0</v>
      </c>
      <c r="W908">
        <v>0</v>
      </c>
      <c r="X908">
        <v>15</v>
      </c>
      <c r="Y908">
        <v>0</v>
      </c>
      <c r="Z908">
        <v>0</v>
      </c>
      <c r="AA908">
        <v>0</v>
      </c>
      <c r="AE908" s="30">
        <v>46136.691666666666</v>
      </c>
      <c r="AF908" s="30">
        <v>46140.65</v>
      </c>
      <c r="AH908" s="30">
        <v>45845.39166666667</v>
      </c>
      <c r="AI908" s="30">
        <v>45847.35</v>
      </c>
      <c r="AJ908" s="30">
        <v>45845.39166666667</v>
      </c>
      <c r="AK908" s="30">
        <v>45847.35</v>
      </c>
      <c r="AL908" s="30">
        <v>45845.39166666667</v>
      </c>
      <c r="AM908" s="30">
        <v>45847.35</v>
      </c>
      <c r="AN908" s="30">
        <v>46136.691666666666</v>
      </c>
      <c r="AO908" s="30">
        <v>46140.65</v>
      </c>
      <c r="AQ908" t="s">
        <v>3171</v>
      </c>
      <c r="AV908" t="s">
        <v>3430</v>
      </c>
      <c r="AW908" t="s">
        <v>3429</v>
      </c>
      <c r="AZ908" t="s">
        <v>1265</v>
      </c>
      <c r="BA908">
        <v>0</v>
      </c>
      <c r="BB908">
        <v>0</v>
      </c>
      <c r="BJ908" s="30">
        <v>46069.523611111108</v>
      </c>
      <c r="BK908" s="30">
        <v>46093.667361111111</v>
      </c>
      <c r="BL908" t="s">
        <v>1259</v>
      </c>
      <c r="BM908" t="s">
        <v>1259</v>
      </c>
      <c r="BO908" t="s">
        <v>1265</v>
      </c>
    </row>
    <row r="909" spans="1:67" x14ac:dyDescent="0.25">
      <c r="A909" t="s">
        <v>1248</v>
      </c>
      <c r="B909">
        <v>352291</v>
      </c>
      <c r="C909">
        <v>405</v>
      </c>
      <c r="D909">
        <v>51500</v>
      </c>
      <c r="E909">
        <v>1117</v>
      </c>
      <c r="F909">
        <v>0</v>
      </c>
      <c r="G909" t="s">
        <v>1265</v>
      </c>
      <c r="H909">
        <v>1</v>
      </c>
      <c r="I909" t="s">
        <v>1265</v>
      </c>
      <c r="J909" t="s">
        <v>1265</v>
      </c>
      <c r="K909" t="s">
        <v>3191</v>
      </c>
      <c r="L909" t="s">
        <v>3176</v>
      </c>
      <c r="M909" t="s">
        <v>3190</v>
      </c>
      <c r="N909" t="s">
        <v>3174</v>
      </c>
      <c r="O909">
        <v>2628</v>
      </c>
      <c r="P909" t="s">
        <v>3428</v>
      </c>
      <c r="R909" t="s">
        <v>3412</v>
      </c>
      <c r="S909">
        <v>0</v>
      </c>
      <c r="T909" s="29">
        <v>441333333333333</v>
      </c>
      <c r="U909">
        <v>0</v>
      </c>
      <c r="V909">
        <v>0</v>
      </c>
      <c r="W909">
        <v>0</v>
      </c>
      <c r="X909" s="29">
        <v>441333333333333</v>
      </c>
      <c r="Y909">
        <v>0</v>
      </c>
      <c r="Z909">
        <v>0</v>
      </c>
      <c r="AA909">
        <v>0</v>
      </c>
      <c r="AE909" s="30">
        <v>46140.65</v>
      </c>
      <c r="AF909" s="30">
        <v>46149.447222222225</v>
      </c>
      <c r="AH909" s="30">
        <v>45847.35</v>
      </c>
      <c r="AI909" s="30">
        <v>45854.563888888886</v>
      </c>
      <c r="AJ909" s="30">
        <v>45847.35</v>
      </c>
      <c r="AK909" s="30">
        <v>45854.563888888886</v>
      </c>
      <c r="AL909" s="30">
        <v>45847.35</v>
      </c>
      <c r="AM909" s="30">
        <v>45854.563888888886</v>
      </c>
      <c r="AN909" s="30">
        <v>46140.65</v>
      </c>
      <c r="AO909" s="30">
        <v>46149.447222222225</v>
      </c>
      <c r="AQ909" t="s">
        <v>3171</v>
      </c>
      <c r="AV909" t="s">
        <v>3427</v>
      </c>
      <c r="AW909" t="s">
        <v>3426</v>
      </c>
      <c r="AZ909" t="s">
        <v>1265</v>
      </c>
      <c r="BA909">
        <v>0</v>
      </c>
      <c r="BB909">
        <v>0</v>
      </c>
      <c r="BJ909" s="30">
        <v>46069.523611111108</v>
      </c>
      <c r="BK909" s="30">
        <v>46093.73333333333</v>
      </c>
      <c r="BL909" t="s">
        <v>1259</v>
      </c>
      <c r="BM909" t="s">
        <v>1259</v>
      </c>
      <c r="BO909" t="s">
        <v>1265</v>
      </c>
    </row>
    <row r="910" spans="1:67" x14ac:dyDescent="0.25">
      <c r="A910" t="s">
        <v>1248</v>
      </c>
      <c r="B910">
        <v>352292</v>
      </c>
      <c r="C910">
        <v>405</v>
      </c>
      <c r="D910">
        <v>51500</v>
      </c>
      <c r="E910">
        <v>1117</v>
      </c>
      <c r="F910">
        <v>0</v>
      </c>
      <c r="G910" t="s">
        <v>1265</v>
      </c>
      <c r="H910">
        <v>1</v>
      </c>
      <c r="I910" t="s">
        <v>1265</v>
      </c>
      <c r="J910" t="s">
        <v>1265</v>
      </c>
      <c r="K910" t="s">
        <v>3191</v>
      </c>
      <c r="L910" t="s">
        <v>3176</v>
      </c>
      <c r="M910" t="s">
        <v>3190</v>
      </c>
      <c r="N910" t="s">
        <v>3174</v>
      </c>
      <c r="O910">
        <v>2638</v>
      </c>
      <c r="P910" t="s">
        <v>3425</v>
      </c>
      <c r="R910" t="s">
        <v>3412</v>
      </c>
      <c r="S910">
        <v>0</v>
      </c>
      <c r="T910">
        <v>7</v>
      </c>
      <c r="U910">
        <v>0</v>
      </c>
      <c r="V910">
        <v>0</v>
      </c>
      <c r="W910">
        <v>0</v>
      </c>
      <c r="X910">
        <v>7</v>
      </c>
      <c r="Y910">
        <v>0</v>
      </c>
      <c r="Z910">
        <v>0</v>
      </c>
      <c r="AA910">
        <v>0</v>
      </c>
      <c r="AE910" s="30">
        <v>46149.447222222225</v>
      </c>
      <c r="AF910" s="30">
        <v>46150.405555555553</v>
      </c>
      <c r="AH910" s="30">
        <v>45854.563888888886</v>
      </c>
      <c r="AI910" s="30">
        <v>45855.480555555558</v>
      </c>
      <c r="AJ910" s="30">
        <v>45854.563888888886</v>
      </c>
      <c r="AK910" s="30">
        <v>45855.480555555558</v>
      </c>
      <c r="AL910" s="30">
        <v>45854.563888888886</v>
      </c>
      <c r="AM910" s="30">
        <v>45855.480555555558</v>
      </c>
      <c r="AN910" s="30">
        <v>46149.447222222225</v>
      </c>
      <c r="AO910" s="30">
        <v>46150.405555555553</v>
      </c>
      <c r="AQ910" t="s">
        <v>3171</v>
      </c>
      <c r="AV910" t="s">
        <v>3424</v>
      </c>
      <c r="AW910" t="s">
        <v>3423</v>
      </c>
      <c r="AZ910" t="s">
        <v>1265</v>
      </c>
      <c r="BA910">
        <v>0</v>
      </c>
      <c r="BB910">
        <v>0</v>
      </c>
      <c r="BJ910" s="30">
        <v>46069.523611111108</v>
      </c>
      <c r="BK910" s="30">
        <v>46093.667361111111</v>
      </c>
      <c r="BL910" t="s">
        <v>1259</v>
      </c>
      <c r="BM910" t="s">
        <v>1259</v>
      </c>
      <c r="BO910" t="s">
        <v>1265</v>
      </c>
    </row>
    <row r="911" spans="1:67" x14ac:dyDescent="0.25">
      <c r="A911" t="s">
        <v>1248</v>
      </c>
      <c r="B911">
        <v>352293</v>
      </c>
      <c r="C911">
        <v>405</v>
      </c>
      <c r="D911">
        <v>51500</v>
      </c>
      <c r="E911">
        <v>1117</v>
      </c>
      <c r="F911">
        <v>0</v>
      </c>
      <c r="G911" t="s">
        <v>1265</v>
      </c>
      <c r="H911">
        <v>1</v>
      </c>
      <c r="I911" t="s">
        <v>1265</v>
      </c>
      <c r="J911" t="s">
        <v>1265</v>
      </c>
      <c r="K911" t="s">
        <v>3191</v>
      </c>
      <c r="L911" t="s">
        <v>3176</v>
      </c>
      <c r="M911" t="s">
        <v>3190</v>
      </c>
      <c r="N911" t="s">
        <v>3174</v>
      </c>
      <c r="O911">
        <v>2648</v>
      </c>
      <c r="P911" t="s">
        <v>3422</v>
      </c>
      <c r="R911" t="s">
        <v>3412</v>
      </c>
      <c r="S911">
        <v>0</v>
      </c>
      <c r="T911" s="29">
        <v>402666666666667</v>
      </c>
      <c r="U911">
        <v>0</v>
      </c>
      <c r="V911">
        <v>0</v>
      </c>
      <c r="W911">
        <v>0</v>
      </c>
      <c r="X911" s="29">
        <v>402666666666667</v>
      </c>
      <c r="Y911">
        <v>0</v>
      </c>
      <c r="Z911">
        <v>0</v>
      </c>
      <c r="AA911">
        <v>0</v>
      </c>
      <c r="AE911" s="30">
        <v>46150.405555555553</v>
      </c>
      <c r="AF911" s="30">
        <v>46157.416666666664</v>
      </c>
      <c r="AH911" s="30">
        <v>45855.480555555558</v>
      </c>
      <c r="AI911" s="30">
        <v>45862.491666666669</v>
      </c>
      <c r="AJ911" s="30">
        <v>45855.480555555558</v>
      </c>
      <c r="AK911" s="30">
        <v>45862.491666666669</v>
      </c>
      <c r="AL911" s="30">
        <v>45855.480555555558</v>
      </c>
      <c r="AM911" s="30">
        <v>45862.491666666669</v>
      </c>
      <c r="AN911" s="30">
        <v>46150.405555555553</v>
      </c>
      <c r="AO911" s="30">
        <v>46157.416666666664</v>
      </c>
      <c r="AQ911" t="s">
        <v>3171</v>
      </c>
      <c r="AV911" t="s">
        <v>3421</v>
      </c>
      <c r="AW911" t="s">
        <v>3420</v>
      </c>
      <c r="AZ911" t="s">
        <v>1265</v>
      </c>
      <c r="BA911">
        <v>0</v>
      </c>
      <c r="BB911">
        <v>0</v>
      </c>
      <c r="BJ911" s="30">
        <v>46069.523611111108</v>
      </c>
      <c r="BK911" s="30">
        <v>46093.73333333333</v>
      </c>
      <c r="BL911" t="s">
        <v>1259</v>
      </c>
      <c r="BM911" t="s">
        <v>1259</v>
      </c>
      <c r="BO911" t="s">
        <v>1265</v>
      </c>
    </row>
    <row r="912" spans="1:67" x14ac:dyDescent="0.25">
      <c r="A912" t="s">
        <v>1248</v>
      </c>
      <c r="B912">
        <v>352294</v>
      </c>
      <c r="C912">
        <v>405</v>
      </c>
      <c r="D912">
        <v>51500</v>
      </c>
      <c r="E912">
        <v>1117</v>
      </c>
      <c r="F912">
        <v>0</v>
      </c>
      <c r="G912" t="s">
        <v>1265</v>
      </c>
      <c r="H912">
        <v>1</v>
      </c>
      <c r="I912" t="s">
        <v>1265</v>
      </c>
      <c r="J912" t="s">
        <v>1265</v>
      </c>
      <c r="K912" t="s">
        <v>3191</v>
      </c>
      <c r="L912" t="s">
        <v>3176</v>
      </c>
      <c r="M912" t="s">
        <v>3190</v>
      </c>
      <c r="N912" t="s">
        <v>3174</v>
      </c>
      <c r="O912">
        <v>2658</v>
      </c>
      <c r="P912" t="s">
        <v>3419</v>
      </c>
      <c r="R912" t="s">
        <v>3412</v>
      </c>
      <c r="S912">
        <v>0</v>
      </c>
      <c r="T912">
        <v>32</v>
      </c>
      <c r="U912">
        <v>0</v>
      </c>
      <c r="V912">
        <v>0</v>
      </c>
      <c r="W912">
        <v>0</v>
      </c>
      <c r="X912">
        <v>32</v>
      </c>
      <c r="Y912">
        <v>0</v>
      </c>
      <c r="Z912">
        <v>0</v>
      </c>
      <c r="AA912">
        <v>0</v>
      </c>
      <c r="AE912" s="30">
        <v>46157.416666666664</v>
      </c>
      <c r="AF912" s="30">
        <v>46163.416666666664</v>
      </c>
      <c r="AH912" s="30">
        <v>45862.491666666669</v>
      </c>
      <c r="AI912" s="30">
        <v>45868.491666666669</v>
      </c>
      <c r="AJ912" s="30">
        <v>45862.491666666669</v>
      </c>
      <c r="AK912" s="30">
        <v>45868.491666666669</v>
      </c>
      <c r="AL912" s="30">
        <v>45862.491666666669</v>
      </c>
      <c r="AM912" s="30">
        <v>45868.491666666669</v>
      </c>
      <c r="AN912" s="30">
        <v>46157.416666666664</v>
      </c>
      <c r="AO912" s="30">
        <v>46163.416666666664</v>
      </c>
      <c r="AQ912" t="s">
        <v>3171</v>
      </c>
      <c r="AV912" t="s">
        <v>3418</v>
      </c>
      <c r="AW912" t="s">
        <v>3417</v>
      </c>
      <c r="AZ912" t="s">
        <v>1265</v>
      </c>
      <c r="BA912">
        <v>0</v>
      </c>
      <c r="BB912">
        <v>0</v>
      </c>
      <c r="BJ912" s="30">
        <v>46069.523611111108</v>
      </c>
      <c r="BK912" s="30">
        <v>46093.667361111111</v>
      </c>
      <c r="BL912" t="s">
        <v>1259</v>
      </c>
      <c r="BM912" t="s">
        <v>1259</v>
      </c>
      <c r="BO912" t="s">
        <v>1265</v>
      </c>
    </row>
    <row r="913" spans="1:67" x14ac:dyDescent="0.25">
      <c r="A913" t="s">
        <v>1248</v>
      </c>
      <c r="B913">
        <v>352295</v>
      </c>
      <c r="C913">
        <v>405</v>
      </c>
      <c r="D913">
        <v>51500</v>
      </c>
      <c r="E913">
        <v>1117</v>
      </c>
      <c r="F913">
        <v>0</v>
      </c>
      <c r="G913" t="s">
        <v>1265</v>
      </c>
      <c r="H913">
        <v>1</v>
      </c>
      <c r="I913" t="s">
        <v>1265</v>
      </c>
      <c r="J913" t="s">
        <v>1265</v>
      </c>
      <c r="K913" t="s">
        <v>3191</v>
      </c>
      <c r="L913" t="s">
        <v>3176</v>
      </c>
      <c r="M913" t="s">
        <v>3190</v>
      </c>
      <c r="N913" t="s">
        <v>3174</v>
      </c>
      <c r="O913">
        <v>2668</v>
      </c>
      <c r="P913" t="s">
        <v>3416</v>
      </c>
      <c r="R913" t="s">
        <v>3412</v>
      </c>
      <c r="S913">
        <v>0</v>
      </c>
      <c r="T913">
        <v>47</v>
      </c>
      <c r="U913">
        <v>0</v>
      </c>
      <c r="V913">
        <v>0</v>
      </c>
      <c r="W913">
        <v>0</v>
      </c>
      <c r="X913">
        <v>47</v>
      </c>
      <c r="Y913">
        <v>0</v>
      </c>
      <c r="Z913">
        <v>0</v>
      </c>
      <c r="AA913">
        <v>0</v>
      </c>
      <c r="AE913" s="30">
        <v>46163.416666666664</v>
      </c>
      <c r="AF913" s="30">
        <v>46171.375</v>
      </c>
      <c r="AH913" s="30">
        <v>45868.491666666669</v>
      </c>
      <c r="AI913" s="30">
        <v>45876.45</v>
      </c>
      <c r="AJ913" s="30">
        <v>45868.491666666669</v>
      </c>
      <c r="AK913" s="30">
        <v>45876.45</v>
      </c>
      <c r="AL913" s="30">
        <v>45868.491666666669</v>
      </c>
      <c r="AM913" s="30">
        <v>45876.45</v>
      </c>
      <c r="AN913" s="30">
        <v>46163.416666666664</v>
      </c>
      <c r="AO913" s="30">
        <v>46171.375</v>
      </c>
      <c r="AQ913" t="s">
        <v>3171</v>
      </c>
      <c r="AV913" t="s">
        <v>3415</v>
      </c>
      <c r="AW913" t="s">
        <v>3414</v>
      </c>
      <c r="AZ913" t="s">
        <v>1265</v>
      </c>
      <c r="BA913">
        <v>0</v>
      </c>
      <c r="BB913">
        <v>0</v>
      </c>
      <c r="BJ913" s="30">
        <v>46069.523611111108</v>
      </c>
      <c r="BK913" s="30">
        <v>46093.667361111111</v>
      </c>
      <c r="BL913" t="s">
        <v>1259</v>
      </c>
      <c r="BM913" t="s">
        <v>1259</v>
      </c>
      <c r="BO913" t="s">
        <v>1265</v>
      </c>
    </row>
    <row r="914" spans="1:67" x14ac:dyDescent="0.25">
      <c r="A914" t="s">
        <v>1248</v>
      </c>
      <c r="B914">
        <v>352296</v>
      </c>
      <c r="C914">
        <v>405</v>
      </c>
      <c r="D914">
        <v>53304</v>
      </c>
      <c r="E914">
        <v>1117</v>
      </c>
      <c r="F914">
        <v>0</v>
      </c>
      <c r="G914" t="s">
        <v>1265</v>
      </c>
      <c r="H914">
        <v>1</v>
      </c>
      <c r="I914" t="s">
        <v>1265</v>
      </c>
      <c r="J914" t="s">
        <v>1265</v>
      </c>
      <c r="K914" t="s">
        <v>3191</v>
      </c>
      <c r="L914" t="s">
        <v>3176</v>
      </c>
      <c r="M914" t="s">
        <v>3190</v>
      </c>
      <c r="N914" t="s">
        <v>3174</v>
      </c>
      <c r="O914">
        <v>2678</v>
      </c>
      <c r="P914" t="s">
        <v>3413</v>
      </c>
      <c r="R914" t="s">
        <v>3412</v>
      </c>
      <c r="S914">
        <v>8</v>
      </c>
      <c r="T914">
        <v>7</v>
      </c>
      <c r="U914">
        <v>0</v>
      </c>
      <c r="V914">
        <v>0</v>
      </c>
      <c r="W914">
        <v>0</v>
      </c>
      <c r="X914">
        <v>7</v>
      </c>
      <c r="Y914">
        <v>0</v>
      </c>
      <c r="Z914">
        <v>0</v>
      </c>
      <c r="AA914">
        <v>0</v>
      </c>
      <c r="AE914" s="30">
        <v>46171.375</v>
      </c>
      <c r="AF914" s="30">
        <v>46171.708333333336</v>
      </c>
      <c r="AH914" s="30">
        <v>45876.45</v>
      </c>
      <c r="AI914" s="30">
        <v>45877.408333333333</v>
      </c>
      <c r="AJ914" s="30">
        <v>45876.45</v>
      </c>
      <c r="AK914" s="30">
        <v>45877.408333333333</v>
      </c>
      <c r="AL914" s="30">
        <v>45876.45</v>
      </c>
      <c r="AM914" s="30">
        <v>45877.408333333333</v>
      </c>
      <c r="AN914" s="30">
        <v>46171.375</v>
      </c>
      <c r="AO914" s="30">
        <v>46171.708333333336</v>
      </c>
      <c r="AQ914" t="s">
        <v>3171</v>
      </c>
      <c r="AV914" t="s">
        <v>3411</v>
      </c>
      <c r="AW914" t="s">
        <v>3410</v>
      </c>
      <c r="AZ914" t="s">
        <v>1265</v>
      </c>
      <c r="BA914">
        <v>0</v>
      </c>
      <c r="BB914">
        <v>0</v>
      </c>
      <c r="BJ914" s="30">
        <v>46069.523611111108</v>
      </c>
      <c r="BK914" s="30">
        <v>46093.667361111111</v>
      </c>
      <c r="BL914" t="s">
        <v>1259</v>
      </c>
      <c r="BM914" t="s">
        <v>1259</v>
      </c>
      <c r="BO914" t="s">
        <v>1265</v>
      </c>
    </row>
    <row r="915" spans="1:67" x14ac:dyDescent="0.25">
      <c r="A915" t="s">
        <v>1248</v>
      </c>
      <c r="B915">
        <v>352297</v>
      </c>
      <c r="C915">
        <v>405</v>
      </c>
      <c r="D915">
        <v>53304</v>
      </c>
      <c r="E915">
        <v>1117</v>
      </c>
      <c r="F915">
        <v>0</v>
      </c>
      <c r="G915" t="s">
        <v>1265</v>
      </c>
      <c r="H915">
        <v>1</v>
      </c>
      <c r="I915" t="s">
        <v>1265</v>
      </c>
      <c r="J915" t="s">
        <v>1265</v>
      </c>
      <c r="K915" t="s">
        <v>3191</v>
      </c>
      <c r="L915" t="s">
        <v>3176</v>
      </c>
      <c r="M915" t="s">
        <v>3190</v>
      </c>
      <c r="N915" t="s">
        <v>3174</v>
      </c>
      <c r="O915">
        <v>2688</v>
      </c>
      <c r="P915" t="s">
        <v>3409</v>
      </c>
      <c r="R915" t="s">
        <v>3390</v>
      </c>
      <c r="S915">
        <v>0</v>
      </c>
      <c r="T915">
        <v>15</v>
      </c>
      <c r="U915">
        <v>0</v>
      </c>
      <c r="V915">
        <v>0</v>
      </c>
      <c r="W915">
        <v>0</v>
      </c>
      <c r="X915">
        <v>15</v>
      </c>
      <c r="Y915">
        <v>0</v>
      </c>
      <c r="Z915">
        <v>0</v>
      </c>
      <c r="AA915">
        <v>0</v>
      </c>
      <c r="AE915" s="30">
        <v>46120.691666666666</v>
      </c>
      <c r="AF915" s="30">
        <v>46122.65</v>
      </c>
      <c r="AH915" s="30">
        <v>45841.433333333334</v>
      </c>
      <c r="AI915" s="30">
        <v>45845.39166666667</v>
      </c>
      <c r="AJ915" s="30">
        <v>45841.433333333334</v>
      </c>
      <c r="AK915" s="30">
        <v>45845.39166666667</v>
      </c>
      <c r="AL915" s="30">
        <v>45841.433333333334</v>
      </c>
      <c r="AM915" s="30">
        <v>45845.39166666667</v>
      </c>
      <c r="AN915" s="30">
        <v>46120.691666666666</v>
      </c>
      <c r="AO915" s="30">
        <v>46122.65</v>
      </c>
      <c r="AQ915" t="s">
        <v>3171</v>
      </c>
      <c r="AV915" t="s">
        <v>3408</v>
      </c>
      <c r="AW915" t="s">
        <v>3407</v>
      </c>
      <c r="AZ915" t="s">
        <v>1265</v>
      </c>
      <c r="BA915">
        <v>0</v>
      </c>
      <c r="BB915">
        <v>0</v>
      </c>
      <c r="BJ915" s="30">
        <v>46069.523611111108</v>
      </c>
      <c r="BK915" s="30">
        <v>46093.667361111111</v>
      </c>
      <c r="BL915" t="s">
        <v>1259</v>
      </c>
      <c r="BM915" t="s">
        <v>1259</v>
      </c>
      <c r="BO915" t="s">
        <v>1265</v>
      </c>
    </row>
    <row r="916" spans="1:67" x14ac:dyDescent="0.25">
      <c r="A916" t="s">
        <v>1248</v>
      </c>
      <c r="B916">
        <v>352298</v>
      </c>
      <c r="C916">
        <v>405</v>
      </c>
      <c r="D916">
        <v>51501</v>
      </c>
      <c r="E916">
        <v>1117</v>
      </c>
      <c r="F916">
        <v>0</v>
      </c>
      <c r="G916" t="s">
        <v>1265</v>
      </c>
      <c r="H916">
        <v>1</v>
      </c>
      <c r="I916" t="s">
        <v>1265</v>
      </c>
      <c r="J916" t="s">
        <v>1265</v>
      </c>
      <c r="K916" t="s">
        <v>3191</v>
      </c>
      <c r="L916" t="s">
        <v>3176</v>
      </c>
      <c r="M916" t="s">
        <v>3190</v>
      </c>
      <c r="N916" t="s">
        <v>3174</v>
      </c>
      <c r="O916">
        <v>2698</v>
      </c>
      <c r="P916" t="s">
        <v>3406</v>
      </c>
      <c r="R916" t="s">
        <v>3390</v>
      </c>
      <c r="S916">
        <v>0</v>
      </c>
      <c r="T916" s="29">
        <v>441333333333333</v>
      </c>
      <c r="U916">
        <v>0</v>
      </c>
      <c r="V916">
        <v>0</v>
      </c>
      <c r="W916">
        <v>0</v>
      </c>
      <c r="X916" s="29">
        <v>441333333333333</v>
      </c>
      <c r="Y916">
        <v>0</v>
      </c>
      <c r="Z916">
        <v>0</v>
      </c>
      <c r="AA916">
        <v>0</v>
      </c>
      <c r="AE916" s="30">
        <v>46122.65</v>
      </c>
      <c r="AF916" s="30">
        <v>46132.447222222225</v>
      </c>
      <c r="AH916" s="30">
        <v>45845.39166666667</v>
      </c>
      <c r="AI916" s="30">
        <v>45852.605555555558</v>
      </c>
      <c r="AJ916" s="30">
        <v>45845.39166666667</v>
      </c>
      <c r="AK916" s="30">
        <v>45852.605555555558</v>
      </c>
      <c r="AL916" s="30">
        <v>45845.39166666667</v>
      </c>
      <c r="AM916" s="30">
        <v>45852.605555555558</v>
      </c>
      <c r="AN916" s="30">
        <v>46122.65</v>
      </c>
      <c r="AO916" s="30">
        <v>46132.447222222225</v>
      </c>
      <c r="AQ916" t="s">
        <v>3171</v>
      </c>
      <c r="AV916" t="s">
        <v>3405</v>
      </c>
      <c r="AW916" t="s">
        <v>3404</v>
      </c>
      <c r="AZ916" t="s">
        <v>1265</v>
      </c>
      <c r="BA916">
        <v>0</v>
      </c>
      <c r="BB916">
        <v>0</v>
      </c>
      <c r="BJ916" s="30">
        <v>46069.523611111108</v>
      </c>
      <c r="BK916" s="30">
        <v>46093.73333333333</v>
      </c>
      <c r="BL916" t="s">
        <v>1259</v>
      </c>
      <c r="BM916" t="s">
        <v>1259</v>
      </c>
      <c r="BO916" t="s">
        <v>1265</v>
      </c>
    </row>
    <row r="917" spans="1:67" x14ac:dyDescent="0.25">
      <c r="A917" t="s">
        <v>1248</v>
      </c>
      <c r="B917">
        <v>352299</v>
      </c>
      <c r="C917">
        <v>405</v>
      </c>
      <c r="D917">
        <v>51501</v>
      </c>
      <c r="E917">
        <v>1117</v>
      </c>
      <c r="F917">
        <v>0</v>
      </c>
      <c r="G917" t="s">
        <v>1265</v>
      </c>
      <c r="H917">
        <v>1</v>
      </c>
      <c r="I917" t="s">
        <v>1265</v>
      </c>
      <c r="J917" t="s">
        <v>1265</v>
      </c>
      <c r="K917" t="s">
        <v>3191</v>
      </c>
      <c r="L917" t="s">
        <v>3176</v>
      </c>
      <c r="M917" t="s">
        <v>3190</v>
      </c>
      <c r="N917" t="s">
        <v>3174</v>
      </c>
      <c r="O917">
        <v>2708</v>
      </c>
      <c r="P917" t="s">
        <v>3403</v>
      </c>
      <c r="R917" t="s">
        <v>3390</v>
      </c>
      <c r="S917">
        <v>0</v>
      </c>
      <c r="T917">
        <v>7</v>
      </c>
      <c r="U917">
        <v>0</v>
      </c>
      <c r="V917">
        <v>0</v>
      </c>
      <c r="W917">
        <v>0</v>
      </c>
      <c r="X917">
        <v>7</v>
      </c>
      <c r="Y917">
        <v>0</v>
      </c>
      <c r="Z917">
        <v>0</v>
      </c>
      <c r="AA917">
        <v>0</v>
      </c>
      <c r="AE917" s="30">
        <v>46132.447222222225</v>
      </c>
      <c r="AF917" s="30">
        <v>46133.405555555553</v>
      </c>
      <c r="AH917" s="30">
        <v>45852.605555555558</v>
      </c>
      <c r="AI917" s="30">
        <v>45853.563888888886</v>
      </c>
      <c r="AJ917" s="30">
        <v>45852.605555555558</v>
      </c>
      <c r="AK917" s="30">
        <v>45853.563888888886</v>
      </c>
      <c r="AL917" s="30">
        <v>45852.605555555558</v>
      </c>
      <c r="AM917" s="30">
        <v>45853.563888888886</v>
      </c>
      <c r="AN917" s="30">
        <v>46132.447222222225</v>
      </c>
      <c r="AO917" s="30">
        <v>46133.405555555553</v>
      </c>
      <c r="AQ917" t="s">
        <v>3171</v>
      </c>
      <c r="AV917" t="s">
        <v>3402</v>
      </c>
      <c r="AW917" t="s">
        <v>3401</v>
      </c>
      <c r="AZ917" t="s">
        <v>1265</v>
      </c>
      <c r="BA917">
        <v>0</v>
      </c>
      <c r="BB917">
        <v>0</v>
      </c>
      <c r="BJ917" s="30">
        <v>46069.523611111108</v>
      </c>
      <c r="BK917" s="30">
        <v>46093.667361111111</v>
      </c>
      <c r="BL917" t="s">
        <v>1259</v>
      </c>
      <c r="BM917" t="s">
        <v>1259</v>
      </c>
      <c r="BO917" t="s">
        <v>1265</v>
      </c>
    </row>
    <row r="918" spans="1:67" x14ac:dyDescent="0.25">
      <c r="A918" t="s">
        <v>1248</v>
      </c>
      <c r="B918">
        <v>352300</v>
      </c>
      <c r="C918">
        <v>405</v>
      </c>
      <c r="D918">
        <v>51501</v>
      </c>
      <c r="E918">
        <v>1117</v>
      </c>
      <c r="F918">
        <v>0</v>
      </c>
      <c r="G918" t="s">
        <v>1265</v>
      </c>
      <c r="H918">
        <v>1</v>
      </c>
      <c r="I918" t="s">
        <v>1265</v>
      </c>
      <c r="J918" t="s">
        <v>1265</v>
      </c>
      <c r="K918" t="s">
        <v>3191</v>
      </c>
      <c r="L918" t="s">
        <v>3176</v>
      </c>
      <c r="M918" t="s">
        <v>3190</v>
      </c>
      <c r="N918" t="s">
        <v>3174</v>
      </c>
      <c r="O918">
        <v>2718</v>
      </c>
      <c r="P918" t="s">
        <v>3400</v>
      </c>
      <c r="R918" t="s">
        <v>3390</v>
      </c>
      <c r="S918">
        <v>0</v>
      </c>
      <c r="T918" s="29">
        <v>402666666666667</v>
      </c>
      <c r="U918">
        <v>0</v>
      </c>
      <c r="V918">
        <v>0</v>
      </c>
      <c r="W918">
        <v>0</v>
      </c>
      <c r="X918" s="29">
        <v>402666666666667</v>
      </c>
      <c r="Y918">
        <v>0</v>
      </c>
      <c r="Z918">
        <v>0</v>
      </c>
      <c r="AA918">
        <v>0</v>
      </c>
      <c r="AE918" s="30">
        <v>46133.405555555553</v>
      </c>
      <c r="AF918" s="30">
        <v>46140.416666666664</v>
      </c>
      <c r="AH918" s="30">
        <v>45853.563888888886</v>
      </c>
      <c r="AI918" s="30">
        <v>45860.574999999997</v>
      </c>
      <c r="AJ918" s="30">
        <v>45853.563888888886</v>
      </c>
      <c r="AK918" s="30">
        <v>45860.574999999997</v>
      </c>
      <c r="AL918" s="30">
        <v>45853.563888888886</v>
      </c>
      <c r="AM918" s="30">
        <v>45860.574999999997</v>
      </c>
      <c r="AN918" s="30">
        <v>46133.405555555553</v>
      </c>
      <c r="AO918" s="30">
        <v>46140.416666666664</v>
      </c>
      <c r="AQ918" t="s">
        <v>3171</v>
      </c>
      <c r="AV918" t="s">
        <v>3399</v>
      </c>
      <c r="AW918" t="s">
        <v>3398</v>
      </c>
      <c r="AZ918" t="s">
        <v>1265</v>
      </c>
      <c r="BA918">
        <v>0</v>
      </c>
      <c r="BB918">
        <v>0</v>
      </c>
      <c r="BJ918" s="30">
        <v>46069.523611111108</v>
      </c>
      <c r="BK918" s="30">
        <v>46093.73333333333</v>
      </c>
      <c r="BL918" t="s">
        <v>1259</v>
      </c>
      <c r="BM918" t="s">
        <v>1259</v>
      </c>
      <c r="BO918" t="s">
        <v>1265</v>
      </c>
    </row>
    <row r="919" spans="1:67" x14ac:dyDescent="0.25">
      <c r="A919" t="s">
        <v>1248</v>
      </c>
      <c r="B919">
        <v>352301</v>
      </c>
      <c r="C919">
        <v>405</v>
      </c>
      <c r="D919">
        <v>51501</v>
      </c>
      <c r="E919">
        <v>1117</v>
      </c>
      <c r="F919">
        <v>0</v>
      </c>
      <c r="G919" t="s">
        <v>1265</v>
      </c>
      <c r="H919">
        <v>1</v>
      </c>
      <c r="I919" t="s">
        <v>1265</v>
      </c>
      <c r="J919" t="s">
        <v>1265</v>
      </c>
      <c r="K919" t="s">
        <v>3191</v>
      </c>
      <c r="L919" t="s">
        <v>3176</v>
      </c>
      <c r="M919" t="s">
        <v>3190</v>
      </c>
      <c r="N919" t="s">
        <v>3174</v>
      </c>
      <c r="O919">
        <v>2728</v>
      </c>
      <c r="P919" t="s">
        <v>3397</v>
      </c>
      <c r="R919" t="s">
        <v>3390</v>
      </c>
      <c r="S919">
        <v>0</v>
      </c>
      <c r="T919">
        <v>32</v>
      </c>
      <c r="U919">
        <v>0</v>
      </c>
      <c r="V919">
        <v>0</v>
      </c>
      <c r="W919">
        <v>0</v>
      </c>
      <c r="X919">
        <v>32</v>
      </c>
      <c r="Y919">
        <v>0</v>
      </c>
      <c r="Z919">
        <v>0</v>
      </c>
      <c r="AA919">
        <v>0</v>
      </c>
      <c r="AE919" s="30">
        <v>46140.416666666664</v>
      </c>
      <c r="AF919" s="30">
        <v>46147.416666666664</v>
      </c>
      <c r="AH919" s="30">
        <v>45860.574999999997</v>
      </c>
      <c r="AI919" s="30">
        <v>45866.574999999997</v>
      </c>
      <c r="AJ919" s="30">
        <v>45860.574999999997</v>
      </c>
      <c r="AK919" s="30">
        <v>45866.574999999997</v>
      </c>
      <c r="AL919" s="30">
        <v>45860.574999999997</v>
      </c>
      <c r="AM919" s="30">
        <v>45866.574999999997</v>
      </c>
      <c r="AN919" s="30">
        <v>46140.416666666664</v>
      </c>
      <c r="AO919" s="30">
        <v>46147.416666666664</v>
      </c>
      <c r="AQ919" t="s">
        <v>3171</v>
      </c>
      <c r="AV919" t="s">
        <v>3396</v>
      </c>
      <c r="AW919" t="s">
        <v>3395</v>
      </c>
      <c r="AZ919" t="s">
        <v>1265</v>
      </c>
      <c r="BA919">
        <v>0</v>
      </c>
      <c r="BB919">
        <v>0</v>
      </c>
      <c r="BJ919" s="30">
        <v>46069.523611111108</v>
      </c>
      <c r="BK919" s="30">
        <v>46093.667361111111</v>
      </c>
      <c r="BL919" t="s">
        <v>1259</v>
      </c>
      <c r="BM919" t="s">
        <v>1259</v>
      </c>
      <c r="BO919" t="s">
        <v>1265</v>
      </c>
    </row>
    <row r="920" spans="1:67" x14ac:dyDescent="0.25">
      <c r="A920" t="s">
        <v>1248</v>
      </c>
      <c r="B920">
        <v>352302</v>
      </c>
      <c r="C920">
        <v>405</v>
      </c>
      <c r="D920">
        <v>51501</v>
      </c>
      <c r="E920">
        <v>1117</v>
      </c>
      <c r="F920">
        <v>0</v>
      </c>
      <c r="G920" t="s">
        <v>1265</v>
      </c>
      <c r="H920">
        <v>1</v>
      </c>
      <c r="I920" t="s">
        <v>1265</v>
      </c>
      <c r="J920" t="s">
        <v>1265</v>
      </c>
      <c r="K920" t="s">
        <v>3191</v>
      </c>
      <c r="L920" t="s">
        <v>3176</v>
      </c>
      <c r="M920" t="s">
        <v>3190</v>
      </c>
      <c r="N920" t="s">
        <v>3174</v>
      </c>
      <c r="O920">
        <v>2738</v>
      </c>
      <c r="P920" t="s">
        <v>3394</v>
      </c>
      <c r="R920" t="s">
        <v>3390</v>
      </c>
      <c r="S920">
        <v>0</v>
      </c>
      <c r="T920">
        <v>47</v>
      </c>
      <c r="U920">
        <v>0</v>
      </c>
      <c r="V920">
        <v>0</v>
      </c>
      <c r="W920">
        <v>0</v>
      </c>
      <c r="X920">
        <v>47</v>
      </c>
      <c r="Y920">
        <v>0</v>
      </c>
      <c r="Z920">
        <v>0</v>
      </c>
      <c r="AA920">
        <v>0</v>
      </c>
      <c r="AE920" s="30">
        <v>46147.416666666664</v>
      </c>
      <c r="AF920" s="30">
        <v>46155.375</v>
      </c>
      <c r="AH920" s="30">
        <v>45866.574999999997</v>
      </c>
      <c r="AI920" s="30">
        <v>45874.491666666669</v>
      </c>
      <c r="AJ920" s="30">
        <v>45866.574999999997</v>
      </c>
      <c r="AK920" s="30">
        <v>45874.491666666669</v>
      </c>
      <c r="AL920" s="30">
        <v>45866.574999999997</v>
      </c>
      <c r="AM920" s="30">
        <v>45874.491666666669</v>
      </c>
      <c r="AN920" s="30">
        <v>46147.416666666664</v>
      </c>
      <c r="AO920" s="30">
        <v>46155.375</v>
      </c>
      <c r="AQ920" t="s">
        <v>3171</v>
      </c>
      <c r="AV920" t="s">
        <v>3393</v>
      </c>
      <c r="AW920" t="s">
        <v>3392</v>
      </c>
      <c r="AZ920" t="s">
        <v>1265</v>
      </c>
      <c r="BA920">
        <v>0</v>
      </c>
      <c r="BB920">
        <v>0</v>
      </c>
      <c r="BJ920" s="30">
        <v>46069.523611111108</v>
      </c>
      <c r="BK920" s="30">
        <v>46093.667361111111</v>
      </c>
      <c r="BL920" t="s">
        <v>1259</v>
      </c>
      <c r="BM920" t="s">
        <v>1259</v>
      </c>
      <c r="BO920" t="s">
        <v>1265</v>
      </c>
    </row>
    <row r="921" spans="1:67" x14ac:dyDescent="0.25">
      <c r="A921" t="s">
        <v>1248</v>
      </c>
      <c r="B921">
        <v>352303</v>
      </c>
      <c r="C921">
        <v>405</v>
      </c>
      <c r="D921">
        <v>53304</v>
      </c>
      <c r="E921">
        <v>1117</v>
      </c>
      <c r="F921">
        <v>0</v>
      </c>
      <c r="G921" t="s">
        <v>1265</v>
      </c>
      <c r="H921">
        <v>1</v>
      </c>
      <c r="I921" t="s">
        <v>1265</v>
      </c>
      <c r="J921" t="s">
        <v>1265</v>
      </c>
      <c r="K921" t="s">
        <v>3191</v>
      </c>
      <c r="L921" t="s">
        <v>3176</v>
      </c>
      <c r="M921" t="s">
        <v>3190</v>
      </c>
      <c r="N921" t="s">
        <v>3174</v>
      </c>
      <c r="O921">
        <v>2748</v>
      </c>
      <c r="P921" t="s">
        <v>3391</v>
      </c>
      <c r="R921" t="s">
        <v>3390</v>
      </c>
      <c r="S921">
        <v>8</v>
      </c>
      <c r="T921">
        <v>7</v>
      </c>
      <c r="U921">
        <v>0</v>
      </c>
      <c r="V921">
        <v>0</v>
      </c>
      <c r="W921">
        <v>0</v>
      </c>
      <c r="X921">
        <v>7</v>
      </c>
      <c r="Y921">
        <v>0</v>
      </c>
      <c r="Z921">
        <v>0</v>
      </c>
      <c r="AA921">
        <v>0</v>
      </c>
      <c r="AE921" s="30">
        <v>46155.375</v>
      </c>
      <c r="AF921" s="30">
        <v>46155.708333333336</v>
      </c>
      <c r="AH921" s="30">
        <v>45874.491666666669</v>
      </c>
      <c r="AI921" s="30">
        <v>45875.45</v>
      </c>
      <c r="AJ921" s="30">
        <v>45874.491666666669</v>
      </c>
      <c r="AK921" s="30">
        <v>45875.45</v>
      </c>
      <c r="AL921" s="30">
        <v>45874.491666666669</v>
      </c>
      <c r="AM921" s="30">
        <v>45875.45</v>
      </c>
      <c r="AN921" s="30">
        <v>46155.375</v>
      </c>
      <c r="AO921" s="30">
        <v>46155.708333333336</v>
      </c>
      <c r="AQ921" t="s">
        <v>3171</v>
      </c>
      <c r="AV921" t="s">
        <v>3389</v>
      </c>
      <c r="AW921" t="s">
        <v>3388</v>
      </c>
      <c r="AZ921" t="s">
        <v>1265</v>
      </c>
      <c r="BA921">
        <v>0</v>
      </c>
      <c r="BB921">
        <v>0</v>
      </c>
      <c r="BJ921" s="30">
        <v>46069.523611111108</v>
      </c>
      <c r="BK921" s="30">
        <v>46093.667361111111</v>
      </c>
      <c r="BL921" t="s">
        <v>1259</v>
      </c>
      <c r="BM921" t="s">
        <v>1259</v>
      </c>
      <c r="BO921" t="s">
        <v>1265</v>
      </c>
    </row>
    <row r="922" spans="1:67" x14ac:dyDescent="0.25">
      <c r="A922" t="s">
        <v>1248</v>
      </c>
      <c r="B922">
        <v>352304</v>
      </c>
      <c r="C922">
        <v>405</v>
      </c>
      <c r="D922">
        <v>53304</v>
      </c>
      <c r="E922">
        <v>1117</v>
      </c>
      <c r="F922">
        <v>0</v>
      </c>
      <c r="G922" t="s">
        <v>1265</v>
      </c>
      <c r="H922">
        <v>1</v>
      </c>
      <c r="I922" t="s">
        <v>1265</v>
      </c>
      <c r="J922" t="s">
        <v>1265</v>
      </c>
      <c r="K922" t="s">
        <v>3191</v>
      </c>
      <c r="L922" t="s">
        <v>3176</v>
      </c>
      <c r="M922" t="s">
        <v>3190</v>
      </c>
      <c r="N922" t="s">
        <v>3174</v>
      </c>
      <c r="O922">
        <v>2758</v>
      </c>
      <c r="P922" t="s">
        <v>3387</v>
      </c>
      <c r="R922" t="s">
        <v>3368</v>
      </c>
      <c r="S922">
        <v>0</v>
      </c>
      <c r="T922">
        <v>15</v>
      </c>
      <c r="U922">
        <v>0</v>
      </c>
      <c r="V922">
        <v>0</v>
      </c>
      <c r="W922">
        <v>0</v>
      </c>
      <c r="X922">
        <v>15</v>
      </c>
      <c r="Y922">
        <v>0</v>
      </c>
      <c r="Z922">
        <v>0</v>
      </c>
      <c r="AA922">
        <v>0</v>
      </c>
      <c r="AE922" s="30">
        <v>46101.691666666666</v>
      </c>
      <c r="AF922" s="30">
        <v>46105.65</v>
      </c>
      <c r="AH922" s="30">
        <v>45827.333333333336</v>
      </c>
      <c r="AI922" s="30">
        <v>45828.666666666664</v>
      </c>
      <c r="AJ922" s="30">
        <v>45827.333333333336</v>
      </c>
      <c r="AK922" s="30">
        <v>45828.666666666664</v>
      </c>
      <c r="AL922" s="30">
        <v>45827.333333333336</v>
      </c>
      <c r="AM922" s="30">
        <v>45828.666666666664</v>
      </c>
      <c r="AN922" s="30">
        <v>46101.691666666666</v>
      </c>
      <c r="AO922" s="30">
        <v>46105.65</v>
      </c>
      <c r="AQ922" t="s">
        <v>3171</v>
      </c>
      <c r="AV922" t="s">
        <v>3386</v>
      </c>
      <c r="AW922" t="s">
        <v>3385</v>
      </c>
      <c r="AZ922" t="s">
        <v>1265</v>
      </c>
      <c r="BA922">
        <v>0</v>
      </c>
      <c r="BB922">
        <v>0</v>
      </c>
      <c r="BJ922" s="30">
        <v>46069.523611111108</v>
      </c>
      <c r="BK922" s="30">
        <v>46093.667361111111</v>
      </c>
      <c r="BL922" t="s">
        <v>1259</v>
      </c>
      <c r="BM922" t="s">
        <v>1259</v>
      </c>
      <c r="BO922" t="s">
        <v>1265</v>
      </c>
    </row>
    <row r="923" spans="1:67" x14ac:dyDescent="0.25">
      <c r="A923" t="s">
        <v>1248</v>
      </c>
      <c r="B923">
        <v>352305</v>
      </c>
      <c r="C923">
        <v>405</v>
      </c>
      <c r="D923">
        <v>51502</v>
      </c>
      <c r="E923">
        <v>1117</v>
      </c>
      <c r="F923">
        <v>0</v>
      </c>
      <c r="G923" t="s">
        <v>1265</v>
      </c>
      <c r="H923">
        <v>1</v>
      </c>
      <c r="I923" t="s">
        <v>1265</v>
      </c>
      <c r="J923" t="s">
        <v>1265</v>
      </c>
      <c r="K923" t="s">
        <v>3191</v>
      </c>
      <c r="L923" t="s">
        <v>3176</v>
      </c>
      <c r="M923" t="s">
        <v>3190</v>
      </c>
      <c r="N923" t="s">
        <v>3174</v>
      </c>
      <c r="O923">
        <v>2768</v>
      </c>
      <c r="P923" t="s">
        <v>3384</v>
      </c>
      <c r="R923" t="s">
        <v>3368</v>
      </c>
      <c r="S923">
        <v>0</v>
      </c>
      <c r="T923" s="29">
        <v>441333333333333</v>
      </c>
      <c r="U923">
        <v>0</v>
      </c>
      <c r="V923">
        <v>0</v>
      </c>
      <c r="W923">
        <v>0</v>
      </c>
      <c r="X923" s="29">
        <v>441333333333333</v>
      </c>
      <c r="Y923">
        <v>0</v>
      </c>
      <c r="Z923">
        <v>0</v>
      </c>
      <c r="AA923">
        <v>0</v>
      </c>
      <c r="AE923" s="30">
        <v>46105.65</v>
      </c>
      <c r="AF923" s="30">
        <v>46113.447222222225</v>
      </c>
      <c r="AH923" s="30">
        <v>45828.666666666664</v>
      </c>
      <c r="AI923" s="30">
        <v>45838.463888888888</v>
      </c>
      <c r="AJ923" s="30">
        <v>45828.666666666664</v>
      </c>
      <c r="AK923" s="30">
        <v>45838.463888888888</v>
      </c>
      <c r="AL923" s="30">
        <v>45828.666666666664</v>
      </c>
      <c r="AM923" s="30">
        <v>45838.463888888888</v>
      </c>
      <c r="AN923" s="30">
        <v>46105.65</v>
      </c>
      <c r="AO923" s="30">
        <v>46113.447222222225</v>
      </c>
      <c r="AQ923" t="s">
        <v>3171</v>
      </c>
      <c r="AV923" t="s">
        <v>3383</v>
      </c>
      <c r="AW923" t="s">
        <v>3382</v>
      </c>
      <c r="AZ923" t="s">
        <v>1265</v>
      </c>
      <c r="BA923">
        <v>0</v>
      </c>
      <c r="BB923">
        <v>0</v>
      </c>
      <c r="BJ923" s="30">
        <v>46069.523611111108</v>
      </c>
      <c r="BK923" s="30">
        <v>46093.73333333333</v>
      </c>
      <c r="BL923" t="s">
        <v>1259</v>
      </c>
      <c r="BM923" t="s">
        <v>1259</v>
      </c>
      <c r="BO923" t="s">
        <v>1265</v>
      </c>
    </row>
    <row r="924" spans="1:67" x14ac:dyDescent="0.25">
      <c r="A924" t="s">
        <v>1248</v>
      </c>
      <c r="B924">
        <v>352306</v>
      </c>
      <c r="C924">
        <v>405</v>
      </c>
      <c r="D924">
        <v>51502</v>
      </c>
      <c r="E924">
        <v>1117</v>
      </c>
      <c r="F924">
        <v>0</v>
      </c>
      <c r="G924" t="s">
        <v>1265</v>
      </c>
      <c r="H924">
        <v>1</v>
      </c>
      <c r="I924" t="s">
        <v>1265</v>
      </c>
      <c r="J924" t="s">
        <v>1265</v>
      </c>
      <c r="K924" t="s">
        <v>3191</v>
      </c>
      <c r="L924" t="s">
        <v>3176</v>
      </c>
      <c r="M924" t="s">
        <v>3190</v>
      </c>
      <c r="N924" t="s">
        <v>3174</v>
      </c>
      <c r="O924">
        <v>2778</v>
      </c>
      <c r="P924" t="s">
        <v>3381</v>
      </c>
      <c r="R924" t="s">
        <v>3368</v>
      </c>
      <c r="S924">
        <v>0</v>
      </c>
      <c r="T924">
        <v>7</v>
      </c>
      <c r="U924">
        <v>0</v>
      </c>
      <c r="V924">
        <v>0</v>
      </c>
      <c r="W924">
        <v>0</v>
      </c>
      <c r="X924">
        <v>7</v>
      </c>
      <c r="Y924">
        <v>0</v>
      </c>
      <c r="Z924">
        <v>0</v>
      </c>
      <c r="AA924">
        <v>0</v>
      </c>
      <c r="AE924" s="30">
        <v>46113.447222222225</v>
      </c>
      <c r="AF924" s="30">
        <v>46114.405555555553</v>
      </c>
      <c r="AH924" s="30">
        <v>45838.463888888888</v>
      </c>
      <c r="AI924" s="30">
        <v>45839.422222222223</v>
      </c>
      <c r="AJ924" s="30">
        <v>45838.463888888888</v>
      </c>
      <c r="AK924" s="30">
        <v>45839.422222222223</v>
      </c>
      <c r="AL924" s="30">
        <v>45838.463888888888</v>
      </c>
      <c r="AM924" s="30">
        <v>45839.422222222223</v>
      </c>
      <c r="AN924" s="30">
        <v>46113.447222222225</v>
      </c>
      <c r="AO924" s="30">
        <v>46114.405555555553</v>
      </c>
      <c r="AQ924" t="s">
        <v>3171</v>
      </c>
      <c r="AV924" t="s">
        <v>3380</v>
      </c>
      <c r="AW924" t="s">
        <v>3379</v>
      </c>
      <c r="AZ924" t="s">
        <v>1265</v>
      </c>
      <c r="BA924">
        <v>0</v>
      </c>
      <c r="BB924">
        <v>0</v>
      </c>
      <c r="BJ924" s="30">
        <v>46069.523611111108</v>
      </c>
      <c r="BK924" s="30">
        <v>46093.667361111111</v>
      </c>
      <c r="BL924" t="s">
        <v>1259</v>
      </c>
      <c r="BM924" t="s">
        <v>1259</v>
      </c>
      <c r="BO924" t="s">
        <v>1265</v>
      </c>
    </row>
    <row r="925" spans="1:67" x14ac:dyDescent="0.25">
      <c r="A925" t="s">
        <v>1248</v>
      </c>
      <c r="B925">
        <v>352307</v>
      </c>
      <c r="C925">
        <v>405</v>
      </c>
      <c r="D925">
        <v>51502</v>
      </c>
      <c r="E925">
        <v>1117</v>
      </c>
      <c r="F925">
        <v>0</v>
      </c>
      <c r="G925" t="s">
        <v>1265</v>
      </c>
      <c r="H925">
        <v>1</v>
      </c>
      <c r="I925" t="s">
        <v>1265</v>
      </c>
      <c r="J925" t="s">
        <v>1265</v>
      </c>
      <c r="K925" t="s">
        <v>3191</v>
      </c>
      <c r="L925" t="s">
        <v>3176</v>
      </c>
      <c r="M925" t="s">
        <v>3190</v>
      </c>
      <c r="N925" t="s">
        <v>3174</v>
      </c>
      <c r="O925">
        <v>2788</v>
      </c>
      <c r="P925" t="s">
        <v>3378</v>
      </c>
      <c r="R925" t="s">
        <v>3368</v>
      </c>
      <c r="S925">
        <v>0</v>
      </c>
      <c r="T925" s="29">
        <v>402666666666667</v>
      </c>
      <c r="U925">
        <v>0</v>
      </c>
      <c r="V925">
        <v>0</v>
      </c>
      <c r="W925">
        <v>0</v>
      </c>
      <c r="X925" s="29">
        <v>402666666666667</v>
      </c>
      <c r="Y925">
        <v>0</v>
      </c>
      <c r="Z925">
        <v>0</v>
      </c>
      <c r="AA925">
        <v>0</v>
      </c>
      <c r="AE925" s="30">
        <v>46114.405555555553</v>
      </c>
      <c r="AF925" s="30">
        <v>46122.416666666664</v>
      </c>
      <c r="AH925" s="30">
        <v>45839.422222222223</v>
      </c>
      <c r="AI925" s="30">
        <v>45846.433333333334</v>
      </c>
      <c r="AJ925" s="30">
        <v>45839.422222222223</v>
      </c>
      <c r="AK925" s="30">
        <v>45846.433333333334</v>
      </c>
      <c r="AL925" s="30">
        <v>45839.422222222223</v>
      </c>
      <c r="AM925" s="30">
        <v>45846.433333333334</v>
      </c>
      <c r="AN925" s="30">
        <v>46114.405555555553</v>
      </c>
      <c r="AO925" s="30">
        <v>46122.416666666664</v>
      </c>
      <c r="AQ925" t="s">
        <v>3171</v>
      </c>
      <c r="AV925" t="s">
        <v>3377</v>
      </c>
      <c r="AW925" t="s">
        <v>3376</v>
      </c>
      <c r="AZ925" t="s">
        <v>1265</v>
      </c>
      <c r="BA925">
        <v>0</v>
      </c>
      <c r="BB925">
        <v>0</v>
      </c>
      <c r="BJ925" s="30">
        <v>46069.523611111108</v>
      </c>
      <c r="BK925" s="30">
        <v>46093.73333333333</v>
      </c>
      <c r="BL925" t="s">
        <v>1259</v>
      </c>
      <c r="BM925" t="s">
        <v>1259</v>
      </c>
      <c r="BO925" t="s">
        <v>1265</v>
      </c>
    </row>
    <row r="926" spans="1:67" x14ac:dyDescent="0.25">
      <c r="A926" t="s">
        <v>1248</v>
      </c>
      <c r="B926">
        <v>352308</v>
      </c>
      <c r="C926">
        <v>405</v>
      </c>
      <c r="D926">
        <v>51502</v>
      </c>
      <c r="E926">
        <v>1117</v>
      </c>
      <c r="F926">
        <v>0</v>
      </c>
      <c r="G926" t="s">
        <v>1265</v>
      </c>
      <c r="H926">
        <v>1</v>
      </c>
      <c r="I926" t="s">
        <v>1265</v>
      </c>
      <c r="J926" t="s">
        <v>1265</v>
      </c>
      <c r="K926" t="s">
        <v>3191</v>
      </c>
      <c r="L926" t="s">
        <v>3176</v>
      </c>
      <c r="M926" t="s">
        <v>3190</v>
      </c>
      <c r="N926" t="s">
        <v>3174</v>
      </c>
      <c r="O926">
        <v>2798</v>
      </c>
      <c r="P926" t="s">
        <v>3375</v>
      </c>
      <c r="R926" t="s">
        <v>3368</v>
      </c>
      <c r="S926">
        <v>0</v>
      </c>
      <c r="T926">
        <v>32</v>
      </c>
      <c r="U926">
        <v>0</v>
      </c>
      <c r="V926">
        <v>0</v>
      </c>
      <c r="W926">
        <v>0</v>
      </c>
      <c r="X926">
        <v>32</v>
      </c>
      <c r="Y926">
        <v>0</v>
      </c>
      <c r="Z926">
        <v>0</v>
      </c>
      <c r="AA926">
        <v>0</v>
      </c>
      <c r="AE926" s="30">
        <v>46122.416666666664</v>
      </c>
      <c r="AF926" s="30">
        <v>46128.416666666664</v>
      </c>
      <c r="AH926" s="30">
        <v>45846.433333333334</v>
      </c>
      <c r="AI926" s="30">
        <v>45852.433333333334</v>
      </c>
      <c r="AJ926" s="30">
        <v>45846.433333333334</v>
      </c>
      <c r="AK926" s="30">
        <v>45852.433333333334</v>
      </c>
      <c r="AL926" s="30">
        <v>45846.433333333334</v>
      </c>
      <c r="AM926" s="30">
        <v>45852.433333333334</v>
      </c>
      <c r="AN926" s="30">
        <v>46122.416666666664</v>
      </c>
      <c r="AO926" s="30">
        <v>46128.416666666664</v>
      </c>
      <c r="AQ926" t="s">
        <v>3171</v>
      </c>
      <c r="AV926" t="s">
        <v>3374</v>
      </c>
      <c r="AW926" t="s">
        <v>3373</v>
      </c>
      <c r="AZ926" t="s">
        <v>1265</v>
      </c>
      <c r="BA926">
        <v>0</v>
      </c>
      <c r="BB926">
        <v>0</v>
      </c>
      <c r="BJ926" s="30">
        <v>46069.523611111108</v>
      </c>
      <c r="BK926" s="30">
        <v>46093.667361111111</v>
      </c>
      <c r="BL926" t="s">
        <v>1259</v>
      </c>
      <c r="BM926" t="s">
        <v>1259</v>
      </c>
      <c r="BO926" t="s">
        <v>1265</v>
      </c>
    </row>
    <row r="927" spans="1:67" x14ac:dyDescent="0.25">
      <c r="A927" t="s">
        <v>1248</v>
      </c>
      <c r="B927">
        <v>352309</v>
      </c>
      <c r="C927">
        <v>405</v>
      </c>
      <c r="D927">
        <v>51502</v>
      </c>
      <c r="E927">
        <v>1117</v>
      </c>
      <c r="F927">
        <v>0</v>
      </c>
      <c r="G927" t="s">
        <v>1265</v>
      </c>
      <c r="H927">
        <v>1</v>
      </c>
      <c r="I927" t="s">
        <v>1265</v>
      </c>
      <c r="J927" t="s">
        <v>1265</v>
      </c>
      <c r="K927" t="s">
        <v>3191</v>
      </c>
      <c r="L927" t="s">
        <v>3176</v>
      </c>
      <c r="M927" t="s">
        <v>3190</v>
      </c>
      <c r="N927" t="s">
        <v>3174</v>
      </c>
      <c r="O927">
        <v>2808</v>
      </c>
      <c r="P927" t="s">
        <v>3372</v>
      </c>
      <c r="R927" t="s">
        <v>3368</v>
      </c>
      <c r="S927">
        <v>0</v>
      </c>
      <c r="T927">
        <v>47</v>
      </c>
      <c r="U927">
        <v>0</v>
      </c>
      <c r="V927">
        <v>0</v>
      </c>
      <c r="W927">
        <v>0</v>
      </c>
      <c r="X927">
        <v>47</v>
      </c>
      <c r="Y927">
        <v>0</v>
      </c>
      <c r="Z927">
        <v>0</v>
      </c>
      <c r="AA927">
        <v>0</v>
      </c>
      <c r="AE927" s="30">
        <v>46128.416666666664</v>
      </c>
      <c r="AF927" s="30">
        <v>46136.375</v>
      </c>
      <c r="AH927" s="30">
        <v>45852.433333333334</v>
      </c>
      <c r="AI927" s="30">
        <v>45860.39166666667</v>
      </c>
      <c r="AJ927" s="30">
        <v>45852.433333333334</v>
      </c>
      <c r="AK927" s="30">
        <v>45860.39166666667</v>
      </c>
      <c r="AL927" s="30">
        <v>45852.433333333334</v>
      </c>
      <c r="AM927" s="30">
        <v>45860.39166666667</v>
      </c>
      <c r="AN927" s="30">
        <v>46128.416666666664</v>
      </c>
      <c r="AO927" s="30">
        <v>46136.375</v>
      </c>
      <c r="AQ927" t="s">
        <v>3171</v>
      </c>
      <c r="AV927" t="s">
        <v>3371</v>
      </c>
      <c r="AW927" t="s">
        <v>3370</v>
      </c>
      <c r="AZ927" t="s">
        <v>1265</v>
      </c>
      <c r="BA927">
        <v>0</v>
      </c>
      <c r="BB927">
        <v>0</v>
      </c>
      <c r="BJ927" s="30">
        <v>46069.523611111108</v>
      </c>
      <c r="BK927" s="30">
        <v>46093.667361111111</v>
      </c>
      <c r="BL927" t="s">
        <v>1259</v>
      </c>
      <c r="BM927" t="s">
        <v>1259</v>
      </c>
      <c r="BO927" t="s">
        <v>1265</v>
      </c>
    </row>
    <row r="928" spans="1:67" x14ac:dyDescent="0.25">
      <c r="A928" t="s">
        <v>1248</v>
      </c>
      <c r="B928">
        <v>352310</v>
      </c>
      <c r="C928">
        <v>405</v>
      </c>
      <c r="D928">
        <v>53304</v>
      </c>
      <c r="E928">
        <v>1117</v>
      </c>
      <c r="F928">
        <v>0</v>
      </c>
      <c r="G928" t="s">
        <v>1265</v>
      </c>
      <c r="H928">
        <v>1</v>
      </c>
      <c r="I928" t="s">
        <v>1265</v>
      </c>
      <c r="J928" t="s">
        <v>1265</v>
      </c>
      <c r="K928" t="s">
        <v>3191</v>
      </c>
      <c r="L928" t="s">
        <v>3176</v>
      </c>
      <c r="M928" t="s">
        <v>3190</v>
      </c>
      <c r="N928" t="s">
        <v>3174</v>
      </c>
      <c r="O928">
        <v>2818</v>
      </c>
      <c r="P928" t="s">
        <v>3369</v>
      </c>
      <c r="R928" t="s">
        <v>3368</v>
      </c>
      <c r="S928" t="s">
        <v>3367</v>
      </c>
      <c r="T928">
        <v>7</v>
      </c>
      <c r="U928">
        <v>0</v>
      </c>
      <c r="V928">
        <v>0</v>
      </c>
      <c r="W928">
        <v>0</v>
      </c>
      <c r="X928">
        <v>7</v>
      </c>
      <c r="Y928">
        <v>0</v>
      </c>
      <c r="Z928">
        <v>0</v>
      </c>
      <c r="AA928">
        <v>0</v>
      </c>
      <c r="AE928" s="30">
        <v>46136.375</v>
      </c>
      <c r="AF928" s="30">
        <v>46136.708333333336</v>
      </c>
      <c r="AH928" s="30">
        <v>45860.39166666667</v>
      </c>
      <c r="AI928" s="30">
        <v>45861.35</v>
      </c>
      <c r="AJ928" s="30">
        <v>45860.39166666667</v>
      </c>
      <c r="AK928" s="30">
        <v>45861.35</v>
      </c>
      <c r="AL928" s="30">
        <v>45860.39166666667</v>
      </c>
      <c r="AM928" s="30">
        <v>45861.35</v>
      </c>
      <c r="AN928" s="30">
        <v>46136.375</v>
      </c>
      <c r="AO928" s="30">
        <v>46136.708333333336</v>
      </c>
      <c r="AQ928" t="s">
        <v>3171</v>
      </c>
      <c r="AV928" t="s">
        <v>3366</v>
      </c>
      <c r="AW928" t="s">
        <v>3365</v>
      </c>
      <c r="AZ928" t="s">
        <v>1265</v>
      </c>
      <c r="BA928">
        <v>0</v>
      </c>
      <c r="BB928">
        <v>0</v>
      </c>
      <c r="BJ928" s="30">
        <v>46069.523611111108</v>
      </c>
      <c r="BK928" s="30">
        <v>46093.667361111111</v>
      </c>
      <c r="BL928" t="s">
        <v>1259</v>
      </c>
      <c r="BM928" t="s">
        <v>1259</v>
      </c>
      <c r="BO928" t="s">
        <v>1265</v>
      </c>
    </row>
    <row r="929" spans="1:67" x14ac:dyDescent="0.25">
      <c r="A929" t="s">
        <v>1248</v>
      </c>
      <c r="B929">
        <v>352311</v>
      </c>
      <c r="C929">
        <v>405</v>
      </c>
      <c r="D929">
        <v>53304</v>
      </c>
      <c r="E929">
        <v>1117</v>
      </c>
      <c r="F929">
        <v>0</v>
      </c>
      <c r="G929" t="s">
        <v>1265</v>
      </c>
      <c r="H929">
        <v>1</v>
      </c>
      <c r="I929" t="s">
        <v>1265</v>
      </c>
      <c r="J929" t="s">
        <v>1265</v>
      </c>
      <c r="K929" t="s">
        <v>3191</v>
      </c>
      <c r="L929" t="s">
        <v>3176</v>
      </c>
      <c r="M929" t="s">
        <v>3190</v>
      </c>
      <c r="N929" t="s">
        <v>3174</v>
      </c>
      <c r="O929">
        <v>2828</v>
      </c>
      <c r="P929" t="s">
        <v>3364</v>
      </c>
      <c r="R929" t="s">
        <v>3345</v>
      </c>
      <c r="S929">
        <v>0</v>
      </c>
      <c r="T929">
        <v>15</v>
      </c>
      <c r="U929">
        <v>0</v>
      </c>
      <c r="V929">
        <v>0</v>
      </c>
      <c r="W929">
        <v>0</v>
      </c>
      <c r="X929">
        <v>15</v>
      </c>
      <c r="Y929">
        <v>0</v>
      </c>
      <c r="Z929">
        <v>0</v>
      </c>
      <c r="AA929">
        <v>0</v>
      </c>
      <c r="AE929" s="30">
        <v>46085.691666666666</v>
      </c>
      <c r="AF929" s="30">
        <v>46087.65</v>
      </c>
      <c r="AH929" s="30">
        <v>45824.541666666664</v>
      </c>
      <c r="AI929" s="30">
        <v>45826.458333333336</v>
      </c>
      <c r="AJ929" s="30">
        <v>45824.541666666664</v>
      </c>
      <c r="AK929" s="30">
        <v>45826.458333333336</v>
      </c>
      <c r="AL929" s="30">
        <v>45824.541666666664</v>
      </c>
      <c r="AM929" s="30">
        <v>45826.458333333336</v>
      </c>
      <c r="AN929" s="30">
        <v>46085.691666666666</v>
      </c>
      <c r="AO929" s="30">
        <v>46087.65</v>
      </c>
      <c r="AQ929" t="s">
        <v>3171</v>
      </c>
      <c r="AV929" t="s">
        <v>3363</v>
      </c>
      <c r="AW929" t="s">
        <v>3362</v>
      </c>
      <c r="AZ929" t="s">
        <v>1265</v>
      </c>
      <c r="BA929">
        <v>0</v>
      </c>
      <c r="BB929">
        <v>0</v>
      </c>
      <c r="BJ929" s="30">
        <v>46069.523611111108</v>
      </c>
      <c r="BK929" s="30">
        <v>46093.667361111111</v>
      </c>
      <c r="BL929" t="s">
        <v>1259</v>
      </c>
      <c r="BM929" t="s">
        <v>1259</v>
      </c>
      <c r="BO929" t="s">
        <v>1265</v>
      </c>
    </row>
    <row r="930" spans="1:67" x14ac:dyDescent="0.25">
      <c r="A930" t="s">
        <v>1248</v>
      </c>
      <c r="B930">
        <v>352312</v>
      </c>
      <c r="C930">
        <v>405</v>
      </c>
      <c r="D930">
        <v>51503</v>
      </c>
      <c r="E930">
        <v>1117</v>
      </c>
      <c r="F930">
        <v>0</v>
      </c>
      <c r="G930" t="s">
        <v>1265</v>
      </c>
      <c r="H930">
        <v>1</v>
      </c>
      <c r="I930" t="s">
        <v>1265</v>
      </c>
      <c r="J930" t="s">
        <v>1265</v>
      </c>
      <c r="K930" t="s">
        <v>3191</v>
      </c>
      <c r="L930" t="s">
        <v>3176</v>
      </c>
      <c r="M930" t="s">
        <v>3190</v>
      </c>
      <c r="N930" t="s">
        <v>3174</v>
      </c>
      <c r="O930">
        <v>2838</v>
      </c>
      <c r="P930" t="s">
        <v>3361</v>
      </c>
      <c r="R930" t="s">
        <v>3345</v>
      </c>
      <c r="S930">
        <v>0</v>
      </c>
      <c r="T930" s="29">
        <v>441333333333333</v>
      </c>
      <c r="U930">
        <v>0</v>
      </c>
      <c r="V930">
        <v>0</v>
      </c>
      <c r="W930">
        <v>0</v>
      </c>
      <c r="X930" s="29">
        <v>441333333333333</v>
      </c>
      <c r="Y930">
        <v>0</v>
      </c>
      <c r="Z930">
        <v>0</v>
      </c>
      <c r="AA930">
        <v>0</v>
      </c>
      <c r="AE930" s="30">
        <v>46087.65</v>
      </c>
      <c r="AF930" s="30">
        <v>46097.447222222225</v>
      </c>
      <c r="AH930" s="30">
        <v>45826.458333333336</v>
      </c>
      <c r="AI930" s="30">
        <v>45833.672222222223</v>
      </c>
      <c r="AJ930" s="30">
        <v>45826.458333333336</v>
      </c>
      <c r="AK930" s="30">
        <v>45833.672222222223</v>
      </c>
      <c r="AL930" s="30">
        <v>45826.458333333336</v>
      </c>
      <c r="AM930" s="30">
        <v>45833.672222222223</v>
      </c>
      <c r="AN930" s="30">
        <v>46087.65</v>
      </c>
      <c r="AO930" s="30">
        <v>46097.447222222225</v>
      </c>
      <c r="AQ930" t="s">
        <v>3171</v>
      </c>
      <c r="AV930" t="s">
        <v>3360</v>
      </c>
      <c r="AW930" t="s">
        <v>3359</v>
      </c>
      <c r="AZ930" t="s">
        <v>1265</v>
      </c>
      <c r="BA930">
        <v>0</v>
      </c>
      <c r="BB930">
        <v>0</v>
      </c>
      <c r="BJ930" s="30">
        <v>46069.523611111108</v>
      </c>
      <c r="BK930" s="30">
        <v>46093.73333333333</v>
      </c>
      <c r="BL930" t="s">
        <v>1259</v>
      </c>
      <c r="BM930" t="s">
        <v>1259</v>
      </c>
      <c r="BO930" t="s">
        <v>1265</v>
      </c>
    </row>
    <row r="931" spans="1:67" x14ac:dyDescent="0.25">
      <c r="A931" t="s">
        <v>1248</v>
      </c>
      <c r="B931">
        <v>352313</v>
      </c>
      <c r="C931">
        <v>405</v>
      </c>
      <c r="D931">
        <v>51503</v>
      </c>
      <c r="E931">
        <v>1117</v>
      </c>
      <c r="F931">
        <v>0</v>
      </c>
      <c r="G931" t="s">
        <v>1265</v>
      </c>
      <c r="H931">
        <v>1</v>
      </c>
      <c r="I931" t="s">
        <v>1265</v>
      </c>
      <c r="J931" t="s">
        <v>1265</v>
      </c>
      <c r="K931" t="s">
        <v>3191</v>
      </c>
      <c r="L931" t="s">
        <v>3176</v>
      </c>
      <c r="M931" t="s">
        <v>3190</v>
      </c>
      <c r="N931" t="s">
        <v>3174</v>
      </c>
      <c r="O931">
        <v>2848</v>
      </c>
      <c r="P931" t="s">
        <v>3358</v>
      </c>
      <c r="R931" t="s">
        <v>3345</v>
      </c>
      <c r="S931">
        <v>0</v>
      </c>
      <c r="T931">
        <v>7</v>
      </c>
      <c r="U931">
        <v>0</v>
      </c>
      <c r="V931">
        <v>0</v>
      </c>
      <c r="W931">
        <v>0</v>
      </c>
      <c r="X931">
        <v>7</v>
      </c>
      <c r="Y931">
        <v>0</v>
      </c>
      <c r="Z931">
        <v>0</v>
      </c>
      <c r="AA931">
        <v>0</v>
      </c>
      <c r="AE931" s="30">
        <v>46097.447222222225</v>
      </c>
      <c r="AF931" s="30">
        <v>46098.405555555553</v>
      </c>
      <c r="AH931" s="30">
        <v>45833.672222222223</v>
      </c>
      <c r="AI931" s="30">
        <v>45834.630555555559</v>
      </c>
      <c r="AJ931" s="30">
        <v>45833.672222222223</v>
      </c>
      <c r="AK931" s="30">
        <v>45834.630555555559</v>
      </c>
      <c r="AL931" s="30">
        <v>45833.672222222223</v>
      </c>
      <c r="AM931" s="30">
        <v>45834.630555555559</v>
      </c>
      <c r="AN931" s="30">
        <v>46097.447222222225</v>
      </c>
      <c r="AO931" s="30">
        <v>46098.405555555553</v>
      </c>
      <c r="AQ931" t="s">
        <v>3171</v>
      </c>
      <c r="AV931" t="s">
        <v>3357</v>
      </c>
      <c r="AW931" t="s">
        <v>3356</v>
      </c>
      <c r="AZ931" t="s">
        <v>1265</v>
      </c>
      <c r="BA931">
        <v>0</v>
      </c>
      <c r="BB931">
        <v>0</v>
      </c>
      <c r="BJ931" s="30">
        <v>46069.523611111108</v>
      </c>
      <c r="BK931" s="30">
        <v>46093.667361111111</v>
      </c>
      <c r="BL931" t="s">
        <v>1259</v>
      </c>
      <c r="BM931" t="s">
        <v>1259</v>
      </c>
      <c r="BO931" t="s">
        <v>1265</v>
      </c>
    </row>
    <row r="932" spans="1:67" x14ac:dyDescent="0.25">
      <c r="A932" t="s">
        <v>1248</v>
      </c>
      <c r="B932">
        <v>352314</v>
      </c>
      <c r="C932">
        <v>405</v>
      </c>
      <c r="D932">
        <v>51503</v>
      </c>
      <c r="E932">
        <v>1117</v>
      </c>
      <c r="F932">
        <v>0</v>
      </c>
      <c r="G932" t="s">
        <v>1265</v>
      </c>
      <c r="H932">
        <v>1</v>
      </c>
      <c r="I932" t="s">
        <v>1265</v>
      </c>
      <c r="J932" t="s">
        <v>1265</v>
      </c>
      <c r="K932" t="s">
        <v>3191</v>
      </c>
      <c r="L932" t="s">
        <v>3176</v>
      </c>
      <c r="M932" t="s">
        <v>3190</v>
      </c>
      <c r="N932" t="s">
        <v>3174</v>
      </c>
      <c r="O932">
        <v>2858</v>
      </c>
      <c r="P932" t="s">
        <v>3355</v>
      </c>
      <c r="R932" t="s">
        <v>3345</v>
      </c>
      <c r="S932">
        <v>0</v>
      </c>
      <c r="T932" s="29">
        <v>402666666666667</v>
      </c>
      <c r="U932">
        <v>0</v>
      </c>
      <c r="V932">
        <v>0</v>
      </c>
      <c r="W932">
        <v>0</v>
      </c>
      <c r="X932" s="29">
        <v>402666666666667</v>
      </c>
      <c r="Y932">
        <v>0</v>
      </c>
      <c r="Z932">
        <v>0</v>
      </c>
      <c r="AA932">
        <v>0</v>
      </c>
      <c r="AE932" s="30">
        <v>46098.405555555553</v>
      </c>
      <c r="AF932" s="30">
        <v>46105.416666666664</v>
      </c>
      <c r="AH932" s="30">
        <v>45834.630555555559</v>
      </c>
      <c r="AI932" s="30">
        <v>45841.64166666667</v>
      </c>
      <c r="AJ932" s="30">
        <v>45834.630555555559</v>
      </c>
      <c r="AK932" s="30">
        <v>45841.64166666667</v>
      </c>
      <c r="AL932" s="30">
        <v>45834.630555555559</v>
      </c>
      <c r="AM932" s="30">
        <v>45841.64166666667</v>
      </c>
      <c r="AN932" s="30">
        <v>46098.405555555553</v>
      </c>
      <c r="AO932" s="30">
        <v>46105.416666666664</v>
      </c>
      <c r="AQ932" t="s">
        <v>3171</v>
      </c>
      <c r="AV932" t="s">
        <v>3354</v>
      </c>
      <c r="AW932" t="s">
        <v>3353</v>
      </c>
      <c r="AZ932" t="s">
        <v>1265</v>
      </c>
      <c r="BA932">
        <v>0</v>
      </c>
      <c r="BB932">
        <v>0</v>
      </c>
      <c r="BJ932" s="30">
        <v>46069.523611111108</v>
      </c>
      <c r="BK932" s="30">
        <v>46093.73333333333</v>
      </c>
      <c r="BL932" t="s">
        <v>1259</v>
      </c>
      <c r="BM932" t="s">
        <v>1259</v>
      </c>
      <c r="BO932" t="s">
        <v>1265</v>
      </c>
    </row>
    <row r="933" spans="1:67" x14ac:dyDescent="0.25">
      <c r="A933" t="s">
        <v>1248</v>
      </c>
      <c r="B933">
        <v>352315</v>
      </c>
      <c r="C933">
        <v>405</v>
      </c>
      <c r="D933">
        <v>51503</v>
      </c>
      <c r="E933">
        <v>1117</v>
      </c>
      <c r="F933">
        <v>0</v>
      </c>
      <c r="G933" t="s">
        <v>1265</v>
      </c>
      <c r="H933">
        <v>1</v>
      </c>
      <c r="I933" t="s">
        <v>1265</v>
      </c>
      <c r="J933" t="s">
        <v>1265</v>
      </c>
      <c r="K933" t="s">
        <v>3191</v>
      </c>
      <c r="L933" t="s">
        <v>3176</v>
      </c>
      <c r="M933" t="s">
        <v>3190</v>
      </c>
      <c r="N933" t="s">
        <v>3174</v>
      </c>
      <c r="O933">
        <v>2868</v>
      </c>
      <c r="P933" t="s">
        <v>3352</v>
      </c>
      <c r="R933" t="s">
        <v>3345</v>
      </c>
      <c r="S933">
        <v>0</v>
      </c>
      <c r="T933">
        <v>32</v>
      </c>
      <c r="U933">
        <v>0</v>
      </c>
      <c r="V933">
        <v>0</v>
      </c>
      <c r="W933">
        <v>0</v>
      </c>
      <c r="X933">
        <v>32</v>
      </c>
      <c r="Y933">
        <v>0</v>
      </c>
      <c r="Z933">
        <v>0</v>
      </c>
      <c r="AA933">
        <v>0</v>
      </c>
      <c r="AE933" s="30">
        <v>46105.416666666664</v>
      </c>
      <c r="AF933" s="30">
        <v>46111.416666666664</v>
      </c>
      <c r="AH933" s="30">
        <v>45841.64166666667</v>
      </c>
      <c r="AI933" s="30">
        <v>45847.64166666667</v>
      </c>
      <c r="AJ933" s="30">
        <v>45841.64166666667</v>
      </c>
      <c r="AK933" s="30">
        <v>45847.64166666667</v>
      </c>
      <c r="AL933" s="30">
        <v>45841.64166666667</v>
      </c>
      <c r="AM933" s="30">
        <v>45847.64166666667</v>
      </c>
      <c r="AN933" s="30">
        <v>46105.416666666664</v>
      </c>
      <c r="AO933" s="30">
        <v>46111.416666666664</v>
      </c>
      <c r="AQ933" t="s">
        <v>3171</v>
      </c>
      <c r="AV933" t="s">
        <v>3351</v>
      </c>
      <c r="AW933" t="s">
        <v>3350</v>
      </c>
      <c r="AZ933" t="s">
        <v>1265</v>
      </c>
      <c r="BA933">
        <v>0</v>
      </c>
      <c r="BB933">
        <v>0</v>
      </c>
      <c r="BJ933" s="30">
        <v>46069.523611111108</v>
      </c>
      <c r="BK933" s="30">
        <v>46093.667361111111</v>
      </c>
      <c r="BL933" t="s">
        <v>1259</v>
      </c>
      <c r="BM933" t="s">
        <v>1259</v>
      </c>
      <c r="BO933" t="s">
        <v>1265</v>
      </c>
    </row>
    <row r="934" spans="1:67" x14ac:dyDescent="0.25">
      <c r="A934" t="s">
        <v>1248</v>
      </c>
      <c r="B934">
        <v>352316</v>
      </c>
      <c r="C934">
        <v>405</v>
      </c>
      <c r="D934">
        <v>51503</v>
      </c>
      <c r="E934">
        <v>1117</v>
      </c>
      <c r="F934">
        <v>0</v>
      </c>
      <c r="G934" t="s">
        <v>1265</v>
      </c>
      <c r="H934">
        <v>1</v>
      </c>
      <c r="I934" t="s">
        <v>1265</v>
      </c>
      <c r="J934" t="s">
        <v>1265</v>
      </c>
      <c r="K934" t="s">
        <v>3191</v>
      </c>
      <c r="L934" t="s">
        <v>3176</v>
      </c>
      <c r="M934" t="s">
        <v>3190</v>
      </c>
      <c r="N934" t="s">
        <v>3174</v>
      </c>
      <c r="O934">
        <v>2878</v>
      </c>
      <c r="P934" t="s">
        <v>3349</v>
      </c>
      <c r="R934" t="s">
        <v>3345</v>
      </c>
      <c r="S934">
        <v>0</v>
      </c>
      <c r="T934">
        <v>47</v>
      </c>
      <c r="U934">
        <v>0</v>
      </c>
      <c r="V934">
        <v>0</v>
      </c>
      <c r="W934">
        <v>0</v>
      </c>
      <c r="X934">
        <v>47</v>
      </c>
      <c r="Y934">
        <v>0</v>
      </c>
      <c r="Z934">
        <v>0</v>
      </c>
      <c r="AA934">
        <v>0</v>
      </c>
      <c r="AE934" s="30">
        <v>46111.416666666664</v>
      </c>
      <c r="AF934" s="30">
        <v>46120.375</v>
      </c>
      <c r="AH934" s="30">
        <v>45847.64166666667</v>
      </c>
      <c r="AI934" s="30">
        <v>45855.6</v>
      </c>
      <c r="AJ934" s="30">
        <v>45847.64166666667</v>
      </c>
      <c r="AK934" s="30">
        <v>45855.6</v>
      </c>
      <c r="AL934" s="30">
        <v>45847.64166666667</v>
      </c>
      <c r="AM934" s="30">
        <v>45855.6</v>
      </c>
      <c r="AN934" s="30">
        <v>46111.416666666664</v>
      </c>
      <c r="AO934" s="30">
        <v>46120.375</v>
      </c>
      <c r="AQ934" t="s">
        <v>3171</v>
      </c>
      <c r="AV934" t="s">
        <v>3348</v>
      </c>
      <c r="AW934" t="s">
        <v>3347</v>
      </c>
      <c r="AZ934" t="s">
        <v>1265</v>
      </c>
      <c r="BA934">
        <v>0</v>
      </c>
      <c r="BB934">
        <v>0</v>
      </c>
      <c r="BJ934" s="30">
        <v>46069.523611111108</v>
      </c>
      <c r="BK934" s="30">
        <v>46093.667361111111</v>
      </c>
      <c r="BL934" t="s">
        <v>1259</v>
      </c>
      <c r="BM934" t="s">
        <v>1259</v>
      </c>
      <c r="BO934" t="s">
        <v>1265</v>
      </c>
    </row>
    <row r="935" spans="1:67" x14ac:dyDescent="0.25">
      <c r="A935" t="s">
        <v>1248</v>
      </c>
      <c r="B935">
        <v>352317</v>
      </c>
      <c r="C935">
        <v>405</v>
      </c>
      <c r="D935">
        <v>53304</v>
      </c>
      <c r="E935">
        <v>1117</v>
      </c>
      <c r="F935">
        <v>0</v>
      </c>
      <c r="G935" t="s">
        <v>1265</v>
      </c>
      <c r="H935">
        <v>1</v>
      </c>
      <c r="I935" t="s">
        <v>1265</v>
      </c>
      <c r="J935" t="s">
        <v>1265</v>
      </c>
      <c r="K935" t="s">
        <v>3191</v>
      </c>
      <c r="L935" t="s">
        <v>3176</v>
      </c>
      <c r="M935" t="s">
        <v>3190</v>
      </c>
      <c r="N935" t="s">
        <v>3174</v>
      </c>
      <c r="O935">
        <v>2888</v>
      </c>
      <c r="P935" t="s">
        <v>3346</v>
      </c>
      <c r="R935" t="s">
        <v>3345</v>
      </c>
      <c r="S935">
        <v>13</v>
      </c>
      <c r="T935">
        <v>7</v>
      </c>
      <c r="U935">
        <v>0</v>
      </c>
      <c r="V935">
        <v>0</v>
      </c>
      <c r="W935">
        <v>0</v>
      </c>
      <c r="X935">
        <v>7</v>
      </c>
      <c r="Y935">
        <v>0</v>
      </c>
      <c r="Z935">
        <v>0</v>
      </c>
      <c r="AA935">
        <v>0</v>
      </c>
      <c r="AE935" s="30">
        <v>46120.375</v>
      </c>
      <c r="AF935" s="30">
        <v>46120.708333333336</v>
      </c>
      <c r="AH935" s="30">
        <v>45855.6</v>
      </c>
      <c r="AI935" s="30">
        <v>45856.558333333334</v>
      </c>
      <c r="AJ935" s="30">
        <v>45855.6</v>
      </c>
      <c r="AK935" s="30">
        <v>45856.558333333334</v>
      </c>
      <c r="AL935" s="30">
        <v>45855.6</v>
      </c>
      <c r="AM935" s="30">
        <v>45856.558333333334</v>
      </c>
      <c r="AN935" s="30">
        <v>46120.375</v>
      </c>
      <c r="AO935" s="30">
        <v>46120.708333333336</v>
      </c>
      <c r="AQ935" t="s">
        <v>3171</v>
      </c>
      <c r="AV935" t="s">
        <v>3344</v>
      </c>
      <c r="AW935" t="s">
        <v>3343</v>
      </c>
      <c r="AZ935" t="s">
        <v>1265</v>
      </c>
      <c r="BA935">
        <v>0</v>
      </c>
      <c r="BB935">
        <v>0</v>
      </c>
      <c r="BJ935" s="30">
        <v>46069.523611111108</v>
      </c>
      <c r="BK935" s="30">
        <v>46093.667361111111</v>
      </c>
      <c r="BL935" t="s">
        <v>1259</v>
      </c>
      <c r="BM935" t="s">
        <v>1259</v>
      </c>
      <c r="BO935" t="s">
        <v>1265</v>
      </c>
    </row>
    <row r="936" spans="1:67" x14ac:dyDescent="0.25">
      <c r="A936" t="s">
        <v>1248</v>
      </c>
      <c r="B936">
        <v>352318</v>
      </c>
      <c r="C936">
        <v>405</v>
      </c>
      <c r="D936">
        <v>53304</v>
      </c>
      <c r="E936">
        <v>1117</v>
      </c>
      <c r="F936">
        <v>0</v>
      </c>
      <c r="G936" t="s">
        <v>1265</v>
      </c>
      <c r="H936">
        <v>1</v>
      </c>
      <c r="I936" t="s">
        <v>1265</v>
      </c>
      <c r="J936" t="s">
        <v>1265</v>
      </c>
      <c r="K936" t="s">
        <v>3191</v>
      </c>
      <c r="L936" t="s">
        <v>3176</v>
      </c>
      <c r="M936" t="s">
        <v>3190</v>
      </c>
      <c r="N936" t="s">
        <v>3174</v>
      </c>
      <c r="O936">
        <v>2898</v>
      </c>
      <c r="P936" t="s">
        <v>3342</v>
      </c>
      <c r="R936" t="s">
        <v>3323</v>
      </c>
      <c r="S936">
        <v>0</v>
      </c>
      <c r="T936">
        <v>15</v>
      </c>
      <c r="U936">
        <v>0</v>
      </c>
      <c r="V936">
        <v>0</v>
      </c>
      <c r="W936">
        <v>0</v>
      </c>
      <c r="X936">
        <v>15</v>
      </c>
      <c r="Y936">
        <v>0</v>
      </c>
      <c r="Z936">
        <v>0</v>
      </c>
      <c r="AA936">
        <v>0</v>
      </c>
      <c r="AE936" s="30">
        <v>46069.691666666666</v>
      </c>
      <c r="AF936" s="30">
        <v>46071.65</v>
      </c>
      <c r="AH936" s="30">
        <v>45820.583333333336</v>
      </c>
      <c r="AI936" s="30">
        <v>45824.5</v>
      </c>
      <c r="AJ936" s="30">
        <v>45820.583333333336</v>
      </c>
      <c r="AK936" s="30">
        <v>45824.5</v>
      </c>
      <c r="AL936" s="30">
        <v>45820.583333333336</v>
      </c>
      <c r="AM936" s="30">
        <v>45824.5</v>
      </c>
      <c r="AN936" s="30">
        <v>46069.691666666666</v>
      </c>
      <c r="AO936" s="30">
        <v>46071.65</v>
      </c>
      <c r="AQ936" t="s">
        <v>3171</v>
      </c>
      <c r="AV936" t="s">
        <v>3341</v>
      </c>
      <c r="AW936" t="s">
        <v>3340</v>
      </c>
      <c r="AZ936" t="s">
        <v>1265</v>
      </c>
      <c r="BA936">
        <v>0</v>
      </c>
      <c r="BB936">
        <v>0</v>
      </c>
      <c r="BJ936" s="30">
        <v>46069.523611111108</v>
      </c>
      <c r="BK936" s="30">
        <v>46093.667361111111</v>
      </c>
      <c r="BL936" t="s">
        <v>1259</v>
      </c>
      <c r="BM936" t="s">
        <v>1259</v>
      </c>
      <c r="BO936" t="s">
        <v>1265</v>
      </c>
    </row>
    <row r="937" spans="1:67" x14ac:dyDescent="0.25">
      <c r="A937" t="s">
        <v>1248</v>
      </c>
      <c r="B937">
        <v>352319</v>
      </c>
      <c r="C937">
        <v>405</v>
      </c>
      <c r="D937">
        <v>51504</v>
      </c>
      <c r="E937">
        <v>1117</v>
      </c>
      <c r="F937">
        <v>0</v>
      </c>
      <c r="G937" t="s">
        <v>1265</v>
      </c>
      <c r="H937">
        <v>1</v>
      </c>
      <c r="I937" t="s">
        <v>1265</v>
      </c>
      <c r="J937" t="s">
        <v>1265</v>
      </c>
      <c r="K937" t="s">
        <v>3191</v>
      </c>
      <c r="L937" t="s">
        <v>3176</v>
      </c>
      <c r="M937" t="s">
        <v>3190</v>
      </c>
      <c r="N937" t="s">
        <v>3174</v>
      </c>
      <c r="O937">
        <v>2908</v>
      </c>
      <c r="P937" t="s">
        <v>3339</v>
      </c>
      <c r="R937" t="s">
        <v>3323</v>
      </c>
      <c r="S937">
        <v>0</v>
      </c>
      <c r="T937" s="29">
        <v>441333333333333</v>
      </c>
      <c r="U937">
        <v>0</v>
      </c>
      <c r="V937">
        <v>0</v>
      </c>
      <c r="W937">
        <v>0</v>
      </c>
      <c r="X937" s="29">
        <v>441333333333333</v>
      </c>
      <c r="Y937">
        <v>0</v>
      </c>
      <c r="Z937">
        <v>0</v>
      </c>
      <c r="AA937">
        <v>0</v>
      </c>
      <c r="AE937" s="30">
        <v>46071.65</v>
      </c>
      <c r="AF937" s="30">
        <v>46079.447222222225</v>
      </c>
      <c r="AH937" s="30">
        <v>45824.541666666664</v>
      </c>
      <c r="AI937" s="30">
        <v>45832.338888888888</v>
      </c>
      <c r="AJ937" s="30">
        <v>45824.541666666664</v>
      </c>
      <c r="AK937" s="30">
        <v>45832.338888888888</v>
      </c>
      <c r="AL937" s="30">
        <v>45824.541666666664</v>
      </c>
      <c r="AM937" s="30">
        <v>45832.338888888888</v>
      </c>
      <c r="AN937" s="30">
        <v>46071.65</v>
      </c>
      <c r="AO937" s="30">
        <v>46079.447222222225</v>
      </c>
      <c r="AQ937" t="s">
        <v>3171</v>
      </c>
      <c r="AV937" t="s">
        <v>3338</v>
      </c>
      <c r="AW937" t="s">
        <v>3337</v>
      </c>
      <c r="AZ937" t="s">
        <v>1265</v>
      </c>
      <c r="BA937">
        <v>0</v>
      </c>
      <c r="BB937">
        <v>0</v>
      </c>
      <c r="BJ937" s="30">
        <v>46069.523611111108</v>
      </c>
      <c r="BK937" s="30">
        <v>46093.73333333333</v>
      </c>
      <c r="BL937" t="s">
        <v>1259</v>
      </c>
      <c r="BM937" t="s">
        <v>1259</v>
      </c>
      <c r="BO937" t="s">
        <v>1265</v>
      </c>
    </row>
    <row r="938" spans="1:67" x14ac:dyDescent="0.25">
      <c r="A938" t="s">
        <v>1248</v>
      </c>
      <c r="B938">
        <v>352320</v>
      </c>
      <c r="C938">
        <v>405</v>
      </c>
      <c r="D938">
        <v>51504</v>
      </c>
      <c r="E938">
        <v>1117</v>
      </c>
      <c r="F938">
        <v>0</v>
      </c>
      <c r="G938" t="s">
        <v>1265</v>
      </c>
      <c r="H938">
        <v>1</v>
      </c>
      <c r="I938" t="s">
        <v>1265</v>
      </c>
      <c r="J938" t="s">
        <v>1265</v>
      </c>
      <c r="K938" t="s">
        <v>3191</v>
      </c>
      <c r="L938" t="s">
        <v>3176</v>
      </c>
      <c r="M938" t="s">
        <v>3190</v>
      </c>
      <c r="N938" t="s">
        <v>3174</v>
      </c>
      <c r="O938">
        <v>2918</v>
      </c>
      <c r="P938" t="s">
        <v>3336</v>
      </c>
      <c r="R938" t="s">
        <v>3323</v>
      </c>
      <c r="S938">
        <v>0</v>
      </c>
      <c r="T938">
        <v>7</v>
      </c>
      <c r="U938">
        <v>0</v>
      </c>
      <c r="V938">
        <v>0</v>
      </c>
      <c r="W938">
        <v>0</v>
      </c>
      <c r="X938">
        <v>7</v>
      </c>
      <c r="Y938">
        <v>0</v>
      </c>
      <c r="Z938">
        <v>0</v>
      </c>
      <c r="AA938">
        <v>0</v>
      </c>
      <c r="AE938" s="30">
        <v>46079.447222222225</v>
      </c>
      <c r="AF938" s="30">
        <v>46080.405555555553</v>
      </c>
      <c r="AH938" s="30">
        <v>45832.338888888888</v>
      </c>
      <c r="AI938" s="30">
        <v>45832.672222222223</v>
      </c>
      <c r="AJ938" s="30">
        <v>45832.338888888888</v>
      </c>
      <c r="AK938" s="30">
        <v>45832.672222222223</v>
      </c>
      <c r="AL938" s="30">
        <v>45832.338888888888</v>
      </c>
      <c r="AM938" s="30">
        <v>45832.672222222223</v>
      </c>
      <c r="AN938" s="30">
        <v>46079.447222222225</v>
      </c>
      <c r="AO938" s="30">
        <v>46080.405555555553</v>
      </c>
      <c r="AQ938" t="s">
        <v>3171</v>
      </c>
      <c r="AV938" t="s">
        <v>3335</v>
      </c>
      <c r="AW938" t="s">
        <v>3334</v>
      </c>
      <c r="AZ938" t="s">
        <v>1265</v>
      </c>
      <c r="BA938">
        <v>0</v>
      </c>
      <c r="BB938">
        <v>0</v>
      </c>
      <c r="BJ938" s="30">
        <v>46069.523611111108</v>
      </c>
      <c r="BK938" s="30">
        <v>46093.667361111111</v>
      </c>
      <c r="BL938" t="s">
        <v>1259</v>
      </c>
      <c r="BM938" t="s">
        <v>1259</v>
      </c>
      <c r="BO938" t="s">
        <v>1265</v>
      </c>
    </row>
    <row r="939" spans="1:67" x14ac:dyDescent="0.25">
      <c r="A939" t="s">
        <v>1248</v>
      </c>
      <c r="B939">
        <v>352321</v>
      </c>
      <c r="C939">
        <v>405</v>
      </c>
      <c r="D939">
        <v>51504</v>
      </c>
      <c r="E939">
        <v>1117</v>
      </c>
      <c r="F939">
        <v>0</v>
      </c>
      <c r="G939" t="s">
        <v>1265</v>
      </c>
      <c r="H939">
        <v>1</v>
      </c>
      <c r="I939" t="s">
        <v>1265</v>
      </c>
      <c r="J939" t="s">
        <v>1265</v>
      </c>
      <c r="K939" t="s">
        <v>3191</v>
      </c>
      <c r="L939" t="s">
        <v>3176</v>
      </c>
      <c r="M939" t="s">
        <v>3190</v>
      </c>
      <c r="N939" t="s">
        <v>3174</v>
      </c>
      <c r="O939">
        <v>2928</v>
      </c>
      <c r="P939" t="s">
        <v>3333</v>
      </c>
      <c r="R939" t="s">
        <v>3323</v>
      </c>
      <c r="S939">
        <v>0</v>
      </c>
      <c r="T939" s="29">
        <v>402666666666667</v>
      </c>
      <c r="U939">
        <v>0</v>
      </c>
      <c r="V939">
        <v>0</v>
      </c>
      <c r="W939">
        <v>0</v>
      </c>
      <c r="X939" s="29">
        <v>402666666666667</v>
      </c>
      <c r="Y939">
        <v>0</v>
      </c>
      <c r="Z939">
        <v>0</v>
      </c>
      <c r="AA939">
        <v>0</v>
      </c>
      <c r="AE939" s="30">
        <v>46080.405555555553</v>
      </c>
      <c r="AF939" s="30">
        <v>46087.416666666664</v>
      </c>
      <c r="AH939" s="30">
        <v>45832.672222222223</v>
      </c>
      <c r="AI939" s="30">
        <v>45839.683333333334</v>
      </c>
      <c r="AJ939" s="30">
        <v>45832.672222222223</v>
      </c>
      <c r="AK939" s="30">
        <v>45839.683333333334</v>
      </c>
      <c r="AL939" s="30">
        <v>45832.672222222223</v>
      </c>
      <c r="AM939" s="30">
        <v>45839.683333333334</v>
      </c>
      <c r="AN939" s="30">
        <v>46080.405555555553</v>
      </c>
      <c r="AO939" s="30">
        <v>46087.416666666664</v>
      </c>
      <c r="AQ939" t="s">
        <v>3171</v>
      </c>
      <c r="AV939" t="s">
        <v>3332</v>
      </c>
      <c r="AW939" t="s">
        <v>3331</v>
      </c>
      <c r="AZ939" t="s">
        <v>1265</v>
      </c>
      <c r="BA939">
        <v>0</v>
      </c>
      <c r="BB939">
        <v>0</v>
      </c>
      <c r="BJ939" s="30">
        <v>46069.523611111108</v>
      </c>
      <c r="BK939" s="30">
        <v>46093.73333333333</v>
      </c>
      <c r="BL939" t="s">
        <v>1259</v>
      </c>
      <c r="BM939" t="s">
        <v>1259</v>
      </c>
      <c r="BO939" t="s">
        <v>1265</v>
      </c>
    </row>
    <row r="940" spans="1:67" x14ac:dyDescent="0.25">
      <c r="A940" t="s">
        <v>1248</v>
      </c>
      <c r="B940">
        <v>352322</v>
      </c>
      <c r="C940">
        <v>405</v>
      </c>
      <c r="D940">
        <v>51504</v>
      </c>
      <c r="E940">
        <v>1117</v>
      </c>
      <c r="F940">
        <v>0</v>
      </c>
      <c r="G940" t="s">
        <v>1265</v>
      </c>
      <c r="H940">
        <v>1</v>
      </c>
      <c r="I940" t="s">
        <v>1265</v>
      </c>
      <c r="J940" t="s">
        <v>1265</v>
      </c>
      <c r="K940" t="s">
        <v>3191</v>
      </c>
      <c r="L940" t="s">
        <v>3176</v>
      </c>
      <c r="M940" t="s">
        <v>3190</v>
      </c>
      <c r="N940" t="s">
        <v>3174</v>
      </c>
      <c r="O940">
        <v>2938</v>
      </c>
      <c r="P940" t="s">
        <v>3330</v>
      </c>
      <c r="R940" t="s">
        <v>3323</v>
      </c>
      <c r="S940">
        <v>0</v>
      </c>
      <c r="T940">
        <v>32</v>
      </c>
      <c r="U940">
        <v>0</v>
      </c>
      <c r="V940">
        <v>0</v>
      </c>
      <c r="W940">
        <v>0</v>
      </c>
      <c r="X940">
        <v>32</v>
      </c>
      <c r="Y940">
        <v>0</v>
      </c>
      <c r="Z940">
        <v>0</v>
      </c>
      <c r="AA940">
        <v>0</v>
      </c>
      <c r="AE940" s="30">
        <v>46087.416666666664</v>
      </c>
      <c r="AF940" s="30">
        <v>46093.416666666664</v>
      </c>
      <c r="AH940" s="30">
        <v>45839.683333333334</v>
      </c>
      <c r="AI940" s="30">
        <v>45845.683333333334</v>
      </c>
      <c r="AJ940" s="30">
        <v>45839.683333333334</v>
      </c>
      <c r="AK940" s="30">
        <v>45845.683333333334</v>
      </c>
      <c r="AL940" s="30">
        <v>45839.683333333334</v>
      </c>
      <c r="AM940" s="30">
        <v>45845.683333333334</v>
      </c>
      <c r="AN940" s="30">
        <v>46087.416666666664</v>
      </c>
      <c r="AO940" s="30">
        <v>46093.416666666664</v>
      </c>
      <c r="AQ940" t="s">
        <v>3171</v>
      </c>
      <c r="AV940" t="s">
        <v>3329</v>
      </c>
      <c r="AW940" t="s">
        <v>3328</v>
      </c>
      <c r="AZ940" t="s">
        <v>1265</v>
      </c>
      <c r="BA940">
        <v>0</v>
      </c>
      <c r="BB940">
        <v>0</v>
      </c>
      <c r="BJ940" s="30">
        <v>46069.523611111108</v>
      </c>
      <c r="BK940" s="30">
        <v>46093.667361111111</v>
      </c>
      <c r="BL940" t="s">
        <v>1259</v>
      </c>
      <c r="BM940" t="s">
        <v>1259</v>
      </c>
      <c r="BO940" t="s">
        <v>1265</v>
      </c>
    </row>
    <row r="941" spans="1:67" x14ac:dyDescent="0.25">
      <c r="A941" t="s">
        <v>1248</v>
      </c>
      <c r="B941">
        <v>352323</v>
      </c>
      <c r="C941">
        <v>405</v>
      </c>
      <c r="D941">
        <v>51504</v>
      </c>
      <c r="E941">
        <v>1117</v>
      </c>
      <c r="F941">
        <v>0</v>
      </c>
      <c r="G941" t="s">
        <v>1265</v>
      </c>
      <c r="H941">
        <v>1</v>
      </c>
      <c r="I941" t="s">
        <v>1265</v>
      </c>
      <c r="J941" t="s">
        <v>1265</v>
      </c>
      <c r="K941" t="s">
        <v>3191</v>
      </c>
      <c r="L941" t="s">
        <v>3176</v>
      </c>
      <c r="M941" t="s">
        <v>3190</v>
      </c>
      <c r="N941" t="s">
        <v>3174</v>
      </c>
      <c r="O941">
        <v>2948</v>
      </c>
      <c r="P941" t="s">
        <v>3327</v>
      </c>
      <c r="R941" t="s">
        <v>3323</v>
      </c>
      <c r="S941">
        <v>0</v>
      </c>
      <c r="T941">
        <v>47</v>
      </c>
      <c r="U941">
        <v>0</v>
      </c>
      <c r="V941">
        <v>0</v>
      </c>
      <c r="W941">
        <v>0</v>
      </c>
      <c r="X941">
        <v>47</v>
      </c>
      <c r="Y941">
        <v>0</v>
      </c>
      <c r="Z941">
        <v>0</v>
      </c>
      <c r="AA941">
        <v>0</v>
      </c>
      <c r="AE941" s="30">
        <v>46093.416666666664</v>
      </c>
      <c r="AF941" s="30">
        <v>46101.375</v>
      </c>
      <c r="AH941" s="30">
        <v>45845.683333333334</v>
      </c>
      <c r="AI941" s="30">
        <v>45853.64166666667</v>
      </c>
      <c r="AJ941" s="30">
        <v>45845.683333333334</v>
      </c>
      <c r="AK941" s="30">
        <v>45853.64166666667</v>
      </c>
      <c r="AL941" s="30">
        <v>45845.683333333334</v>
      </c>
      <c r="AM941" s="30">
        <v>45853.64166666667</v>
      </c>
      <c r="AN941" s="30">
        <v>46093.416666666664</v>
      </c>
      <c r="AO941" s="30">
        <v>46101.375</v>
      </c>
      <c r="AQ941" t="s">
        <v>3171</v>
      </c>
      <c r="AV941" t="s">
        <v>3326</v>
      </c>
      <c r="AW941" t="s">
        <v>3325</v>
      </c>
      <c r="AZ941" t="s">
        <v>1265</v>
      </c>
      <c r="BA941">
        <v>0</v>
      </c>
      <c r="BB941">
        <v>0</v>
      </c>
      <c r="BJ941" s="30">
        <v>46069.523611111108</v>
      </c>
      <c r="BK941" s="30">
        <v>46093.667361111111</v>
      </c>
      <c r="BL941" t="s">
        <v>1259</v>
      </c>
      <c r="BM941" t="s">
        <v>1259</v>
      </c>
      <c r="BO941" t="s">
        <v>1265</v>
      </c>
    </row>
    <row r="942" spans="1:67" x14ac:dyDescent="0.25">
      <c r="A942" t="s">
        <v>1248</v>
      </c>
      <c r="B942">
        <v>352324</v>
      </c>
      <c r="C942">
        <v>405</v>
      </c>
      <c r="D942">
        <v>53304</v>
      </c>
      <c r="E942">
        <v>1117</v>
      </c>
      <c r="F942">
        <v>0</v>
      </c>
      <c r="G942" t="s">
        <v>1265</v>
      </c>
      <c r="H942">
        <v>1</v>
      </c>
      <c r="I942" t="s">
        <v>1265</v>
      </c>
      <c r="J942" t="s">
        <v>1265</v>
      </c>
      <c r="K942" t="s">
        <v>3191</v>
      </c>
      <c r="L942" t="s">
        <v>3176</v>
      </c>
      <c r="M942" t="s">
        <v>3190</v>
      </c>
      <c r="N942" t="s">
        <v>3174</v>
      </c>
      <c r="O942">
        <v>2958</v>
      </c>
      <c r="P942" t="s">
        <v>3324</v>
      </c>
      <c r="R942" t="s">
        <v>3323</v>
      </c>
      <c r="S942">
        <v>8</v>
      </c>
      <c r="T942">
        <v>7</v>
      </c>
      <c r="U942">
        <v>0</v>
      </c>
      <c r="V942">
        <v>0</v>
      </c>
      <c r="W942">
        <v>0</v>
      </c>
      <c r="X942">
        <v>7</v>
      </c>
      <c r="Y942">
        <v>0</v>
      </c>
      <c r="Z942">
        <v>0</v>
      </c>
      <c r="AA942">
        <v>0</v>
      </c>
      <c r="AE942" s="30">
        <v>46101.375</v>
      </c>
      <c r="AF942" s="30">
        <v>46101.708333333336</v>
      </c>
      <c r="AH942" s="30">
        <v>45853.64166666667</v>
      </c>
      <c r="AI942" s="30">
        <v>45854.6</v>
      </c>
      <c r="AJ942" s="30">
        <v>45853.64166666667</v>
      </c>
      <c r="AK942" s="30">
        <v>45854.6</v>
      </c>
      <c r="AL942" s="30">
        <v>45853.64166666667</v>
      </c>
      <c r="AM942" s="30">
        <v>45854.6</v>
      </c>
      <c r="AN942" s="30">
        <v>46101.375</v>
      </c>
      <c r="AO942" s="30">
        <v>46101.708333333336</v>
      </c>
      <c r="AQ942" t="s">
        <v>3171</v>
      </c>
      <c r="AV942" t="s">
        <v>3322</v>
      </c>
      <c r="AW942" t="s">
        <v>3321</v>
      </c>
      <c r="AZ942" t="s">
        <v>1265</v>
      </c>
      <c r="BA942">
        <v>0</v>
      </c>
      <c r="BB942">
        <v>0</v>
      </c>
      <c r="BJ942" s="30">
        <v>46069.523611111108</v>
      </c>
      <c r="BK942" s="30">
        <v>46093.667361111111</v>
      </c>
      <c r="BL942" t="s">
        <v>1259</v>
      </c>
      <c r="BM942" t="s">
        <v>1259</v>
      </c>
      <c r="BO942" t="s">
        <v>1265</v>
      </c>
    </row>
    <row r="943" spans="1:67" x14ac:dyDescent="0.25">
      <c r="A943" t="s">
        <v>1248</v>
      </c>
      <c r="B943">
        <v>352325</v>
      </c>
      <c r="C943">
        <v>405</v>
      </c>
      <c r="D943">
        <v>53304</v>
      </c>
      <c r="E943">
        <v>1117</v>
      </c>
      <c r="F943">
        <v>0</v>
      </c>
      <c r="G943" t="s">
        <v>1265</v>
      </c>
      <c r="H943">
        <v>1</v>
      </c>
      <c r="I943" t="s">
        <v>1265</v>
      </c>
      <c r="J943" t="s">
        <v>1265</v>
      </c>
      <c r="K943" t="s">
        <v>3191</v>
      </c>
      <c r="L943" t="s">
        <v>3176</v>
      </c>
      <c r="M943" t="s">
        <v>3190</v>
      </c>
      <c r="N943" t="s">
        <v>3174</v>
      </c>
      <c r="O943">
        <v>2968</v>
      </c>
      <c r="P943" t="s">
        <v>3320</v>
      </c>
      <c r="R943" t="s">
        <v>3301</v>
      </c>
      <c r="S943">
        <v>0</v>
      </c>
      <c r="T943">
        <v>15</v>
      </c>
      <c r="U943">
        <v>0</v>
      </c>
      <c r="V943">
        <v>0</v>
      </c>
      <c r="W943">
        <v>0</v>
      </c>
      <c r="X943">
        <v>15</v>
      </c>
      <c r="Y943">
        <v>0</v>
      </c>
      <c r="Z943">
        <v>0</v>
      </c>
      <c r="AA943">
        <v>0</v>
      </c>
      <c r="AE943" s="30">
        <v>46051.691666666666</v>
      </c>
      <c r="AF943" s="30">
        <v>46055.65</v>
      </c>
      <c r="AH943" s="30">
        <v>45818.625</v>
      </c>
      <c r="AI943" s="30">
        <v>45820.583333333336</v>
      </c>
      <c r="AJ943" s="30">
        <v>45818.625</v>
      </c>
      <c r="AK943" s="30">
        <v>45820.583333333336</v>
      </c>
      <c r="AL943" s="30">
        <v>45818.625</v>
      </c>
      <c r="AM943" s="30">
        <v>45820.583333333336</v>
      </c>
      <c r="AN943" s="30">
        <v>46051.691666666666</v>
      </c>
      <c r="AO943" s="30">
        <v>46055.65</v>
      </c>
      <c r="AQ943" t="s">
        <v>3171</v>
      </c>
      <c r="AV943" t="s">
        <v>3319</v>
      </c>
      <c r="AW943" t="s">
        <v>3318</v>
      </c>
      <c r="AZ943" t="s">
        <v>1265</v>
      </c>
      <c r="BA943">
        <v>0</v>
      </c>
      <c r="BB943">
        <v>0</v>
      </c>
      <c r="BJ943" s="30">
        <v>46069.523611111108</v>
      </c>
      <c r="BK943" s="30">
        <v>46093.667361111111</v>
      </c>
      <c r="BL943" t="s">
        <v>1259</v>
      </c>
      <c r="BM943" t="s">
        <v>1259</v>
      </c>
      <c r="BO943" t="s">
        <v>1265</v>
      </c>
    </row>
    <row r="944" spans="1:67" x14ac:dyDescent="0.25">
      <c r="A944" t="s">
        <v>1248</v>
      </c>
      <c r="B944">
        <v>352326</v>
      </c>
      <c r="C944">
        <v>405</v>
      </c>
      <c r="D944">
        <v>51505</v>
      </c>
      <c r="E944">
        <v>1117</v>
      </c>
      <c r="F944">
        <v>0</v>
      </c>
      <c r="G944" t="s">
        <v>1265</v>
      </c>
      <c r="H944">
        <v>1</v>
      </c>
      <c r="I944" t="s">
        <v>1265</v>
      </c>
      <c r="J944" t="s">
        <v>1265</v>
      </c>
      <c r="K944" t="s">
        <v>3191</v>
      </c>
      <c r="L944" t="s">
        <v>3176</v>
      </c>
      <c r="M944" t="s">
        <v>3190</v>
      </c>
      <c r="N944" t="s">
        <v>3174</v>
      </c>
      <c r="O944">
        <v>2978</v>
      </c>
      <c r="P944" t="s">
        <v>3317</v>
      </c>
      <c r="R944" t="s">
        <v>3301</v>
      </c>
      <c r="S944">
        <v>0</v>
      </c>
      <c r="T944" s="29">
        <v>441333333333333</v>
      </c>
      <c r="U944">
        <v>0</v>
      </c>
      <c r="V944">
        <v>0</v>
      </c>
      <c r="W944">
        <v>0</v>
      </c>
      <c r="X944" s="29">
        <v>441333333333333</v>
      </c>
      <c r="Y944">
        <v>0</v>
      </c>
      <c r="Z944">
        <v>0</v>
      </c>
      <c r="AA944">
        <v>0</v>
      </c>
      <c r="AE944" s="30">
        <v>46055.65</v>
      </c>
      <c r="AF944" s="30">
        <v>46063.447222222225</v>
      </c>
      <c r="AH944" s="30">
        <v>45820.583333333336</v>
      </c>
      <c r="AI944" s="30">
        <v>45828.380555555559</v>
      </c>
      <c r="AJ944" s="30">
        <v>45820.583333333336</v>
      </c>
      <c r="AK944" s="30">
        <v>45828.380555555559</v>
      </c>
      <c r="AL944" s="30">
        <v>45820.583333333336</v>
      </c>
      <c r="AM944" s="30">
        <v>45828.380555555559</v>
      </c>
      <c r="AN944" s="30">
        <v>46055.65</v>
      </c>
      <c r="AO944" s="30">
        <v>46063.447222222225</v>
      </c>
      <c r="AQ944" t="s">
        <v>3171</v>
      </c>
      <c r="AV944" t="s">
        <v>3316</v>
      </c>
      <c r="AW944" t="s">
        <v>3315</v>
      </c>
      <c r="AZ944" t="s">
        <v>1265</v>
      </c>
      <c r="BA944">
        <v>0</v>
      </c>
      <c r="BB944">
        <v>0</v>
      </c>
      <c r="BJ944" s="30">
        <v>46069.523611111108</v>
      </c>
      <c r="BK944" s="30">
        <v>46093.73333333333</v>
      </c>
      <c r="BL944" t="s">
        <v>1259</v>
      </c>
      <c r="BM944" t="s">
        <v>1259</v>
      </c>
      <c r="BO944" t="s">
        <v>1265</v>
      </c>
    </row>
    <row r="945" spans="1:67" x14ac:dyDescent="0.25">
      <c r="A945" t="s">
        <v>1248</v>
      </c>
      <c r="B945">
        <v>352327</v>
      </c>
      <c r="C945">
        <v>405</v>
      </c>
      <c r="D945">
        <v>51505</v>
      </c>
      <c r="E945">
        <v>1117</v>
      </c>
      <c r="F945">
        <v>0</v>
      </c>
      <c r="G945" t="s">
        <v>1265</v>
      </c>
      <c r="H945">
        <v>1</v>
      </c>
      <c r="I945" t="s">
        <v>1265</v>
      </c>
      <c r="J945" t="s">
        <v>1265</v>
      </c>
      <c r="K945" t="s">
        <v>3191</v>
      </c>
      <c r="L945" t="s">
        <v>3176</v>
      </c>
      <c r="M945" t="s">
        <v>3190</v>
      </c>
      <c r="N945" t="s">
        <v>3174</v>
      </c>
      <c r="O945">
        <v>2988</v>
      </c>
      <c r="P945" t="s">
        <v>3314</v>
      </c>
      <c r="R945" t="s">
        <v>3301</v>
      </c>
      <c r="S945">
        <v>0</v>
      </c>
      <c r="T945">
        <v>7</v>
      </c>
      <c r="U945">
        <v>0</v>
      </c>
      <c r="V945">
        <v>0</v>
      </c>
      <c r="W945">
        <v>0</v>
      </c>
      <c r="X945">
        <v>7</v>
      </c>
      <c r="Y945">
        <v>0</v>
      </c>
      <c r="Z945">
        <v>0</v>
      </c>
      <c r="AA945">
        <v>0</v>
      </c>
      <c r="AE945" s="30">
        <v>46063.447222222225</v>
      </c>
      <c r="AF945" s="30">
        <v>46064.405555555553</v>
      </c>
      <c r="AH945" s="30">
        <v>45828.380555555559</v>
      </c>
      <c r="AI945" s="30">
        <v>45831.338888888888</v>
      </c>
      <c r="AJ945" s="30">
        <v>45828.380555555559</v>
      </c>
      <c r="AK945" s="30">
        <v>45831.338888888888</v>
      </c>
      <c r="AL945" s="30">
        <v>45828.380555555559</v>
      </c>
      <c r="AM945" s="30">
        <v>45831.338888888888</v>
      </c>
      <c r="AN945" s="30">
        <v>46063.447222222225</v>
      </c>
      <c r="AO945" s="30">
        <v>46064.405555555553</v>
      </c>
      <c r="AQ945" t="s">
        <v>3171</v>
      </c>
      <c r="AV945" t="s">
        <v>3313</v>
      </c>
      <c r="AW945" t="s">
        <v>3312</v>
      </c>
      <c r="AZ945" t="s">
        <v>1265</v>
      </c>
      <c r="BA945">
        <v>0</v>
      </c>
      <c r="BB945">
        <v>0</v>
      </c>
      <c r="BJ945" s="30">
        <v>46069.523611111108</v>
      </c>
      <c r="BK945" s="30">
        <v>46093.667361111111</v>
      </c>
      <c r="BL945" t="s">
        <v>1259</v>
      </c>
      <c r="BM945" t="s">
        <v>1259</v>
      </c>
      <c r="BO945" t="s">
        <v>1265</v>
      </c>
    </row>
    <row r="946" spans="1:67" x14ac:dyDescent="0.25">
      <c r="A946" t="s">
        <v>1248</v>
      </c>
      <c r="B946">
        <v>352328</v>
      </c>
      <c r="C946">
        <v>405</v>
      </c>
      <c r="D946">
        <v>51505</v>
      </c>
      <c r="E946">
        <v>1117</v>
      </c>
      <c r="F946">
        <v>0</v>
      </c>
      <c r="G946" t="s">
        <v>1265</v>
      </c>
      <c r="H946">
        <v>1</v>
      </c>
      <c r="I946" t="s">
        <v>1265</v>
      </c>
      <c r="J946" t="s">
        <v>1265</v>
      </c>
      <c r="K946" t="s">
        <v>3191</v>
      </c>
      <c r="L946" t="s">
        <v>3176</v>
      </c>
      <c r="M946" t="s">
        <v>3190</v>
      </c>
      <c r="N946" t="s">
        <v>3174</v>
      </c>
      <c r="O946">
        <v>2998</v>
      </c>
      <c r="P946" t="s">
        <v>3311</v>
      </c>
      <c r="R946" t="s">
        <v>3301</v>
      </c>
      <c r="S946">
        <v>0</v>
      </c>
      <c r="T946" s="29">
        <v>402666666666667</v>
      </c>
      <c r="U946">
        <v>0</v>
      </c>
      <c r="V946">
        <v>0</v>
      </c>
      <c r="W946">
        <v>0</v>
      </c>
      <c r="X946" s="29">
        <v>402666666666667</v>
      </c>
      <c r="Y946">
        <v>0</v>
      </c>
      <c r="Z946">
        <v>0</v>
      </c>
      <c r="AA946">
        <v>0</v>
      </c>
      <c r="AE946" s="30">
        <v>46064.405555555553</v>
      </c>
      <c r="AF946" s="30">
        <v>46071.416666666664</v>
      </c>
      <c r="AH946" s="30">
        <v>45831.338888888888</v>
      </c>
      <c r="AI946" s="30">
        <v>45838.35</v>
      </c>
      <c r="AJ946" s="30">
        <v>45831.338888888888</v>
      </c>
      <c r="AK946" s="30">
        <v>45838.35</v>
      </c>
      <c r="AL946" s="30">
        <v>45831.338888888888</v>
      </c>
      <c r="AM946" s="30">
        <v>45838.35</v>
      </c>
      <c r="AN946" s="30">
        <v>46064.405555555553</v>
      </c>
      <c r="AO946" s="30">
        <v>46071.416666666664</v>
      </c>
      <c r="AQ946" t="s">
        <v>3171</v>
      </c>
      <c r="AV946" t="s">
        <v>3310</v>
      </c>
      <c r="AW946" t="s">
        <v>3309</v>
      </c>
      <c r="AZ946" t="s">
        <v>1265</v>
      </c>
      <c r="BA946">
        <v>0</v>
      </c>
      <c r="BB946">
        <v>0</v>
      </c>
      <c r="BJ946" s="30">
        <v>46069.523611111108</v>
      </c>
      <c r="BK946" s="30">
        <v>46093.73333333333</v>
      </c>
      <c r="BL946" t="s">
        <v>1259</v>
      </c>
      <c r="BM946" t="s">
        <v>1259</v>
      </c>
      <c r="BO946" t="s">
        <v>1265</v>
      </c>
    </row>
    <row r="947" spans="1:67" x14ac:dyDescent="0.25">
      <c r="A947" t="s">
        <v>1248</v>
      </c>
      <c r="B947">
        <v>352329</v>
      </c>
      <c r="C947">
        <v>405</v>
      </c>
      <c r="D947">
        <v>51505</v>
      </c>
      <c r="E947">
        <v>1117</v>
      </c>
      <c r="F947">
        <v>0</v>
      </c>
      <c r="G947" t="s">
        <v>1265</v>
      </c>
      <c r="H947">
        <v>1</v>
      </c>
      <c r="I947" t="s">
        <v>1265</v>
      </c>
      <c r="J947" t="s">
        <v>1265</v>
      </c>
      <c r="K947" t="s">
        <v>3191</v>
      </c>
      <c r="L947" t="s">
        <v>3176</v>
      </c>
      <c r="M947" t="s">
        <v>3190</v>
      </c>
      <c r="N947" t="s">
        <v>3174</v>
      </c>
      <c r="O947">
        <v>3008</v>
      </c>
      <c r="P947" t="s">
        <v>3308</v>
      </c>
      <c r="R947" t="s">
        <v>3301</v>
      </c>
      <c r="S947">
        <v>0</v>
      </c>
      <c r="T947">
        <v>32</v>
      </c>
      <c r="U947">
        <v>0</v>
      </c>
      <c r="V947">
        <v>0</v>
      </c>
      <c r="W947">
        <v>0</v>
      </c>
      <c r="X947">
        <v>32</v>
      </c>
      <c r="Y947">
        <v>0</v>
      </c>
      <c r="Z947">
        <v>0</v>
      </c>
      <c r="AA947">
        <v>0</v>
      </c>
      <c r="AE947" s="30">
        <v>46071.416666666664</v>
      </c>
      <c r="AF947" s="30">
        <v>46077.416666666664</v>
      </c>
      <c r="AH947" s="30">
        <v>45838.35</v>
      </c>
      <c r="AI947" s="30">
        <v>45842.35</v>
      </c>
      <c r="AJ947" s="30">
        <v>45838.35</v>
      </c>
      <c r="AK947" s="30">
        <v>45842.35</v>
      </c>
      <c r="AL947" s="30">
        <v>45838.35</v>
      </c>
      <c r="AM947" s="30">
        <v>45842.35</v>
      </c>
      <c r="AN947" s="30">
        <v>46071.416666666664</v>
      </c>
      <c r="AO947" s="30">
        <v>46077.416666666664</v>
      </c>
      <c r="AQ947" t="s">
        <v>3171</v>
      </c>
      <c r="AV947" t="s">
        <v>3307</v>
      </c>
      <c r="AW947" t="s">
        <v>3306</v>
      </c>
      <c r="AZ947" t="s">
        <v>1265</v>
      </c>
      <c r="BA947">
        <v>0</v>
      </c>
      <c r="BB947">
        <v>0</v>
      </c>
      <c r="BJ947" s="30">
        <v>46069.523611111108</v>
      </c>
      <c r="BK947" s="30">
        <v>46093.667361111111</v>
      </c>
      <c r="BL947" t="s">
        <v>1259</v>
      </c>
      <c r="BM947" t="s">
        <v>1259</v>
      </c>
      <c r="BO947" t="s">
        <v>1265</v>
      </c>
    </row>
    <row r="948" spans="1:67" x14ac:dyDescent="0.25">
      <c r="A948" t="s">
        <v>1248</v>
      </c>
      <c r="B948">
        <v>352330</v>
      </c>
      <c r="C948">
        <v>405</v>
      </c>
      <c r="D948">
        <v>51505</v>
      </c>
      <c r="E948">
        <v>1117</v>
      </c>
      <c r="F948">
        <v>0</v>
      </c>
      <c r="G948" t="s">
        <v>1265</v>
      </c>
      <c r="H948">
        <v>1</v>
      </c>
      <c r="I948" t="s">
        <v>1265</v>
      </c>
      <c r="J948" t="s">
        <v>1265</v>
      </c>
      <c r="K948" t="s">
        <v>3191</v>
      </c>
      <c r="L948" t="s">
        <v>3176</v>
      </c>
      <c r="M948" t="s">
        <v>3190</v>
      </c>
      <c r="N948" t="s">
        <v>3174</v>
      </c>
      <c r="O948">
        <v>3018</v>
      </c>
      <c r="P948" t="s">
        <v>3305</v>
      </c>
      <c r="R948" t="s">
        <v>3301</v>
      </c>
      <c r="S948">
        <v>0</v>
      </c>
      <c r="T948">
        <v>47</v>
      </c>
      <c r="U948">
        <v>0</v>
      </c>
      <c r="V948">
        <v>0</v>
      </c>
      <c r="W948">
        <v>0</v>
      </c>
      <c r="X948">
        <v>47</v>
      </c>
      <c r="Y948">
        <v>0</v>
      </c>
      <c r="Z948">
        <v>0</v>
      </c>
      <c r="AA948">
        <v>0</v>
      </c>
      <c r="AE948" s="30">
        <v>46077.416666666664</v>
      </c>
      <c r="AF948" s="30">
        <v>46085.375</v>
      </c>
      <c r="AH948" s="30">
        <v>45842.35</v>
      </c>
      <c r="AI948" s="30">
        <v>45849.683333333334</v>
      </c>
      <c r="AJ948" s="30">
        <v>45842.35</v>
      </c>
      <c r="AK948" s="30">
        <v>45849.683333333334</v>
      </c>
      <c r="AL948" s="30">
        <v>45842.35</v>
      </c>
      <c r="AM948" s="30">
        <v>45849.683333333334</v>
      </c>
      <c r="AN948" s="30">
        <v>46077.416666666664</v>
      </c>
      <c r="AO948" s="30">
        <v>46085.375</v>
      </c>
      <c r="AQ948" t="s">
        <v>3171</v>
      </c>
      <c r="AV948" t="s">
        <v>3304</v>
      </c>
      <c r="AW948" t="s">
        <v>3303</v>
      </c>
      <c r="AZ948" t="s">
        <v>1265</v>
      </c>
      <c r="BA948">
        <v>0</v>
      </c>
      <c r="BB948">
        <v>0</v>
      </c>
      <c r="BJ948" s="30">
        <v>46069.523611111108</v>
      </c>
      <c r="BK948" s="30">
        <v>46093.667361111111</v>
      </c>
      <c r="BL948" t="s">
        <v>1259</v>
      </c>
      <c r="BM948" t="s">
        <v>1259</v>
      </c>
      <c r="BO948" t="s">
        <v>1265</v>
      </c>
    </row>
    <row r="949" spans="1:67" x14ac:dyDescent="0.25">
      <c r="A949" t="s">
        <v>1248</v>
      </c>
      <c r="B949">
        <v>352331</v>
      </c>
      <c r="C949">
        <v>405</v>
      </c>
      <c r="D949">
        <v>53304</v>
      </c>
      <c r="E949">
        <v>1117</v>
      </c>
      <c r="F949">
        <v>0</v>
      </c>
      <c r="G949" t="s">
        <v>1265</v>
      </c>
      <c r="H949">
        <v>1</v>
      </c>
      <c r="I949" t="s">
        <v>1265</v>
      </c>
      <c r="J949" t="s">
        <v>1265</v>
      </c>
      <c r="K949" t="s">
        <v>3191</v>
      </c>
      <c r="L949" t="s">
        <v>3176</v>
      </c>
      <c r="M949" t="s">
        <v>3190</v>
      </c>
      <c r="N949" t="s">
        <v>3174</v>
      </c>
      <c r="O949">
        <v>3028</v>
      </c>
      <c r="P949" t="s">
        <v>3302</v>
      </c>
      <c r="R949" t="s">
        <v>3301</v>
      </c>
      <c r="S949">
        <v>8</v>
      </c>
      <c r="T949">
        <v>7</v>
      </c>
      <c r="U949">
        <v>0</v>
      </c>
      <c r="V949">
        <v>0</v>
      </c>
      <c r="W949">
        <v>0</v>
      </c>
      <c r="X949">
        <v>7</v>
      </c>
      <c r="Y949">
        <v>0</v>
      </c>
      <c r="Z949">
        <v>0</v>
      </c>
      <c r="AA949">
        <v>0</v>
      </c>
      <c r="AE949" s="30">
        <v>46085.375</v>
      </c>
      <c r="AF949" s="30">
        <v>46085.708333333336</v>
      </c>
      <c r="AH949" s="30">
        <v>45849.683333333334</v>
      </c>
      <c r="AI949" s="30">
        <v>45852.64166666667</v>
      </c>
      <c r="AJ949" s="30">
        <v>45849.683333333334</v>
      </c>
      <c r="AK949" s="30">
        <v>45852.64166666667</v>
      </c>
      <c r="AL949" s="30">
        <v>45849.683333333334</v>
      </c>
      <c r="AM949" s="30">
        <v>45852.64166666667</v>
      </c>
      <c r="AN949" s="30">
        <v>46085.375</v>
      </c>
      <c r="AO949" s="30">
        <v>46085.708333333336</v>
      </c>
      <c r="AQ949" t="s">
        <v>3171</v>
      </c>
      <c r="AV949" t="s">
        <v>3300</v>
      </c>
      <c r="AW949" t="s">
        <v>3299</v>
      </c>
      <c r="AZ949" t="s">
        <v>1265</v>
      </c>
      <c r="BA949">
        <v>0</v>
      </c>
      <c r="BB949">
        <v>0</v>
      </c>
      <c r="BJ949" s="30">
        <v>46069.523611111108</v>
      </c>
      <c r="BK949" s="30">
        <v>46093.667361111111</v>
      </c>
      <c r="BL949" t="s">
        <v>1259</v>
      </c>
      <c r="BM949" t="s">
        <v>1259</v>
      </c>
      <c r="BO949" t="s">
        <v>1265</v>
      </c>
    </row>
    <row r="950" spans="1:67" x14ac:dyDescent="0.25">
      <c r="A950" t="s">
        <v>1248</v>
      </c>
      <c r="B950">
        <v>352332</v>
      </c>
      <c r="C950">
        <v>405</v>
      </c>
      <c r="D950">
        <v>53304</v>
      </c>
      <c r="E950">
        <v>1117</v>
      </c>
      <c r="F950">
        <v>0</v>
      </c>
      <c r="G950" t="s">
        <v>1265</v>
      </c>
      <c r="H950">
        <v>1</v>
      </c>
      <c r="I950" t="s">
        <v>1265</v>
      </c>
      <c r="J950" t="s">
        <v>1265</v>
      </c>
      <c r="K950" t="s">
        <v>3191</v>
      </c>
      <c r="L950" t="s">
        <v>3176</v>
      </c>
      <c r="M950" t="s">
        <v>3190</v>
      </c>
      <c r="N950" t="s">
        <v>3174</v>
      </c>
      <c r="O950">
        <v>3038</v>
      </c>
      <c r="P950" t="s">
        <v>3298</v>
      </c>
      <c r="R950" t="s">
        <v>3279</v>
      </c>
      <c r="S950">
        <v>0</v>
      </c>
      <c r="T950">
        <v>15</v>
      </c>
      <c r="U950">
        <v>0</v>
      </c>
      <c r="V950">
        <v>0</v>
      </c>
      <c r="W950">
        <v>0</v>
      </c>
      <c r="X950">
        <v>15</v>
      </c>
      <c r="Y950">
        <v>0</v>
      </c>
      <c r="Z950">
        <v>0</v>
      </c>
      <c r="AA950">
        <v>0</v>
      </c>
      <c r="AE950" s="30">
        <v>46035.691666666666</v>
      </c>
      <c r="AF950" s="30">
        <v>46037.65</v>
      </c>
      <c r="AH950" s="30">
        <v>45814.666666666664</v>
      </c>
      <c r="AI950" s="30">
        <v>45818.625</v>
      </c>
      <c r="AJ950" s="30">
        <v>45814.666666666664</v>
      </c>
      <c r="AK950" s="30">
        <v>45818.625</v>
      </c>
      <c r="AL950" s="30">
        <v>45814.666666666664</v>
      </c>
      <c r="AM950" s="30">
        <v>45818.625</v>
      </c>
      <c r="AN950" s="30">
        <v>46035.691666666666</v>
      </c>
      <c r="AO950" s="30">
        <v>46037.65</v>
      </c>
      <c r="AQ950" t="s">
        <v>3171</v>
      </c>
      <c r="AV950" t="s">
        <v>3297</v>
      </c>
      <c r="AW950" t="s">
        <v>3296</v>
      </c>
      <c r="AZ950" t="s">
        <v>1265</v>
      </c>
      <c r="BA950">
        <v>0</v>
      </c>
      <c r="BB950">
        <v>0</v>
      </c>
      <c r="BJ950" s="30">
        <v>46069.523611111108</v>
      </c>
      <c r="BK950" s="30">
        <v>46093.667361111111</v>
      </c>
      <c r="BL950" t="s">
        <v>1259</v>
      </c>
      <c r="BM950" t="s">
        <v>1259</v>
      </c>
      <c r="BO950" t="s">
        <v>1265</v>
      </c>
    </row>
    <row r="951" spans="1:67" x14ac:dyDescent="0.25">
      <c r="A951" t="s">
        <v>1248</v>
      </c>
      <c r="B951">
        <v>352333</v>
      </c>
      <c r="C951">
        <v>405</v>
      </c>
      <c r="D951">
        <v>51506</v>
      </c>
      <c r="E951">
        <v>1117</v>
      </c>
      <c r="F951">
        <v>0</v>
      </c>
      <c r="G951" t="s">
        <v>1265</v>
      </c>
      <c r="H951">
        <v>1</v>
      </c>
      <c r="I951" t="s">
        <v>1265</v>
      </c>
      <c r="J951" t="s">
        <v>1265</v>
      </c>
      <c r="K951" t="s">
        <v>3191</v>
      </c>
      <c r="L951" t="s">
        <v>3176</v>
      </c>
      <c r="M951" t="s">
        <v>3190</v>
      </c>
      <c r="N951" t="s">
        <v>3174</v>
      </c>
      <c r="O951">
        <v>3048</v>
      </c>
      <c r="P951" t="s">
        <v>3295</v>
      </c>
      <c r="R951" t="s">
        <v>3279</v>
      </c>
      <c r="S951">
        <v>0</v>
      </c>
      <c r="T951" s="29">
        <v>441333333333333</v>
      </c>
      <c r="U951">
        <v>0</v>
      </c>
      <c r="V951">
        <v>0</v>
      </c>
      <c r="W951">
        <v>0</v>
      </c>
      <c r="X951" s="29">
        <v>441333333333333</v>
      </c>
      <c r="Y951">
        <v>0</v>
      </c>
      <c r="Z951">
        <v>0</v>
      </c>
      <c r="AA951">
        <v>0</v>
      </c>
      <c r="AE951" s="30">
        <v>46037.65</v>
      </c>
      <c r="AF951" s="30">
        <v>46045.447222222225</v>
      </c>
      <c r="AH951" s="30">
        <v>45818.625</v>
      </c>
      <c r="AI951" s="30">
        <v>45826.422222222223</v>
      </c>
      <c r="AJ951" s="30">
        <v>45818.625</v>
      </c>
      <c r="AK951" s="30">
        <v>45826.422222222223</v>
      </c>
      <c r="AL951" s="30">
        <v>45818.625</v>
      </c>
      <c r="AM951" s="30">
        <v>45826.422222222223</v>
      </c>
      <c r="AN951" s="30">
        <v>46037.65</v>
      </c>
      <c r="AO951" s="30">
        <v>46045.447222222225</v>
      </c>
      <c r="AQ951" t="s">
        <v>3171</v>
      </c>
      <c r="AV951" t="s">
        <v>3294</v>
      </c>
      <c r="AW951" t="s">
        <v>3293</v>
      </c>
      <c r="AZ951" t="s">
        <v>1265</v>
      </c>
      <c r="BA951">
        <v>0</v>
      </c>
      <c r="BB951">
        <v>0</v>
      </c>
      <c r="BJ951" s="30">
        <v>46069.523611111108</v>
      </c>
      <c r="BK951" s="30">
        <v>46093.73333333333</v>
      </c>
      <c r="BL951" t="s">
        <v>1259</v>
      </c>
      <c r="BM951" t="s">
        <v>1259</v>
      </c>
      <c r="BO951" t="s">
        <v>1265</v>
      </c>
    </row>
    <row r="952" spans="1:67" x14ac:dyDescent="0.25">
      <c r="A952" t="s">
        <v>1248</v>
      </c>
      <c r="B952">
        <v>352334</v>
      </c>
      <c r="C952">
        <v>405</v>
      </c>
      <c r="D952">
        <v>51506</v>
      </c>
      <c r="E952">
        <v>1117</v>
      </c>
      <c r="F952">
        <v>0</v>
      </c>
      <c r="G952" t="s">
        <v>1265</v>
      </c>
      <c r="H952">
        <v>1</v>
      </c>
      <c r="I952" t="s">
        <v>1265</v>
      </c>
      <c r="J952" t="s">
        <v>1265</v>
      </c>
      <c r="K952" t="s">
        <v>3191</v>
      </c>
      <c r="L952" t="s">
        <v>3176</v>
      </c>
      <c r="M952" t="s">
        <v>3190</v>
      </c>
      <c r="N952" t="s">
        <v>3174</v>
      </c>
      <c r="O952">
        <v>3058</v>
      </c>
      <c r="P952" t="s">
        <v>3292</v>
      </c>
      <c r="R952" t="s">
        <v>3279</v>
      </c>
      <c r="S952">
        <v>0</v>
      </c>
      <c r="T952">
        <v>7</v>
      </c>
      <c r="U952">
        <v>0</v>
      </c>
      <c r="V952">
        <v>0</v>
      </c>
      <c r="W952">
        <v>0</v>
      </c>
      <c r="X952">
        <v>7</v>
      </c>
      <c r="Y952">
        <v>0</v>
      </c>
      <c r="Z952">
        <v>0</v>
      </c>
      <c r="AA952">
        <v>0</v>
      </c>
      <c r="AE952" s="30">
        <v>46045.447222222225</v>
      </c>
      <c r="AF952" s="30">
        <v>46048.405555555553</v>
      </c>
      <c r="AH952" s="30">
        <v>45826.422222222223</v>
      </c>
      <c r="AI952" s="30">
        <v>45827.380555555559</v>
      </c>
      <c r="AJ952" s="30">
        <v>45826.422222222223</v>
      </c>
      <c r="AK952" s="30">
        <v>45827.380555555559</v>
      </c>
      <c r="AL952" s="30">
        <v>45826.422222222223</v>
      </c>
      <c r="AM952" s="30">
        <v>45827.380555555559</v>
      </c>
      <c r="AN952" s="30">
        <v>46045.447222222225</v>
      </c>
      <c r="AO952" s="30">
        <v>46048.405555555553</v>
      </c>
      <c r="AQ952" t="s">
        <v>3171</v>
      </c>
      <c r="AV952" t="s">
        <v>3291</v>
      </c>
      <c r="AW952" t="s">
        <v>3290</v>
      </c>
      <c r="AZ952" t="s">
        <v>1265</v>
      </c>
      <c r="BA952">
        <v>0</v>
      </c>
      <c r="BB952">
        <v>0</v>
      </c>
      <c r="BJ952" s="30">
        <v>46069.523611111108</v>
      </c>
      <c r="BK952" s="30">
        <v>46093.667361111111</v>
      </c>
      <c r="BL952" t="s">
        <v>1259</v>
      </c>
      <c r="BM952" t="s">
        <v>1259</v>
      </c>
      <c r="BO952" t="s">
        <v>1265</v>
      </c>
    </row>
    <row r="953" spans="1:67" x14ac:dyDescent="0.25">
      <c r="A953" t="s">
        <v>1248</v>
      </c>
      <c r="B953">
        <v>352335</v>
      </c>
      <c r="C953">
        <v>405</v>
      </c>
      <c r="D953">
        <v>51506</v>
      </c>
      <c r="E953">
        <v>1117</v>
      </c>
      <c r="F953">
        <v>0</v>
      </c>
      <c r="G953" t="s">
        <v>1265</v>
      </c>
      <c r="H953">
        <v>1</v>
      </c>
      <c r="I953" t="s">
        <v>1265</v>
      </c>
      <c r="J953" t="s">
        <v>1265</v>
      </c>
      <c r="K953" t="s">
        <v>3191</v>
      </c>
      <c r="L953" t="s">
        <v>3176</v>
      </c>
      <c r="M953" t="s">
        <v>3190</v>
      </c>
      <c r="N953" t="s">
        <v>3174</v>
      </c>
      <c r="O953">
        <v>3068</v>
      </c>
      <c r="P953" t="s">
        <v>3289</v>
      </c>
      <c r="R953" t="s">
        <v>3279</v>
      </c>
      <c r="S953">
        <v>0</v>
      </c>
      <c r="T953" s="29">
        <v>402666666666667</v>
      </c>
      <c r="U953">
        <v>0</v>
      </c>
      <c r="V953">
        <v>0</v>
      </c>
      <c r="W953">
        <v>0</v>
      </c>
      <c r="X953" s="29">
        <v>402666666666667</v>
      </c>
      <c r="Y953">
        <v>0</v>
      </c>
      <c r="Z953">
        <v>0</v>
      </c>
      <c r="AA953">
        <v>0</v>
      </c>
      <c r="AE953" s="30">
        <v>46048.405555555553</v>
      </c>
      <c r="AF953" s="30">
        <v>46055.416666666664</v>
      </c>
      <c r="AH953" s="30">
        <v>45827.380555555559</v>
      </c>
      <c r="AI953" s="30">
        <v>45834.39166666667</v>
      </c>
      <c r="AJ953" s="30">
        <v>45827.380555555559</v>
      </c>
      <c r="AK953" s="30">
        <v>45834.39166666667</v>
      </c>
      <c r="AL953" s="30">
        <v>45827.380555555559</v>
      </c>
      <c r="AM953" s="30">
        <v>45834.39166666667</v>
      </c>
      <c r="AN953" s="30">
        <v>46048.405555555553</v>
      </c>
      <c r="AO953" s="30">
        <v>46055.416666666664</v>
      </c>
      <c r="AQ953" t="s">
        <v>3171</v>
      </c>
      <c r="AV953" t="s">
        <v>3288</v>
      </c>
      <c r="AW953" t="s">
        <v>3287</v>
      </c>
      <c r="AZ953" t="s">
        <v>1265</v>
      </c>
      <c r="BA953">
        <v>0</v>
      </c>
      <c r="BB953">
        <v>0</v>
      </c>
      <c r="BJ953" s="30">
        <v>46069.523611111108</v>
      </c>
      <c r="BK953" s="30">
        <v>46093.73333333333</v>
      </c>
      <c r="BL953" t="s">
        <v>1259</v>
      </c>
      <c r="BM953" t="s">
        <v>1259</v>
      </c>
      <c r="BO953" t="s">
        <v>1265</v>
      </c>
    </row>
    <row r="954" spans="1:67" x14ac:dyDescent="0.25">
      <c r="A954" t="s">
        <v>1248</v>
      </c>
      <c r="B954">
        <v>352336</v>
      </c>
      <c r="C954">
        <v>405</v>
      </c>
      <c r="D954">
        <v>51506</v>
      </c>
      <c r="E954">
        <v>1117</v>
      </c>
      <c r="F954">
        <v>0</v>
      </c>
      <c r="G954" t="s">
        <v>1265</v>
      </c>
      <c r="H954">
        <v>1</v>
      </c>
      <c r="I954" t="s">
        <v>1265</v>
      </c>
      <c r="J954" t="s">
        <v>1265</v>
      </c>
      <c r="K954" t="s">
        <v>3191</v>
      </c>
      <c r="L954" t="s">
        <v>3176</v>
      </c>
      <c r="M954" t="s">
        <v>3190</v>
      </c>
      <c r="N954" t="s">
        <v>3174</v>
      </c>
      <c r="O954">
        <v>3078</v>
      </c>
      <c r="P954" t="s">
        <v>3286</v>
      </c>
      <c r="R954" t="s">
        <v>3279</v>
      </c>
      <c r="S954">
        <v>0</v>
      </c>
      <c r="T954">
        <v>32</v>
      </c>
      <c r="U954">
        <v>0</v>
      </c>
      <c r="V954">
        <v>0</v>
      </c>
      <c r="W954">
        <v>0</v>
      </c>
      <c r="X954">
        <v>32</v>
      </c>
      <c r="Y954">
        <v>0</v>
      </c>
      <c r="Z954">
        <v>0</v>
      </c>
      <c r="AA954">
        <v>0</v>
      </c>
      <c r="AE954" s="30">
        <v>46055.416666666664</v>
      </c>
      <c r="AF954" s="30">
        <v>46059.416666666664</v>
      </c>
      <c r="AH954" s="30">
        <v>45834.39166666667</v>
      </c>
      <c r="AI954" s="30">
        <v>45840.39166666667</v>
      </c>
      <c r="AJ954" s="30">
        <v>45834.39166666667</v>
      </c>
      <c r="AK954" s="30">
        <v>45840.39166666667</v>
      </c>
      <c r="AL954" s="30">
        <v>45834.39166666667</v>
      </c>
      <c r="AM954" s="30">
        <v>45840.39166666667</v>
      </c>
      <c r="AN954" s="30">
        <v>46055.416666666664</v>
      </c>
      <c r="AO954" s="30">
        <v>46059.416666666664</v>
      </c>
      <c r="AQ954" t="s">
        <v>3171</v>
      </c>
      <c r="AV954" t="s">
        <v>3285</v>
      </c>
      <c r="AW954" t="s">
        <v>3284</v>
      </c>
      <c r="AZ954" t="s">
        <v>1265</v>
      </c>
      <c r="BA954">
        <v>0</v>
      </c>
      <c r="BB954">
        <v>0</v>
      </c>
      <c r="BJ954" s="30">
        <v>46069.523611111108</v>
      </c>
      <c r="BK954" s="30">
        <v>46093.667361111111</v>
      </c>
      <c r="BL954" t="s">
        <v>1259</v>
      </c>
      <c r="BM954" t="s">
        <v>1259</v>
      </c>
      <c r="BO954" t="s">
        <v>1265</v>
      </c>
    </row>
    <row r="955" spans="1:67" x14ac:dyDescent="0.25">
      <c r="A955" t="s">
        <v>1248</v>
      </c>
      <c r="B955">
        <v>352337</v>
      </c>
      <c r="C955">
        <v>405</v>
      </c>
      <c r="D955">
        <v>51506</v>
      </c>
      <c r="E955">
        <v>1117</v>
      </c>
      <c r="F955">
        <v>0</v>
      </c>
      <c r="G955" t="s">
        <v>1265</v>
      </c>
      <c r="H955">
        <v>1</v>
      </c>
      <c r="I955" t="s">
        <v>1265</v>
      </c>
      <c r="J955" t="s">
        <v>1265</v>
      </c>
      <c r="K955" t="s">
        <v>3191</v>
      </c>
      <c r="L955" t="s">
        <v>3176</v>
      </c>
      <c r="M955" t="s">
        <v>3190</v>
      </c>
      <c r="N955" t="s">
        <v>3174</v>
      </c>
      <c r="O955">
        <v>3088</v>
      </c>
      <c r="P955" t="s">
        <v>3283</v>
      </c>
      <c r="R955" t="s">
        <v>3279</v>
      </c>
      <c r="S955">
        <v>0</v>
      </c>
      <c r="T955">
        <v>47</v>
      </c>
      <c r="U955">
        <v>0</v>
      </c>
      <c r="V955">
        <v>0</v>
      </c>
      <c r="W955">
        <v>0</v>
      </c>
      <c r="X955">
        <v>47</v>
      </c>
      <c r="Y955">
        <v>0</v>
      </c>
      <c r="Z955">
        <v>0</v>
      </c>
      <c r="AA955">
        <v>0</v>
      </c>
      <c r="AE955" s="30">
        <v>46059.416666666664</v>
      </c>
      <c r="AF955" s="30">
        <v>46069.375</v>
      </c>
      <c r="AH955" s="30">
        <v>45840.39166666667</v>
      </c>
      <c r="AI955" s="30">
        <v>45848.35</v>
      </c>
      <c r="AJ955" s="30">
        <v>45840.39166666667</v>
      </c>
      <c r="AK955" s="30">
        <v>45848.35</v>
      </c>
      <c r="AL955" s="30">
        <v>45840.39166666667</v>
      </c>
      <c r="AM955" s="30">
        <v>45848.35</v>
      </c>
      <c r="AN955" s="30">
        <v>46059.416666666664</v>
      </c>
      <c r="AO955" s="30">
        <v>46069.375</v>
      </c>
      <c r="AQ955" t="s">
        <v>3171</v>
      </c>
      <c r="AV955" t="s">
        <v>3282</v>
      </c>
      <c r="AW955" t="s">
        <v>3281</v>
      </c>
      <c r="AZ955" t="s">
        <v>1265</v>
      </c>
      <c r="BA955">
        <v>0</v>
      </c>
      <c r="BB955">
        <v>0</v>
      </c>
      <c r="BJ955" s="30">
        <v>46069.523611111108</v>
      </c>
      <c r="BK955" s="30">
        <v>46093.667361111111</v>
      </c>
      <c r="BL955" t="s">
        <v>1259</v>
      </c>
      <c r="BM955" t="s">
        <v>1259</v>
      </c>
      <c r="BO955" t="s">
        <v>1265</v>
      </c>
    </row>
    <row r="956" spans="1:67" x14ac:dyDescent="0.25">
      <c r="A956" t="s">
        <v>1248</v>
      </c>
      <c r="B956">
        <v>352338</v>
      </c>
      <c r="C956">
        <v>405</v>
      </c>
      <c r="D956">
        <v>53304</v>
      </c>
      <c r="E956">
        <v>1117</v>
      </c>
      <c r="F956">
        <v>0</v>
      </c>
      <c r="G956" t="s">
        <v>1265</v>
      </c>
      <c r="H956">
        <v>1</v>
      </c>
      <c r="I956" t="s">
        <v>1265</v>
      </c>
      <c r="J956" t="s">
        <v>1265</v>
      </c>
      <c r="K956" t="s">
        <v>3191</v>
      </c>
      <c r="L956" t="s">
        <v>3176</v>
      </c>
      <c r="M956" t="s">
        <v>3190</v>
      </c>
      <c r="N956" t="s">
        <v>3174</v>
      </c>
      <c r="O956">
        <v>3098</v>
      </c>
      <c r="P956" t="s">
        <v>3280</v>
      </c>
      <c r="R956" t="s">
        <v>3279</v>
      </c>
      <c r="S956">
        <v>8</v>
      </c>
      <c r="T956">
        <v>7</v>
      </c>
      <c r="U956">
        <v>0</v>
      </c>
      <c r="V956">
        <v>0</v>
      </c>
      <c r="W956">
        <v>0</v>
      </c>
      <c r="X956">
        <v>7</v>
      </c>
      <c r="Y956">
        <v>0</v>
      </c>
      <c r="Z956">
        <v>0</v>
      </c>
      <c r="AA956">
        <v>0</v>
      </c>
      <c r="AE956" s="30">
        <v>46069.375</v>
      </c>
      <c r="AF956" s="30">
        <v>46069.708333333336</v>
      </c>
      <c r="AH956" s="30">
        <v>45848.35</v>
      </c>
      <c r="AI956" s="30">
        <v>45848.683333333334</v>
      </c>
      <c r="AJ956" s="30">
        <v>45848.35</v>
      </c>
      <c r="AK956" s="30">
        <v>45848.683333333334</v>
      </c>
      <c r="AL956" s="30">
        <v>45848.35</v>
      </c>
      <c r="AM956" s="30">
        <v>45848.683333333334</v>
      </c>
      <c r="AN956" s="30">
        <v>46069.375</v>
      </c>
      <c r="AO956" s="30">
        <v>46069.708333333336</v>
      </c>
      <c r="AQ956" t="s">
        <v>3171</v>
      </c>
      <c r="AV956" t="s">
        <v>3278</v>
      </c>
      <c r="AW956" t="s">
        <v>3277</v>
      </c>
      <c r="AZ956" t="s">
        <v>1265</v>
      </c>
      <c r="BA956">
        <v>0</v>
      </c>
      <c r="BB956">
        <v>0</v>
      </c>
      <c r="BJ956" s="30">
        <v>46069.523611111108</v>
      </c>
      <c r="BK956" s="30">
        <v>46093.667361111111</v>
      </c>
      <c r="BL956" t="s">
        <v>1259</v>
      </c>
      <c r="BM956" t="s">
        <v>1259</v>
      </c>
      <c r="BO956" t="s">
        <v>1265</v>
      </c>
    </row>
    <row r="957" spans="1:67" x14ac:dyDescent="0.25">
      <c r="A957" t="s">
        <v>1248</v>
      </c>
      <c r="B957">
        <v>352339</v>
      </c>
      <c r="C957">
        <v>405</v>
      </c>
      <c r="D957">
        <v>53304</v>
      </c>
      <c r="E957">
        <v>1117</v>
      </c>
      <c r="F957">
        <v>0</v>
      </c>
      <c r="G957" t="s">
        <v>1265</v>
      </c>
      <c r="H957">
        <v>1</v>
      </c>
      <c r="I957" t="s">
        <v>1265</v>
      </c>
      <c r="J957" t="s">
        <v>1265</v>
      </c>
      <c r="K957" t="s">
        <v>3191</v>
      </c>
      <c r="L957" t="s">
        <v>3176</v>
      </c>
      <c r="M957" t="s">
        <v>3190</v>
      </c>
      <c r="N957" t="s">
        <v>3174</v>
      </c>
      <c r="O957">
        <v>3108</v>
      </c>
      <c r="P957" t="s">
        <v>3276</v>
      </c>
      <c r="R957" t="s">
        <v>3257</v>
      </c>
      <c r="S957">
        <v>0</v>
      </c>
      <c r="T957">
        <v>7</v>
      </c>
      <c r="U957">
        <v>0</v>
      </c>
      <c r="V957">
        <v>0</v>
      </c>
      <c r="W957">
        <v>0</v>
      </c>
      <c r="X957">
        <v>7</v>
      </c>
      <c r="Y957">
        <v>0</v>
      </c>
      <c r="Z957">
        <v>0</v>
      </c>
      <c r="AA957">
        <v>0</v>
      </c>
      <c r="AE957" s="30">
        <v>46016.65</v>
      </c>
      <c r="AF957" s="30">
        <v>46017.60833333333</v>
      </c>
      <c r="AH957" s="30">
        <v>45814.333333333336</v>
      </c>
      <c r="AI957" s="30">
        <v>45814.666666666664</v>
      </c>
      <c r="AJ957" s="30">
        <v>45814.333333333336</v>
      </c>
      <c r="AK957" s="30">
        <v>45814.666666666664</v>
      </c>
      <c r="AL957" s="30">
        <v>45814.333333333336</v>
      </c>
      <c r="AM957" s="30">
        <v>45814.666666666664</v>
      </c>
      <c r="AN957" s="30">
        <v>46016.65</v>
      </c>
      <c r="AO957" s="30">
        <v>46017.60833333333</v>
      </c>
      <c r="AQ957" t="s">
        <v>3171</v>
      </c>
      <c r="AV957" t="s">
        <v>3275</v>
      </c>
      <c r="AW957" t="s">
        <v>3274</v>
      </c>
      <c r="AZ957" t="s">
        <v>1265</v>
      </c>
      <c r="BA957">
        <v>0</v>
      </c>
      <c r="BB957">
        <v>0</v>
      </c>
      <c r="BJ957" s="30">
        <v>46069.523611111108</v>
      </c>
      <c r="BK957" s="30">
        <v>46093.667361111111</v>
      </c>
      <c r="BL957" t="s">
        <v>1259</v>
      </c>
      <c r="BM957" t="s">
        <v>1259</v>
      </c>
      <c r="BO957" t="s">
        <v>1265</v>
      </c>
    </row>
    <row r="958" spans="1:67" x14ac:dyDescent="0.25">
      <c r="A958" t="s">
        <v>1248</v>
      </c>
      <c r="B958">
        <v>352340</v>
      </c>
      <c r="C958">
        <v>405</v>
      </c>
      <c r="D958">
        <v>51507</v>
      </c>
      <c r="E958">
        <v>1117</v>
      </c>
      <c r="F958">
        <v>0</v>
      </c>
      <c r="G958" t="s">
        <v>1265</v>
      </c>
      <c r="H958">
        <v>1</v>
      </c>
      <c r="I958" t="s">
        <v>1265</v>
      </c>
      <c r="J958" t="s">
        <v>1265</v>
      </c>
      <c r="K958" t="s">
        <v>3191</v>
      </c>
      <c r="L958" t="s">
        <v>3176</v>
      </c>
      <c r="M958" t="s">
        <v>3190</v>
      </c>
      <c r="N958" t="s">
        <v>3174</v>
      </c>
      <c r="O958">
        <v>3118</v>
      </c>
      <c r="P958" t="s">
        <v>3273</v>
      </c>
      <c r="R958" t="s">
        <v>3257</v>
      </c>
      <c r="S958">
        <v>0</v>
      </c>
      <c r="T958" s="29">
        <v>441333333333333</v>
      </c>
      <c r="U958">
        <v>0</v>
      </c>
      <c r="V958">
        <v>0</v>
      </c>
      <c r="W958">
        <v>0</v>
      </c>
      <c r="X958" s="29">
        <v>441333333333333</v>
      </c>
      <c r="Y958">
        <v>0</v>
      </c>
      <c r="Z958">
        <v>0</v>
      </c>
      <c r="AA958">
        <v>0</v>
      </c>
      <c r="AE958" s="30">
        <v>46017.60833333333</v>
      </c>
      <c r="AF958" s="30">
        <v>46029.405555555553</v>
      </c>
      <c r="AH958" s="30">
        <v>45814.666666666664</v>
      </c>
      <c r="AI958" s="30">
        <v>45824.463888888888</v>
      </c>
      <c r="AJ958" s="30">
        <v>45814.666666666664</v>
      </c>
      <c r="AK958" s="30">
        <v>45824.463888888888</v>
      </c>
      <c r="AL958" s="30">
        <v>45814.666666666664</v>
      </c>
      <c r="AM958" s="30">
        <v>45824.463888888888</v>
      </c>
      <c r="AN958" s="30">
        <v>46017.60833333333</v>
      </c>
      <c r="AO958" s="30">
        <v>46029.405555555553</v>
      </c>
      <c r="AQ958" t="s">
        <v>3171</v>
      </c>
      <c r="AV958" t="s">
        <v>3272</v>
      </c>
      <c r="AW958" t="s">
        <v>3271</v>
      </c>
      <c r="AZ958" t="s">
        <v>1265</v>
      </c>
      <c r="BA958">
        <v>0</v>
      </c>
      <c r="BB958">
        <v>0</v>
      </c>
      <c r="BJ958" s="30">
        <v>46069.523611111108</v>
      </c>
      <c r="BK958" s="30">
        <v>46093.73333333333</v>
      </c>
      <c r="BL958" t="s">
        <v>1259</v>
      </c>
      <c r="BM958" t="s">
        <v>1259</v>
      </c>
      <c r="BO958" t="s">
        <v>1265</v>
      </c>
    </row>
    <row r="959" spans="1:67" x14ac:dyDescent="0.25">
      <c r="A959" t="s">
        <v>1248</v>
      </c>
      <c r="B959">
        <v>352341</v>
      </c>
      <c r="C959">
        <v>405</v>
      </c>
      <c r="D959">
        <v>51507</v>
      </c>
      <c r="E959">
        <v>1117</v>
      </c>
      <c r="F959">
        <v>0</v>
      </c>
      <c r="G959" t="s">
        <v>1265</v>
      </c>
      <c r="H959">
        <v>1</v>
      </c>
      <c r="I959" t="s">
        <v>1265</v>
      </c>
      <c r="J959" t="s">
        <v>1265</v>
      </c>
      <c r="K959" t="s">
        <v>3191</v>
      </c>
      <c r="L959" t="s">
        <v>3176</v>
      </c>
      <c r="M959" t="s">
        <v>3190</v>
      </c>
      <c r="N959" t="s">
        <v>3174</v>
      </c>
      <c r="O959">
        <v>3128</v>
      </c>
      <c r="P959" t="s">
        <v>3270</v>
      </c>
      <c r="R959" t="s">
        <v>3257</v>
      </c>
      <c r="S959">
        <v>0</v>
      </c>
      <c r="T959">
        <v>7</v>
      </c>
      <c r="U959">
        <v>0</v>
      </c>
      <c r="V959">
        <v>0</v>
      </c>
      <c r="W959">
        <v>0</v>
      </c>
      <c r="X959">
        <v>7</v>
      </c>
      <c r="Y959">
        <v>0</v>
      </c>
      <c r="Z959">
        <v>0</v>
      </c>
      <c r="AA959">
        <v>0</v>
      </c>
      <c r="AE959" s="30">
        <v>46029.405555555553</v>
      </c>
      <c r="AF959" s="30">
        <v>46030.363888888889</v>
      </c>
      <c r="AH959" s="30">
        <v>45824.463888888888</v>
      </c>
      <c r="AI959" s="30">
        <v>45825.422222222223</v>
      </c>
      <c r="AJ959" s="30">
        <v>45824.463888888888</v>
      </c>
      <c r="AK959" s="30">
        <v>45825.422222222223</v>
      </c>
      <c r="AL959" s="30">
        <v>45824.463888888888</v>
      </c>
      <c r="AM959" s="30">
        <v>45825.422222222223</v>
      </c>
      <c r="AN959" s="30">
        <v>46029.405555555553</v>
      </c>
      <c r="AO959" s="30">
        <v>46030.363888888889</v>
      </c>
      <c r="AQ959" t="s">
        <v>3171</v>
      </c>
      <c r="AV959" t="s">
        <v>3269</v>
      </c>
      <c r="AW959" t="s">
        <v>3268</v>
      </c>
      <c r="AZ959" t="s">
        <v>1265</v>
      </c>
      <c r="BA959">
        <v>0</v>
      </c>
      <c r="BB959">
        <v>0</v>
      </c>
      <c r="BJ959" s="30">
        <v>46069.523611111108</v>
      </c>
      <c r="BK959" s="30">
        <v>46093.667361111111</v>
      </c>
      <c r="BL959" t="s">
        <v>1259</v>
      </c>
      <c r="BM959" t="s">
        <v>1259</v>
      </c>
      <c r="BO959" t="s">
        <v>1265</v>
      </c>
    </row>
    <row r="960" spans="1:67" x14ac:dyDescent="0.25">
      <c r="A960" t="s">
        <v>1248</v>
      </c>
      <c r="B960">
        <v>352342</v>
      </c>
      <c r="C960">
        <v>405</v>
      </c>
      <c r="D960">
        <v>51507</v>
      </c>
      <c r="E960">
        <v>1117</v>
      </c>
      <c r="F960">
        <v>0</v>
      </c>
      <c r="G960" t="s">
        <v>1265</v>
      </c>
      <c r="H960">
        <v>1</v>
      </c>
      <c r="I960" t="s">
        <v>1265</v>
      </c>
      <c r="J960" t="s">
        <v>1265</v>
      </c>
      <c r="K960" t="s">
        <v>3191</v>
      </c>
      <c r="L960" t="s">
        <v>3176</v>
      </c>
      <c r="M960" t="s">
        <v>3190</v>
      </c>
      <c r="N960" t="s">
        <v>3174</v>
      </c>
      <c r="O960">
        <v>3138</v>
      </c>
      <c r="P960" t="s">
        <v>3267</v>
      </c>
      <c r="R960" t="s">
        <v>3257</v>
      </c>
      <c r="S960">
        <v>0</v>
      </c>
      <c r="T960" s="29">
        <v>402666666666667</v>
      </c>
      <c r="U960">
        <v>0</v>
      </c>
      <c r="V960">
        <v>0</v>
      </c>
      <c r="W960">
        <v>0</v>
      </c>
      <c r="X960" s="29">
        <v>402666666666667</v>
      </c>
      <c r="Y960">
        <v>0</v>
      </c>
      <c r="Z960">
        <v>0</v>
      </c>
      <c r="AA960">
        <v>0</v>
      </c>
      <c r="AE960" s="30">
        <v>46030.363888888889</v>
      </c>
      <c r="AF960" s="30">
        <v>46037.375</v>
      </c>
      <c r="AH960" s="30">
        <v>45825.422222222223</v>
      </c>
      <c r="AI960" s="30">
        <v>45832.433333333334</v>
      </c>
      <c r="AJ960" s="30">
        <v>45825.422222222223</v>
      </c>
      <c r="AK960" s="30">
        <v>45832.433333333334</v>
      </c>
      <c r="AL960" s="30">
        <v>45825.422222222223</v>
      </c>
      <c r="AM960" s="30">
        <v>45832.433333333334</v>
      </c>
      <c r="AN960" s="30">
        <v>46030.363888888889</v>
      </c>
      <c r="AO960" s="30">
        <v>46037.375</v>
      </c>
      <c r="AQ960" t="s">
        <v>3171</v>
      </c>
      <c r="AV960" t="s">
        <v>3266</v>
      </c>
      <c r="AW960" t="s">
        <v>3265</v>
      </c>
      <c r="AZ960" t="s">
        <v>1265</v>
      </c>
      <c r="BA960">
        <v>0</v>
      </c>
      <c r="BB960">
        <v>0</v>
      </c>
      <c r="BJ960" s="30">
        <v>46069.523611111108</v>
      </c>
      <c r="BK960" s="30">
        <v>46093.73333333333</v>
      </c>
      <c r="BL960" t="s">
        <v>1259</v>
      </c>
      <c r="BM960" t="s">
        <v>1259</v>
      </c>
      <c r="BO960" t="s">
        <v>1265</v>
      </c>
    </row>
    <row r="961" spans="1:67" x14ac:dyDescent="0.25">
      <c r="A961" t="s">
        <v>1248</v>
      </c>
      <c r="B961">
        <v>352343</v>
      </c>
      <c r="C961">
        <v>405</v>
      </c>
      <c r="D961">
        <v>51507</v>
      </c>
      <c r="E961">
        <v>1117</v>
      </c>
      <c r="F961">
        <v>0</v>
      </c>
      <c r="G961" t="s">
        <v>1265</v>
      </c>
      <c r="H961">
        <v>1</v>
      </c>
      <c r="I961" t="s">
        <v>1265</v>
      </c>
      <c r="J961" t="s">
        <v>1265</v>
      </c>
      <c r="K961" t="s">
        <v>3191</v>
      </c>
      <c r="L961" t="s">
        <v>3176</v>
      </c>
      <c r="M961" t="s">
        <v>3190</v>
      </c>
      <c r="N961" t="s">
        <v>3174</v>
      </c>
      <c r="O961">
        <v>174</v>
      </c>
      <c r="P961" t="s">
        <v>3264</v>
      </c>
      <c r="R961" t="s">
        <v>3257</v>
      </c>
      <c r="S961">
        <v>0</v>
      </c>
      <c r="T961">
        <v>32</v>
      </c>
      <c r="U961">
        <v>0</v>
      </c>
      <c r="V961">
        <v>0</v>
      </c>
      <c r="W961">
        <v>0</v>
      </c>
      <c r="X961">
        <v>32</v>
      </c>
      <c r="Y961">
        <v>0</v>
      </c>
      <c r="Z961">
        <v>0</v>
      </c>
      <c r="AA961">
        <v>0</v>
      </c>
      <c r="AE961" s="30">
        <v>46037.375</v>
      </c>
      <c r="AF961" s="30">
        <v>46043.375</v>
      </c>
      <c r="AH961" s="30">
        <v>45832.433333333334</v>
      </c>
      <c r="AI961" s="30">
        <v>45838.433333333334</v>
      </c>
      <c r="AJ961" s="30">
        <v>45832.433333333334</v>
      </c>
      <c r="AK961" s="30">
        <v>45838.433333333334</v>
      </c>
      <c r="AL961" s="30">
        <v>45832.433333333334</v>
      </c>
      <c r="AM961" s="30">
        <v>45838.433333333334</v>
      </c>
      <c r="AN961" s="30">
        <v>46037.375</v>
      </c>
      <c r="AO961" s="30">
        <v>46043.375</v>
      </c>
      <c r="AQ961" t="s">
        <v>3171</v>
      </c>
      <c r="AV961" t="s">
        <v>3263</v>
      </c>
      <c r="AW961" t="s">
        <v>3262</v>
      </c>
      <c r="AZ961" t="s">
        <v>1265</v>
      </c>
      <c r="BA961">
        <v>0</v>
      </c>
      <c r="BB961">
        <v>0</v>
      </c>
      <c r="BJ961" s="30">
        <v>46069.523611111108</v>
      </c>
      <c r="BK961" s="30">
        <v>46093.667361111111</v>
      </c>
      <c r="BL961" t="s">
        <v>1259</v>
      </c>
      <c r="BM961" t="s">
        <v>1259</v>
      </c>
      <c r="BO961" t="s">
        <v>1265</v>
      </c>
    </row>
    <row r="962" spans="1:67" x14ac:dyDescent="0.25">
      <c r="A962" t="s">
        <v>1248</v>
      </c>
      <c r="B962">
        <v>352344</v>
      </c>
      <c r="C962">
        <v>405</v>
      </c>
      <c r="D962">
        <v>51507</v>
      </c>
      <c r="E962">
        <v>1117</v>
      </c>
      <c r="F962">
        <v>0</v>
      </c>
      <c r="G962" t="s">
        <v>1265</v>
      </c>
      <c r="H962">
        <v>1</v>
      </c>
      <c r="I962" t="s">
        <v>1265</v>
      </c>
      <c r="J962" t="s">
        <v>1265</v>
      </c>
      <c r="K962" t="s">
        <v>3191</v>
      </c>
      <c r="L962" t="s">
        <v>3176</v>
      </c>
      <c r="M962" t="s">
        <v>3190</v>
      </c>
      <c r="N962" t="s">
        <v>3174</v>
      </c>
      <c r="O962">
        <v>175</v>
      </c>
      <c r="P962" t="s">
        <v>3261</v>
      </c>
      <c r="R962" t="s">
        <v>3257</v>
      </c>
      <c r="S962">
        <v>0</v>
      </c>
      <c r="T962">
        <v>48</v>
      </c>
      <c r="U962">
        <v>0</v>
      </c>
      <c r="V962">
        <v>0</v>
      </c>
      <c r="W962">
        <v>0</v>
      </c>
      <c r="X962">
        <v>48</v>
      </c>
      <c r="Y962">
        <v>0</v>
      </c>
      <c r="Z962">
        <v>0</v>
      </c>
      <c r="AA962">
        <v>0</v>
      </c>
      <c r="AE962" s="30">
        <v>46043.375</v>
      </c>
      <c r="AF962" s="30">
        <v>46051.375</v>
      </c>
      <c r="AH962" s="30">
        <v>45838.433333333334</v>
      </c>
      <c r="AI962" s="30">
        <v>45846.433333333334</v>
      </c>
      <c r="AJ962" s="30">
        <v>45838.433333333334</v>
      </c>
      <c r="AK962" s="30">
        <v>45846.433333333334</v>
      </c>
      <c r="AL962" s="30">
        <v>45838.433333333334</v>
      </c>
      <c r="AM962" s="30">
        <v>45846.433333333334</v>
      </c>
      <c r="AN962" s="30">
        <v>46043.375</v>
      </c>
      <c r="AO962" s="30">
        <v>46051.375</v>
      </c>
      <c r="AQ962" t="s">
        <v>3171</v>
      </c>
      <c r="AV962" t="s">
        <v>3260</v>
      </c>
      <c r="AW962" t="s">
        <v>3259</v>
      </c>
      <c r="AZ962" t="s">
        <v>1265</v>
      </c>
      <c r="BA962">
        <v>0</v>
      </c>
      <c r="BB962">
        <v>0</v>
      </c>
      <c r="BJ962" s="30">
        <v>46069.523611111108</v>
      </c>
      <c r="BK962" s="30">
        <v>46093.667361111111</v>
      </c>
      <c r="BL962" t="s">
        <v>1259</v>
      </c>
      <c r="BM962" t="s">
        <v>1259</v>
      </c>
      <c r="BO962" t="s">
        <v>1265</v>
      </c>
    </row>
    <row r="963" spans="1:67" x14ac:dyDescent="0.25">
      <c r="A963" t="s">
        <v>1248</v>
      </c>
      <c r="B963">
        <v>352345</v>
      </c>
      <c r="C963">
        <v>405</v>
      </c>
      <c r="D963">
        <v>53304</v>
      </c>
      <c r="E963">
        <v>1117</v>
      </c>
      <c r="F963">
        <v>0</v>
      </c>
      <c r="G963" t="s">
        <v>1265</v>
      </c>
      <c r="H963">
        <v>1</v>
      </c>
      <c r="I963" t="s">
        <v>1265</v>
      </c>
      <c r="J963" t="s">
        <v>1265</v>
      </c>
      <c r="K963" t="s">
        <v>3191</v>
      </c>
      <c r="L963" t="s">
        <v>3176</v>
      </c>
      <c r="M963" t="s">
        <v>3190</v>
      </c>
      <c r="N963" t="s">
        <v>3174</v>
      </c>
      <c r="O963">
        <v>3148</v>
      </c>
      <c r="P963" t="s">
        <v>3258</v>
      </c>
      <c r="R963" t="s">
        <v>3257</v>
      </c>
      <c r="S963">
        <v>7</v>
      </c>
      <c r="T963">
        <v>7</v>
      </c>
      <c r="U963">
        <v>0</v>
      </c>
      <c r="V963">
        <v>0</v>
      </c>
      <c r="W963">
        <v>0</v>
      </c>
      <c r="X963">
        <v>7</v>
      </c>
      <c r="Y963">
        <v>0</v>
      </c>
      <c r="Z963">
        <v>0</v>
      </c>
      <c r="AA963">
        <v>0</v>
      </c>
      <c r="AE963" s="30">
        <v>46051.375</v>
      </c>
      <c r="AF963" s="30">
        <v>46051.708333333336</v>
      </c>
      <c r="AH963" s="30">
        <v>45846.433333333334</v>
      </c>
      <c r="AI963" s="30">
        <v>45847.39166666667</v>
      </c>
      <c r="AJ963" s="30">
        <v>45846.433333333334</v>
      </c>
      <c r="AK963" s="30">
        <v>45847.39166666667</v>
      </c>
      <c r="AL963" s="30">
        <v>45846.433333333334</v>
      </c>
      <c r="AM963" s="30">
        <v>45847.39166666667</v>
      </c>
      <c r="AN963" s="30">
        <v>46051.375</v>
      </c>
      <c r="AO963" s="30">
        <v>46051.708333333336</v>
      </c>
      <c r="AQ963" t="s">
        <v>3171</v>
      </c>
      <c r="AV963" t="s">
        <v>3256</v>
      </c>
      <c r="AW963" t="s">
        <v>3255</v>
      </c>
      <c r="AZ963" t="s">
        <v>1265</v>
      </c>
      <c r="BA963">
        <v>0</v>
      </c>
      <c r="BB963">
        <v>0</v>
      </c>
      <c r="BJ963" s="30">
        <v>46069.523611111108</v>
      </c>
      <c r="BK963" s="30">
        <v>46093.667361111111</v>
      </c>
      <c r="BL963" t="s">
        <v>1259</v>
      </c>
      <c r="BM963" t="s">
        <v>1259</v>
      </c>
      <c r="BO963" t="s">
        <v>1265</v>
      </c>
    </row>
    <row r="964" spans="1:67" x14ac:dyDescent="0.25">
      <c r="A964" t="s">
        <v>1248</v>
      </c>
      <c r="B964">
        <v>352346</v>
      </c>
      <c r="C964">
        <v>405</v>
      </c>
      <c r="D964">
        <v>53304</v>
      </c>
      <c r="E964">
        <v>1117</v>
      </c>
      <c r="F964">
        <v>0</v>
      </c>
      <c r="G964" t="s">
        <v>1265</v>
      </c>
      <c r="H964">
        <v>1</v>
      </c>
      <c r="I964" t="s">
        <v>1265</v>
      </c>
      <c r="J964" t="s">
        <v>1265</v>
      </c>
      <c r="K964" t="s">
        <v>3191</v>
      </c>
      <c r="L964" t="s">
        <v>3176</v>
      </c>
      <c r="M964" t="s">
        <v>3190</v>
      </c>
      <c r="N964" t="s">
        <v>3174</v>
      </c>
      <c r="O964">
        <v>3158</v>
      </c>
      <c r="P964" t="s">
        <v>3254</v>
      </c>
      <c r="R964" t="s">
        <v>3253</v>
      </c>
      <c r="S964">
        <v>0</v>
      </c>
      <c r="T964">
        <v>16</v>
      </c>
      <c r="U964">
        <v>0</v>
      </c>
      <c r="V964">
        <v>0</v>
      </c>
      <c r="W964">
        <v>0</v>
      </c>
      <c r="X964">
        <v>16</v>
      </c>
      <c r="Y964">
        <v>0</v>
      </c>
      <c r="Z964">
        <v>0</v>
      </c>
      <c r="AA964">
        <v>0</v>
      </c>
      <c r="AE964" s="30">
        <v>46034.333333333336</v>
      </c>
      <c r="AF964" s="30">
        <v>46035.708333333336</v>
      </c>
      <c r="AH964" s="30">
        <v>45839.433333333334</v>
      </c>
      <c r="AI964" s="30">
        <v>45841.433333333334</v>
      </c>
      <c r="AJ964" s="30">
        <v>45839.433333333334</v>
      </c>
      <c r="AK964" s="30">
        <v>45841.433333333334</v>
      </c>
      <c r="AL964" s="30">
        <v>45839.433333333334</v>
      </c>
      <c r="AM964" s="30">
        <v>45841.433333333334</v>
      </c>
      <c r="AN964" s="30">
        <v>46034.333333333336</v>
      </c>
      <c r="AO964" s="30">
        <v>46035.708333333336</v>
      </c>
      <c r="AQ964" t="s">
        <v>3171</v>
      </c>
      <c r="AV964" t="s">
        <v>3252</v>
      </c>
      <c r="AW964" t="s">
        <v>3251</v>
      </c>
      <c r="AZ964" t="s">
        <v>1265</v>
      </c>
      <c r="BA964">
        <v>0</v>
      </c>
      <c r="BB964">
        <v>0</v>
      </c>
      <c r="BJ964" s="30">
        <v>46069.523611111108</v>
      </c>
      <c r="BK964" s="30">
        <v>46093.73333333333</v>
      </c>
      <c r="BL964" t="s">
        <v>1259</v>
      </c>
      <c r="BM964" t="s">
        <v>1259</v>
      </c>
      <c r="BO964" t="s">
        <v>1265</v>
      </c>
    </row>
    <row r="965" spans="1:67" x14ac:dyDescent="0.25">
      <c r="A965" t="s">
        <v>1248</v>
      </c>
      <c r="B965">
        <v>352347</v>
      </c>
      <c r="C965">
        <v>405</v>
      </c>
      <c r="D965">
        <v>51508</v>
      </c>
      <c r="E965">
        <v>1117</v>
      </c>
      <c r="F965">
        <v>0</v>
      </c>
      <c r="G965" t="s">
        <v>1265</v>
      </c>
      <c r="H965">
        <v>1</v>
      </c>
      <c r="I965" t="s">
        <v>1265</v>
      </c>
      <c r="J965" t="s">
        <v>1265</v>
      </c>
      <c r="K965" t="s">
        <v>3191</v>
      </c>
      <c r="L965" t="s">
        <v>3176</v>
      </c>
      <c r="M965" t="s">
        <v>3190</v>
      </c>
      <c r="N965" t="s">
        <v>3174</v>
      </c>
      <c r="O965">
        <v>3168</v>
      </c>
      <c r="P965" t="s">
        <v>3250</v>
      </c>
      <c r="R965" t="s">
        <v>3234</v>
      </c>
      <c r="S965">
        <v>0</v>
      </c>
      <c r="T965" s="29">
        <v>441333333333333</v>
      </c>
      <c r="U965">
        <v>0</v>
      </c>
      <c r="V965">
        <v>0</v>
      </c>
      <c r="W965">
        <v>0</v>
      </c>
      <c r="X965" s="29">
        <v>441333333333333</v>
      </c>
      <c r="Y965">
        <v>0</v>
      </c>
      <c r="Z965">
        <v>0</v>
      </c>
      <c r="AA965">
        <v>0</v>
      </c>
      <c r="AE965" s="30">
        <v>46000.566666666666</v>
      </c>
      <c r="AF965" s="30">
        <v>46008.363888888889</v>
      </c>
      <c r="AH965" s="30">
        <v>45806.625</v>
      </c>
      <c r="AI965" s="30">
        <v>45814.422222222223</v>
      </c>
      <c r="AJ965" s="30">
        <v>45806.625</v>
      </c>
      <c r="AK965" s="30">
        <v>45814.422222222223</v>
      </c>
      <c r="AL965" s="30">
        <v>45806.625</v>
      </c>
      <c r="AM965" s="30">
        <v>45814.422222222223</v>
      </c>
      <c r="AN965" s="30">
        <v>46000.566666666666</v>
      </c>
      <c r="AO965" s="30">
        <v>46008.363888888889</v>
      </c>
      <c r="AQ965" t="s">
        <v>3171</v>
      </c>
      <c r="AV965" t="s">
        <v>3249</v>
      </c>
      <c r="AW965" t="s">
        <v>3248</v>
      </c>
      <c r="AZ965" t="s">
        <v>1265</v>
      </c>
      <c r="BA965">
        <v>0</v>
      </c>
      <c r="BB965">
        <v>0</v>
      </c>
      <c r="BJ965" s="30">
        <v>46069.523611111108</v>
      </c>
      <c r="BK965" s="30">
        <v>46093.73333333333</v>
      </c>
      <c r="BL965" t="s">
        <v>1259</v>
      </c>
      <c r="BM965" t="s">
        <v>1259</v>
      </c>
      <c r="BO965" t="s">
        <v>1265</v>
      </c>
    </row>
    <row r="966" spans="1:67" x14ac:dyDescent="0.25">
      <c r="A966" t="s">
        <v>1248</v>
      </c>
      <c r="B966">
        <v>352348</v>
      </c>
      <c r="C966">
        <v>405</v>
      </c>
      <c r="D966">
        <v>51508</v>
      </c>
      <c r="E966">
        <v>1117</v>
      </c>
      <c r="F966">
        <v>0</v>
      </c>
      <c r="G966" t="s">
        <v>1265</v>
      </c>
      <c r="H966">
        <v>1</v>
      </c>
      <c r="I966" t="s">
        <v>1265</v>
      </c>
      <c r="J966" t="s">
        <v>1265</v>
      </c>
      <c r="K966" t="s">
        <v>3191</v>
      </c>
      <c r="L966" t="s">
        <v>3176</v>
      </c>
      <c r="M966" t="s">
        <v>3190</v>
      </c>
      <c r="N966" t="s">
        <v>3174</v>
      </c>
      <c r="O966">
        <v>3178</v>
      </c>
      <c r="P966" t="s">
        <v>3247</v>
      </c>
      <c r="R966" t="s">
        <v>3234</v>
      </c>
      <c r="S966">
        <v>0</v>
      </c>
      <c r="T966">
        <v>7</v>
      </c>
      <c r="U966">
        <v>0</v>
      </c>
      <c r="V966">
        <v>0</v>
      </c>
      <c r="W966">
        <v>0</v>
      </c>
      <c r="X966">
        <v>7</v>
      </c>
      <c r="Y966">
        <v>0</v>
      </c>
      <c r="Z966">
        <v>0</v>
      </c>
      <c r="AA966">
        <v>0</v>
      </c>
      <c r="AE966" s="30">
        <v>46008.363888888889</v>
      </c>
      <c r="AF966" s="30">
        <v>46008.697222222225</v>
      </c>
      <c r="AH966" s="30">
        <v>45814.422222222223</v>
      </c>
      <c r="AI966" s="30">
        <v>45817.380555555559</v>
      </c>
      <c r="AJ966" s="30">
        <v>45814.422222222223</v>
      </c>
      <c r="AK966" s="30">
        <v>45817.380555555559</v>
      </c>
      <c r="AL966" s="30">
        <v>45814.422222222223</v>
      </c>
      <c r="AM966" s="30">
        <v>45817.380555555559</v>
      </c>
      <c r="AN966" s="30">
        <v>46008.363888888889</v>
      </c>
      <c r="AO966" s="30">
        <v>46008.697222222225</v>
      </c>
      <c r="AQ966" t="s">
        <v>3171</v>
      </c>
      <c r="AV966" t="s">
        <v>3246</v>
      </c>
      <c r="AW966" t="s">
        <v>3245</v>
      </c>
      <c r="AZ966" t="s">
        <v>1265</v>
      </c>
      <c r="BA966">
        <v>0</v>
      </c>
      <c r="BB966">
        <v>0</v>
      </c>
      <c r="BJ966" s="30">
        <v>46069.523611111108</v>
      </c>
      <c r="BK966" s="30">
        <v>46093.73333333333</v>
      </c>
      <c r="BL966" t="s">
        <v>1259</v>
      </c>
      <c r="BM966" t="s">
        <v>1259</v>
      </c>
      <c r="BO966" t="s">
        <v>1265</v>
      </c>
    </row>
    <row r="967" spans="1:67" x14ac:dyDescent="0.25">
      <c r="A967" t="s">
        <v>1248</v>
      </c>
      <c r="B967">
        <v>352349</v>
      </c>
      <c r="C967">
        <v>405</v>
      </c>
      <c r="D967">
        <v>51508</v>
      </c>
      <c r="E967">
        <v>1117</v>
      </c>
      <c r="F967">
        <v>0</v>
      </c>
      <c r="G967" t="s">
        <v>1265</v>
      </c>
      <c r="H967">
        <v>1</v>
      </c>
      <c r="I967" t="s">
        <v>1265</v>
      </c>
      <c r="J967" t="s">
        <v>1265</v>
      </c>
      <c r="K967" t="s">
        <v>3191</v>
      </c>
      <c r="L967" t="s">
        <v>3176</v>
      </c>
      <c r="M967" t="s">
        <v>3190</v>
      </c>
      <c r="N967" t="s">
        <v>3174</v>
      </c>
      <c r="O967">
        <v>3188</v>
      </c>
      <c r="P967" t="s">
        <v>3244</v>
      </c>
      <c r="R967" t="s">
        <v>3234</v>
      </c>
      <c r="S967">
        <v>0</v>
      </c>
      <c r="T967" s="29">
        <v>402666666666667</v>
      </c>
      <c r="U967">
        <v>0</v>
      </c>
      <c r="V967">
        <v>0</v>
      </c>
      <c r="W967">
        <v>0</v>
      </c>
      <c r="X967" s="29">
        <v>402666666666667</v>
      </c>
      <c r="Y967">
        <v>0</v>
      </c>
      <c r="Z967">
        <v>0</v>
      </c>
      <c r="AA967">
        <v>0</v>
      </c>
      <c r="AE967" s="30">
        <v>46008.697222222225</v>
      </c>
      <c r="AF967" s="30">
        <v>46015.708333333336</v>
      </c>
      <c r="AH967" s="30">
        <v>45817.380555555559</v>
      </c>
      <c r="AI967" s="30">
        <v>45824.39166666667</v>
      </c>
      <c r="AJ967" s="30">
        <v>45817.380555555559</v>
      </c>
      <c r="AK967" s="30">
        <v>45824.39166666667</v>
      </c>
      <c r="AL967" s="30">
        <v>45817.380555555559</v>
      </c>
      <c r="AM967" s="30">
        <v>45824.39166666667</v>
      </c>
      <c r="AN967" s="30">
        <v>46008.697222222225</v>
      </c>
      <c r="AO967" s="30">
        <v>46015.708333333336</v>
      </c>
      <c r="AQ967" t="s">
        <v>3171</v>
      </c>
      <c r="AV967" t="s">
        <v>3243</v>
      </c>
      <c r="AW967" t="s">
        <v>3242</v>
      </c>
      <c r="AZ967" t="s">
        <v>1265</v>
      </c>
      <c r="BA967">
        <v>0</v>
      </c>
      <c r="BB967">
        <v>0</v>
      </c>
      <c r="BJ967" s="30">
        <v>46069.523611111108</v>
      </c>
      <c r="BK967" s="30">
        <v>46093.73333333333</v>
      </c>
      <c r="BL967" t="s">
        <v>1259</v>
      </c>
      <c r="BM967" t="s">
        <v>1259</v>
      </c>
      <c r="BO967" t="s">
        <v>1265</v>
      </c>
    </row>
    <row r="968" spans="1:67" x14ac:dyDescent="0.25">
      <c r="A968" t="s">
        <v>1248</v>
      </c>
      <c r="B968">
        <v>352350</v>
      </c>
      <c r="C968">
        <v>405</v>
      </c>
      <c r="D968">
        <v>51508</v>
      </c>
      <c r="E968">
        <v>1117</v>
      </c>
      <c r="F968">
        <v>0</v>
      </c>
      <c r="G968" t="s">
        <v>1265</v>
      </c>
      <c r="H968">
        <v>1</v>
      </c>
      <c r="I968" t="s">
        <v>1265</v>
      </c>
      <c r="J968" t="s">
        <v>1265</v>
      </c>
      <c r="K968" t="s">
        <v>3191</v>
      </c>
      <c r="L968" t="s">
        <v>3176</v>
      </c>
      <c r="M968" t="s">
        <v>3190</v>
      </c>
      <c r="N968" t="s">
        <v>3174</v>
      </c>
      <c r="O968">
        <v>3198</v>
      </c>
      <c r="P968" t="s">
        <v>3241</v>
      </c>
      <c r="R968" t="s">
        <v>3234</v>
      </c>
      <c r="S968">
        <v>0</v>
      </c>
      <c r="T968">
        <v>32</v>
      </c>
      <c r="U968">
        <v>0</v>
      </c>
      <c r="V968">
        <v>0</v>
      </c>
      <c r="W968">
        <v>0</v>
      </c>
      <c r="X968">
        <v>32</v>
      </c>
      <c r="Y968">
        <v>0</v>
      </c>
      <c r="Z968">
        <v>0</v>
      </c>
      <c r="AA968">
        <v>0</v>
      </c>
      <c r="AE968" s="30">
        <v>46016.333333333336</v>
      </c>
      <c r="AF968" s="30">
        <v>46021.708333333336</v>
      </c>
      <c r="AH968" s="30">
        <v>45824.39166666667</v>
      </c>
      <c r="AI968" s="30">
        <v>45828.39166666667</v>
      </c>
      <c r="AJ968" s="30">
        <v>45824.39166666667</v>
      </c>
      <c r="AK968" s="30">
        <v>45828.39166666667</v>
      </c>
      <c r="AL968" s="30">
        <v>45824.39166666667</v>
      </c>
      <c r="AM968" s="30">
        <v>45828.39166666667</v>
      </c>
      <c r="AN968" s="30">
        <v>46016.333333333336</v>
      </c>
      <c r="AO968" s="30">
        <v>46021.708333333336</v>
      </c>
      <c r="AQ968" t="s">
        <v>3171</v>
      </c>
      <c r="AV968" t="s">
        <v>3240</v>
      </c>
      <c r="AW968" t="s">
        <v>3239</v>
      </c>
      <c r="AZ968" t="s">
        <v>1265</v>
      </c>
      <c r="BA968">
        <v>0</v>
      </c>
      <c r="BB968">
        <v>0</v>
      </c>
      <c r="BJ968" s="30">
        <v>46069.523611111108</v>
      </c>
      <c r="BK968" s="30">
        <v>46093.73333333333</v>
      </c>
      <c r="BL968" t="s">
        <v>1259</v>
      </c>
      <c r="BM968" t="s">
        <v>1259</v>
      </c>
      <c r="BO968" t="s">
        <v>1265</v>
      </c>
    </row>
    <row r="969" spans="1:67" x14ac:dyDescent="0.25">
      <c r="A969" t="s">
        <v>1248</v>
      </c>
      <c r="B969">
        <v>352351</v>
      </c>
      <c r="C969">
        <v>405</v>
      </c>
      <c r="D969">
        <v>51508</v>
      </c>
      <c r="E969">
        <v>1117</v>
      </c>
      <c r="F969">
        <v>0</v>
      </c>
      <c r="G969" t="s">
        <v>1265</v>
      </c>
      <c r="H969">
        <v>1</v>
      </c>
      <c r="I969" t="s">
        <v>1265</v>
      </c>
      <c r="J969" t="s">
        <v>1265</v>
      </c>
      <c r="K969" t="s">
        <v>3191</v>
      </c>
      <c r="L969" t="s">
        <v>3176</v>
      </c>
      <c r="M969" t="s">
        <v>3190</v>
      </c>
      <c r="N969" t="s">
        <v>3174</v>
      </c>
      <c r="O969">
        <v>3208</v>
      </c>
      <c r="P969" t="s">
        <v>3238</v>
      </c>
      <c r="R969" t="s">
        <v>3234</v>
      </c>
      <c r="S969">
        <v>9</v>
      </c>
      <c r="T969">
        <v>48</v>
      </c>
      <c r="U969">
        <v>0</v>
      </c>
      <c r="V969">
        <v>0</v>
      </c>
      <c r="W969">
        <v>0</v>
      </c>
      <c r="X969">
        <v>48</v>
      </c>
      <c r="Y969">
        <v>0</v>
      </c>
      <c r="Z969">
        <v>0</v>
      </c>
      <c r="AA969">
        <v>0</v>
      </c>
      <c r="AE969" s="30">
        <v>46022.333333333336</v>
      </c>
      <c r="AF969" s="30">
        <v>46031.708333333336</v>
      </c>
      <c r="AH969" s="30">
        <v>45828.39166666667</v>
      </c>
      <c r="AI969" s="30">
        <v>45838.39166666667</v>
      </c>
      <c r="AJ969" s="30">
        <v>45828.39166666667</v>
      </c>
      <c r="AK969" s="30">
        <v>45838.39166666667</v>
      </c>
      <c r="AL969" s="30">
        <v>45828.39166666667</v>
      </c>
      <c r="AM969" s="30">
        <v>45838.39166666667</v>
      </c>
      <c r="AN969" s="30">
        <v>46022.333333333336</v>
      </c>
      <c r="AO969" s="30">
        <v>46031.708333333336</v>
      </c>
      <c r="AQ969" t="s">
        <v>3171</v>
      </c>
      <c r="AV969" t="s">
        <v>3237</v>
      </c>
      <c r="AW969" t="s">
        <v>3236</v>
      </c>
      <c r="AZ969" t="s">
        <v>1265</v>
      </c>
      <c r="BA969">
        <v>0</v>
      </c>
      <c r="BB969">
        <v>0</v>
      </c>
      <c r="BJ969" s="30">
        <v>46069.523611111108</v>
      </c>
      <c r="BK969" s="30">
        <v>46093.73333333333</v>
      </c>
      <c r="BL969" t="s">
        <v>1259</v>
      </c>
      <c r="BM969" t="s">
        <v>1259</v>
      </c>
      <c r="BO969" t="s">
        <v>1265</v>
      </c>
    </row>
    <row r="970" spans="1:67" x14ac:dyDescent="0.25">
      <c r="A970" t="s">
        <v>1248</v>
      </c>
      <c r="B970">
        <v>352352</v>
      </c>
      <c r="C970">
        <v>405</v>
      </c>
      <c r="D970">
        <v>53304</v>
      </c>
      <c r="E970">
        <v>1117</v>
      </c>
      <c r="F970">
        <v>0</v>
      </c>
      <c r="G970" t="s">
        <v>1265</v>
      </c>
      <c r="H970">
        <v>1</v>
      </c>
      <c r="I970" t="s">
        <v>1265</v>
      </c>
      <c r="J970" t="s">
        <v>1265</v>
      </c>
      <c r="K970" t="s">
        <v>3191</v>
      </c>
      <c r="L970" t="s">
        <v>3176</v>
      </c>
      <c r="M970" t="s">
        <v>3190</v>
      </c>
      <c r="N970" t="s">
        <v>3174</v>
      </c>
      <c r="O970">
        <v>3218</v>
      </c>
      <c r="P970" t="s">
        <v>3235</v>
      </c>
      <c r="R970" t="s">
        <v>3234</v>
      </c>
      <c r="S970">
        <v>0</v>
      </c>
      <c r="T970">
        <v>7</v>
      </c>
      <c r="U970">
        <v>0</v>
      </c>
      <c r="V970">
        <v>0</v>
      </c>
      <c r="W970">
        <v>0</v>
      </c>
      <c r="X970">
        <v>7</v>
      </c>
      <c r="Y970">
        <v>0</v>
      </c>
      <c r="Z970">
        <v>0</v>
      </c>
      <c r="AA970">
        <v>0</v>
      </c>
      <c r="AE970" s="30">
        <v>45999.60833333333</v>
      </c>
      <c r="AF970" s="30">
        <v>46000.566666666666</v>
      </c>
      <c r="AH970" s="30">
        <v>45805.666666666664</v>
      </c>
      <c r="AI970" s="30">
        <v>45806.625</v>
      </c>
      <c r="AJ970" s="30">
        <v>45805.666666666664</v>
      </c>
      <c r="AK970" s="30">
        <v>45806.625</v>
      </c>
      <c r="AL970" s="30">
        <v>45805.666666666664</v>
      </c>
      <c r="AM970" s="30">
        <v>45806.625</v>
      </c>
      <c r="AN970" s="30">
        <v>45999.60833333333</v>
      </c>
      <c r="AO970" s="30">
        <v>46000.566666666666</v>
      </c>
      <c r="AQ970" t="s">
        <v>3171</v>
      </c>
      <c r="AV970" t="s">
        <v>3233</v>
      </c>
      <c r="AW970" t="s">
        <v>3232</v>
      </c>
      <c r="AZ970" t="s">
        <v>1265</v>
      </c>
      <c r="BA970">
        <v>0</v>
      </c>
      <c r="BB970">
        <v>0</v>
      </c>
      <c r="BJ970" s="30">
        <v>46069.523611111108</v>
      </c>
      <c r="BK970" s="30">
        <v>46093.73333333333</v>
      </c>
      <c r="BL970" t="s">
        <v>1259</v>
      </c>
      <c r="BM970" t="s">
        <v>1259</v>
      </c>
      <c r="BO970" t="s">
        <v>1265</v>
      </c>
    </row>
    <row r="971" spans="1:67" x14ac:dyDescent="0.25">
      <c r="A971" t="s">
        <v>1248</v>
      </c>
      <c r="B971">
        <v>352353</v>
      </c>
      <c r="C971">
        <v>405</v>
      </c>
      <c r="D971">
        <v>53304</v>
      </c>
      <c r="E971">
        <v>1117</v>
      </c>
      <c r="F971">
        <v>0</v>
      </c>
      <c r="G971" t="s">
        <v>1265</v>
      </c>
      <c r="H971">
        <v>1</v>
      </c>
      <c r="I971" t="s">
        <v>1265</v>
      </c>
      <c r="J971" t="s">
        <v>1265</v>
      </c>
      <c r="K971" t="s">
        <v>3191</v>
      </c>
      <c r="L971" t="s">
        <v>3176</v>
      </c>
      <c r="M971" t="s">
        <v>3190</v>
      </c>
      <c r="N971" t="s">
        <v>3174</v>
      </c>
      <c r="O971">
        <v>3228</v>
      </c>
      <c r="P971" t="s">
        <v>3231</v>
      </c>
      <c r="R971" t="s">
        <v>3212</v>
      </c>
      <c r="S971">
        <v>0</v>
      </c>
      <c r="T971">
        <v>16</v>
      </c>
      <c r="U971">
        <v>0</v>
      </c>
      <c r="V971">
        <v>0</v>
      </c>
      <c r="W971">
        <v>0</v>
      </c>
      <c r="X971">
        <v>16</v>
      </c>
      <c r="Y971">
        <v>0</v>
      </c>
      <c r="Z971">
        <v>0</v>
      </c>
      <c r="AA971">
        <v>0</v>
      </c>
      <c r="AE971" s="30">
        <v>46027.333333333336</v>
      </c>
      <c r="AF971" s="30">
        <v>46029.708333333336</v>
      </c>
      <c r="AH971" s="30">
        <v>45835.433333333334</v>
      </c>
      <c r="AI971" s="30">
        <v>45839.433333333334</v>
      </c>
      <c r="AJ971" s="30">
        <v>45835.433333333334</v>
      </c>
      <c r="AK971" s="30">
        <v>45839.433333333334</v>
      </c>
      <c r="AL971" s="30">
        <v>45835.433333333334</v>
      </c>
      <c r="AM971" s="30">
        <v>45839.433333333334</v>
      </c>
      <c r="AN971" s="30">
        <v>46027.333333333336</v>
      </c>
      <c r="AO971" s="30">
        <v>46029.708333333336</v>
      </c>
      <c r="AQ971" t="s">
        <v>3171</v>
      </c>
      <c r="AV971" t="s">
        <v>3230</v>
      </c>
      <c r="AW971" t="s">
        <v>3229</v>
      </c>
      <c r="AZ971" t="s">
        <v>1265</v>
      </c>
      <c r="BA971">
        <v>0</v>
      </c>
      <c r="BB971">
        <v>0</v>
      </c>
      <c r="BJ971" s="30">
        <v>46069.523611111108</v>
      </c>
      <c r="BK971" s="30">
        <v>46093.73333333333</v>
      </c>
      <c r="BL971" t="s">
        <v>1259</v>
      </c>
      <c r="BM971" t="s">
        <v>1259</v>
      </c>
      <c r="BO971" t="s">
        <v>1265</v>
      </c>
    </row>
    <row r="972" spans="1:67" x14ac:dyDescent="0.25">
      <c r="A972" t="s">
        <v>1248</v>
      </c>
      <c r="B972">
        <v>352354</v>
      </c>
      <c r="C972">
        <v>405</v>
      </c>
      <c r="D972">
        <v>51509</v>
      </c>
      <c r="E972">
        <v>1117</v>
      </c>
      <c r="F972">
        <v>0</v>
      </c>
      <c r="G972" t="s">
        <v>1265</v>
      </c>
      <c r="H972">
        <v>1</v>
      </c>
      <c r="I972" t="s">
        <v>1265</v>
      </c>
      <c r="J972" t="s">
        <v>1265</v>
      </c>
      <c r="K972" t="s">
        <v>3191</v>
      </c>
      <c r="L972" t="s">
        <v>3176</v>
      </c>
      <c r="M972" t="s">
        <v>3190</v>
      </c>
      <c r="N972" t="s">
        <v>3174</v>
      </c>
      <c r="O972">
        <v>3238</v>
      </c>
      <c r="P972" t="s">
        <v>3228</v>
      </c>
      <c r="R972" t="s">
        <v>3212</v>
      </c>
      <c r="S972">
        <v>0</v>
      </c>
      <c r="T972" s="29">
        <v>441333333333333</v>
      </c>
      <c r="U972">
        <v>0</v>
      </c>
      <c r="V972">
        <v>0</v>
      </c>
      <c r="W972">
        <v>0</v>
      </c>
      <c r="X972" s="29">
        <v>441333333333333</v>
      </c>
      <c r="Y972">
        <v>0</v>
      </c>
      <c r="Z972">
        <v>0</v>
      </c>
      <c r="AA972">
        <v>0</v>
      </c>
      <c r="AE972" s="30">
        <v>45994.566666666666</v>
      </c>
      <c r="AF972" s="30">
        <v>46002.363888888889</v>
      </c>
      <c r="AH972" s="30">
        <v>45805.666666666664</v>
      </c>
      <c r="AI972" s="30">
        <v>45813.463888888888</v>
      </c>
      <c r="AJ972" s="30">
        <v>45805.666666666664</v>
      </c>
      <c r="AK972" s="30">
        <v>45813.463888888888</v>
      </c>
      <c r="AL972" s="30">
        <v>45805.666666666664</v>
      </c>
      <c r="AM972" s="30">
        <v>45813.463888888888</v>
      </c>
      <c r="AN972" s="30">
        <v>45994.566666666666</v>
      </c>
      <c r="AO972" s="30">
        <v>46002.363888888889</v>
      </c>
      <c r="AQ972" t="s">
        <v>3171</v>
      </c>
      <c r="AV972" t="s">
        <v>3227</v>
      </c>
      <c r="AW972" t="s">
        <v>3226</v>
      </c>
      <c r="AZ972" t="s">
        <v>1265</v>
      </c>
      <c r="BA972">
        <v>0</v>
      </c>
      <c r="BB972">
        <v>0</v>
      </c>
      <c r="BJ972" s="30">
        <v>46069.523611111108</v>
      </c>
      <c r="BK972" s="30">
        <v>46093.73333333333</v>
      </c>
      <c r="BL972" t="s">
        <v>1259</v>
      </c>
      <c r="BM972" t="s">
        <v>1259</v>
      </c>
      <c r="BO972" t="s">
        <v>1265</v>
      </c>
    </row>
    <row r="973" spans="1:67" x14ac:dyDescent="0.25">
      <c r="A973" t="s">
        <v>1248</v>
      </c>
      <c r="B973">
        <v>352355</v>
      </c>
      <c r="C973">
        <v>405</v>
      </c>
      <c r="D973">
        <v>51509</v>
      </c>
      <c r="E973">
        <v>1117</v>
      </c>
      <c r="F973">
        <v>0</v>
      </c>
      <c r="G973" t="s">
        <v>1265</v>
      </c>
      <c r="H973">
        <v>1</v>
      </c>
      <c r="I973" t="s">
        <v>1265</v>
      </c>
      <c r="J973" t="s">
        <v>1265</v>
      </c>
      <c r="K973" t="s">
        <v>3191</v>
      </c>
      <c r="L973" t="s">
        <v>3176</v>
      </c>
      <c r="M973" t="s">
        <v>3190</v>
      </c>
      <c r="N973" t="s">
        <v>3174</v>
      </c>
      <c r="O973">
        <v>3248</v>
      </c>
      <c r="P973" t="s">
        <v>3225</v>
      </c>
      <c r="R973" t="s">
        <v>3212</v>
      </c>
      <c r="S973">
        <v>0</v>
      </c>
      <c r="T973">
        <v>7</v>
      </c>
      <c r="U973">
        <v>0</v>
      </c>
      <c r="V973">
        <v>0</v>
      </c>
      <c r="W973">
        <v>0</v>
      </c>
      <c r="X973">
        <v>7</v>
      </c>
      <c r="Y973">
        <v>0</v>
      </c>
      <c r="Z973">
        <v>0</v>
      </c>
      <c r="AA973">
        <v>0</v>
      </c>
      <c r="AE973" s="30">
        <v>46002.363888888889</v>
      </c>
      <c r="AF973" s="30">
        <v>46002.697222222225</v>
      </c>
      <c r="AH973" s="30">
        <v>45813.463888888888</v>
      </c>
      <c r="AI973" s="30">
        <v>45814.422222222223</v>
      </c>
      <c r="AJ973" s="30">
        <v>45813.463888888888</v>
      </c>
      <c r="AK973" s="30">
        <v>45814.422222222223</v>
      </c>
      <c r="AL973" s="30">
        <v>45813.463888888888</v>
      </c>
      <c r="AM973" s="30">
        <v>45814.422222222223</v>
      </c>
      <c r="AN973" s="30">
        <v>46002.363888888889</v>
      </c>
      <c r="AO973" s="30">
        <v>46002.697222222225</v>
      </c>
      <c r="AQ973" t="s">
        <v>3171</v>
      </c>
      <c r="AV973" t="s">
        <v>3224</v>
      </c>
      <c r="AW973" t="s">
        <v>3223</v>
      </c>
      <c r="AZ973" t="s">
        <v>1265</v>
      </c>
      <c r="BA973">
        <v>0</v>
      </c>
      <c r="BB973">
        <v>0</v>
      </c>
      <c r="BJ973" s="30">
        <v>46069.523611111108</v>
      </c>
      <c r="BK973" s="30">
        <v>46093.73333333333</v>
      </c>
      <c r="BL973" t="s">
        <v>1259</v>
      </c>
      <c r="BM973" t="s">
        <v>1259</v>
      </c>
      <c r="BO973" t="s">
        <v>1265</v>
      </c>
    </row>
    <row r="974" spans="1:67" x14ac:dyDescent="0.25">
      <c r="A974" t="s">
        <v>1248</v>
      </c>
      <c r="B974">
        <v>352356</v>
      </c>
      <c r="C974">
        <v>405</v>
      </c>
      <c r="D974">
        <v>51509</v>
      </c>
      <c r="E974">
        <v>1117</v>
      </c>
      <c r="F974">
        <v>0</v>
      </c>
      <c r="G974" t="s">
        <v>1265</v>
      </c>
      <c r="H974">
        <v>1</v>
      </c>
      <c r="I974" t="s">
        <v>1265</v>
      </c>
      <c r="J974" t="s">
        <v>1265</v>
      </c>
      <c r="K974" t="s">
        <v>3191</v>
      </c>
      <c r="L974" t="s">
        <v>3176</v>
      </c>
      <c r="M974" t="s">
        <v>3190</v>
      </c>
      <c r="N974" t="s">
        <v>3174</v>
      </c>
      <c r="O974">
        <v>3258</v>
      </c>
      <c r="P974" t="s">
        <v>3222</v>
      </c>
      <c r="R974" t="s">
        <v>3212</v>
      </c>
      <c r="S974">
        <v>0</v>
      </c>
      <c r="T974" s="29">
        <v>402666666666667</v>
      </c>
      <c r="U974">
        <v>0</v>
      </c>
      <c r="V974">
        <v>0</v>
      </c>
      <c r="W974">
        <v>0</v>
      </c>
      <c r="X974" s="29">
        <v>402666666666667</v>
      </c>
      <c r="Y974">
        <v>0</v>
      </c>
      <c r="Z974">
        <v>0</v>
      </c>
      <c r="AA974">
        <v>0</v>
      </c>
      <c r="AE974" s="30">
        <v>46002.697222222225</v>
      </c>
      <c r="AF974" s="30">
        <v>46009.708333333336</v>
      </c>
      <c r="AH974" s="30">
        <v>45814.422222222223</v>
      </c>
      <c r="AI974" s="30">
        <v>45821.433333333334</v>
      </c>
      <c r="AJ974" s="30">
        <v>45814.422222222223</v>
      </c>
      <c r="AK974" s="30">
        <v>45821.433333333334</v>
      </c>
      <c r="AL974" s="30">
        <v>45814.422222222223</v>
      </c>
      <c r="AM974" s="30">
        <v>45821.433333333334</v>
      </c>
      <c r="AN974" s="30">
        <v>46002.697222222225</v>
      </c>
      <c r="AO974" s="30">
        <v>46009.708333333336</v>
      </c>
      <c r="AQ974" t="s">
        <v>3171</v>
      </c>
      <c r="AV974" t="s">
        <v>3221</v>
      </c>
      <c r="AW974" t="s">
        <v>3220</v>
      </c>
      <c r="AZ974" t="s">
        <v>1265</v>
      </c>
      <c r="BA974">
        <v>0</v>
      </c>
      <c r="BB974">
        <v>0</v>
      </c>
      <c r="BJ974" s="30">
        <v>46069.523611111108</v>
      </c>
      <c r="BK974" s="30">
        <v>46093.73333333333</v>
      </c>
      <c r="BL974" t="s">
        <v>1259</v>
      </c>
      <c r="BM974" t="s">
        <v>1259</v>
      </c>
      <c r="BO974" t="s">
        <v>1265</v>
      </c>
    </row>
    <row r="975" spans="1:67" x14ac:dyDescent="0.25">
      <c r="A975" t="s">
        <v>1248</v>
      </c>
      <c r="B975">
        <v>352357</v>
      </c>
      <c r="C975">
        <v>405</v>
      </c>
      <c r="D975">
        <v>51509</v>
      </c>
      <c r="E975">
        <v>1117</v>
      </c>
      <c r="F975">
        <v>0</v>
      </c>
      <c r="G975" t="s">
        <v>1265</v>
      </c>
      <c r="H975">
        <v>1</v>
      </c>
      <c r="I975" t="s">
        <v>1265</v>
      </c>
      <c r="J975" t="s">
        <v>1265</v>
      </c>
      <c r="K975" t="s">
        <v>3191</v>
      </c>
      <c r="L975" t="s">
        <v>3176</v>
      </c>
      <c r="M975" t="s">
        <v>3190</v>
      </c>
      <c r="N975" t="s">
        <v>3174</v>
      </c>
      <c r="O975">
        <v>3268</v>
      </c>
      <c r="P975" t="s">
        <v>3219</v>
      </c>
      <c r="R975" t="s">
        <v>3212</v>
      </c>
      <c r="S975">
        <v>0</v>
      </c>
      <c r="T975">
        <v>32</v>
      </c>
      <c r="U975">
        <v>0</v>
      </c>
      <c r="V975">
        <v>0</v>
      </c>
      <c r="W975">
        <v>0</v>
      </c>
      <c r="X975">
        <v>32</v>
      </c>
      <c r="Y975">
        <v>0</v>
      </c>
      <c r="Z975">
        <v>0</v>
      </c>
      <c r="AA975">
        <v>0</v>
      </c>
      <c r="AE975" s="30">
        <v>46010.333333333336</v>
      </c>
      <c r="AF975" s="30">
        <v>46015.708333333336</v>
      </c>
      <c r="AH975" s="30">
        <v>45821.433333333334</v>
      </c>
      <c r="AI975" s="30">
        <v>45827.433333333334</v>
      </c>
      <c r="AJ975" s="30">
        <v>45821.433333333334</v>
      </c>
      <c r="AK975" s="30">
        <v>45827.433333333334</v>
      </c>
      <c r="AL975" s="30">
        <v>45821.433333333334</v>
      </c>
      <c r="AM975" s="30">
        <v>45827.433333333334</v>
      </c>
      <c r="AN975" s="30">
        <v>46010.333333333336</v>
      </c>
      <c r="AO975" s="30">
        <v>46015.708333333336</v>
      </c>
      <c r="AQ975" t="s">
        <v>3171</v>
      </c>
      <c r="AV975" t="s">
        <v>3218</v>
      </c>
      <c r="AW975" t="s">
        <v>3217</v>
      </c>
      <c r="AZ975" t="s">
        <v>1265</v>
      </c>
      <c r="BA975">
        <v>0</v>
      </c>
      <c r="BB975">
        <v>0</v>
      </c>
      <c r="BJ975" s="30">
        <v>46069.523611111108</v>
      </c>
      <c r="BK975" s="30">
        <v>46093.73333333333</v>
      </c>
      <c r="BL975" t="s">
        <v>1259</v>
      </c>
      <c r="BM975" t="s">
        <v>1259</v>
      </c>
      <c r="BO975" t="s">
        <v>1265</v>
      </c>
    </row>
    <row r="976" spans="1:67" x14ac:dyDescent="0.25">
      <c r="A976" t="s">
        <v>1248</v>
      </c>
      <c r="B976">
        <v>352358</v>
      </c>
      <c r="C976">
        <v>405</v>
      </c>
      <c r="D976">
        <v>51509</v>
      </c>
      <c r="E976">
        <v>1117</v>
      </c>
      <c r="F976">
        <v>0</v>
      </c>
      <c r="G976" t="s">
        <v>1265</v>
      </c>
      <c r="H976">
        <v>1</v>
      </c>
      <c r="I976" t="s">
        <v>1265</v>
      </c>
      <c r="J976" t="s">
        <v>1265</v>
      </c>
      <c r="K976" t="s">
        <v>3191</v>
      </c>
      <c r="L976" t="s">
        <v>3176</v>
      </c>
      <c r="M976" t="s">
        <v>3190</v>
      </c>
      <c r="N976" t="s">
        <v>3174</v>
      </c>
      <c r="O976">
        <v>3278</v>
      </c>
      <c r="P976" t="s">
        <v>3216</v>
      </c>
      <c r="R976" t="s">
        <v>3212</v>
      </c>
      <c r="S976">
        <v>0</v>
      </c>
      <c r="T976">
        <v>48</v>
      </c>
      <c r="U976">
        <v>0</v>
      </c>
      <c r="V976">
        <v>0</v>
      </c>
      <c r="W976">
        <v>0</v>
      </c>
      <c r="X976">
        <v>48</v>
      </c>
      <c r="Y976">
        <v>0</v>
      </c>
      <c r="Z976">
        <v>0</v>
      </c>
      <c r="AA976">
        <v>0</v>
      </c>
      <c r="AE976" s="30">
        <v>46016.333333333336</v>
      </c>
      <c r="AF976" s="30">
        <v>46024.708333333336</v>
      </c>
      <c r="AH976" s="30">
        <v>45827.433333333334</v>
      </c>
      <c r="AI976" s="30">
        <v>45835.433333333334</v>
      </c>
      <c r="AJ976" s="30">
        <v>45827.433333333334</v>
      </c>
      <c r="AK976" s="30">
        <v>45835.433333333334</v>
      </c>
      <c r="AL976" s="30">
        <v>45827.433333333334</v>
      </c>
      <c r="AM976" s="30">
        <v>45835.433333333334</v>
      </c>
      <c r="AN976" s="30">
        <v>46016.333333333336</v>
      </c>
      <c r="AO976" s="30">
        <v>46024.708333333336</v>
      </c>
      <c r="AQ976" t="s">
        <v>3171</v>
      </c>
      <c r="AV976" t="s">
        <v>3215</v>
      </c>
      <c r="AW976" t="s">
        <v>3214</v>
      </c>
      <c r="AZ976" t="s">
        <v>1265</v>
      </c>
      <c r="BA976">
        <v>0</v>
      </c>
      <c r="BB976">
        <v>0</v>
      </c>
      <c r="BJ976" s="30">
        <v>46069.523611111108</v>
      </c>
      <c r="BK976" s="30">
        <v>46093.73333333333</v>
      </c>
      <c r="BL976" t="s">
        <v>1259</v>
      </c>
      <c r="BM976" t="s">
        <v>1259</v>
      </c>
      <c r="BO976" t="s">
        <v>1265</v>
      </c>
    </row>
    <row r="977" spans="1:67" x14ac:dyDescent="0.25">
      <c r="A977" t="s">
        <v>1248</v>
      </c>
      <c r="B977">
        <v>352359</v>
      </c>
      <c r="C977">
        <v>405</v>
      </c>
      <c r="D977">
        <v>53304</v>
      </c>
      <c r="E977">
        <v>1117</v>
      </c>
      <c r="F977">
        <v>0</v>
      </c>
      <c r="G977" t="s">
        <v>1265</v>
      </c>
      <c r="H977">
        <v>1</v>
      </c>
      <c r="I977" t="s">
        <v>1265</v>
      </c>
      <c r="J977" t="s">
        <v>1265</v>
      </c>
      <c r="K977" t="s">
        <v>3191</v>
      </c>
      <c r="L977" t="s">
        <v>3176</v>
      </c>
      <c r="M977" t="s">
        <v>3190</v>
      </c>
      <c r="N977" t="s">
        <v>3174</v>
      </c>
      <c r="O977">
        <v>3288</v>
      </c>
      <c r="P977" t="s">
        <v>3213</v>
      </c>
      <c r="R977" t="s">
        <v>3212</v>
      </c>
      <c r="S977">
        <v>0</v>
      </c>
      <c r="T977">
        <v>7</v>
      </c>
      <c r="U977">
        <v>0</v>
      </c>
      <c r="V977">
        <v>0</v>
      </c>
      <c r="W977">
        <v>0</v>
      </c>
      <c r="X977">
        <v>7</v>
      </c>
      <c r="Y977">
        <v>0</v>
      </c>
      <c r="Z977">
        <v>0</v>
      </c>
      <c r="AA977">
        <v>0</v>
      </c>
      <c r="AE977" s="30">
        <v>45993.60833333333</v>
      </c>
      <c r="AF977" s="30">
        <v>45994.566666666666</v>
      </c>
      <c r="AH977" s="30">
        <v>45805.333333333336</v>
      </c>
      <c r="AI977" s="30">
        <v>45805.666666666664</v>
      </c>
      <c r="AJ977" s="30">
        <v>45805.333333333336</v>
      </c>
      <c r="AK977" s="30">
        <v>45805.666666666664</v>
      </c>
      <c r="AL977" s="30">
        <v>45805.333333333336</v>
      </c>
      <c r="AM977" s="30">
        <v>45805.666666666664</v>
      </c>
      <c r="AN977" s="30">
        <v>45993.60833333333</v>
      </c>
      <c r="AO977" s="30">
        <v>45994.566666666666</v>
      </c>
      <c r="AQ977" t="s">
        <v>3171</v>
      </c>
      <c r="AV977" t="s">
        <v>3211</v>
      </c>
      <c r="AW977" t="s">
        <v>3210</v>
      </c>
      <c r="AZ977" t="s">
        <v>1265</v>
      </c>
      <c r="BA977">
        <v>0</v>
      </c>
      <c r="BB977">
        <v>0</v>
      </c>
      <c r="BJ977" s="30">
        <v>46069.523611111108</v>
      </c>
      <c r="BK977" s="30">
        <v>46093.73333333333</v>
      </c>
      <c r="BL977" t="s">
        <v>1259</v>
      </c>
      <c r="BM977" t="s">
        <v>1259</v>
      </c>
      <c r="BO977" t="s">
        <v>1265</v>
      </c>
    </row>
    <row r="978" spans="1:67" x14ac:dyDescent="0.25">
      <c r="A978" t="s">
        <v>1248</v>
      </c>
      <c r="B978">
        <v>352360</v>
      </c>
      <c r="C978">
        <v>405</v>
      </c>
      <c r="D978">
        <v>53304</v>
      </c>
      <c r="E978">
        <v>1117</v>
      </c>
      <c r="F978">
        <v>0</v>
      </c>
      <c r="G978" t="s">
        <v>1265</v>
      </c>
      <c r="H978">
        <v>1</v>
      </c>
      <c r="I978" t="s">
        <v>1265</v>
      </c>
      <c r="J978" t="s">
        <v>1265</v>
      </c>
      <c r="K978" t="s">
        <v>3191</v>
      </c>
      <c r="L978" t="s">
        <v>3176</v>
      </c>
      <c r="M978" t="s">
        <v>3190</v>
      </c>
      <c r="N978" t="s">
        <v>3174</v>
      </c>
      <c r="O978">
        <v>3298</v>
      </c>
      <c r="P978" t="s">
        <v>3209</v>
      </c>
      <c r="R978" t="s">
        <v>3188</v>
      </c>
      <c r="S978">
        <v>0</v>
      </c>
      <c r="T978">
        <v>16</v>
      </c>
      <c r="U978">
        <v>0</v>
      </c>
      <c r="V978">
        <v>0</v>
      </c>
      <c r="W978">
        <v>0</v>
      </c>
      <c r="X978">
        <v>16</v>
      </c>
      <c r="Y978">
        <v>0</v>
      </c>
      <c r="Z978">
        <v>0</v>
      </c>
      <c r="AA978">
        <v>0</v>
      </c>
      <c r="AE978" s="30">
        <v>45859.60833333333</v>
      </c>
      <c r="AF978" s="30">
        <v>45861.60833333333</v>
      </c>
      <c r="AH978" s="30">
        <v>45803.333333333336</v>
      </c>
      <c r="AI978" s="30">
        <v>45804.708333333336</v>
      </c>
      <c r="AJ978" s="30">
        <v>45803.333333333336</v>
      </c>
      <c r="AK978" s="30">
        <v>45804.708333333336</v>
      </c>
      <c r="AL978" s="30">
        <v>45803.333333333336</v>
      </c>
      <c r="AM978" s="30">
        <v>45804.708333333336</v>
      </c>
      <c r="AN978" s="30">
        <v>45859.60833333333</v>
      </c>
      <c r="AO978" s="30">
        <v>45861.60833333333</v>
      </c>
      <c r="AQ978" t="s">
        <v>3171</v>
      </c>
      <c r="AV978" t="s">
        <v>3208</v>
      </c>
      <c r="AW978" t="s">
        <v>3207</v>
      </c>
      <c r="AZ978" t="s">
        <v>1265</v>
      </c>
      <c r="BA978">
        <v>0</v>
      </c>
      <c r="BB978">
        <v>0</v>
      </c>
      <c r="BJ978" s="30">
        <v>46069.523611111108</v>
      </c>
      <c r="BK978" s="30">
        <v>46093.73333333333</v>
      </c>
      <c r="BL978" t="s">
        <v>1259</v>
      </c>
      <c r="BM978" t="s">
        <v>1259</v>
      </c>
      <c r="BO978" t="s">
        <v>1265</v>
      </c>
    </row>
    <row r="979" spans="1:67" x14ac:dyDescent="0.25">
      <c r="A979" t="s">
        <v>1248</v>
      </c>
      <c r="B979">
        <v>352361</v>
      </c>
      <c r="C979">
        <v>405</v>
      </c>
      <c r="D979">
        <v>51510</v>
      </c>
      <c r="E979">
        <v>1117</v>
      </c>
      <c r="F979">
        <v>0</v>
      </c>
      <c r="G979" t="s">
        <v>1265</v>
      </c>
      <c r="H979">
        <v>1</v>
      </c>
      <c r="I979" t="s">
        <v>1265</v>
      </c>
      <c r="J979" t="s">
        <v>1265</v>
      </c>
      <c r="K979" t="s">
        <v>3191</v>
      </c>
      <c r="L979" t="s">
        <v>3176</v>
      </c>
      <c r="M979" t="s">
        <v>3190</v>
      </c>
      <c r="N979" t="s">
        <v>3174</v>
      </c>
      <c r="O979">
        <v>3308</v>
      </c>
      <c r="P979" t="s">
        <v>3206</v>
      </c>
      <c r="R979" t="s">
        <v>3188</v>
      </c>
      <c r="S979">
        <v>0</v>
      </c>
      <c r="T979" s="29">
        <v>441333333333333</v>
      </c>
      <c r="U979">
        <v>0</v>
      </c>
      <c r="V979">
        <v>0</v>
      </c>
      <c r="W979">
        <v>0</v>
      </c>
      <c r="X979" s="29">
        <v>441333333333333</v>
      </c>
      <c r="Y979">
        <v>0</v>
      </c>
      <c r="Z979">
        <v>0</v>
      </c>
      <c r="AA979">
        <v>0</v>
      </c>
      <c r="AE979" s="30">
        <v>45861.60833333333</v>
      </c>
      <c r="AF979" s="30">
        <v>45869.405555555553</v>
      </c>
      <c r="AH979" s="30">
        <v>45805.333333333336</v>
      </c>
      <c r="AI979" s="30">
        <v>45812.547222222223</v>
      </c>
      <c r="AJ979" s="30">
        <v>45805.333333333336</v>
      </c>
      <c r="AK979" s="30">
        <v>45812.547222222223</v>
      </c>
      <c r="AL979" s="30">
        <v>45805.333333333336</v>
      </c>
      <c r="AM979" s="30">
        <v>45812.547222222223</v>
      </c>
      <c r="AN979" s="30">
        <v>45861.60833333333</v>
      </c>
      <c r="AO979" s="30">
        <v>45869.405555555553</v>
      </c>
      <c r="AQ979" t="s">
        <v>3171</v>
      </c>
      <c r="AV979" t="s">
        <v>3205</v>
      </c>
      <c r="AW979" t="s">
        <v>3204</v>
      </c>
      <c r="AZ979" t="s">
        <v>1265</v>
      </c>
      <c r="BA979">
        <v>0</v>
      </c>
      <c r="BB979">
        <v>0</v>
      </c>
      <c r="BJ979" s="30">
        <v>46069.523611111108</v>
      </c>
      <c r="BK979" s="30">
        <v>46093.73333333333</v>
      </c>
      <c r="BL979" t="s">
        <v>1259</v>
      </c>
      <c r="BM979" t="s">
        <v>1259</v>
      </c>
      <c r="BO979" t="s">
        <v>1265</v>
      </c>
    </row>
    <row r="980" spans="1:67" x14ac:dyDescent="0.25">
      <c r="A980" t="s">
        <v>1248</v>
      </c>
      <c r="B980">
        <v>352362</v>
      </c>
      <c r="C980">
        <v>405</v>
      </c>
      <c r="D980">
        <v>51510</v>
      </c>
      <c r="E980">
        <v>1117</v>
      </c>
      <c r="F980">
        <v>0</v>
      </c>
      <c r="G980" t="s">
        <v>1265</v>
      </c>
      <c r="H980">
        <v>1</v>
      </c>
      <c r="I980" t="s">
        <v>1265</v>
      </c>
      <c r="J980" t="s">
        <v>1265</v>
      </c>
      <c r="K980" t="s">
        <v>3191</v>
      </c>
      <c r="L980" t="s">
        <v>3176</v>
      </c>
      <c r="M980" t="s">
        <v>3190</v>
      </c>
      <c r="N980" t="s">
        <v>3174</v>
      </c>
      <c r="O980">
        <v>3318</v>
      </c>
      <c r="P980" t="s">
        <v>3203</v>
      </c>
      <c r="R980" t="s">
        <v>3188</v>
      </c>
      <c r="S980">
        <v>0</v>
      </c>
      <c r="T980">
        <v>7</v>
      </c>
      <c r="U980">
        <v>0</v>
      </c>
      <c r="V980">
        <v>0</v>
      </c>
      <c r="W980">
        <v>0</v>
      </c>
      <c r="X980">
        <v>7</v>
      </c>
      <c r="Y980">
        <v>0</v>
      </c>
      <c r="Z980">
        <v>0</v>
      </c>
      <c r="AA980">
        <v>0</v>
      </c>
      <c r="AE980" s="30">
        <v>45869.405555555553</v>
      </c>
      <c r="AF980" s="30">
        <v>45870.363888888889</v>
      </c>
      <c r="AH980" s="30">
        <v>45812.547222222223</v>
      </c>
      <c r="AI980" s="30">
        <v>45813.463888888888</v>
      </c>
      <c r="AJ980" s="30">
        <v>45812.547222222223</v>
      </c>
      <c r="AK980" s="30">
        <v>45813.463888888888</v>
      </c>
      <c r="AL980" s="30">
        <v>45812.547222222223</v>
      </c>
      <c r="AM980" s="30">
        <v>45813.463888888888</v>
      </c>
      <c r="AN980" s="30">
        <v>45869.405555555553</v>
      </c>
      <c r="AO980" s="30">
        <v>45870.363888888889</v>
      </c>
      <c r="AQ980" t="s">
        <v>3171</v>
      </c>
      <c r="AV980" t="s">
        <v>3202</v>
      </c>
      <c r="AW980" t="s">
        <v>3201</v>
      </c>
      <c r="AZ980" t="s">
        <v>1265</v>
      </c>
      <c r="BA980">
        <v>0</v>
      </c>
      <c r="BB980">
        <v>0</v>
      </c>
      <c r="BJ980" s="30">
        <v>46069.523611111108</v>
      </c>
      <c r="BK980" s="30">
        <v>46093.73333333333</v>
      </c>
      <c r="BL980" t="s">
        <v>1259</v>
      </c>
      <c r="BM980" t="s">
        <v>1259</v>
      </c>
      <c r="BO980" t="s">
        <v>1265</v>
      </c>
    </row>
    <row r="981" spans="1:67" x14ac:dyDescent="0.25">
      <c r="A981" t="s">
        <v>1248</v>
      </c>
      <c r="B981">
        <v>352363</v>
      </c>
      <c r="C981">
        <v>405</v>
      </c>
      <c r="D981">
        <v>51510</v>
      </c>
      <c r="E981">
        <v>1117</v>
      </c>
      <c r="F981">
        <v>0</v>
      </c>
      <c r="G981" t="s">
        <v>1265</v>
      </c>
      <c r="H981">
        <v>1</v>
      </c>
      <c r="I981" t="s">
        <v>1265</v>
      </c>
      <c r="J981" t="s">
        <v>1265</v>
      </c>
      <c r="K981" t="s">
        <v>3191</v>
      </c>
      <c r="L981" t="s">
        <v>3176</v>
      </c>
      <c r="M981" t="s">
        <v>3190</v>
      </c>
      <c r="N981" t="s">
        <v>3174</v>
      </c>
      <c r="O981">
        <v>3328</v>
      </c>
      <c r="P981" t="s">
        <v>3200</v>
      </c>
      <c r="R981" t="s">
        <v>3188</v>
      </c>
      <c r="S981">
        <v>0</v>
      </c>
      <c r="T981" s="29">
        <v>402666666666667</v>
      </c>
      <c r="U981">
        <v>0</v>
      </c>
      <c r="V981">
        <v>0</v>
      </c>
      <c r="W981">
        <v>0</v>
      </c>
      <c r="X981" s="29">
        <v>402666666666667</v>
      </c>
      <c r="Y981">
        <v>0</v>
      </c>
      <c r="Z981">
        <v>0</v>
      </c>
      <c r="AA981">
        <v>0</v>
      </c>
      <c r="AE981" s="30">
        <v>45870.363888888889</v>
      </c>
      <c r="AF981" s="30">
        <v>45877.375</v>
      </c>
      <c r="AH981" s="30">
        <v>45813.463888888888</v>
      </c>
      <c r="AI981" s="30">
        <v>45820.474999999999</v>
      </c>
      <c r="AJ981" s="30">
        <v>45813.463888888888</v>
      </c>
      <c r="AK981" s="30">
        <v>45820.474999999999</v>
      </c>
      <c r="AL981" s="30">
        <v>45813.463888888888</v>
      </c>
      <c r="AM981" s="30">
        <v>45820.474999999999</v>
      </c>
      <c r="AN981" s="30">
        <v>45870.363888888889</v>
      </c>
      <c r="AO981" s="30">
        <v>45877.375</v>
      </c>
      <c r="AQ981" t="s">
        <v>3171</v>
      </c>
      <c r="AV981" t="s">
        <v>3199</v>
      </c>
      <c r="AW981" t="s">
        <v>3198</v>
      </c>
      <c r="AZ981" t="s">
        <v>1265</v>
      </c>
      <c r="BA981">
        <v>0</v>
      </c>
      <c r="BB981">
        <v>0</v>
      </c>
      <c r="BJ981" s="30">
        <v>46069.523611111108</v>
      </c>
      <c r="BK981" s="30">
        <v>46093.73333333333</v>
      </c>
      <c r="BL981" t="s">
        <v>1259</v>
      </c>
      <c r="BM981" t="s">
        <v>1259</v>
      </c>
      <c r="BO981" t="s">
        <v>1265</v>
      </c>
    </row>
    <row r="982" spans="1:67" x14ac:dyDescent="0.25">
      <c r="A982" t="s">
        <v>1248</v>
      </c>
      <c r="B982">
        <v>352364</v>
      </c>
      <c r="C982">
        <v>405</v>
      </c>
      <c r="D982">
        <v>51510</v>
      </c>
      <c r="E982">
        <v>1117</v>
      </c>
      <c r="F982">
        <v>0</v>
      </c>
      <c r="G982" t="s">
        <v>1265</v>
      </c>
      <c r="H982">
        <v>1</v>
      </c>
      <c r="I982" t="s">
        <v>1265</v>
      </c>
      <c r="J982" t="s">
        <v>1265</v>
      </c>
      <c r="K982" t="s">
        <v>3191</v>
      </c>
      <c r="L982" t="s">
        <v>3176</v>
      </c>
      <c r="M982" t="s">
        <v>3190</v>
      </c>
      <c r="N982" t="s">
        <v>3174</v>
      </c>
      <c r="O982">
        <v>3338</v>
      </c>
      <c r="P982" t="s">
        <v>3197</v>
      </c>
      <c r="R982" t="s">
        <v>3188</v>
      </c>
      <c r="S982">
        <v>0</v>
      </c>
      <c r="T982">
        <v>32</v>
      </c>
      <c r="U982">
        <v>0</v>
      </c>
      <c r="V982">
        <v>0</v>
      </c>
      <c r="W982">
        <v>0</v>
      </c>
      <c r="X982">
        <v>32</v>
      </c>
      <c r="Y982">
        <v>0</v>
      </c>
      <c r="Z982">
        <v>0</v>
      </c>
      <c r="AA982">
        <v>0</v>
      </c>
      <c r="AE982" s="30">
        <v>45877.375</v>
      </c>
      <c r="AF982" s="30">
        <v>45883.375</v>
      </c>
      <c r="AH982" s="30">
        <v>45820.474999999999</v>
      </c>
      <c r="AI982" s="30">
        <v>45826.474999999999</v>
      </c>
      <c r="AJ982" s="30">
        <v>45820.474999999999</v>
      </c>
      <c r="AK982" s="30">
        <v>45826.474999999999</v>
      </c>
      <c r="AL982" s="30">
        <v>45820.474999999999</v>
      </c>
      <c r="AM982" s="30">
        <v>45826.474999999999</v>
      </c>
      <c r="AN982" s="30">
        <v>45877.375</v>
      </c>
      <c r="AO982" s="30">
        <v>45883.375</v>
      </c>
      <c r="AQ982" t="s">
        <v>3171</v>
      </c>
      <c r="AV982" t="s">
        <v>3196</v>
      </c>
      <c r="AW982" t="s">
        <v>3195</v>
      </c>
      <c r="AZ982" t="s">
        <v>1265</v>
      </c>
      <c r="BA982">
        <v>0</v>
      </c>
      <c r="BB982">
        <v>0</v>
      </c>
      <c r="BJ982" s="30">
        <v>46069.523611111108</v>
      </c>
      <c r="BK982" s="30">
        <v>46093.73333333333</v>
      </c>
      <c r="BL982" t="s">
        <v>1259</v>
      </c>
      <c r="BM982" t="s">
        <v>1259</v>
      </c>
      <c r="BO982" t="s">
        <v>1265</v>
      </c>
    </row>
    <row r="983" spans="1:67" x14ac:dyDescent="0.25">
      <c r="A983" t="s">
        <v>1248</v>
      </c>
      <c r="B983">
        <v>352365</v>
      </c>
      <c r="C983">
        <v>405</v>
      </c>
      <c r="D983">
        <v>51510</v>
      </c>
      <c r="E983">
        <v>1117</v>
      </c>
      <c r="F983">
        <v>0</v>
      </c>
      <c r="G983" t="s">
        <v>1265</v>
      </c>
      <c r="H983">
        <v>1</v>
      </c>
      <c r="I983" t="s">
        <v>1265</v>
      </c>
      <c r="J983" t="s">
        <v>1265</v>
      </c>
      <c r="K983" t="s">
        <v>3191</v>
      </c>
      <c r="L983" t="s">
        <v>3176</v>
      </c>
      <c r="M983" t="s">
        <v>3190</v>
      </c>
      <c r="N983" t="s">
        <v>3174</v>
      </c>
      <c r="O983">
        <v>3348</v>
      </c>
      <c r="P983" t="s">
        <v>3194</v>
      </c>
      <c r="R983" t="s">
        <v>3188</v>
      </c>
      <c r="S983">
        <v>0</v>
      </c>
      <c r="T983">
        <v>48</v>
      </c>
      <c r="U983">
        <v>0</v>
      </c>
      <c r="V983">
        <v>0</v>
      </c>
      <c r="W983">
        <v>0</v>
      </c>
      <c r="X983">
        <v>48</v>
      </c>
      <c r="Y983">
        <v>0</v>
      </c>
      <c r="Z983">
        <v>0</v>
      </c>
      <c r="AA983">
        <v>0</v>
      </c>
      <c r="AE983" s="30">
        <v>45883.375</v>
      </c>
      <c r="AF983" s="30">
        <v>45891.375</v>
      </c>
      <c r="AH983" s="30">
        <v>45826.474999999999</v>
      </c>
      <c r="AI983" s="30">
        <v>45834.474999999999</v>
      </c>
      <c r="AJ983" s="30">
        <v>45826.474999999999</v>
      </c>
      <c r="AK983" s="30">
        <v>45834.474999999999</v>
      </c>
      <c r="AL983" s="30">
        <v>45826.474999999999</v>
      </c>
      <c r="AM983" s="30">
        <v>45834.474999999999</v>
      </c>
      <c r="AN983" s="30">
        <v>45883.375</v>
      </c>
      <c r="AO983" s="30">
        <v>45891.375</v>
      </c>
      <c r="AQ983" t="s">
        <v>3171</v>
      </c>
      <c r="AV983" t="s">
        <v>3193</v>
      </c>
      <c r="AW983" t="s">
        <v>3192</v>
      </c>
      <c r="AZ983" t="s">
        <v>1265</v>
      </c>
      <c r="BA983">
        <v>0</v>
      </c>
      <c r="BB983">
        <v>0</v>
      </c>
      <c r="BJ983" s="30">
        <v>46069.523611111108</v>
      </c>
      <c r="BK983" s="30">
        <v>46093.73333333333</v>
      </c>
      <c r="BL983" t="s">
        <v>1259</v>
      </c>
      <c r="BM983" t="s">
        <v>1259</v>
      </c>
      <c r="BO983" t="s">
        <v>1265</v>
      </c>
    </row>
    <row r="984" spans="1:67" x14ac:dyDescent="0.25">
      <c r="A984" t="s">
        <v>1248</v>
      </c>
      <c r="B984">
        <v>352366</v>
      </c>
      <c r="C984">
        <v>405</v>
      </c>
      <c r="D984">
        <v>53304</v>
      </c>
      <c r="E984">
        <v>1117</v>
      </c>
      <c r="F984">
        <v>0</v>
      </c>
      <c r="G984" t="s">
        <v>1265</v>
      </c>
      <c r="H984">
        <v>1</v>
      </c>
      <c r="I984" t="s">
        <v>1265</v>
      </c>
      <c r="J984" t="s">
        <v>1265</v>
      </c>
      <c r="K984" t="s">
        <v>3191</v>
      </c>
      <c r="L984" t="s">
        <v>3176</v>
      </c>
      <c r="M984" t="s">
        <v>3190</v>
      </c>
      <c r="N984" t="s">
        <v>3174</v>
      </c>
      <c r="O984">
        <v>3358</v>
      </c>
      <c r="P984" t="s">
        <v>3189</v>
      </c>
      <c r="R984" t="s">
        <v>3188</v>
      </c>
      <c r="S984">
        <v>56</v>
      </c>
      <c r="T984">
        <v>7</v>
      </c>
      <c r="U984">
        <v>0</v>
      </c>
      <c r="V984">
        <v>0</v>
      </c>
      <c r="W984">
        <v>0</v>
      </c>
      <c r="X984">
        <v>7</v>
      </c>
      <c r="Y984">
        <v>0</v>
      </c>
      <c r="Z984">
        <v>0</v>
      </c>
      <c r="AA984">
        <v>0</v>
      </c>
      <c r="AE984" s="30">
        <v>45891.375</v>
      </c>
      <c r="AF984" s="30">
        <v>45891.708333333336</v>
      </c>
      <c r="AH984" s="30">
        <v>45834.474999999999</v>
      </c>
      <c r="AI984" s="30">
        <v>45835.433333333334</v>
      </c>
      <c r="AJ984" s="30">
        <v>45834.474999999999</v>
      </c>
      <c r="AK984" s="30">
        <v>45835.433333333334</v>
      </c>
      <c r="AL984" s="30">
        <v>45834.474999999999</v>
      </c>
      <c r="AM984" s="30">
        <v>45835.433333333334</v>
      </c>
      <c r="AN984" s="30">
        <v>45891.375</v>
      </c>
      <c r="AO984" s="30">
        <v>45891.708333333336</v>
      </c>
      <c r="AQ984" t="s">
        <v>3171</v>
      </c>
      <c r="AV984" t="s">
        <v>3187</v>
      </c>
      <c r="AW984" t="s">
        <v>3186</v>
      </c>
      <c r="AZ984" t="s">
        <v>1265</v>
      </c>
      <c r="BA984">
        <v>0</v>
      </c>
      <c r="BB984">
        <v>0</v>
      </c>
      <c r="BJ984" s="30">
        <v>46069.523611111108</v>
      </c>
      <c r="BK984" s="30">
        <v>46093.73333333333</v>
      </c>
      <c r="BL984" t="s">
        <v>1259</v>
      </c>
      <c r="BM984" t="s">
        <v>1259</v>
      </c>
      <c r="BO984" t="s">
        <v>1265</v>
      </c>
    </row>
    <row r="985" spans="1:67" x14ac:dyDescent="0.25">
      <c r="A985" t="s">
        <v>1248</v>
      </c>
      <c r="B985">
        <v>360981</v>
      </c>
      <c r="C985">
        <v>405</v>
      </c>
      <c r="D985">
        <v>32368</v>
      </c>
      <c r="E985">
        <v>1117</v>
      </c>
      <c r="F985">
        <v>0</v>
      </c>
      <c r="G985" t="s">
        <v>1265</v>
      </c>
      <c r="H985">
        <v>1</v>
      </c>
      <c r="I985" t="s">
        <v>1265</v>
      </c>
      <c r="J985" t="s">
        <v>1265</v>
      </c>
      <c r="K985" t="s">
        <v>3177</v>
      </c>
      <c r="L985" t="s">
        <v>3176</v>
      </c>
      <c r="M985" t="s">
        <v>3175</v>
      </c>
      <c r="N985" t="s">
        <v>3174</v>
      </c>
      <c r="O985" t="s">
        <v>3185</v>
      </c>
      <c r="P985" t="s">
        <v>3184</v>
      </c>
      <c r="R985">
        <v>4456</v>
      </c>
      <c r="S985">
        <v>0</v>
      </c>
      <c r="T985">
        <v>40</v>
      </c>
      <c r="U985">
        <v>0</v>
      </c>
      <c r="V985">
        <v>0</v>
      </c>
      <c r="W985">
        <v>0</v>
      </c>
      <c r="X985">
        <v>40</v>
      </c>
      <c r="Y985">
        <v>0</v>
      </c>
      <c r="Z985">
        <v>0</v>
      </c>
      <c r="AA985">
        <v>0</v>
      </c>
      <c r="AE985" s="30">
        <v>46492.333333333336</v>
      </c>
      <c r="AF985" s="30">
        <v>46498.708333333336</v>
      </c>
      <c r="AH985" s="30">
        <v>45699.333333333336</v>
      </c>
      <c r="AI985" s="30">
        <v>45705.708333333336</v>
      </c>
      <c r="AJ985" s="30">
        <v>45699.333333333336</v>
      </c>
      <c r="AK985" s="30">
        <v>45705.708333333336</v>
      </c>
      <c r="AL985" s="30">
        <v>45699.333333333336</v>
      </c>
      <c r="AM985" s="30">
        <v>45705.708333333336</v>
      </c>
      <c r="AN985" s="30">
        <v>46492.333333333336</v>
      </c>
      <c r="AO985" s="30">
        <v>46498.708333333336</v>
      </c>
      <c r="AQ985" t="s">
        <v>3171</v>
      </c>
      <c r="AV985" t="s">
        <v>3180</v>
      </c>
      <c r="AZ985" t="s">
        <v>1265</v>
      </c>
      <c r="BA985">
        <v>0</v>
      </c>
      <c r="BB985">
        <v>0</v>
      </c>
      <c r="BJ985" s="30">
        <v>46086.462500000001</v>
      </c>
      <c r="BK985" s="30">
        <v>46086.493750000001</v>
      </c>
      <c r="BL985" t="s">
        <v>1259</v>
      </c>
      <c r="BM985" t="s">
        <v>1259</v>
      </c>
      <c r="BO985" t="s">
        <v>1265</v>
      </c>
    </row>
    <row r="986" spans="1:67" x14ac:dyDescent="0.25">
      <c r="A986" t="s">
        <v>1248</v>
      </c>
      <c r="B986">
        <v>360982</v>
      </c>
      <c r="C986">
        <v>405</v>
      </c>
      <c r="D986">
        <v>32368</v>
      </c>
      <c r="E986">
        <v>1117</v>
      </c>
      <c r="F986">
        <v>0</v>
      </c>
      <c r="G986" t="s">
        <v>1265</v>
      </c>
      <c r="H986">
        <v>1</v>
      </c>
      <c r="I986" t="s">
        <v>1265</v>
      </c>
      <c r="J986" t="s">
        <v>1265</v>
      </c>
      <c r="K986" t="s">
        <v>3177</v>
      </c>
      <c r="L986" t="s">
        <v>3176</v>
      </c>
      <c r="M986" t="s">
        <v>3175</v>
      </c>
      <c r="N986" t="s">
        <v>3174</v>
      </c>
      <c r="O986" t="s">
        <v>3183</v>
      </c>
      <c r="P986" t="s">
        <v>3182</v>
      </c>
      <c r="R986">
        <v>4496</v>
      </c>
      <c r="S986">
        <v>4496</v>
      </c>
      <c r="T986">
        <v>80</v>
      </c>
      <c r="U986">
        <v>0</v>
      </c>
      <c r="V986">
        <v>0</v>
      </c>
      <c r="W986">
        <v>0</v>
      </c>
      <c r="X986">
        <v>80</v>
      </c>
      <c r="Y986">
        <v>0</v>
      </c>
      <c r="Z986">
        <v>0</v>
      </c>
      <c r="AA986">
        <v>0</v>
      </c>
      <c r="AE986" s="30">
        <v>46506.333333333336</v>
      </c>
      <c r="AF986" s="30">
        <v>46519.708333333336</v>
      </c>
      <c r="AH986" s="30">
        <v>45706.333333333336</v>
      </c>
      <c r="AI986" s="30">
        <v>45719.708333333336</v>
      </c>
      <c r="AJ986" s="30">
        <v>45706.333333333336</v>
      </c>
      <c r="AK986" s="30">
        <v>45719.708333333336</v>
      </c>
      <c r="AL986" s="30">
        <v>45706.333333333336</v>
      </c>
      <c r="AM986" s="30">
        <v>45719.708333333336</v>
      </c>
      <c r="AN986" s="30">
        <v>46506.333333333336</v>
      </c>
      <c r="AO986" s="30">
        <v>46519.708333333336</v>
      </c>
      <c r="AQ986" t="s">
        <v>3171</v>
      </c>
      <c r="AV986" t="s">
        <v>3181</v>
      </c>
      <c r="AW986" t="s">
        <v>3180</v>
      </c>
      <c r="AZ986" t="s">
        <v>1265</v>
      </c>
      <c r="BA986">
        <v>0</v>
      </c>
      <c r="BB986">
        <v>0</v>
      </c>
      <c r="BJ986" s="30">
        <v>46086.463888888888</v>
      </c>
      <c r="BK986" s="30">
        <v>46093.595138888886</v>
      </c>
      <c r="BL986" t="s">
        <v>1259</v>
      </c>
      <c r="BM986" t="s">
        <v>1259</v>
      </c>
      <c r="BO986" t="s">
        <v>1265</v>
      </c>
    </row>
    <row r="987" spans="1:67" x14ac:dyDescent="0.25">
      <c r="A987" t="s">
        <v>1248</v>
      </c>
      <c r="B987">
        <v>360983</v>
      </c>
      <c r="C987">
        <v>405</v>
      </c>
      <c r="D987">
        <v>32369</v>
      </c>
      <c r="E987">
        <v>1117</v>
      </c>
      <c r="F987">
        <v>0</v>
      </c>
      <c r="G987" t="s">
        <v>1265</v>
      </c>
      <c r="H987">
        <v>1</v>
      </c>
      <c r="I987" t="s">
        <v>1265</v>
      </c>
      <c r="J987" t="s">
        <v>1265</v>
      </c>
      <c r="K987" t="s">
        <v>3177</v>
      </c>
      <c r="L987" t="s">
        <v>3176</v>
      </c>
      <c r="M987" t="s">
        <v>3175</v>
      </c>
      <c r="N987" t="s">
        <v>3174</v>
      </c>
      <c r="O987" t="s">
        <v>3179</v>
      </c>
      <c r="P987" t="s">
        <v>3178</v>
      </c>
      <c r="R987">
        <v>4456</v>
      </c>
      <c r="S987">
        <v>0</v>
      </c>
      <c r="T987">
        <v>40</v>
      </c>
      <c r="U987">
        <v>0</v>
      </c>
      <c r="V987">
        <v>0</v>
      </c>
      <c r="W987">
        <v>0</v>
      </c>
      <c r="X987">
        <v>40</v>
      </c>
      <c r="Y987">
        <v>0</v>
      </c>
      <c r="Z987">
        <v>0</v>
      </c>
      <c r="AA987">
        <v>0</v>
      </c>
      <c r="AE987" s="30">
        <v>46499.333333333336</v>
      </c>
      <c r="AF987" s="30">
        <v>46505.708333333336</v>
      </c>
      <c r="AH987" s="30">
        <v>45706.333333333336</v>
      </c>
      <c r="AI987" s="30">
        <v>45712.708333333336</v>
      </c>
      <c r="AJ987" s="30">
        <v>45706.333333333336</v>
      </c>
      <c r="AK987" s="30">
        <v>45712.708333333336</v>
      </c>
      <c r="AL987" s="30">
        <v>45706.333333333336</v>
      </c>
      <c r="AM987" s="30">
        <v>45712.708333333336</v>
      </c>
      <c r="AN987" s="30">
        <v>46499.333333333336</v>
      </c>
      <c r="AO987" s="30">
        <v>46505.708333333336</v>
      </c>
      <c r="AQ987" t="s">
        <v>3171</v>
      </c>
      <c r="AV987" t="s">
        <v>3169</v>
      </c>
      <c r="AZ987" t="s">
        <v>1265</v>
      </c>
      <c r="BA987">
        <v>0</v>
      </c>
      <c r="BB987">
        <v>0</v>
      </c>
      <c r="BJ987" s="30">
        <v>46086.474305555559</v>
      </c>
      <c r="BK987" s="30">
        <v>46086.493750000001</v>
      </c>
      <c r="BL987" t="s">
        <v>1259</v>
      </c>
      <c r="BM987" t="s">
        <v>1259</v>
      </c>
      <c r="BO987" t="s">
        <v>1265</v>
      </c>
    </row>
    <row r="988" spans="1:67" x14ac:dyDescent="0.25">
      <c r="A988" t="s">
        <v>1248</v>
      </c>
      <c r="B988">
        <v>360984</v>
      </c>
      <c r="C988">
        <v>405</v>
      </c>
      <c r="D988">
        <v>32369</v>
      </c>
      <c r="E988">
        <v>1117</v>
      </c>
      <c r="F988">
        <v>0</v>
      </c>
      <c r="G988" t="s">
        <v>1265</v>
      </c>
      <c r="H988">
        <v>1</v>
      </c>
      <c r="I988" t="s">
        <v>1265</v>
      </c>
      <c r="J988" t="s">
        <v>1265</v>
      </c>
      <c r="K988" t="s">
        <v>3177</v>
      </c>
      <c r="L988" t="s">
        <v>3176</v>
      </c>
      <c r="M988" t="s">
        <v>3175</v>
      </c>
      <c r="N988" t="s">
        <v>3174</v>
      </c>
      <c r="O988" t="s">
        <v>3173</v>
      </c>
      <c r="P988" t="s">
        <v>3172</v>
      </c>
      <c r="R988">
        <v>4456</v>
      </c>
      <c r="S988">
        <v>4456</v>
      </c>
      <c r="T988">
        <v>80</v>
      </c>
      <c r="U988">
        <v>0</v>
      </c>
      <c r="V988">
        <v>0</v>
      </c>
      <c r="W988">
        <v>0</v>
      </c>
      <c r="X988">
        <v>80</v>
      </c>
      <c r="Y988">
        <v>0</v>
      </c>
      <c r="Z988">
        <v>0</v>
      </c>
      <c r="AA988">
        <v>0</v>
      </c>
      <c r="AE988" s="30">
        <v>46506.333333333336</v>
      </c>
      <c r="AF988" s="30">
        <v>46519.708333333336</v>
      </c>
      <c r="AH988" s="30">
        <v>45713.333333333336</v>
      </c>
      <c r="AI988" s="30">
        <v>45726.708333333336</v>
      </c>
      <c r="AJ988" s="30">
        <v>45713.333333333336</v>
      </c>
      <c r="AK988" s="30">
        <v>45726.708333333336</v>
      </c>
      <c r="AL988" s="30">
        <v>45713.333333333336</v>
      </c>
      <c r="AM988" s="30">
        <v>45726.708333333336</v>
      </c>
      <c r="AN988" s="30">
        <v>46506.333333333336</v>
      </c>
      <c r="AO988" s="30">
        <v>46519.708333333336</v>
      </c>
      <c r="AQ988" t="s">
        <v>3171</v>
      </c>
      <c r="AV988" t="s">
        <v>3170</v>
      </c>
      <c r="AW988" t="s">
        <v>3169</v>
      </c>
      <c r="AZ988" t="s">
        <v>1265</v>
      </c>
      <c r="BA988">
        <v>0</v>
      </c>
      <c r="BB988">
        <v>0</v>
      </c>
      <c r="BJ988" s="30">
        <v>46086.474999999999</v>
      </c>
      <c r="BK988" s="30">
        <v>46093.595138888886</v>
      </c>
      <c r="BL988" t="s">
        <v>1259</v>
      </c>
      <c r="BM988" t="s">
        <v>1259</v>
      </c>
      <c r="BO988" t="s">
        <v>1265</v>
      </c>
    </row>
    <row r="989" spans="1:67" x14ac:dyDescent="0.25">
      <c r="A989" t="s">
        <v>1258</v>
      </c>
      <c r="B989" t="s">
        <v>3168</v>
      </c>
    </row>
    <row r="990" spans="1:67" x14ac:dyDescent="0.25">
      <c r="A990" t="s">
        <v>1256</v>
      </c>
      <c r="B990" t="s">
        <v>3167</v>
      </c>
      <c r="C990" t="s">
        <v>3132</v>
      </c>
      <c r="D990" t="s">
        <v>3130</v>
      </c>
      <c r="E990" t="s">
        <v>3166</v>
      </c>
      <c r="F990" t="s">
        <v>1253</v>
      </c>
      <c r="G990" t="s">
        <v>3135</v>
      </c>
      <c r="H990" t="s">
        <v>3165</v>
      </c>
      <c r="I990" t="s">
        <v>3164</v>
      </c>
      <c r="J990" t="s">
        <v>3163</v>
      </c>
      <c r="K990" t="s">
        <v>3162</v>
      </c>
      <c r="L990" t="s">
        <v>3119</v>
      </c>
      <c r="M990" t="s">
        <v>3115</v>
      </c>
      <c r="N990" t="s">
        <v>3118</v>
      </c>
      <c r="O990" t="s">
        <v>3161</v>
      </c>
      <c r="P990" t="s">
        <v>3160</v>
      </c>
      <c r="Q990" t="s">
        <v>3127</v>
      </c>
      <c r="R990" t="s">
        <v>3159</v>
      </c>
      <c r="S990" t="s">
        <v>3092</v>
      </c>
      <c r="T990" t="s">
        <v>3158</v>
      </c>
      <c r="U990" t="s">
        <v>3157</v>
      </c>
    </row>
    <row r="991" spans="1:67" x14ac:dyDescent="0.25">
      <c r="A991" t="s">
        <v>1248</v>
      </c>
      <c r="B991">
        <v>1818</v>
      </c>
      <c r="F991">
        <v>405</v>
      </c>
      <c r="G991">
        <v>119820</v>
      </c>
      <c r="H991" t="s">
        <v>3156</v>
      </c>
      <c r="K991" t="s">
        <v>1262</v>
      </c>
      <c r="L991" t="s">
        <v>1262</v>
      </c>
      <c r="M991" t="s">
        <v>1262</v>
      </c>
      <c r="N991" t="s">
        <v>1262</v>
      </c>
      <c r="O991" t="s">
        <v>3151</v>
      </c>
      <c r="P991" t="s">
        <v>1265</v>
      </c>
      <c r="Q991">
        <v>1</v>
      </c>
    </row>
    <row r="992" spans="1:67" x14ac:dyDescent="0.25">
      <c r="A992" t="s">
        <v>1248</v>
      </c>
      <c r="B992">
        <v>1823</v>
      </c>
      <c r="F992">
        <v>405</v>
      </c>
      <c r="G992">
        <v>119822</v>
      </c>
      <c r="H992" t="s">
        <v>3155</v>
      </c>
      <c r="K992" t="s">
        <v>1262</v>
      </c>
      <c r="L992" t="s">
        <v>1262</v>
      </c>
      <c r="M992" t="s">
        <v>1262</v>
      </c>
      <c r="N992" t="s">
        <v>1262</v>
      </c>
      <c r="O992" t="s">
        <v>3151</v>
      </c>
      <c r="P992" t="s">
        <v>1265</v>
      </c>
      <c r="Q992">
        <v>1</v>
      </c>
    </row>
    <row r="993" spans="1:17" x14ac:dyDescent="0.25">
      <c r="A993" t="s">
        <v>1248</v>
      </c>
      <c r="B993">
        <v>1842</v>
      </c>
      <c r="F993">
        <v>405</v>
      </c>
      <c r="G993">
        <v>120018</v>
      </c>
      <c r="H993" t="s">
        <v>3154</v>
      </c>
      <c r="K993" t="s">
        <v>1262</v>
      </c>
      <c r="L993" t="s">
        <v>1262</v>
      </c>
      <c r="M993" t="s">
        <v>1262</v>
      </c>
      <c r="N993" t="s">
        <v>1262</v>
      </c>
      <c r="O993" t="s">
        <v>3151</v>
      </c>
      <c r="P993" t="s">
        <v>1265</v>
      </c>
      <c r="Q993">
        <v>1</v>
      </c>
    </row>
    <row r="994" spans="1:17" x14ac:dyDescent="0.25">
      <c r="A994" t="s">
        <v>1248</v>
      </c>
      <c r="B994">
        <v>1843</v>
      </c>
      <c r="F994">
        <v>405</v>
      </c>
      <c r="G994">
        <v>119808</v>
      </c>
      <c r="H994" t="s">
        <v>3153</v>
      </c>
      <c r="K994" t="s">
        <v>1262</v>
      </c>
      <c r="L994" t="s">
        <v>1262</v>
      </c>
      <c r="M994" t="s">
        <v>1262</v>
      </c>
      <c r="N994" t="s">
        <v>1262</v>
      </c>
      <c r="O994" t="s">
        <v>3151</v>
      </c>
      <c r="P994" t="s">
        <v>1265</v>
      </c>
      <c r="Q994">
        <v>1</v>
      </c>
    </row>
    <row r="995" spans="1:17" x14ac:dyDescent="0.25">
      <c r="A995" t="s">
        <v>1248</v>
      </c>
      <c r="B995">
        <v>1844</v>
      </c>
      <c r="F995">
        <v>405</v>
      </c>
      <c r="G995">
        <v>119809</v>
      </c>
      <c r="H995" t="s">
        <v>3152</v>
      </c>
      <c r="K995" t="s">
        <v>1262</v>
      </c>
      <c r="L995" t="s">
        <v>1262</v>
      </c>
      <c r="M995" t="s">
        <v>1262</v>
      </c>
      <c r="N995" t="s">
        <v>1262</v>
      </c>
      <c r="O995" t="s">
        <v>3151</v>
      </c>
      <c r="P995" t="s">
        <v>1265</v>
      </c>
      <c r="Q995">
        <v>1</v>
      </c>
    </row>
    <row r="996" spans="1:17" x14ac:dyDescent="0.25">
      <c r="A996" t="s">
        <v>1258</v>
      </c>
      <c r="B996" t="s">
        <v>3150</v>
      </c>
    </row>
    <row r="997" spans="1:17" x14ac:dyDescent="0.25">
      <c r="A997" t="s">
        <v>1256</v>
      </c>
      <c r="B997" t="s">
        <v>3149</v>
      </c>
      <c r="C997" t="s">
        <v>3135</v>
      </c>
      <c r="D997" t="s">
        <v>3148</v>
      </c>
      <c r="E997" t="s">
        <v>1253</v>
      </c>
      <c r="F997" t="s">
        <v>3147</v>
      </c>
      <c r="G997" t="s">
        <v>3146</v>
      </c>
      <c r="H997" t="s">
        <v>3145</v>
      </c>
      <c r="I997" t="s">
        <v>3144</v>
      </c>
      <c r="J997" t="s">
        <v>3143</v>
      </c>
      <c r="K997" t="s">
        <v>3142</v>
      </c>
      <c r="L997" t="s">
        <v>3141</v>
      </c>
    </row>
    <row r="998" spans="1:17" x14ac:dyDescent="0.25">
      <c r="A998" t="s">
        <v>1248</v>
      </c>
      <c r="B998">
        <v>91611</v>
      </c>
      <c r="C998">
        <v>119809</v>
      </c>
      <c r="D998">
        <v>119808</v>
      </c>
      <c r="E998">
        <v>405</v>
      </c>
      <c r="F998">
        <v>405</v>
      </c>
      <c r="G998" t="s">
        <v>3138</v>
      </c>
      <c r="H998">
        <v>0</v>
      </c>
      <c r="K998" s="30">
        <v>45614.333333333336</v>
      </c>
      <c r="L998" s="30">
        <v>45614.333333333336</v>
      </c>
    </row>
    <row r="999" spans="1:17" x14ac:dyDescent="0.25">
      <c r="A999" t="s">
        <v>1248</v>
      </c>
      <c r="B999">
        <v>91612</v>
      </c>
      <c r="C999">
        <v>119791</v>
      </c>
      <c r="D999">
        <v>119809</v>
      </c>
      <c r="E999">
        <v>405</v>
      </c>
      <c r="F999">
        <v>405</v>
      </c>
      <c r="G999" t="s">
        <v>3138</v>
      </c>
      <c r="H999">
        <v>0</v>
      </c>
      <c r="K999" s="30">
        <v>45614.333333333336</v>
      </c>
      <c r="L999" s="30">
        <v>45614.333333333336</v>
      </c>
    </row>
    <row r="1000" spans="1:17" x14ac:dyDescent="0.25">
      <c r="A1000" t="s">
        <v>1248</v>
      </c>
      <c r="B1000">
        <v>91613</v>
      </c>
      <c r="C1000">
        <v>119791</v>
      </c>
      <c r="D1000">
        <v>119820</v>
      </c>
      <c r="E1000">
        <v>405</v>
      </c>
      <c r="F1000">
        <v>405</v>
      </c>
      <c r="G1000" t="s">
        <v>3138</v>
      </c>
      <c r="H1000">
        <v>0</v>
      </c>
      <c r="K1000" s="30">
        <v>45614.333333333336</v>
      </c>
      <c r="L1000" s="30">
        <v>45614.333333333336</v>
      </c>
    </row>
    <row r="1001" spans="1:17" x14ac:dyDescent="0.25">
      <c r="A1001" t="s">
        <v>1248</v>
      </c>
      <c r="B1001">
        <v>91614</v>
      </c>
      <c r="C1001">
        <v>119792</v>
      </c>
      <c r="D1001">
        <v>119791</v>
      </c>
      <c r="E1001">
        <v>405</v>
      </c>
      <c r="F1001">
        <v>405</v>
      </c>
      <c r="G1001" t="s">
        <v>3140</v>
      </c>
      <c r="H1001">
        <v>48</v>
      </c>
      <c r="K1001" s="30">
        <v>45621.708333333336</v>
      </c>
      <c r="L1001" s="30">
        <v>46267.333333333336</v>
      </c>
    </row>
    <row r="1002" spans="1:17" x14ac:dyDescent="0.25">
      <c r="A1002" t="s">
        <v>1248</v>
      </c>
      <c r="B1002">
        <v>91615</v>
      </c>
      <c r="C1002">
        <v>119793</v>
      </c>
      <c r="D1002">
        <v>119792</v>
      </c>
      <c r="E1002">
        <v>405</v>
      </c>
      <c r="F1002">
        <v>405</v>
      </c>
      <c r="G1002" t="s">
        <v>3138</v>
      </c>
      <c r="H1002">
        <v>0</v>
      </c>
      <c r="K1002" s="30">
        <v>45649.708333333336</v>
      </c>
      <c r="L1002" s="30">
        <v>46345.333333333336</v>
      </c>
    </row>
    <row r="1003" spans="1:17" x14ac:dyDescent="0.25">
      <c r="A1003" t="s">
        <v>1248</v>
      </c>
      <c r="B1003">
        <v>91616</v>
      </c>
      <c r="C1003">
        <v>119794</v>
      </c>
      <c r="D1003">
        <v>119793</v>
      </c>
      <c r="E1003">
        <v>405</v>
      </c>
      <c r="F1003">
        <v>405</v>
      </c>
      <c r="G1003" t="s">
        <v>3140</v>
      </c>
      <c r="H1003">
        <v>160</v>
      </c>
      <c r="K1003" s="30">
        <v>45677.708333333336</v>
      </c>
      <c r="L1003" s="30">
        <v>46296.333333333336</v>
      </c>
    </row>
    <row r="1004" spans="1:17" x14ac:dyDescent="0.25">
      <c r="A1004" t="s">
        <v>1248</v>
      </c>
      <c r="B1004">
        <v>91618</v>
      </c>
      <c r="C1004">
        <v>119796</v>
      </c>
      <c r="D1004">
        <v>119795</v>
      </c>
      <c r="E1004">
        <v>405</v>
      </c>
      <c r="F1004">
        <v>405</v>
      </c>
      <c r="G1004" t="s">
        <v>3138</v>
      </c>
      <c r="H1004">
        <v>0</v>
      </c>
      <c r="K1004" s="30">
        <v>45800.708333333336</v>
      </c>
      <c r="L1004" s="30">
        <v>45803.333333333336</v>
      </c>
    </row>
    <row r="1005" spans="1:17" x14ac:dyDescent="0.25">
      <c r="A1005" t="s">
        <v>1248</v>
      </c>
      <c r="B1005">
        <v>91619</v>
      </c>
      <c r="C1005">
        <v>119797</v>
      </c>
      <c r="D1005">
        <v>119796</v>
      </c>
      <c r="E1005">
        <v>405</v>
      </c>
      <c r="F1005">
        <v>405</v>
      </c>
      <c r="G1005" t="s">
        <v>3138</v>
      </c>
      <c r="H1005">
        <v>0</v>
      </c>
      <c r="K1005" s="30">
        <v>45805.708333333336</v>
      </c>
      <c r="L1005" s="30">
        <v>45806.333333333336</v>
      </c>
    </row>
    <row r="1006" spans="1:17" x14ac:dyDescent="0.25">
      <c r="A1006" t="s">
        <v>1248</v>
      </c>
      <c r="B1006">
        <v>91620</v>
      </c>
      <c r="C1006">
        <v>119798</v>
      </c>
      <c r="D1006">
        <v>119797</v>
      </c>
      <c r="E1006">
        <v>405</v>
      </c>
      <c r="F1006">
        <v>405</v>
      </c>
      <c r="G1006" t="s">
        <v>3138</v>
      </c>
      <c r="H1006">
        <v>0</v>
      </c>
      <c r="K1006" s="30">
        <v>45826.708333333336</v>
      </c>
      <c r="L1006" s="30">
        <v>45827.333333333336</v>
      </c>
    </row>
    <row r="1007" spans="1:17" x14ac:dyDescent="0.25">
      <c r="A1007" t="s">
        <v>1248</v>
      </c>
      <c r="B1007">
        <v>91621</v>
      </c>
      <c r="C1007">
        <v>119821</v>
      </c>
      <c r="D1007">
        <v>119798</v>
      </c>
      <c r="E1007">
        <v>405</v>
      </c>
      <c r="F1007">
        <v>405</v>
      </c>
      <c r="G1007" t="s">
        <v>3138</v>
      </c>
      <c r="H1007">
        <v>0</v>
      </c>
      <c r="K1007" s="30">
        <v>45842.708333333336</v>
      </c>
      <c r="L1007" s="30">
        <v>45845.333333333336</v>
      </c>
    </row>
    <row r="1008" spans="1:17" x14ac:dyDescent="0.25">
      <c r="A1008" t="s">
        <v>1248</v>
      </c>
      <c r="B1008">
        <v>91622</v>
      </c>
      <c r="C1008">
        <v>119799</v>
      </c>
      <c r="D1008">
        <v>119804</v>
      </c>
      <c r="E1008">
        <v>405</v>
      </c>
      <c r="F1008">
        <v>405</v>
      </c>
      <c r="G1008" t="s">
        <v>3140</v>
      </c>
      <c r="H1008">
        <v>0</v>
      </c>
      <c r="K1008" s="30">
        <v>45834.333333333336</v>
      </c>
      <c r="L1008" s="30">
        <v>45845.333333333336</v>
      </c>
    </row>
    <row r="1009" spans="1:12" x14ac:dyDescent="0.25">
      <c r="A1009" t="s">
        <v>1248</v>
      </c>
      <c r="B1009">
        <v>91623</v>
      </c>
      <c r="C1009">
        <v>119800</v>
      </c>
      <c r="D1009">
        <v>119799</v>
      </c>
      <c r="E1009">
        <v>405</v>
      </c>
      <c r="F1009">
        <v>405</v>
      </c>
      <c r="G1009" t="s">
        <v>3138</v>
      </c>
      <c r="H1009">
        <v>0</v>
      </c>
      <c r="K1009" s="30">
        <v>45875.708333333336</v>
      </c>
      <c r="L1009" s="30">
        <v>46302.333333333336</v>
      </c>
    </row>
    <row r="1010" spans="1:12" x14ac:dyDescent="0.25">
      <c r="A1010" t="s">
        <v>1248</v>
      </c>
      <c r="B1010">
        <v>91624</v>
      </c>
      <c r="C1010">
        <v>119801</v>
      </c>
      <c r="D1010">
        <v>119800</v>
      </c>
      <c r="E1010">
        <v>405</v>
      </c>
      <c r="F1010">
        <v>405</v>
      </c>
      <c r="G1010" t="s">
        <v>3138</v>
      </c>
      <c r="H1010">
        <v>0</v>
      </c>
      <c r="K1010" s="30">
        <v>45889.708333333336</v>
      </c>
      <c r="L1010" s="30">
        <v>46462.333333333336</v>
      </c>
    </row>
    <row r="1011" spans="1:12" x14ac:dyDescent="0.25">
      <c r="A1011" t="s">
        <v>1248</v>
      </c>
      <c r="B1011">
        <v>91625</v>
      </c>
      <c r="C1011">
        <v>119802</v>
      </c>
      <c r="D1011">
        <v>119848</v>
      </c>
      <c r="E1011">
        <v>405</v>
      </c>
      <c r="F1011">
        <v>405</v>
      </c>
      <c r="G1011" t="s">
        <v>3140</v>
      </c>
      <c r="H1011">
        <v>40</v>
      </c>
      <c r="K1011" s="30">
        <v>45796.708333333336</v>
      </c>
      <c r="L1011" s="30">
        <v>45810.333333333336</v>
      </c>
    </row>
    <row r="1012" spans="1:12" x14ac:dyDescent="0.25">
      <c r="A1012" t="s">
        <v>1248</v>
      </c>
      <c r="B1012">
        <v>91626</v>
      </c>
      <c r="C1012">
        <v>119803</v>
      </c>
      <c r="D1012">
        <v>119802</v>
      </c>
      <c r="E1012">
        <v>405</v>
      </c>
      <c r="F1012">
        <v>405</v>
      </c>
      <c r="G1012" t="s">
        <v>3138</v>
      </c>
      <c r="H1012">
        <v>0</v>
      </c>
      <c r="K1012" s="30">
        <v>45824.708333333336</v>
      </c>
      <c r="L1012" s="30">
        <v>45848.333333333336</v>
      </c>
    </row>
    <row r="1013" spans="1:12" x14ac:dyDescent="0.25">
      <c r="A1013" t="s">
        <v>1248</v>
      </c>
      <c r="B1013">
        <v>91627</v>
      </c>
      <c r="C1013">
        <v>119804</v>
      </c>
      <c r="D1013">
        <v>119803</v>
      </c>
      <c r="E1013">
        <v>405</v>
      </c>
      <c r="F1013">
        <v>405</v>
      </c>
      <c r="G1013" t="s">
        <v>3138</v>
      </c>
      <c r="H1013">
        <v>0</v>
      </c>
      <c r="K1013" s="30">
        <v>45833.708333333336</v>
      </c>
      <c r="L1013" s="30">
        <v>45859.333333333336</v>
      </c>
    </row>
    <row r="1014" spans="1:12" x14ac:dyDescent="0.25">
      <c r="A1014" t="s">
        <v>1248</v>
      </c>
      <c r="B1014">
        <v>91628</v>
      </c>
      <c r="C1014">
        <v>119804</v>
      </c>
      <c r="D1014">
        <v>119967</v>
      </c>
      <c r="E1014">
        <v>405</v>
      </c>
      <c r="F1014">
        <v>405</v>
      </c>
      <c r="G1014" t="s">
        <v>3138</v>
      </c>
      <c r="H1014">
        <v>0</v>
      </c>
      <c r="K1014" s="30">
        <v>45748.708333333336</v>
      </c>
      <c r="L1014" s="30">
        <v>45859.333333333336</v>
      </c>
    </row>
    <row r="1015" spans="1:12" x14ac:dyDescent="0.25">
      <c r="A1015" t="s">
        <v>1248</v>
      </c>
      <c r="B1015">
        <v>91630</v>
      </c>
      <c r="C1015">
        <v>119805</v>
      </c>
      <c r="D1015">
        <v>119804</v>
      </c>
      <c r="E1015">
        <v>405</v>
      </c>
      <c r="F1015">
        <v>405</v>
      </c>
      <c r="G1015" t="s">
        <v>3138</v>
      </c>
      <c r="H1015">
        <v>0</v>
      </c>
      <c r="K1015" s="30">
        <v>45847.708333333336</v>
      </c>
      <c r="L1015" s="30">
        <v>46491.333333333336</v>
      </c>
    </row>
    <row r="1016" spans="1:12" x14ac:dyDescent="0.25">
      <c r="A1016" t="s">
        <v>1248</v>
      </c>
      <c r="B1016">
        <v>91631</v>
      </c>
      <c r="C1016">
        <v>119806</v>
      </c>
      <c r="D1016">
        <v>119805</v>
      </c>
      <c r="E1016">
        <v>405</v>
      </c>
      <c r="F1016">
        <v>405</v>
      </c>
      <c r="G1016" t="s">
        <v>3138</v>
      </c>
      <c r="H1016">
        <v>0</v>
      </c>
      <c r="K1016" s="30">
        <v>45861.708333333336</v>
      </c>
      <c r="L1016" s="30">
        <v>46505.333333333336</v>
      </c>
    </row>
    <row r="1017" spans="1:12" x14ac:dyDescent="0.25">
      <c r="A1017" t="s">
        <v>1248</v>
      </c>
      <c r="B1017">
        <v>91632</v>
      </c>
      <c r="C1017">
        <v>119807</v>
      </c>
      <c r="D1017">
        <v>119806</v>
      </c>
      <c r="E1017">
        <v>405</v>
      </c>
      <c r="F1017">
        <v>405</v>
      </c>
      <c r="G1017" t="s">
        <v>3138</v>
      </c>
      <c r="H1017">
        <v>0</v>
      </c>
      <c r="K1017" s="30">
        <v>45866.708333333336</v>
      </c>
      <c r="L1017" s="30">
        <v>46510.333333333336</v>
      </c>
    </row>
    <row r="1018" spans="1:12" x14ac:dyDescent="0.25">
      <c r="A1018" t="s">
        <v>1248</v>
      </c>
      <c r="B1018">
        <v>91634</v>
      </c>
      <c r="C1018">
        <v>119924</v>
      </c>
      <c r="D1018">
        <v>120018</v>
      </c>
      <c r="E1018">
        <v>405</v>
      </c>
      <c r="F1018">
        <v>405</v>
      </c>
      <c r="G1018" t="s">
        <v>3138</v>
      </c>
      <c r="H1018">
        <v>40</v>
      </c>
      <c r="K1018" s="30">
        <v>45618.708333333336</v>
      </c>
      <c r="L1018" s="30">
        <v>45680.333333333336</v>
      </c>
    </row>
    <row r="1019" spans="1:12" x14ac:dyDescent="0.25">
      <c r="A1019" t="s">
        <v>1248</v>
      </c>
      <c r="B1019">
        <v>91635</v>
      </c>
      <c r="C1019">
        <v>119924</v>
      </c>
      <c r="D1019">
        <v>119923</v>
      </c>
      <c r="E1019">
        <v>405</v>
      </c>
      <c r="F1019">
        <v>405</v>
      </c>
      <c r="G1019" t="s">
        <v>3138</v>
      </c>
      <c r="H1019">
        <v>0</v>
      </c>
      <c r="K1019" s="30">
        <v>45686.708333333336</v>
      </c>
      <c r="L1019" s="30">
        <v>45687.333333333336</v>
      </c>
    </row>
    <row r="1020" spans="1:12" x14ac:dyDescent="0.25">
      <c r="A1020" t="s">
        <v>1248</v>
      </c>
      <c r="B1020">
        <v>91636</v>
      </c>
      <c r="C1020">
        <v>120017</v>
      </c>
      <c r="D1020">
        <v>119924</v>
      </c>
      <c r="E1020">
        <v>405</v>
      </c>
      <c r="F1020">
        <v>405</v>
      </c>
      <c r="G1020" t="s">
        <v>3140</v>
      </c>
      <c r="H1020">
        <v>0</v>
      </c>
      <c r="K1020" s="30">
        <v>45687.333333333336</v>
      </c>
      <c r="L1020" s="30">
        <v>45673.333333333336</v>
      </c>
    </row>
    <row r="1021" spans="1:12" x14ac:dyDescent="0.25">
      <c r="A1021" t="s">
        <v>1248</v>
      </c>
      <c r="B1021">
        <v>91637</v>
      </c>
      <c r="C1021">
        <v>119925</v>
      </c>
      <c r="D1021">
        <v>120017</v>
      </c>
      <c r="E1021">
        <v>405</v>
      </c>
      <c r="F1021">
        <v>405</v>
      </c>
      <c r="G1021" t="s">
        <v>3140</v>
      </c>
      <c r="H1021">
        <v>80</v>
      </c>
      <c r="K1021" s="30">
        <v>45700.708333333336</v>
      </c>
      <c r="L1021" s="30">
        <v>45631.333333333336</v>
      </c>
    </row>
    <row r="1022" spans="1:12" x14ac:dyDescent="0.25">
      <c r="A1022" t="s">
        <v>1248</v>
      </c>
      <c r="B1022">
        <v>91638</v>
      </c>
      <c r="C1022">
        <v>119926</v>
      </c>
      <c r="D1022">
        <v>119925</v>
      </c>
      <c r="E1022">
        <v>405</v>
      </c>
      <c r="F1022">
        <v>405</v>
      </c>
      <c r="G1022" t="s">
        <v>3138</v>
      </c>
      <c r="H1022">
        <v>0</v>
      </c>
      <c r="K1022" s="30">
        <v>45705.708333333336</v>
      </c>
      <c r="L1022" s="30">
        <v>45706.333333333336</v>
      </c>
    </row>
    <row r="1023" spans="1:12" x14ac:dyDescent="0.25">
      <c r="A1023" t="s">
        <v>1248</v>
      </c>
      <c r="B1023">
        <v>91639</v>
      </c>
      <c r="C1023">
        <v>119927</v>
      </c>
      <c r="D1023">
        <v>119926</v>
      </c>
      <c r="E1023">
        <v>405</v>
      </c>
      <c r="F1023">
        <v>405</v>
      </c>
      <c r="G1023" t="s">
        <v>3138</v>
      </c>
      <c r="H1023">
        <v>0</v>
      </c>
      <c r="K1023" s="30">
        <v>45708.708333333336</v>
      </c>
      <c r="L1023" s="30">
        <v>45709.333333333336</v>
      </c>
    </row>
    <row r="1024" spans="1:12" x14ac:dyDescent="0.25">
      <c r="A1024" t="s">
        <v>1248</v>
      </c>
      <c r="B1024">
        <v>91640</v>
      </c>
      <c r="C1024">
        <v>119928</v>
      </c>
      <c r="D1024">
        <v>119927</v>
      </c>
      <c r="E1024">
        <v>405</v>
      </c>
      <c r="F1024">
        <v>405</v>
      </c>
      <c r="G1024" t="s">
        <v>3138</v>
      </c>
      <c r="H1024">
        <v>0</v>
      </c>
      <c r="K1024" s="30">
        <v>45713.708333333336</v>
      </c>
      <c r="L1024" s="30">
        <v>45714.333333333336</v>
      </c>
    </row>
    <row r="1025" spans="1:12" x14ac:dyDescent="0.25">
      <c r="A1025" t="s">
        <v>1248</v>
      </c>
      <c r="B1025">
        <v>91641</v>
      </c>
      <c r="C1025">
        <v>119929</v>
      </c>
      <c r="D1025">
        <v>119928</v>
      </c>
      <c r="E1025">
        <v>405</v>
      </c>
      <c r="F1025">
        <v>405</v>
      </c>
      <c r="G1025" t="s">
        <v>3138</v>
      </c>
      <c r="H1025">
        <v>0</v>
      </c>
      <c r="K1025" s="30">
        <v>45716.708333333336</v>
      </c>
      <c r="L1025" s="30">
        <v>45719.333333333336</v>
      </c>
    </row>
    <row r="1026" spans="1:12" x14ac:dyDescent="0.25">
      <c r="A1026" t="s">
        <v>1248</v>
      </c>
      <c r="B1026">
        <v>91642</v>
      </c>
      <c r="C1026">
        <v>119930</v>
      </c>
      <c r="D1026">
        <v>119929</v>
      </c>
      <c r="E1026">
        <v>405</v>
      </c>
      <c r="F1026">
        <v>405</v>
      </c>
      <c r="G1026" t="s">
        <v>3138</v>
      </c>
      <c r="H1026">
        <v>0</v>
      </c>
      <c r="K1026" s="30">
        <v>45721.708333333336</v>
      </c>
      <c r="L1026" s="30">
        <v>45722.333333333336</v>
      </c>
    </row>
    <row r="1027" spans="1:12" x14ac:dyDescent="0.25">
      <c r="A1027" t="s">
        <v>1248</v>
      </c>
      <c r="B1027">
        <v>91643</v>
      </c>
      <c r="C1027">
        <v>119931</v>
      </c>
      <c r="D1027">
        <v>119930</v>
      </c>
      <c r="E1027">
        <v>405</v>
      </c>
      <c r="F1027">
        <v>405</v>
      </c>
      <c r="G1027" t="s">
        <v>3138</v>
      </c>
      <c r="H1027">
        <v>0</v>
      </c>
      <c r="K1027" s="30">
        <v>45726.708333333336</v>
      </c>
      <c r="L1027" s="30">
        <v>45727.333333333336</v>
      </c>
    </row>
    <row r="1028" spans="1:12" x14ac:dyDescent="0.25">
      <c r="A1028" t="s">
        <v>1248</v>
      </c>
      <c r="B1028">
        <v>91644</v>
      </c>
      <c r="C1028">
        <v>119932</v>
      </c>
      <c r="D1028">
        <v>119931</v>
      </c>
      <c r="E1028">
        <v>405</v>
      </c>
      <c r="F1028">
        <v>405</v>
      </c>
      <c r="G1028" t="s">
        <v>3138</v>
      </c>
      <c r="H1028">
        <v>0</v>
      </c>
      <c r="K1028" s="30">
        <v>45729.708333333336</v>
      </c>
      <c r="L1028" s="30">
        <v>45730.333333333336</v>
      </c>
    </row>
    <row r="1029" spans="1:12" x14ac:dyDescent="0.25">
      <c r="A1029" t="s">
        <v>1248</v>
      </c>
      <c r="B1029">
        <v>91645</v>
      </c>
      <c r="C1029">
        <v>119933</v>
      </c>
      <c r="D1029">
        <v>119932</v>
      </c>
      <c r="E1029">
        <v>405</v>
      </c>
      <c r="F1029">
        <v>405</v>
      </c>
      <c r="G1029" t="s">
        <v>3138</v>
      </c>
      <c r="H1029">
        <v>0</v>
      </c>
      <c r="K1029" s="30">
        <v>45734.708333333336</v>
      </c>
      <c r="L1029" s="30">
        <v>45735.333333333336</v>
      </c>
    </row>
    <row r="1030" spans="1:12" x14ac:dyDescent="0.25">
      <c r="A1030" t="s">
        <v>1248</v>
      </c>
      <c r="B1030">
        <v>91646</v>
      </c>
      <c r="C1030">
        <v>119934</v>
      </c>
      <c r="D1030">
        <v>119933</v>
      </c>
      <c r="E1030">
        <v>405</v>
      </c>
      <c r="F1030">
        <v>405</v>
      </c>
      <c r="G1030" t="s">
        <v>3138</v>
      </c>
      <c r="H1030">
        <v>0</v>
      </c>
      <c r="K1030" s="30">
        <v>45737.708333333336</v>
      </c>
      <c r="L1030" s="30">
        <v>45740.333333333336</v>
      </c>
    </row>
    <row r="1031" spans="1:12" x14ac:dyDescent="0.25">
      <c r="A1031" t="s">
        <v>1248</v>
      </c>
      <c r="B1031">
        <v>91647</v>
      </c>
      <c r="C1031">
        <v>119935</v>
      </c>
      <c r="D1031">
        <v>119934</v>
      </c>
      <c r="E1031">
        <v>405</v>
      </c>
      <c r="F1031">
        <v>405</v>
      </c>
      <c r="G1031" t="s">
        <v>3138</v>
      </c>
      <c r="H1031">
        <v>0</v>
      </c>
      <c r="K1031" s="30">
        <v>45742.708333333336</v>
      </c>
      <c r="L1031" s="30">
        <v>45743.333333333336</v>
      </c>
    </row>
    <row r="1032" spans="1:12" x14ac:dyDescent="0.25">
      <c r="A1032" t="s">
        <v>1248</v>
      </c>
      <c r="B1032">
        <v>91648</v>
      </c>
      <c r="C1032">
        <v>119936</v>
      </c>
      <c r="D1032">
        <v>119935</v>
      </c>
      <c r="E1032">
        <v>405</v>
      </c>
      <c r="F1032">
        <v>405</v>
      </c>
      <c r="G1032" t="s">
        <v>3138</v>
      </c>
      <c r="H1032">
        <v>0</v>
      </c>
      <c r="K1032" s="30">
        <v>45747.708333333336</v>
      </c>
      <c r="L1032" s="30">
        <v>45748.333333333336</v>
      </c>
    </row>
    <row r="1033" spans="1:12" x14ac:dyDescent="0.25">
      <c r="A1033" t="s">
        <v>1248</v>
      </c>
      <c r="B1033">
        <v>91649</v>
      </c>
      <c r="C1033">
        <v>119937</v>
      </c>
      <c r="D1033">
        <v>119936</v>
      </c>
      <c r="E1033">
        <v>405</v>
      </c>
      <c r="F1033">
        <v>405</v>
      </c>
      <c r="G1033" t="s">
        <v>3138</v>
      </c>
      <c r="H1033">
        <v>0</v>
      </c>
      <c r="K1033" s="30">
        <v>45750.708333333336</v>
      </c>
      <c r="L1033" s="30">
        <v>45751.333333333336</v>
      </c>
    </row>
    <row r="1034" spans="1:12" x14ac:dyDescent="0.25">
      <c r="A1034" t="s">
        <v>1248</v>
      </c>
      <c r="B1034">
        <v>91650</v>
      </c>
      <c r="C1034">
        <v>119938</v>
      </c>
      <c r="D1034">
        <v>119937</v>
      </c>
      <c r="E1034">
        <v>405</v>
      </c>
      <c r="F1034">
        <v>405</v>
      </c>
      <c r="G1034" t="s">
        <v>3138</v>
      </c>
      <c r="H1034">
        <v>0</v>
      </c>
      <c r="K1034" s="30">
        <v>45755.708333333336</v>
      </c>
      <c r="L1034" s="30">
        <v>45756.333333333336</v>
      </c>
    </row>
    <row r="1035" spans="1:12" x14ac:dyDescent="0.25">
      <c r="A1035" t="s">
        <v>1248</v>
      </c>
      <c r="B1035">
        <v>91651</v>
      </c>
      <c r="C1035">
        <v>119939</v>
      </c>
      <c r="D1035">
        <v>119938</v>
      </c>
      <c r="E1035">
        <v>405</v>
      </c>
      <c r="F1035">
        <v>405</v>
      </c>
      <c r="G1035" t="s">
        <v>3138</v>
      </c>
      <c r="H1035">
        <v>0</v>
      </c>
      <c r="K1035" s="30">
        <v>45758.708333333336</v>
      </c>
      <c r="L1035" s="30">
        <v>45761.333333333336</v>
      </c>
    </row>
    <row r="1036" spans="1:12" x14ac:dyDescent="0.25">
      <c r="A1036" t="s">
        <v>1248</v>
      </c>
      <c r="B1036">
        <v>91652</v>
      </c>
      <c r="C1036">
        <v>119940</v>
      </c>
      <c r="D1036">
        <v>119939</v>
      </c>
      <c r="E1036">
        <v>405</v>
      </c>
      <c r="F1036">
        <v>405</v>
      </c>
      <c r="G1036" t="s">
        <v>3138</v>
      </c>
      <c r="H1036">
        <v>0</v>
      </c>
      <c r="K1036" s="30">
        <v>45763.708333333336</v>
      </c>
      <c r="L1036" s="30">
        <v>45764.333333333336</v>
      </c>
    </row>
    <row r="1037" spans="1:12" x14ac:dyDescent="0.25">
      <c r="A1037" t="s">
        <v>1248</v>
      </c>
      <c r="B1037">
        <v>91653</v>
      </c>
      <c r="C1037">
        <v>119941</v>
      </c>
      <c r="D1037">
        <v>119940</v>
      </c>
      <c r="E1037">
        <v>405</v>
      </c>
      <c r="F1037">
        <v>405</v>
      </c>
      <c r="G1037" t="s">
        <v>3138</v>
      </c>
      <c r="H1037">
        <v>0</v>
      </c>
      <c r="K1037" s="30">
        <v>45768.708333333336</v>
      </c>
      <c r="L1037" s="30">
        <v>45769.333333333336</v>
      </c>
    </row>
    <row r="1038" spans="1:12" x14ac:dyDescent="0.25">
      <c r="A1038" t="s">
        <v>1248</v>
      </c>
      <c r="B1038">
        <v>91654</v>
      </c>
      <c r="C1038">
        <v>119942</v>
      </c>
      <c r="D1038">
        <v>119941</v>
      </c>
      <c r="E1038">
        <v>405</v>
      </c>
      <c r="F1038">
        <v>405</v>
      </c>
      <c r="G1038" t="s">
        <v>3138</v>
      </c>
      <c r="H1038">
        <v>0</v>
      </c>
      <c r="K1038" s="30">
        <v>45771.708333333336</v>
      </c>
      <c r="L1038" s="30">
        <v>45772.333333333336</v>
      </c>
    </row>
    <row r="1039" spans="1:12" x14ac:dyDescent="0.25">
      <c r="A1039" t="s">
        <v>1248</v>
      </c>
      <c r="B1039">
        <v>91655</v>
      </c>
      <c r="C1039">
        <v>119943</v>
      </c>
      <c r="D1039">
        <v>119942</v>
      </c>
      <c r="E1039">
        <v>405</v>
      </c>
      <c r="F1039">
        <v>405</v>
      </c>
      <c r="G1039" t="s">
        <v>3138</v>
      </c>
      <c r="H1039">
        <v>0</v>
      </c>
      <c r="K1039" s="30">
        <v>45776.708333333336</v>
      </c>
      <c r="L1039" s="30">
        <v>45777.333333333336</v>
      </c>
    </row>
    <row r="1040" spans="1:12" x14ac:dyDescent="0.25">
      <c r="A1040" t="s">
        <v>1248</v>
      </c>
      <c r="B1040">
        <v>91656</v>
      </c>
      <c r="C1040">
        <v>119944</v>
      </c>
      <c r="D1040">
        <v>119943</v>
      </c>
      <c r="E1040">
        <v>405</v>
      </c>
      <c r="F1040">
        <v>405</v>
      </c>
      <c r="G1040" t="s">
        <v>3138</v>
      </c>
      <c r="H1040">
        <v>0</v>
      </c>
      <c r="K1040" s="30">
        <v>45779.708333333336</v>
      </c>
      <c r="L1040" s="30">
        <v>45805.333333333336</v>
      </c>
    </row>
    <row r="1041" spans="1:12" x14ac:dyDescent="0.25">
      <c r="A1041" t="s">
        <v>1248</v>
      </c>
      <c r="B1041">
        <v>91657</v>
      </c>
      <c r="C1041">
        <v>119945</v>
      </c>
      <c r="D1041">
        <v>119944</v>
      </c>
      <c r="E1041">
        <v>405</v>
      </c>
      <c r="F1041">
        <v>405</v>
      </c>
      <c r="G1041" t="s">
        <v>3138</v>
      </c>
      <c r="H1041">
        <v>0</v>
      </c>
      <c r="K1041" s="30">
        <v>45784.708333333336</v>
      </c>
      <c r="L1041" s="30">
        <v>45810.333333333336</v>
      </c>
    </row>
    <row r="1042" spans="1:12" x14ac:dyDescent="0.25">
      <c r="A1042" t="s">
        <v>1248</v>
      </c>
      <c r="B1042">
        <v>91658</v>
      </c>
      <c r="C1042">
        <v>120014</v>
      </c>
      <c r="D1042">
        <v>119927</v>
      </c>
      <c r="E1042">
        <v>405</v>
      </c>
      <c r="F1042">
        <v>405</v>
      </c>
      <c r="G1042" t="s">
        <v>3138</v>
      </c>
      <c r="H1042">
        <v>0</v>
      </c>
      <c r="K1042" s="30">
        <v>45713.708333333336</v>
      </c>
      <c r="L1042" s="30">
        <v>46331.333333333336</v>
      </c>
    </row>
    <row r="1043" spans="1:12" x14ac:dyDescent="0.25">
      <c r="A1043" t="s">
        <v>1248</v>
      </c>
      <c r="B1043">
        <v>91659</v>
      </c>
      <c r="C1043">
        <v>120015</v>
      </c>
      <c r="D1043">
        <v>120014</v>
      </c>
      <c r="E1043">
        <v>405</v>
      </c>
      <c r="F1043">
        <v>405</v>
      </c>
      <c r="G1043" t="s">
        <v>3140</v>
      </c>
      <c r="H1043">
        <v>160</v>
      </c>
      <c r="K1043" s="30">
        <v>45741.708333333336</v>
      </c>
      <c r="L1043" s="30">
        <v>46205.333333333336</v>
      </c>
    </row>
    <row r="1044" spans="1:12" x14ac:dyDescent="0.25">
      <c r="A1044" t="s">
        <v>1248</v>
      </c>
      <c r="B1044">
        <v>91660</v>
      </c>
      <c r="C1044">
        <v>120016</v>
      </c>
      <c r="D1044">
        <v>120015</v>
      </c>
      <c r="E1044">
        <v>405</v>
      </c>
      <c r="F1044">
        <v>405</v>
      </c>
      <c r="G1044" t="s">
        <v>3140</v>
      </c>
      <c r="H1044">
        <v>160</v>
      </c>
      <c r="K1044" s="30">
        <v>45769.708333333336</v>
      </c>
      <c r="L1044" s="30">
        <v>46233.333333333336</v>
      </c>
    </row>
    <row r="1045" spans="1:12" x14ac:dyDescent="0.25">
      <c r="A1045" t="s">
        <v>1248</v>
      </c>
      <c r="B1045">
        <v>91661</v>
      </c>
      <c r="C1045">
        <v>119810</v>
      </c>
      <c r="D1045">
        <v>119923</v>
      </c>
      <c r="E1045">
        <v>405</v>
      </c>
      <c r="F1045">
        <v>405</v>
      </c>
      <c r="G1045" t="s">
        <v>3138</v>
      </c>
      <c r="H1045">
        <v>0</v>
      </c>
      <c r="K1045" s="30">
        <v>45686.708333333336</v>
      </c>
      <c r="L1045" s="30">
        <v>45734.333333333336</v>
      </c>
    </row>
    <row r="1046" spans="1:12" x14ac:dyDescent="0.25">
      <c r="A1046" t="s">
        <v>1248</v>
      </c>
      <c r="B1046">
        <v>91663</v>
      </c>
      <c r="C1046">
        <v>119811</v>
      </c>
      <c r="D1046">
        <v>119924</v>
      </c>
      <c r="E1046">
        <v>405</v>
      </c>
      <c r="F1046">
        <v>405</v>
      </c>
      <c r="G1046" t="s">
        <v>3138</v>
      </c>
      <c r="H1046">
        <v>0</v>
      </c>
      <c r="K1046" s="30">
        <v>45700.708333333336</v>
      </c>
      <c r="L1046" s="30">
        <v>45754.333333333336</v>
      </c>
    </row>
    <row r="1047" spans="1:12" x14ac:dyDescent="0.25">
      <c r="A1047" t="s">
        <v>1248</v>
      </c>
      <c r="B1047">
        <v>91664</v>
      </c>
      <c r="C1047">
        <v>119811</v>
      </c>
      <c r="D1047">
        <v>119810</v>
      </c>
      <c r="E1047">
        <v>405</v>
      </c>
      <c r="F1047">
        <v>405</v>
      </c>
      <c r="G1047" t="s">
        <v>3138</v>
      </c>
      <c r="H1047">
        <v>0</v>
      </c>
      <c r="K1047" s="30">
        <v>45706.708333333336</v>
      </c>
      <c r="L1047" s="30">
        <v>45754.333333333336</v>
      </c>
    </row>
    <row r="1048" spans="1:12" x14ac:dyDescent="0.25">
      <c r="A1048" t="s">
        <v>1248</v>
      </c>
      <c r="B1048">
        <v>91665</v>
      </c>
      <c r="C1048">
        <v>120019</v>
      </c>
      <c r="D1048">
        <v>119811</v>
      </c>
      <c r="E1048">
        <v>405</v>
      </c>
      <c r="F1048">
        <v>405</v>
      </c>
      <c r="G1048" t="s">
        <v>3138</v>
      </c>
      <c r="H1048">
        <v>0</v>
      </c>
      <c r="K1048" s="30">
        <v>45720.708333333336</v>
      </c>
      <c r="L1048" s="30">
        <v>45768.333333333336</v>
      </c>
    </row>
    <row r="1049" spans="1:12" x14ac:dyDescent="0.25">
      <c r="A1049" t="s">
        <v>1248</v>
      </c>
      <c r="B1049">
        <v>91667</v>
      </c>
      <c r="C1049">
        <v>119848</v>
      </c>
      <c r="D1049">
        <v>119945</v>
      </c>
      <c r="E1049">
        <v>405</v>
      </c>
      <c r="F1049">
        <v>405</v>
      </c>
      <c r="G1049" t="s">
        <v>3138</v>
      </c>
      <c r="H1049">
        <v>0</v>
      </c>
      <c r="K1049" s="30">
        <v>45789.708333333336</v>
      </c>
      <c r="L1049" s="30">
        <v>45813.333333333336</v>
      </c>
    </row>
    <row r="1050" spans="1:12" x14ac:dyDescent="0.25">
      <c r="A1050" t="s">
        <v>1248</v>
      </c>
      <c r="B1050">
        <v>91668</v>
      </c>
      <c r="C1050">
        <v>119848</v>
      </c>
      <c r="D1050">
        <v>120019</v>
      </c>
      <c r="E1050">
        <v>405</v>
      </c>
      <c r="F1050">
        <v>405</v>
      </c>
      <c r="G1050" t="s">
        <v>3138</v>
      </c>
      <c r="H1050">
        <v>0</v>
      </c>
      <c r="K1050" s="30">
        <v>45765.708333333336</v>
      </c>
      <c r="L1050" s="30">
        <v>45813.333333333336</v>
      </c>
    </row>
    <row r="1051" spans="1:12" x14ac:dyDescent="0.25">
      <c r="A1051" t="s">
        <v>1248</v>
      </c>
      <c r="B1051">
        <v>91669</v>
      </c>
      <c r="C1051">
        <v>119849</v>
      </c>
      <c r="D1051">
        <v>119848</v>
      </c>
      <c r="E1051">
        <v>405</v>
      </c>
      <c r="F1051">
        <v>405</v>
      </c>
      <c r="G1051" t="s">
        <v>3138</v>
      </c>
      <c r="H1051">
        <v>0</v>
      </c>
      <c r="K1051" s="30">
        <v>45792.708333333336</v>
      </c>
      <c r="L1051" s="30">
        <v>45849.60833333333</v>
      </c>
    </row>
    <row r="1052" spans="1:12" x14ac:dyDescent="0.25">
      <c r="A1052" t="s">
        <v>1248</v>
      </c>
      <c r="B1052">
        <v>91670</v>
      </c>
      <c r="C1052">
        <v>119850</v>
      </c>
      <c r="D1052">
        <v>119849</v>
      </c>
      <c r="E1052">
        <v>405</v>
      </c>
      <c r="F1052">
        <v>405</v>
      </c>
      <c r="G1052" t="s">
        <v>3138</v>
      </c>
      <c r="H1052">
        <v>0</v>
      </c>
      <c r="K1052" s="30">
        <v>45797.708333333336</v>
      </c>
      <c r="L1052" s="30">
        <v>45854.60833333333</v>
      </c>
    </row>
    <row r="1053" spans="1:12" x14ac:dyDescent="0.25">
      <c r="A1053" t="s">
        <v>1248</v>
      </c>
      <c r="B1053">
        <v>91672</v>
      </c>
      <c r="C1053">
        <v>119852</v>
      </c>
      <c r="D1053">
        <v>119851</v>
      </c>
      <c r="E1053">
        <v>405</v>
      </c>
      <c r="F1053">
        <v>405</v>
      </c>
      <c r="G1053" t="s">
        <v>3138</v>
      </c>
      <c r="H1053">
        <v>0</v>
      </c>
      <c r="K1053" s="30">
        <v>45805.708333333336</v>
      </c>
      <c r="L1053" s="30">
        <v>46008.65</v>
      </c>
    </row>
    <row r="1054" spans="1:12" x14ac:dyDescent="0.25">
      <c r="A1054" t="s">
        <v>1248</v>
      </c>
      <c r="B1054">
        <v>91673</v>
      </c>
      <c r="C1054">
        <v>119853</v>
      </c>
      <c r="D1054">
        <v>119852</v>
      </c>
      <c r="E1054">
        <v>405</v>
      </c>
      <c r="F1054">
        <v>405</v>
      </c>
      <c r="G1054" t="s">
        <v>3138</v>
      </c>
      <c r="H1054">
        <v>0</v>
      </c>
      <c r="K1054" s="30">
        <v>45810.708333333336</v>
      </c>
      <c r="L1054" s="30">
        <v>46013.65</v>
      </c>
    </row>
    <row r="1055" spans="1:12" x14ac:dyDescent="0.25">
      <c r="A1055" t="s">
        <v>1248</v>
      </c>
      <c r="B1055">
        <v>91674</v>
      </c>
      <c r="C1055">
        <v>119854</v>
      </c>
      <c r="D1055">
        <v>119853</v>
      </c>
      <c r="E1055">
        <v>405</v>
      </c>
      <c r="F1055">
        <v>405</v>
      </c>
      <c r="G1055" t="s">
        <v>3138</v>
      </c>
      <c r="H1055">
        <v>0</v>
      </c>
      <c r="K1055" s="30">
        <v>45813.708333333336</v>
      </c>
      <c r="L1055" s="30">
        <v>46064.691666666666</v>
      </c>
    </row>
    <row r="1056" spans="1:12" x14ac:dyDescent="0.25">
      <c r="A1056" t="s">
        <v>1248</v>
      </c>
      <c r="B1056">
        <v>91675</v>
      </c>
      <c r="C1056">
        <v>119855</v>
      </c>
      <c r="D1056">
        <v>119854</v>
      </c>
      <c r="E1056">
        <v>405</v>
      </c>
      <c r="F1056">
        <v>405</v>
      </c>
      <c r="G1056" t="s">
        <v>3138</v>
      </c>
      <c r="H1056">
        <v>0</v>
      </c>
      <c r="K1056" s="30">
        <v>45818.708333333336</v>
      </c>
      <c r="L1056" s="30">
        <v>46080.691666666666</v>
      </c>
    </row>
    <row r="1057" spans="1:12" x14ac:dyDescent="0.25">
      <c r="A1057" t="s">
        <v>1248</v>
      </c>
      <c r="B1057">
        <v>91676</v>
      </c>
      <c r="C1057">
        <v>119856</v>
      </c>
      <c r="D1057">
        <v>119855</v>
      </c>
      <c r="E1057">
        <v>405</v>
      </c>
      <c r="F1057">
        <v>405</v>
      </c>
      <c r="G1057" t="s">
        <v>3138</v>
      </c>
      <c r="H1057">
        <v>0</v>
      </c>
      <c r="K1057" s="30">
        <v>45821.708333333336</v>
      </c>
      <c r="L1057" s="30">
        <v>46098.691666666666</v>
      </c>
    </row>
    <row r="1058" spans="1:12" x14ac:dyDescent="0.25">
      <c r="A1058" t="s">
        <v>1248</v>
      </c>
      <c r="B1058">
        <v>91677</v>
      </c>
      <c r="C1058">
        <v>119857</v>
      </c>
      <c r="D1058">
        <v>119856</v>
      </c>
      <c r="E1058">
        <v>405</v>
      </c>
      <c r="F1058">
        <v>405</v>
      </c>
      <c r="G1058" t="s">
        <v>3138</v>
      </c>
      <c r="H1058">
        <v>0</v>
      </c>
      <c r="K1058" s="30">
        <v>45826.708333333336</v>
      </c>
      <c r="L1058" s="30">
        <v>46106.691666666666</v>
      </c>
    </row>
    <row r="1059" spans="1:12" x14ac:dyDescent="0.25">
      <c r="A1059" t="s">
        <v>1248</v>
      </c>
      <c r="B1059">
        <v>91678</v>
      </c>
      <c r="C1059">
        <v>119858</v>
      </c>
      <c r="D1059">
        <v>119857</v>
      </c>
      <c r="E1059">
        <v>405</v>
      </c>
      <c r="F1059">
        <v>405</v>
      </c>
      <c r="G1059" t="s">
        <v>3138</v>
      </c>
      <c r="H1059">
        <v>0</v>
      </c>
      <c r="K1059" s="30">
        <v>45831.708333333336</v>
      </c>
      <c r="L1059" s="30">
        <v>46111.691666666666</v>
      </c>
    </row>
    <row r="1060" spans="1:12" x14ac:dyDescent="0.25">
      <c r="A1060" t="s">
        <v>1248</v>
      </c>
      <c r="B1060">
        <v>91679</v>
      </c>
      <c r="C1060">
        <v>119859</v>
      </c>
      <c r="D1060">
        <v>119858</v>
      </c>
      <c r="E1060">
        <v>405</v>
      </c>
      <c r="F1060">
        <v>405</v>
      </c>
      <c r="G1060" t="s">
        <v>3138</v>
      </c>
      <c r="H1060">
        <v>0</v>
      </c>
      <c r="K1060" s="30">
        <v>45834.708333333336</v>
      </c>
      <c r="L1060" s="30">
        <v>46114.691666666666</v>
      </c>
    </row>
    <row r="1061" spans="1:12" x14ac:dyDescent="0.25">
      <c r="A1061" t="s">
        <v>1248</v>
      </c>
      <c r="B1061">
        <v>91680</v>
      </c>
      <c r="C1061">
        <v>119860</v>
      </c>
      <c r="D1061">
        <v>119859</v>
      </c>
      <c r="E1061">
        <v>405</v>
      </c>
      <c r="F1061">
        <v>405</v>
      </c>
      <c r="G1061" t="s">
        <v>3138</v>
      </c>
      <c r="H1061">
        <v>0</v>
      </c>
      <c r="K1061" s="30">
        <v>45839.708333333336</v>
      </c>
      <c r="L1061" s="30">
        <v>46168.691666666666</v>
      </c>
    </row>
    <row r="1062" spans="1:12" x14ac:dyDescent="0.25">
      <c r="A1062" t="s">
        <v>1248</v>
      </c>
      <c r="B1062">
        <v>91681</v>
      </c>
      <c r="C1062">
        <v>119861</v>
      </c>
      <c r="D1062">
        <v>119860</v>
      </c>
      <c r="E1062">
        <v>405</v>
      </c>
      <c r="F1062">
        <v>405</v>
      </c>
      <c r="G1062" t="s">
        <v>3138</v>
      </c>
      <c r="H1062">
        <v>0</v>
      </c>
      <c r="K1062" s="30">
        <v>45842.708333333336</v>
      </c>
      <c r="L1062" s="30">
        <v>46185.691666666666</v>
      </c>
    </row>
    <row r="1063" spans="1:12" x14ac:dyDescent="0.25">
      <c r="A1063" t="s">
        <v>1248</v>
      </c>
      <c r="B1063">
        <v>91682</v>
      </c>
      <c r="C1063">
        <v>119862</v>
      </c>
      <c r="D1063">
        <v>119861</v>
      </c>
      <c r="E1063">
        <v>405</v>
      </c>
      <c r="F1063">
        <v>405</v>
      </c>
      <c r="G1063" t="s">
        <v>3138</v>
      </c>
      <c r="H1063">
        <v>0</v>
      </c>
      <c r="K1063" s="30">
        <v>45847.708333333336</v>
      </c>
      <c r="L1063" s="30">
        <v>46203.691666666666</v>
      </c>
    </row>
    <row r="1064" spans="1:12" x14ac:dyDescent="0.25">
      <c r="A1064" t="s">
        <v>1248</v>
      </c>
      <c r="B1064">
        <v>91683</v>
      </c>
      <c r="C1064">
        <v>119863</v>
      </c>
      <c r="D1064">
        <v>119862</v>
      </c>
      <c r="E1064">
        <v>405</v>
      </c>
      <c r="F1064">
        <v>405</v>
      </c>
      <c r="G1064" t="s">
        <v>3138</v>
      </c>
      <c r="H1064">
        <v>0</v>
      </c>
      <c r="K1064" s="30">
        <v>45852.708333333336</v>
      </c>
      <c r="L1064" s="30">
        <v>46211.691666666666</v>
      </c>
    </row>
    <row r="1065" spans="1:12" x14ac:dyDescent="0.25">
      <c r="A1065" t="s">
        <v>1248</v>
      </c>
      <c r="B1065">
        <v>91684</v>
      </c>
      <c r="C1065">
        <v>119864</v>
      </c>
      <c r="D1065">
        <v>119863</v>
      </c>
      <c r="E1065">
        <v>405</v>
      </c>
      <c r="F1065">
        <v>405</v>
      </c>
      <c r="G1065" t="s">
        <v>3138</v>
      </c>
      <c r="H1065">
        <v>0</v>
      </c>
      <c r="K1065" s="30">
        <v>45855.708333333336</v>
      </c>
      <c r="L1065" s="30">
        <v>46216.691666666666</v>
      </c>
    </row>
    <row r="1066" spans="1:12" x14ac:dyDescent="0.25">
      <c r="A1066" t="s">
        <v>1248</v>
      </c>
      <c r="B1066">
        <v>91685</v>
      </c>
      <c r="C1066">
        <v>119865</v>
      </c>
      <c r="D1066">
        <v>119864</v>
      </c>
      <c r="E1066">
        <v>405</v>
      </c>
      <c r="F1066">
        <v>405</v>
      </c>
      <c r="G1066" t="s">
        <v>3138</v>
      </c>
      <c r="H1066">
        <v>0</v>
      </c>
      <c r="K1066" s="30">
        <v>45860.708333333336</v>
      </c>
      <c r="L1066" s="30">
        <v>46219.691666666666</v>
      </c>
    </row>
    <row r="1067" spans="1:12" x14ac:dyDescent="0.25">
      <c r="A1067" t="s">
        <v>1248</v>
      </c>
      <c r="B1067">
        <v>91693</v>
      </c>
      <c r="C1067">
        <v>120020</v>
      </c>
      <c r="D1067">
        <v>119850</v>
      </c>
      <c r="E1067">
        <v>405</v>
      </c>
      <c r="F1067">
        <v>405</v>
      </c>
      <c r="G1067" t="s">
        <v>3138</v>
      </c>
      <c r="H1067">
        <v>0</v>
      </c>
      <c r="K1067" s="30">
        <v>45800.708333333336</v>
      </c>
      <c r="L1067" s="30">
        <v>46345.333333333336</v>
      </c>
    </row>
    <row r="1068" spans="1:12" x14ac:dyDescent="0.25">
      <c r="A1068" t="s">
        <v>1248</v>
      </c>
      <c r="B1068">
        <v>91694</v>
      </c>
      <c r="C1068">
        <v>120021</v>
      </c>
      <c r="D1068">
        <v>120020</v>
      </c>
      <c r="E1068">
        <v>405</v>
      </c>
      <c r="F1068">
        <v>405</v>
      </c>
      <c r="G1068" t="s">
        <v>3140</v>
      </c>
      <c r="H1068">
        <v>120</v>
      </c>
      <c r="K1068" s="30">
        <v>45821.708333333336</v>
      </c>
      <c r="L1068" s="30">
        <v>46219.333333333336</v>
      </c>
    </row>
    <row r="1069" spans="1:12" x14ac:dyDescent="0.25">
      <c r="A1069" t="s">
        <v>1248</v>
      </c>
      <c r="B1069">
        <v>91695</v>
      </c>
      <c r="C1069">
        <v>120022</v>
      </c>
      <c r="D1069">
        <v>120021</v>
      </c>
      <c r="E1069">
        <v>405</v>
      </c>
      <c r="F1069">
        <v>405</v>
      </c>
      <c r="G1069" t="s">
        <v>3140</v>
      </c>
      <c r="H1069">
        <v>120</v>
      </c>
      <c r="K1069" s="30">
        <v>45842.708333333336</v>
      </c>
      <c r="L1069" s="30">
        <v>46240.333333333336</v>
      </c>
    </row>
    <row r="1070" spans="1:12" x14ac:dyDescent="0.25">
      <c r="A1070" t="s">
        <v>1248</v>
      </c>
      <c r="B1070">
        <v>91726</v>
      </c>
      <c r="C1070">
        <v>119968</v>
      </c>
      <c r="D1070">
        <v>119967</v>
      </c>
      <c r="E1070">
        <v>405</v>
      </c>
      <c r="F1070">
        <v>405</v>
      </c>
      <c r="G1070" t="s">
        <v>3138</v>
      </c>
      <c r="H1070">
        <v>0</v>
      </c>
      <c r="K1070" s="30">
        <v>45748.708333333336</v>
      </c>
      <c r="L1070" s="30">
        <v>45775.333333333336</v>
      </c>
    </row>
    <row r="1071" spans="1:12" x14ac:dyDescent="0.25">
      <c r="A1071" t="s">
        <v>1248</v>
      </c>
      <c r="B1071">
        <v>91727</v>
      </c>
      <c r="C1071">
        <v>119969</v>
      </c>
      <c r="D1071">
        <v>119968</v>
      </c>
      <c r="E1071">
        <v>405</v>
      </c>
      <c r="F1071">
        <v>405</v>
      </c>
      <c r="G1071" t="s">
        <v>3138</v>
      </c>
      <c r="H1071">
        <v>0</v>
      </c>
      <c r="K1071" s="30">
        <v>45754.708333333336</v>
      </c>
      <c r="L1071" s="30">
        <v>45779.333333333336</v>
      </c>
    </row>
    <row r="1072" spans="1:12" x14ac:dyDescent="0.25">
      <c r="A1072" t="s">
        <v>1248</v>
      </c>
      <c r="B1072">
        <v>91728</v>
      </c>
      <c r="C1072">
        <v>119970</v>
      </c>
      <c r="D1072">
        <v>119969</v>
      </c>
      <c r="E1072">
        <v>405</v>
      </c>
      <c r="F1072">
        <v>405</v>
      </c>
      <c r="G1072" t="s">
        <v>3138</v>
      </c>
      <c r="H1072">
        <v>0</v>
      </c>
      <c r="K1072" s="30">
        <v>45758.708333333336</v>
      </c>
      <c r="L1072" s="30">
        <v>45785.333333333336</v>
      </c>
    </row>
    <row r="1073" spans="1:12" x14ac:dyDescent="0.25">
      <c r="A1073" t="s">
        <v>1248</v>
      </c>
      <c r="B1073">
        <v>91729</v>
      </c>
      <c r="C1073">
        <v>119971</v>
      </c>
      <c r="D1073">
        <v>119970</v>
      </c>
      <c r="E1073">
        <v>405</v>
      </c>
      <c r="F1073">
        <v>405</v>
      </c>
      <c r="G1073" t="s">
        <v>3138</v>
      </c>
      <c r="H1073">
        <v>0</v>
      </c>
      <c r="K1073" s="30">
        <v>45764.708333333336</v>
      </c>
      <c r="L1073" s="30">
        <v>45791.333333333336</v>
      </c>
    </row>
    <row r="1074" spans="1:12" x14ac:dyDescent="0.25">
      <c r="A1074" t="s">
        <v>1248</v>
      </c>
      <c r="B1074">
        <v>91730</v>
      </c>
      <c r="C1074">
        <v>119972</v>
      </c>
      <c r="D1074">
        <v>119971</v>
      </c>
      <c r="E1074">
        <v>405</v>
      </c>
      <c r="F1074">
        <v>405</v>
      </c>
      <c r="G1074" t="s">
        <v>3138</v>
      </c>
      <c r="H1074">
        <v>0</v>
      </c>
      <c r="K1074" s="30">
        <v>45770.708333333336</v>
      </c>
      <c r="L1074" s="30">
        <v>45797.333333333336</v>
      </c>
    </row>
    <row r="1075" spans="1:12" x14ac:dyDescent="0.25">
      <c r="A1075" t="s">
        <v>1248</v>
      </c>
      <c r="B1075">
        <v>91731</v>
      </c>
      <c r="C1075">
        <v>119973</v>
      </c>
      <c r="D1075">
        <v>119972</v>
      </c>
      <c r="E1075">
        <v>405</v>
      </c>
      <c r="F1075">
        <v>405</v>
      </c>
      <c r="G1075" t="s">
        <v>3138</v>
      </c>
      <c r="H1075">
        <v>0</v>
      </c>
      <c r="K1075" s="30">
        <v>45776.708333333336</v>
      </c>
      <c r="L1075" s="30">
        <v>45803.333333333336</v>
      </c>
    </row>
    <row r="1076" spans="1:12" x14ac:dyDescent="0.25">
      <c r="A1076" t="s">
        <v>1248</v>
      </c>
      <c r="B1076">
        <v>91732</v>
      </c>
      <c r="C1076">
        <v>119974</v>
      </c>
      <c r="D1076">
        <v>119973</v>
      </c>
      <c r="E1076">
        <v>405</v>
      </c>
      <c r="F1076">
        <v>405</v>
      </c>
      <c r="G1076" t="s">
        <v>3138</v>
      </c>
      <c r="H1076">
        <v>0</v>
      </c>
      <c r="K1076" s="30">
        <v>45782.708333333336</v>
      </c>
      <c r="L1076" s="30">
        <v>45807.333333333336</v>
      </c>
    </row>
    <row r="1077" spans="1:12" x14ac:dyDescent="0.25">
      <c r="A1077" t="s">
        <v>1248</v>
      </c>
      <c r="B1077">
        <v>91733</v>
      </c>
      <c r="C1077">
        <v>119975</v>
      </c>
      <c r="D1077">
        <v>119974</v>
      </c>
      <c r="E1077">
        <v>405</v>
      </c>
      <c r="F1077">
        <v>405</v>
      </c>
      <c r="G1077" t="s">
        <v>3138</v>
      </c>
      <c r="H1077">
        <v>0</v>
      </c>
      <c r="K1077" s="30">
        <v>45786.708333333336</v>
      </c>
      <c r="L1077" s="30">
        <v>45813.333333333336</v>
      </c>
    </row>
    <row r="1078" spans="1:12" x14ac:dyDescent="0.25">
      <c r="A1078" t="s">
        <v>1248</v>
      </c>
      <c r="B1078">
        <v>91734</v>
      </c>
      <c r="C1078">
        <v>119976</v>
      </c>
      <c r="D1078">
        <v>119975</v>
      </c>
      <c r="E1078">
        <v>405</v>
      </c>
      <c r="F1078">
        <v>405</v>
      </c>
      <c r="G1078" t="s">
        <v>3138</v>
      </c>
      <c r="H1078">
        <v>0</v>
      </c>
      <c r="K1078" s="30">
        <v>45792.708333333336</v>
      </c>
      <c r="L1078" s="30">
        <v>45819.333333333336</v>
      </c>
    </row>
    <row r="1079" spans="1:12" x14ac:dyDescent="0.25">
      <c r="A1079" t="s">
        <v>1248</v>
      </c>
      <c r="B1079">
        <v>91735</v>
      </c>
      <c r="C1079">
        <v>119977</v>
      </c>
      <c r="D1079">
        <v>119976</v>
      </c>
      <c r="E1079">
        <v>405</v>
      </c>
      <c r="F1079">
        <v>405</v>
      </c>
      <c r="G1079" t="s">
        <v>3138</v>
      </c>
      <c r="H1079">
        <v>0</v>
      </c>
      <c r="K1079" s="30">
        <v>45798.708333333336</v>
      </c>
      <c r="L1079" s="30">
        <v>45825.333333333336</v>
      </c>
    </row>
    <row r="1080" spans="1:12" x14ac:dyDescent="0.25">
      <c r="A1080" t="s">
        <v>1248</v>
      </c>
      <c r="B1080">
        <v>91736</v>
      </c>
      <c r="C1080">
        <v>119978</v>
      </c>
      <c r="D1080">
        <v>119977</v>
      </c>
      <c r="E1080">
        <v>405</v>
      </c>
      <c r="F1080">
        <v>405</v>
      </c>
      <c r="G1080" t="s">
        <v>3138</v>
      </c>
      <c r="H1080">
        <v>0</v>
      </c>
      <c r="K1080" s="30">
        <v>45804.708333333336</v>
      </c>
      <c r="L1080" s="30">
        <v>45831.333333333336</v>
      </c>
    </row>
    <row r="1081" spans="1:12" x14ac:dyDescent="0.25">
      <c r="A1081" t="s">
        <v>1248</v>
      </c>
      <c r="B1081">
        <v>91737</v>
      </c>
      <c r="C1081">
        <v>119979</v>
      </c>
      <c r="D1081">
        <v>119978</v>
      </c>
      <c r="E1081">
        <v>405</v>
      </c>
      <c r="F1081">
        <v>405</v>
      </c>
      <c r="G1081" t="s">
        <v>3138</v>
      </c>
      <c r="H1081">
        <v>0</v>
      </c>
      <c r="K1081" s="30">
        <v>45810.708333333336</v>
      </c>
      <c r="L1081" s="30">
        <v>45835.333333333336</v>
      </c>
    </row>
    <row r="1082" spans="1:12" x14ac:dyDescent="0.25">
      <c r="A1082" t="s">
        <v>1248</v>
      </c>
      <c r="B1082">
        <v>91738</v>
      </c>
      <c r="C1082">
        <v>119980</v>
      </c>
      <c r="D1082">
        <v>119979</v>
      </c>
      <c r="E1082">
        <v>405</v>
      </c>
      <c r="F1082">
        <v>405</v>
      </c>
      <c r="G1082" t="s">
        <v>3138</v>
      </c>
      <c r="H1082">
        <v>0</v>
      </c>
      <c r="K1082" s="30">
        <v>45814.708333333336</v>
      </c>
      <c r="L1082" s="30">
        <v>45841.333333333336</v>
      </c>
    </row>
    <row r="1083" spans="1:12" x14ac:dyDescent="0.25">
      <c r="A1083" t="s">
        <v>1248</v>
      </c>
      <c r="B1083">
        <v>91739</v>
      </c>
      <c r="C1083">
        <v>119981</v>
      </c>
      <c r="D1083">
        <v>119980</v>
      </c>
      <c r="E1083">
        <v>405</v>
      </c>
      <c r="F1083">
        <v>405</v>
      </c>
      <c r="G1083" t="s">
        <v>3138</v>
      </c>
      <c r="H1083">
        <v>0</v>
      </c>
      <c r="K1083" s="30">
        <v>45820.708333333336</v>
      </c>
      <c r="L1083" s="30">
        <v>45847.333333333336</v>
      </c>
    </row>
    <row r="1084" spans="1:12" x14ac:dyDescent="0.25">
      <c r="A1084" t="s">
        <v>1248</v>
      </c>
      <c r="B1084">
        <v>91740</v>
      </c>
      <c r="C1084">
        <v>119982</v>
      </c>
      <c r="D1084">
        <v>119981</v>
      </c>
      <c r="E1084">
        <v>405</v>
      </c>
      <c r="F1084">
        <v>405</v>
      </c>
      <c r="G1084" t="s">
        <v>3138</v>
      </c>
      <c r="H1084">
        <v>0</v>
      </c>
      <c r="K1084" s="30">
        <v>45826.708333333336</v>
      </c>
      <c r="L1084" s="30">
        <v>45853.333333333336</v>
      </c>
    </row>
    <row r="1085" spans="1:12" x14ac:dyDescent="0.25">
      <c r="A1085" t="s">
        <v>1248</v>
      </c>
      <c r="B1085">
        <v>91741</v>
      </c>
      <c r="C1085">
        <v>119983</v>
      </c>
      <c r="D1085">
        <v>119982</v>
      </c>
      <c r="E1085">
        <v>405</v>
      </c>
      <c r="F1085">
        <v>405</v>
      </c>
      <c r="G1085" t="s">
        <v>3138</v>
      </c>
      <c r="H1085">
        <v>0</v>
      </c>
      <c r="K1085" s="30">
        <v>45832.708333333336</v>
      </c>
      <c r="L1085" s="30">
        <v>45859.333333333336</v>
      </c>
    </row>
    <row r="1086" spans="1:12" x14ac:dyDescent="0.25">
      <c r="A1086" t="s">
        <v>1248</v>
      </c>
      <c r="B1086">
        <v>91742</v>
      </c>
      <c r="C1086">
        <v>119984</v>
      </c>
      <c r="D1086">
        <v>119983</v>
      </c>
      <c r="E1086">
        <v>405</v>
      </c>
      <c r="F1086">
        <v>405</v>
      </c>
      <c r="G1086" t="s">
        <v>3138</v>
      </c>
      <c r="H1086">
        <v>0</v>
      </c>
      <c r="K1086" s="30">
        <v>45838.708333333336</v>
      </c>
      <c r="L1086" s="30">
        <v>45870.333333333336</v>
      </c>
    </row>
    <row r="1087" spans="1:12" x14ac:dyDescent="0.25">
      <c r="A1087" t="s">
        <v>1248</v>
      </c>
      <c r="B1087">
        <v>91743</v>
      </c>
      <c r="C1087">
        <v>119985</v>
      </c>
      <c r="D1087">
        <v>119984</v>
      </c>
      <c r="E1087">
        <v>405</v>
      </c>
      <c r="F1087">
        <v>405</v>
      </c>
      <c r="G1087" t="s">
        <v>3138</v>
      </c>
      <c r="H1087">
        <v>0</v>
      </c>
      <c r="K1087" s="30">
        <v>45842.708333333336</v>
      </c>
      <c r="L1087" s="30">
        <v>45876.333333333336</v>
      </c>
    </row>
    <row r="1088" spans="1:12" x14ac:dyDescent="0.25">
      <c r="A1088" t="s">
        <v>1248</v>
      </c>
      <c r="B1088">
        <v>91744</v>
      </c>
      <c r="C1088">
        <v>119986</v>
      </c>
      <c r="D1088">
        <v>119985</v>
      </c>
      <c r="E1088">
        <v>405</v>
      </c>
      <c r="F1088">
        <v>405</v>
      </c>
      <c r="G1088" t="s">
        <v>3138</v>
      </c>
      <c r="H1088">
        <v>0</v>
      </c>
      <c r="K1088" s="30">
        <v>45881.708333333336</v>
      </c>
      <c r="L1088" s="30">
        <v>45882.333333333336</v>
      </c>
    </row>
    <row r="1089" spans="1:12" x14ac:dyDescent="0.25">
      <c r="A1089" t="s">
        <v>1248</v>
      </c>
      <c r="B1089">
        <v>91745</v>
      </c>
      <c r="C1089">
        <v>119987</v>
      </c>
      <c r="D1089">
        <v>119986</v>
      </c>
      <c r="E1089">
        <v>405</v>
      </c>
      <c r="F1089">
        <v>405</v>
      </c>
      <c r="G1089" t="s">
        <v>3138</v>
      </c>
      <c r="H1089">
        <v>0</v>
      </c>
      <c r="K1089" s="30">
        <v>45887.708333333336</v>
      </c>
      <c r="L1089" s="30">
        <v>45888.333333333336</v>
      </c>
    </row>
    <row r="1090" spans="1:12" x14ac:dyDescent="0.25">
      <c r="A1090" t="s">
        <v>1248</v>
      </c>
      <c r="B1090">
        <v>91746</v>
      </c>
      <c r="C1090">
        <v>119988</v>
      </c>
      <c r="D1090">
        <v>119967</v>
      </c>
      <c r="E1090">
        <v>405</v>
      </c>
      <c r="F1090">
        <v>405</v>
      </c>
      <c r="G1090" t="s">
        <v>3140</v>
      </c>
      <c r="H1090">
        <v>480</v>
      </c>
      <c r="K1090" s="30">
        <v>45826.708333333336</v>
      </c>
      <c r="L1090" s="30">
        <v>45884.333333333336</v>
      </c>
    </row>
    <row r="1091" spans="1:12" x14ac:dyDescent="0.25">
      <c r="A1091" t="s">
        <v>1248</v>
      </c>
      <c r="B1091">
        <v>91747</v>
      </c>
      <c r="C1091">
        <v>119989</v>
      </c>
      <c r="D1091">
        <v>119988</v>
      </c>
      <c r="E1091">
        <v>405</v>
      </c>
      <c r="F1091">
        <v>405</v>
      </c>
      <c r="G1091" t="s">
        <v>3138</v>
      </c>
      <c r="H1091">
        <v>0</v>
      </c>
      <c r="K1091" s="30">
        <v>45847.708333333336</v>
      </c>
      <c r="L1091" s="30">
        <v>45995.333333333336</v>
      </c>
    </row>
    <row r="1092" spans="1:12" x14ac:dyDescent="0.25">
      <c r="A1092" t="s">
        <v>1248</v>
      </c>
      <c r="B1092">
        <v>91748</v>
      </c>
      <c r="C1092">
        <v>119990</v>
      </c>
      <c r="D1092">
        <v>119989</v>
      </c>
      <c r="E1092">
        <v>405</v>
      </c>
      <c r="F1092">
        <v>405</v>
      </c>
      <c r="G1092" t="s">
        <v>3138</v>
      </c>
      <c r="H1092">
        <v>0</v>
      </c>
      <c r="K1092" s="30">
        <v>45867.708333333336</v>
      </c>
      <c r="L1092" s="30">
        <v>46015.333333333336</v>
      </c>
    </row>
    <row r="1093" spans="1:12" x14ac:dyDescent="0.25">
      <c r="A1093" t="s">
        <v>1248</v>
      </c>
      <c r="B1093">
        <v>91749</v>
      </c>
      <c r="C1093">
        <v>119991</v>
      </c>
      <c r="D1093">
        <v>119990</v>
      </c>
      <c r="E1093">
        <v>405</v>
      </c>
      <c r="F1093">
        <v>405</v>
      </c>
      <c r="G1093" t="s">
        <v>3138</v>
      </c>
      <c r="H1093">
        <v>0</v>
      </c>
      <c r="K1093" s="30">
        <v>45887.708333333336</v>
      </c>
      <c r="L1093" s="30">
        <v>46037.333333333336</v>
      </c>
    </row>
    <row r="1094" spans="1:12" x14ac:dyDescent="0.25">
      <c r="A1094" t="s">
        <v>1248</v>
      </c>
      <c r="B1094">
        <v>91750</v>
      </c>
      <c r="C1094">
        <v>119992</v>
      </c>
      <c r="D1094">
        <v>119991</v>
      </c>
      <c r="E1094">
        <v>405</v>
      </c>
      <c r="F1094">
        <v>405</v>
      </c>
      <c r="G1094" t="s">
        <v>3138</v>
      </c>
      <c r="H1094">
        <v>0</v>
      </c>
      <c r="K1094" s="30">
        <v>45905.708333333336</v>
      </c>
      <c r="L1094" s="30">
        <v>46057.333333333336</v>
      </c>
    </row>
    <row r="1095" spans="1:12" x14ac:dyDescent="0.25">
      <c r="A1095" t="s">
        <v>1248</v>
      </c>
      <c r="B1095">
        <v>91751</v>
      </c>
      <c r="C1095">
        <v>119993</v>
      </c>
      <c r="D1095">
        <v>119992</v>
      </c>
      <c r="E1095">
        <v>405</v>
      </c>
      <c r="F1095">
        <v>405</v>
      </c>
      <c r="G1095" t="s">
        <v>3138</v>
      </c>
      <c r="H1095">
        <v>0</v>
      </c>
      <c r="K1095" s="30">
        <v>45925.708333333336</v>
      </c>
      <c r="L1095" s="30">
        <v>46077.333333333336</v>
      </c>
    </row>
    <row r="1096" spans="1:12" x14ac:dyDescent="0.25">
      <c r="A1096" t="s">
        <v>1248</v>
      </c>
      <c r="B1096">
        <v>91752</v>
      </c>
      <c r="C1096">
        <v>119994</v>
      </c>
      <c r="D1096">
        <v>119993</v>
      </c>
      <c r="E1096">
        <v>405</v>
      </c>
      <c r="F1096">
        <v>405</v>
      </c>
      <c r="G1096" t="s">
        <v>3138</v>
      </c>
      <c r="H1096">
        <v>0</v>
      </c>
      <c r="K1096" s="30">
        <v>45945.708333333336</v>
      </c>
      <c r="L1096" s="30">
        <v>46097.333333333336</v>
      </c>
    </row>
    <row r="1097" spans="1:12" x14ac:dyDescent="0.25">
      <c r="A1097" t="s">
        <v>1248</v>
      </c>
      <c r="B1097">
        <v>91753</v>
      </c>
      <c r="C1097">
        <v>119995</v>
      </c>
      <c r="D1097">
        <v>119994</v>
      </c>
      <c r="E1097">
        <v>405</v>
      </c>
      <c r="F1097">
        <v>405</v>
      </c>
      <c r="G1097" t="s">
        <v>3138</v>
      </c>
      <c r="H1097">
        <v>0</v>
      </c>
      <c r="K1097" s="30">
        <v>45965.708333333336</v>
      </c>
      <c r="L1097" s="30">
        <v>46115.333333333336</v>
      </c>
    </row>
    <row r="1098" spans="1:12" x14ac:dyDescent="0.25">
      <c r="A1098" t="s">
        <v>1248</v>
      </c>
      <c r="B1098">
        <v>91754</v>
      </c>
      <c r="C1098">
        <v>119996</v>
      </c>
      <c r="D1098">
        <v>119995</v>
      </c>
      <c r="E1098">
        <v>405</v>
      </c>
      <c r="F1098">
        <v>405</v>
      </c>
      <c r="G1098" t="s">
        <v>3138</v>
      </c>
      <c r="H1098">
        <v>0</v>
      </c>
      <c r="K1098" s="30">
        <v>45985.708333333336</v>
      </c>
      <c r="L1098" s="30">
        <v>46136.333333333336</v>
      </c>
    </row>
    <row r="1099" spans="1:12" x14ac:dyDescent="0.25">
      <c r="A1099" t="s">
        <v>1248</v>
      </c>
      <c r="B1099">
        <v>91755</v>
      </c>
      <c r="C1099">
        <v>119997</v>
      </c>
      <c r="D1099">
        <v>119996</v>
      </c>
      <c r="E1099">
        <v>405</v>
      </c>
      <c r="F1099">
        <v>405</v>
      </c>
      <c r="G1099" t="s">
        <v>3138</v>
      </c>
      <c r="H1099">
        <v>0</v>
      </c>
      <c r="K1099" s="30">
        <v>46003.708333333336</v>
      </c>
      <c r="L1099" s="30">
        <v>46157.333333333336</v>
      </c>
    </row>
    <row r="1100" spans="1:12" x14ac:dyDescent="0.25">
      <c r="A1100" t="s">
        <v>1248</v>
      </c>
      <c r="B1100">
        <v>91756</v>
      </c>
      <c r="C1100">
        <v>119998</v>
      </c>
      <c r="D1100">
        <v>119997</v>
      </c>
      <c r="E1100">
        <v>405</v>
      </c>
      <c r="F1100">
        <v>405</v>
      </c>
      <c r="G1100" t="s">
        <v>3138</v>
      </c>
      <c r="H1100">
        <v>0</v>
      </c>
      <c r="K1100" s="30">
        <v>46024.708333333336</v>
      </c>
      <c r="L1100" s="30">
        <v>46178.333333333336</v>
      </c>
    </row>
    <row r="1101" spans="1:12" x14ac:dyDescent="0.25">
      <c r="A1101" t="s">
        <v>1248</v>
      </c>
      <c r="B1101">
        <v>91757</v>
      </c>
      <c r="C1101">
        <v>119999</v>
      </c>
      <c r="D1101">
        <v>119998</v>
      </c>
      <c r="E1101">
        <v>405</v>
      </c>
      <c r="F1101">
        <v>405</v>
      </c>
      <c r="G1101" t="s">
        <v>3138</v>
      </c>
      <c r="H1101">
        <v>0</v>
      </c>
      <c r="K1101" s="30">
        <v>46045.708333333336</v>
      </c>
      <c r="L1101" s="30">
        <v>46198.333333333336</v>
      </c>
    </row>
    <row r="1102" spans="1:12" x14ac:dyDescent="0.25">
      <c r="A1102" t="s">
        <v>1248</v>
      </c>
      <c r="B1102">
        <v>91758</v>
      </c>
      <c r="C1102">
        <v>120000</v>
      </c>
      <c r="D1102">
        <v>119999</v>
      </c>
      <c r="E1102">
        <v>405</v>
      </c>
      <c r="F1102">
        <v>405</v>
      </c>
      <c r="G1102" t="s">
        <v>3138</v>
      </c>
      <c r="H1102">
        <v>0</v>
      </c>
      <c r="K1102" s="30">
        <v>46065.708333333336</v>
      </c>
      <c r="L1102" s="30">
        <v>46218.333333333336</v>
      </c>
    </row>
    <row r="1103" spans="1:12" x14ac:dyDescent="0.25">
      <c r="A1103" t="s">
        <v>1248</v>
      </c>
      <c r="B1103">
        <v>91759</v>
      </c>
      <c r="C1103">
        <v>120001</v>
      </c>
      <c r="D1103">
        <v>120000</v>
      </c>
      <c r="E1103">
        <v>405</v>
      </c>
      <c r="F1103">
        <v>405</v>
      </c>
      <c r="G1103" t="s">
        <v>3138</v>
      </c>
      <c r="H1103">
        <v>0</v>
      </c>
      <c r="K1103" s="30">
        <v>46085.708333333336</v>
      </c>
      <c r="L1103" s="30">
        <v>46238.333333333336</v>
      </c>
    </row>
    <row r="1104" spans="1:12" x14ac:dyDescent="0.25">
      <c r="A1104" t="s">
        <v>1248</v>
      </c>
      <c r="B1104">
        <v>91760</v>
      </c>
      <c r="C1104">
        <v>120002</v>
      </c>
      <c r="D1104">
        <v>120001</v>
      </c>
      <c r="E1104">
        <v>405</v>
      </c>
      <c r="F1104">
        <v>405</v>
      </c>
      <c r="G1104" t="s">
        <v>3138</v>
      </c>
      <c r="H1104">
        <v>0</v>
      </c>
      <c r="K1104" s="30">
        <v>46105.708333333336</v>
      </c>
      <c r="L1104" s="30">
        <v>46258.333333333336</v>
      </c>
    </row>
    <row r="1105" spans="1:12" x14ac:dyDescent="0.25">
      <c r="A1105" t="s">
        <v>1248</v>
      </c>
      <c r="B1105">
        <v>91761</v>
      </c>
      <c r="C1105">
        <v>120003</v>
      </c>
      <c r="D1105">
        <v>120002</v>
      </c>
      <c r="E1105">
        <v>405</v>
      </c>
      <c r="F1105">
        <v>405</v>
      </c>
      <c r="G1105" t="s">
        <v>3138</v>
      </c>
      <c r="H1105">
        <v>0</v>
      </c>
      <c r="K1105" s="30">
        <v>46126.708333333336</v>
      </c>
      <c r="L1105" s="30">
        <v>46276.333333333336</v>
      </c>
    </row>
    <row r="1106" spans="1:12" x14ac:dyDescent="0.25">
      <c r="A1106" t="s">
        <v>1248</v>
      </c>
      <c r="B1106">
        <v>91762</v>
      </c>
      <c r="C1106">
        <v>120004</v>
      </c>
      <c r="D1106">
        <v>120003</v>
      </c>
      <c r="E1106">
        <v>405</v>
      </c>
      <c r="F1106">
        <v>405</v>
      </c>
      <c r="G1106" t="s">
        <v>3138</v>
      </c>
      <c r="H1106">
        <v>0</v>
      </c>
      <c r="K1106" s="30">
        <v>46147.708333333336</v>
      </c>
      <c r="L1106" s="30">
        <v>46296.333333333336</v>
      </c>
    </row>
    <row r="1107" spans="1:12" x14ac:dyDescent="0.25">
      <c r="A1107" t="s">
        <v>1248</v>
      </c>
      <c r="B1107">
        <v>91763</v>
      </c>
      <c r="C1107">
        <v>120005</v>
      </c>
      <c r="D1107">
        <v>120004</v>
      </c>
      <c r="E1107">
        <v>405</v>
      </c>
      <c r="F1107">
        <v>405</v>
      </c>
      <c r="G1107" t="s">
        <v>3138</v>
      </c>
      <c r="H1107">
        <v>0</v>
      </c>
      <c r="K1107" s="30">
        <v>46167.708333333336</v>
      </c>
      <c r="L1107" s="30">
        <v>46316.333333333336</v>
      </c>
    </row>
    <row r="1108" spans="1:12" x14ac:dyDescent="0.25">
      <c r="A1108" t="s">
        <v>1248</v>
      </c>
      <c r="B1108">
        <v>91764</v>
      </c>
      <c r="C1108">
        <v>120006</v>
      </c>
      <c r="D1108">
        <v>120005</v>
      </c>
      <c r="E1108">
        <v>405</v>
      </c>
      <c r="F1108">
        <v>405</v>
      </c>
      <c r="G1108" t="s">
        <v>3138</v>
      </c>
      <c r="H1108">
        <v>0</v>
      </c>
      <c r="K1108" s="30">
        <v>46188.708333333336</v>
      </c>
      <c r="L1108" s="30">
        <v>46336.333333333336</v>
      </c>
    </row>
    <row r="1109" spans="1:12" x14ac:dyDescent="0.25">
      <c r="A1109" t="s">
        <v>1248</v>
      </c>
      <c r="B1109">
        <v>91765</v>
      </c>
      <c r="C1109">
        <v>120007</v>
      </c>
      <c r="D1109">
        <v>120006</v>
      </c>
      <c r="E1109">
        <v>405</v>
      </c>
      <c r="F1109">
        <v>405</v>
      </c>
      <c r="G1109" t="s">
        <v>3138</v>
      </c>
      <c r="H1109">
        <v>0</v>
      </c>
      <c r="K1109" s="30">
        <v>46206.708333333336</v>
      </c>
      <c r="L1109" s="30">
        <v>46356.333333333336</v>
      </c>
    </row>
    <row r="1110" spans="1:12" x14ac:dyDescent="0.25">
      <c r="A1110" t="s">
        <v>1248</v>
      </c>
      <c r="B1110">
        <v>91766</v>
      </c>
      <c r="C1110">
        <v>120008</v>
      </c>
      <c r="D1110">
        <v>120007</v>
      </c>
      <c r="E1110">
        <v>405</v>
      </c>
      <c r="F1110">
        <v>405</v>
      </c>
      <c r="G1110" t="s">
        <v>3138</v>
      </c>
      <c r="H1110">
        <v>0</v>
      </c>
      <c r="K1110" s="30">
        <v>46226.708333333336</v>
      </c>
      <c r="L1110" s="30">
        <v>46377.333333333336</v>
      </c>
    </row>
    <row r="1111" spans="1:12" x14ac:dyDescent="0.25">
      <c r="A1111" t="s">
        <v>1248</v>
      </c>
      <c r="B1111">
        <v>91767</v>
      </c>
      <c r="C1111">
        <v>120009</v>
      </c>
      <c r="D1111">
        <v>120008</v>
      </c>
      <c r="E1111">
        <v>405</v>
      </c>
      <c r="F1111">
        <v>405</v>
      </c>
      <c r="G1111" t="s">
        <v>3138</v>
      </c>
      <c r="H1111">
        <v>-120</v>
      </c>
      <c r="K1111" s="30">
        <v>46226.333333333336</v>
      </c>
      <c r="L1111" s="30">
        <v>46399.708333333336</v>
      </c>
    </row>
    <row r="1112" spans="1:12" x14ac:dyDescent="0.25">
      <c r="A1112" t="s">
        <v>1248</v>
      </c>
      <c r="B1112">
        <v>91768</v>
      </c>
      <c r="C1112">
        <v>120010</v>
      </c>
      <c r="D1112">
        <v>120009</v>
      </c>
      <c r="E1112">
        <v>405</v>
      </c>
      <c r="F1112">
        <v>405</v>
      </c>
      <c r="G1112" t="s">
        <v>3140</v>
      </c>
      <c r="H1112">
        <v>0</v>
      </c>
      <c r="K1112" s="30">
        <v>46226.333333333336</v>
      </c>
      <c r="L1112" s="30">
        <v>46317.333333333336</v>
      </c>
    </row>
    <row r="1113" spans="1:12" x14ac:dyDescent="0.25">
      <c r="A1113" t="s">
        <v>1248</v>
      </c>
      <c r="B1113">
        <v>91769</v>
      </c>
      <c r="C1113">
        <v>120011</v>
      </c>
      <c r="D1113">
        <v>120010</v>
      </c>
      <c r="E1113">
        <v>405</v>
      </c>
      <c r="F1113">
        <v>405</v>
      </c>
      <c r="G1113" t="s">
        <v>3140</v>
      </c>
      <c r="H1113">
        <v>80</v>
      </c>
      <c r="K1113" s="30">
        <v>46239.708333333336</v>
      </c>
      <c r="L1113" s="30">
        <v>46317.333333333336</v>
      </c>
    </row>
    <row r="1114" spans="1:12" x14ac:dyDescent="0.25">
      <c r="A1114" t="s">
        <v>1248</v>
      </c>
      <c r="B1114">
        <v>91770</v>
      </c>
      <c r="C1114">
        <v>120012</v>
      </c>
      <c r="D1114">
        <v>120011</v>
      </c>
      <c r="E1114">
        <v>405</v>
      </c>
      <c r="F1114">
        <v>405</v>
      </c>
      <c r="G1114" t="s">
        <v>3140</v>
      </c>
      <c r="H1114">
        <v>40</v>
      </c>
      <c r="K1114" s="30">
        <v>46246.708333333336</v>
      </c>
      <c r="L1114" s="30">
        <v>46311.333333333336</v>
      </c>
    </row>
    <row r="1115" spans="1:12" x14ac:dyDescent="0.25">
      <c r="A1115" t="s">
        <v>1248</v>
      </c>
      <c r="B1115">
        <v>91771</v>
      </c>
      <c r="C1115">
        <v>120013</v>
      </c>
      <c r="D1115">
        <v>120012</v>
      </c>
      <c r="E1115">
        <v>405</v>
      </c>
      <c r="F1115">
        <v>405</v>
      </c>
      <c r="G1115" t="s">
        <v>3140</v>
      </c>
      <c r="H1115">
        <v>120</v>
      </c>
      <c r="K1115" s="30">
        <v>46267.708333333336</v>
      </c>
      <c r="L1115" s="30">
        <v>46352.333333333336</v>
      </c>
    </row>
    <row r="1116" spans="1:12" x14ac:dyDescent="0.25">
      <c r="A1116" t="s">
        <v>1248</v>
      </c>
      <c r="B1116">
        <v>91803</v>
      </c>
      <c r="C1116">
        <v>119874</v>
      </c>
      <c r="D1116">
        <v>119873</v>
      </c>
      <c r="E1116">
        <v>405</v>
      </c>
      <c r="F1116">
        <v>405</v>
      </c>
      <c r="G1116" t="s">
        <v>3138</v>
      </c>
      <c r="H1116">
        <v>0</v>
      </c>
      <c r="K1116" s="30">
        <v>45897.708333333336</v>
      </c>
      <c r="L1116" s="30">
        <v>46030.333333333336</v>
      </c>
    </row>
    <row r="1117" spans="1:12" x14ac:dyDescent="0.25">
      <c r="A1117" t="s">
        <v>1248</v>
      </c>
      <c r="B1117">
        <v>91804</v>
      </c>
      <c r="C1117">
        <v>119875</v>
      </c>
      <c r="D1117">
        <v>119874</v>
      </c>
      <c r="E1117">
        <v>405</v>
      </c>
      <c r="F1117">
        <v>405</v>
      </c>
      <c r="G1117" t="s">
        <v>3138</v>
      </c>
      <c r="H1117">
        <v>0</v>
      </c>
      <c r="K1117" s="30">
        <v>45903.708333333336</v>
      </c>
      <c r="L1117" s="30">
        <v>46036.333333333336</v>
      </c>
    </row>
    <row r="1118" spans="1:12" x14ac:dyDescent="0.25">
      <c r="A1118" t="s">
        <v>1248</v>
      </c>
      <c r="B1118">
        <v>91805</v>
      </c>
      <c r="C1118">
        <v>119876</v>
      </c>
      <c r="D1118">
        <v>119875</v>
      </c>
      <c r="E1118">
        <v>405</v>
      </c>
      <c r="F1118">
        <v>405</v>
      </c>
      <c r="G1118" t="s">
        <v>3138</v>
      </c>
      <c r="H1118">
        <v>0</v>
      </c>
      <c r="K1118" s="30">
        <v>45909.708333333336</v>
      </c>
      <c r="L1118" s="30">
        <v>46052.333333333336</v>
      </c>
    </row>
    <row r="1119" spans="1:12" x14ac:dyDescent="0.25">
      <c r="A1119" t="s">
        <v>1248</v>
      </c>
      <c r="B1119">
        <v>91806</v>
      </c>
      <c r="C1119">
        <v>119877</v>
      </c>
      <c r="D1119">
        <v>119876</v>
      </c>
      <c r="E1119">
        <v>405</v>
      </c>
      <c r="F1119">
        <v>405</v>
      </c>
      <c r="G1119" t="s">
        <v>3138</v>
      </c>
      <c r="H1119">
        <v>0</v>
      </c>
      <c r="K1119" s="30">
        <v>45915.708333333336</v>
      </c>
      <c r="L1119" s="30">
        <v>46070.333333333336</v>
      </c>
    </row>
    <row r="1120" spans="1:12" x14ac:dyDescent="0.25">
      <c r="A1120" t="s">
        <v>1248</v>
      </c>
      <c r="B1120">
        <v>91807</v>
      </c>
      <c r="C1120">
        <v>119878</v>
      </c>
      <c r="D1120">
        <v>119877</v>
      </c>
      <c r="E1120">
        <v>405</v>
      </c>
      <c r="F1120">
        <v>405</v>
      </c>
      <c r="G1120" t="s">
        <v>3138</v>
      </c>
      <c r="H1120">
        <v>0</v>
      </c>
      <c r="K1120" s="30">
        <v>45919.708333333336</v>
      </c>
      <c r="L1120" s="30">
        <v>46086.333333333336</v>
      </c>
    </row>
    <row r="1121" spans="1:12" x14ac:dyDescent="0.25">
      <c r="A1121" t="s">
        <v>1248</v>
      </c>
      <c r="B1121">
        <v>91808</v>
      </c>
      <c r="C1121">
        <v>119879</v>
      </c>
      <c r="D1121">
        <v>119878</v>
      </c>
      <c r="E1121">
        <v>405</v>
      </c>
      <c r="F1121">
        <v>405</v>
      </c>
      <c r="G1121" t="s">
        <v>3138</v>
      </c>
      <c r="H1121">
        <v>0</v>
      </c>
      <c r="K1121" s="30">
        <v>45925.708333333336</v>
      </c>
      <c r="L1121" s="30">
        <v>46104.333333333336</v>
      </c>
    </row>
    <row r="1122" spans="1:12" x14ac:dyDescent="0.25">
      <c r="A1122" t="s">
        <v>1248</v>
      </c>
      <c r="B1122">
        <v>91809</v>
      </c>
      <c r="C1122">
        <v>119880</v>
      </c>
      <c r="D1122">
        <v>119879</v>
      </c>
      <c r="E1122">
        <v>405</v>
      </c>
      <c r="F1122">
        <v>405</v>
      </c>
      <c r="G1122" t="s">
        <v>3138</v>
      </c>
      <c r="H1122">
        <v>0</v>
      </c>
      <c r="K1122" s="30">
        <v>45931.708333333336</v>
      </c>
      <c r="L1122" s="30">
        <v>46121.333333333336</v>
      </c>
    </row>
    <row r="1123" spans="1:12" x14ac:dyDescent="0.25">
      <c r="A1123" t="s">
        <v>1248</v>
      </c>
      <c r="B1123">
        <v>91810</v>
      </c>
      <c r="C1123">
        <v>119881</v>
      </c>
      <c r="D1123">
        <v>119880</v>
      </c>
      <c r="E1123">
        <v>405</v>
      </c>
      <c r="F1123">
        <v>405</v>
      </c>
      <c r="G1123" t="s">
        <v>3138</v>
      </c>
      <c r="H1123">
        <v>0</v>
      </c>
      <c r="K1123" s="30">
        <v>45937.708333333336</v>
      </c>
      <c r="L1123" s="30">
        <v>46139.333333333336</v>
      </c>
    </row>
    <row r="1124" spans="1:12" x14ac:dyDescent="0.25">
      <c r="A1124" t="s">
        <v>1248</v>
      </c>
      <c r="B1124">
        <v>91811</v>
      </c>
      <c r="C1124">
        <v>119882</v>
      </c>
      <c r="D1124">
        <v>119881</v>
      </c>
      <c r="E1124">
        <v>405</v>
      </c>
      <c r="F1124">
        <v>405</v>
      </c>
      <c r="G1124" t="s">
        <v>3138</v>
      </c>
      <c r="H1124">
        <v>0</v>
      </c>
      <c r="K1124" s="30">
        <v>45943.708333333336</v>
      </c>
      <c r="L1124" s="30">
        <v>46156.333333333336</v>
      </c>
    </row>
    <row r="1125" spans="1:12" x14ac:dyDescent="0.25">
      <c r="A1125" t="s">
        <v>1248</v>
      </c>
      <c r="B1125">
        <v>91812</v>
      </c>
      <c r="C1125">
        <v>119883</v>
      </c>
      <c r="D1125">
        <v>119882</v>
      </c>
      <c r="E1125">
        <v>405</v>
      </c>
      <c r="F1125">
        <v>405</v>
      </c>
      <c r="G1125" t="s">
        <v>3138</v>
      </c>
      <c r="H1125">
        <v>0</v>
      </c>
      <c r="K1125" s="30">
        <v>45947.708333333336</v>
      </c>
      <c r="L1125" s="30">
        <v>46174.333333333336</v>
      </c>
    </row>
    <row r="1126" spans="1:12" x14ac:dyDescent="0.25">
      <c r="A1126" t="s">
        <v>1248</v>
      </c>
      <c r="B1126">
        <v>91813</v>
      </c>
      <c r="C1126">
        <v>119884</v>
      </c>
      <c r="D1126">
        <v>119883</v>
      </c>
      <c r="E1126">
        <v>405</v>
      </c>
      <c r="F1126">
        <v>405</v>
      </c>
      <c r="G1126" t="s">
        <v>3138</v>
      </c>
      <c r="H1126">
        <v>0</v>
      </c>
      <c r="K1126" s="30">
        <v>45953.708333333336</v>
      </c>
      <c r="L1126" s="30">
        <v>46191.333333333336</v>
      </c>
    </row>
    <row r="1127" spans="1:12" x14ac:dyDescent="0.25">
      <c r="A1127" t="s">
        <v>1248</v>
      </c>
      <c r="B1127">
        <v>91814</v>
      </c>
      <c r="C1127">
        <v>119885</v>
      </c>
      <c r="D1127">
        <v>119884</v>
      </c>
      <c r="E1127">
        <v>405</v>
      </c>
      <c r="F1127">
        <v>405</v>
      </c>
      <c r="G1127" t="s">
        <v>3138</v>
      </c>
      <c r="H1127">
        <v>0</v>
      </c>
      <c r="K1127" s="30">
        <v>45959.708333333336</v>
      </c>
      <c r="L1127" s="30">
        <v>46209.333333333336</v>
      </c>
    </row>
    <row r="1128" spans="1:12" x14ac:dyDescent="0.25">
      <c r="A1128" t="s">
        <v>1248</v>
      </c>
      <c r="B1128">
        <v>91815</v>
      </c>
      <c r="C1128">
        <v>119886</v>
      </c>
      <c r="D1128">
        <v>119885</v>
      </c>
      <c r="E1128">
        <v>405</v>
      </c>
      <c r="F1128">
        <v>405</v>
      </c>
      <c r="G1128" t="s">
        <v>3138</v>
      </c>
      <c r="H1128">
        <v>0</v>
      </c>
      <c r="K1128" s="30">
        <v>45965.708333333336</v>
      </c>
      <c r="L1128" s="30">
        <v>46225.333333333336</v>
      </c>
    </row>
    <row r="1129" spans="1:12" x14ac:dyDescent="0.25">
      <c r="A1129" t="s">
        <v>1248</v>
      </c>
      <c r="B1129">
        <v>91816</v>
      </c>
      <c r="C1129">
        <v>119887</v>
      </c>
      <c r="D1129">
        <v>119886</v>
      </c>
      <c r="E1129">
        <v>405</v>
      </c>
      <c r="F1129">
        <v>405</v>
      </c>
      <c r="G1129" t="s">
        <v>3138</v>
      </c>
      <c r="H1129">
        <v>0</v>
      </c>
      <c r="K1129" s="30">
        <v>45971.708333333336</v>
      </c>
      <c r="L1129" s="30">
        <v>46241.333333333336</v>
      </c>
    </row>
    <row r="1130" spans="1:12" x14ac:dyDescent="0.25">
      <c r="A1130" t="s">
        <v>1248</v>
      </c>
      <c r="B1130">
        <v>91817</v>
      </c>
      <c r="C1130">
        <v>119888</v>
      </c>
      <c r="D1130">
        <v>119887</v>
      </c>
      <c r="E1130">
        <v>405</v>
      </c>
      <c r="F1130">
        <v>405</v>
      </c>
      <c r="G1130" t="s">
        <v>3138</v>
      </c>
      <c r="H1130">
        <v>0</v>
      </c>
      <c r="K1130" s="30">
        <v>45975.708333333336</v>
      </c>
      <c r="L1130" s="30">
        <v>46259.333333333336</v>
      </c>
    </row>
    <row r="1131" spans="1:12" x14ac:dyDescent="0.25">
      <c r="A1131" t="s">
        <v>1248</v>
      </c>
      <c r="B1131">
        <v>91818</v>
      </c>
      <c r="C1131">
        <v>119889</v>
      </c>
      <c r="D1131">
        <v>119888</v>
      </c>
      <c r="E1131">
        <v>405</v>
      </c>
      <c r="F1131">
        <v>405</v>
      </c>
      <c r="G1131" t="s">
        <v>3138</v>
      </c>
      <c r="H1131">
        <v>0</v>
      </c>
      <c r="K1131" s="30">
        <v>45981.708333333336</v>
      </c>
      <c r="L1131" s="30">
        <v>46275.333333333336</v>
      </c>
    </row>
    <row r="1132" spans="1:12" x14ac:dyDescent="0.25">
      <c r="A1132" t="s">
        <v>1248</v>
      </c>
      <c r="B1132">
        <v>91819</v>
      </c>
      <c r="C1132">
        <v>119890</v>
      </c>
      <c r="D1132">
        <v>119889</v>
      </c>
      <c r="E1132">
        <v>405</v>
      </c>
      <c r="F1132">
        <v>405</v>
      </c>
      <c r="G1132" t="s">
        <v>3138</v>
      </c>
      <c r="H1132">
        <v>0</v>
      </c>
      <c r="K1132" s="30">
        <v>45987.708333333336</v>
      </c>
      <c r="L1132" s="30">
        <v>46293.333333333336</v>
      </c>
    </row>
    <row r="1133" spans="1:12" x14ac:dyDescent="0.25">
      <c r="A1133" t="s">
        <v>1248</v>
      </c>
      <c r="B1133">
        <v>91820</v>
      </c>
      <c r="C1133">
        <v>119891</v>
      </c>
      <c r="D1133">
        <v>119890</v>
      </c>
      <c r="E1133">
        <v>405</v>
      </c>
      <c r="F1133">
        <v>405</v>
      </c>
      <c r="G1133" t="s">
        <v>3138</v>
      </c>
      <c r="H1133">
        <v>0</v>
      </c>
      <c r="K1133" s="30">
        <v>45993.708333333336</v>
      </c>
      <c r="L1133" s="30">
        <v>46309.333333333336</v>
      </c>
    </row>
    <row r="1134" spans="1:12" x14ac:dyDescent="0.25">
      <c r="A1134" t="s">
        <v>1248</v>
      </c>
      <c r="B1134">
        <v>91821</v>
      </c>
      <c r="C1134">
        <v>119892</v>
      </c>
      <c r="D1134">
        <v>119891</v>
      </c>
      <c r="E1134">
        <v>405</v>
      </c>
      <c r="F1134">
        <v>405</v>
      </c>
      <c r="G1134" t="s">
        <v>3138</v>
      </c>
      <c r="H1134">
        <v>0</v>
      </c>
      <c r="K1134" s="30">
        <v>45999.708333333336</v>
      </c>
      <c r="L1134" s="30">
        <v>46325.333333333336</v>
      </c>
    </row>
    <row r="1135" spans="1:12" x14ac:dyDescent="0.25">
      <c r="A1135" t="s">
        <v>1248</v>
      </c>
      <c r="B1135">
        <v>91822</v>
      </c>
      <c r="C1135">
        <v>119893</v>
      </c>
      <c r="D1135">
        <v>119892</v>
      </c>
      <c r="E1135">
        <v>405</v>
      </c>
      <c r="F1135">
        <v>405</v>
      </c>
      <c r="G1135" t="s">
        <v>3138</v>
      </c>
      <c r="H1135">
        <v>0</v>
      </c>
      <c r="K1135" s="30">
        <v>46003.708333333336</v>
      </c>
      <c r="L1135" s="30">
        <v>46343.333333333336</v>
      </c>
    </row>
    <row r="1136" spans="1:12" x14ac:dyDescent="0.25">
      <c r="A1136" t="s">
        <v>1248</v>
      </c>
      <c r="B1136">
        <v>91823</v>
      </c>
      <c r="C1136">
        <v>119894</v>
      </c>
      <c r="D1136">
        <v>119893</v>
      </c>
      <c r="E1136">
        <v>405</v>
      </c>
      <c r="F1136">
        <v>405</v>
      </c>
      <c r="G1136" t="s">
        <v>3138</v>
      </c>
      <c r="H1136">
        <v>0</v>
      </c>
      <c r="K1136" s="30">
        <v>46009.708333333336</v>
      </c>
      <c r="L1136" s="30">
        <v>46359.333333333336</v>
      </c>
    </row>
    <row r="1137" spans="1:12" x14ac:dyDescent="0.25">
      <c r="A1137" t="s">
        <v>1248</v>
      </c>
      <c r="B1137">
        <v>91824</v>
      </c>
      <c r="C1137">
        <v>119895</v>
      </c>
      <c r="D1137">
        <v>119894</v>
      </c>
      <c r="E1137">
        <v>405</v>
      </c>
      <c r="F1137">
        <v>405</v>
      </c>
      <c r="G1137" t="s">
        <v>3138</v>
      </c>
      <c r="H1137">
        <v>0</v>
      </c>
      <c r="K1137" s="30">
        <v>46015.708333333336</v>
      </c>
      <c r="L1137" s="30">
        <v>46378.333333333336</v>
      </c>
    </row>
    <row r="1138" spans="1:12" x14ac:dyDescent="0.25">
      <c r="A1138" t="s">
        <v>1248</v>
      </c>
      <c r="B1138">
        <v>91825</v>
      </c>
      <c r="C1138">
        <v>119896</v>
      </c>
      <c r="D1138">
        <v>119895</v>
      </c>
      <c r="E1138">
        <v>405</v>
      </c>
      <c r="F1138">
        <v>405</v>
      </c>
      <c r="G1138" t="s">
        <v>3138</v>
      </c>
      <c r="H1138">
        <v>0</v>
      </c>
      <c r="K1138" s="30">
        <v>46021.708333333336</v>
      </c>
      <c r="L1138" s="30">
        <v>46399.333333333336</v>
      </c>
    </row>
    <row r="1139" spans="1:12" x14ac:dyDescent="0.25">
      <c r="A1139" t="s">
        <v>1248</v>
      </c>
      <c r="B1139">
        <v>91826</v>
      </c>
      <c r="C1139">
        <v>119897</v>
      </c>
      <c r="D1139">
        <v>119896</v>
      </c>
      <c r="E1139">
        <v>405</v>
      </c>
      <c r="F1139">
        <v>405</v>
      </c>
      <c r="G1139" t="s">
        <v>3138</v>
      </c>
      <c r="H1139">
        <v>0</v>
      </c>
      <c r="K1139" s="30">
        <v>46029.708333333336</v>
      </c>
      <c r="L1139" s="30">
        <v>46415.333333333336</v>
      </c>
    </row>
    <row r="1140" spans="1:12" x14ac:dyDescent="0.25">
      <c r="A1140" t="s">
        <v>1248</v>
      </c>
      <c r="B1140">
        <v>91827</v>
      </c>
      <c r="C1140">
        <v>119898</v>
      </c>
      <c r="D1140">
        <v>119873</v>
      </c>
      <c r="E1140">
        <v>405</v>
      </c>
      <c r="F1140">
        <v>405</v>
      </c>
      <c r="G1140" t="s">
        <v>3140</v>
      </c>
      <c r="H1140">
        <v>640</v>
      </c>
      <c r="K1140" s="30">
        <v>46003.708333333336</v>
      </c>
      <c r="L1140" s="30">
        <v>45888.333333333336</v>
      </c>
    </row>
    <row r="1141" spans="1:12" x14ac:dyDescent="0.25">
      <c r="A1141" t="s">
        <v>1248</v>
      </c>
      <c r="B1141">
        <v>91828</v>
      </c>
      <c r="C1141">
        <v>119899</v>
      </c>
      <c r="D1141">
        <v>119898</v>
      </c>
      <c r="E1141">
        <v>405</v>
      </c>
      <c r="F1141">
        <v>405</v>
      </c>
      <c r="G1141" t="s">
        <v>3138</v>
      </c>
      <c r="H1141">
        <v>0</v>
      </c>
      <c r="K1141" s="30">
        <v>46021.708333333336</v>
      </c>
      <c r="L1141" s="30">
        <v>46022.333333333336</v>
      </c>
    </row>
    <row r="1142" spans="1:12" x14ac:dyDescent="0.25">
      <c r="A1142" t="s">
        <v>1248</v>
      </c>
      <c r="B1142">
        <v>91829</v>
      </c>
      <c r="C1142">
        <v>119900</v>
      </c>
      <c r="D1142">
        <v>119899</v>
      </c>
      <c r="E1142">
        <v>405</v>
      </c>
      <c r="F1142">
        <v>405</v>
      </c>
      <c r="G1142" t="s">
        <v>3138</v>
      </c>
      <c r="H1142">
        <v>0</v>
      </c>
      <c r="K1142" s="30">
        <v>46041.708333333336</v>
      </c>
      <c r="L1142" s="30">
        <v>46042.333333333336</v>
      </c>
    </row>
    <row r="1143" spans="1:12" x14ac:dyDescent="0.25">
      <c r="A1143" t="s">
        <v>1248</v>
      </c>
      <c r="B1143">
        <v>91830</v>
      </c>
      <c r="C1143">
        <v>119901</v>
      </c>
      <c r="D1143">
        <v>119900</v>
      </c>
      <c r="E1143">
        <v>405</v>
      </c>
      <c r="F1143">
        <v>405</v>
      </c>
      <c r="G1143" t="s">
        <v>3138</v>
      </c>
      <c r="H1143">
        <v>0</v>
      </c>
      <c r="K1143" s="30">
        <v>46057.708333333336</v>
      </c>
      <c r="L1143" s="30">
        <v>46058.333333333336</v>
      </c>
    </row>
    <row r="1144" spans="1:12" x14ac:dyDescent="0.25">
      <c r="A1144" t="s">
        <v>1248</v>
      </c>
      <c r="B1144">
        <v>91831</v>
      </c>
      <c r="C1144">
        <v>119902</v>
      </c>
      <c r="D1144">
        <v>119901</v>
      </c>
      <c r="E1144">
        <v>405</v>
      </c>
      <c r="F1144">
        <v>405</v>
      </c>
      <c r="G1144" t="s">
        <v>3138</v>
      </c>
      <c r="H1144">
        <v>0</v>
      </c>
      <c r="K1144" s="30">
        <v>46073.708333333336</v>
      </c>
      <c r="L1144" s="30">
        <v>46076.333333333336</v>
      </c>
    </row>
    <row r="1145" spans="1:12" x14ac:dyDescent="0.25">
      <c r="A1145" t="s">
        <v>1248</v>
      </c>
      <c r="B1145">
        <v>91832</v>
      </c>
      <c r="C1145">
        <v>119903</v>
      </c>
      <c r="D1145">
        <v>119902</v>
      </c>
      <c r="E1145">
        <v>405</v>
      </c>
      <c r="F1145">
        <v>405</v>
      </c>
      <c r="G1145" t="s">
        <v>3138</v>
      </c>
      <c r="H1145">
        <v>0</v>
      </c>
      <c r="K1145" s="30">
        <v>46091.708333333336</v>
      </c>
      <c r="L1145" s="30">
        <v>46092.333333333336</v>
      </c>
    </row>
    <row r="1146" spans="1:12" x14ac:dyDescent="0.25">
      <c r="A1146" t="s">
        <v>1248</v>
      </c>
      <c r="B1146">
        <v>91833</v>
      </c>
      <c r="C1146">
        <v>119904</v>
      </c>
      <c r="D1146">
        <v>119903</v>
      </c>
      <c r="E1146">
        <v>405</v>
      </c>
      <c r="F1146">
        <v>405</v>
      </c>
      <c r="G1146" t="s">
        <v>3138</v>
      </c>
      <c r="H1146">
        <v>0</v>
      </c>
      <c r="K1146" s="30">
        <v>46107.708333333336</v>
      </c>
      <c r="L1146" s="30">
        <v>46108.333333333336</v>
      </c>
    </row>
    <row r="1147" spans="1:12" x14ac:dyDescent="0.25">
      <c r="A1147" t="s">
        <v>1248</v>
      </c>
      <c r="B1147">
        <v>91834</v>
      </c>
      <c r="C1147">
        <v>119905</v>
      </c>
      <c r="D1147">
        <v>119904</v>
      </c>
      <c r="E1147">
        <v>405</v>
      </c>
      <c r="F1147">
        <v>405</v>
      </c>
      <c r="G1147" t="s">
        <v>3138</v>
      </c>
      <c r="H1147">
        <v>0</v>
      </c>
      <c r="K1147" s="30">
        <v>46126.708333333336</v>
      </c>
      <c r="L1147" s="30">
        <v>46127.333333333336</v>
      </c>
    </row>
    <row r="1148" spans="1:12" x14ac:dyDescent="0.25">
      <c r="A1148" t="s">
        <v>1248</v>
      </c>
      <c r="B1148">
        <v>91835</v>
      </c>
      <c r="C1148">
        <v>119906</v>
      </c>
      <c r="D1148">
        <v>119905</v>
      </c>
      <c r="E1148">
        <v>405</v>
      </c>
      <c r="F1148">
        <v>405</v>
      </c>
      <c r="G1148" t="s">
        <v>3138</v>
      </c>
      <c r="H1148">
        <v>0</v>
      </c>
      <c r="K1148" s="30">
        <v>46142.708333333336</v>
      </c>
      <c r="L1148" s="30">
        <v>46146.333333333336</v>
      </c>
    </row>
    <row r="1149" spans="1:12" x14ac:dyDescent="0.25">
      <c r="A1149" t="s">
        <v>1248</v>
      </c>
      <c r="B1149">
        <v>91836</v>
      </c>
      <c r="C1149">
        <v>119907</v>
      </c>
      <c r="D1149">
        <v>119906</v>
      </c>
      <c r="E1149">
        <v>405</v>
      </c>
      <c r="F1149">
        <v>405</v>
      </c>
      <c r="G1149" t="s">
        <v>3138</v>
      </c>
      <c r="H1149">
        <v>0</v>
      </c>
      <c r="K1149" s="30">
        <v>46161.708333333336</v>
      </c>
      <c r="L1149" s="30">
        <v>46162.333333333336</v>
      </c>
    </row>
    <row r="1150" spans="1:12" x14ac:dyDescent="0.25">
      <c r="A1150" t="s">
        <v>1248</v>
      </c>
      <c r="B1150">
        <v>91837</v>
      </c>
      <c r="C1150">
        <v>119908</v>
      </c>
      <c r="D1150">
        <v>119907</v>
      </c>
      <c r="E1150">
        <v>405</v>
      </c>
      <c r="F1150">
        <v>405</v>
      </c>
      <c r="G1150" t="s">
        <v>3138</v>
      </c>
      <c r="H1150">
        <v>0</v>
      </c>
      <c r="K1150" s="30">
        <v>46178.708333333336</v>
      </c>
      <c r="L1150" s="30">
        <v>46181.333333333336</v>
      </c>
    </row>
    <row r="1151" spans="1:12" x14ac:dyDescent="0.25">
      <c r="A1151" t="s">
        <v>1248</v>
      </c>
      <c r="B1151">
        <v>91838</v>
      </c>
      <c r="C1151">
        <v>119909</v>
      </c>
      <c r="D1151">
        <v>119908</v>
      </c>
      <c r="E1151">
        <v>405</v>
      </c>
      <c r="F1151">
        <v>405</v>
      </c>
      <c r="G1151" t="s">
        <v>3138</v>
      </c>
      <c r="H1151">
        <v>0</v>
      </c>
      <c r="K1151" s="30">
        <v>46196.708333333336</v>
      </c>
      <c r="L1151" s="30">
        <v>46197.333333333336</v>
      </c>
    </row>
    <row r="1152" spans="1:12" x14ac:dyDescent="0.25">
      <c r="A1152" t="s">
        <v>1248</v>
      </c>
      <c r="B1152">
        <v>91839</v>
      </c>
      <c r="C1152">
        <v>119910</v>
      </c>
      <c r="D1152">
        <v>119909</v>
      </c>
      <c r="E1152">
        <v>405</v>
      </c>
      <c r="F1152">
        <v>405</v>
      </c>
      <c r="G1152" t="s">
        <v>3138</v>
      </c>
      <c r="H1152">
        <v>0</v>
      </c>
      <c r="K1152" s="30">
        <v>46212.708333333336</v>
      </c>
      <c r="L1152" s="30">
        <v>46213.333333333336</v>
      </c>
    </row>
    <row r="1153" spans="1:12" x14ac:dyDescent="0.25">
      <c r="A1153" t="s">
        <v>1248</v>
      </c>
      <c r="B1153">
        <v>91840</v>
      </c>
      <c r="C1153">
        <v>119911</v>
      </c>
      <c r="D1153">
        <v>119910</v>
      </c>
      <c r="E1153">
        <v>405</v>
      </c>
      <c r="F1153">
        <v>405</v>
      </c>
      <c r="G1153" t="s">
        <v>3138</v>
      </c>
      <c r="H1153">
        <v>0</v>
      </c>
      <c r="K1153" s="30">
        <v>46230.708333333336</v>
      </c>
      <c r="L1153" s="30">
        <v>46231.333333333336</v>
      </c>
    </row>
    <row r="1154" spans="1:12" x14ac:dyDescent="0.25">
      <c r="A1154" t="s">
        <v>1248</v>
      </c>
      <c r="B1154">
        <v>91841</v>
      </c>
      <c r="C1154">
        <v>119912</v>
      </c>
      <c r="D1154">
        <v>119911</v>
      </c>
      <c r="E1154">
        <v>405</v>
      </c>
      <c r="F1154">
        <v>405</v>
      </c>
      <c r="G1154" t="s">
        <v>3138</v>
      </c>
      <c r="H1154">
        <v>0</v>
      </c>
      <c r="K1154" s="30">
        <v>46246.708333333336</v>
      </c>
      <c r="L1154" s="30">
        <v>46247.333333333336</v>
      </c>
    </row>
    <row r="1155" spans="1:12" x14ac:dyDescent="0.25">
      <c r="A1155" t="s">
        <v>1248</v>
      </c>
      <c r="B1155">
        <v>91842</v>
      </c>
      <c r="C1155">
        <v>119913</v>
      </c>
      <c r="D1155">
        <v>119912</v>
      </c>
      <c r="E1155">
        <v>405</v>
      </c>
      <c r="F1155">
        <v>405</v>
      </c>
      <c r="G1155" t="s">
        <v>3138</v>
      </c>
      <c r="H1155">
        <v>0</v>
      </c>
      <c r="K1155" s="30">
        <v>46262.708333333336</v>
      </c>
      <c r="L1155" s="30">
        <v>46265.333333333336</v>
      </c>
    </row>
    <row r="1156" spans="1:12" x14ac:dyDescent="0.25">
      <c r="A1156" t="s">
        <v>1248</v>
      </c>
      <c r="B1156">
        <v>91843</v>
      </c>
      <c r="C1156">
        <v>119914</v>
      </c>
      <c r="D1156">
        <v>119913</v>
      </c>
      <c r="E1156">
        <v>405</v>
      </c>
      <c r="F1156">
        <v>405</v>
      </c>
      <c r="G1156" t="s">
        <v>3138</v>
      </c>
      <c r="H1156">
        <v>0</v>
      </c>
      <c r="K1156" s="30">
        <v>46280.708333333336</v>
      </c>
      <c r="L1156" s="30">
        <v>46281.333333333336</v>
      </c>
    </row>
    <row r="1157" spans="1:12" x14ac:dyDescent="0.25">
      <c r="A1157" t="s">
        <v>1248</v>
      </c>
      <c r="B1157">
        <v>91844</v>
      </c>
      <c r="C1157">
        <v>119915</v>
      </c>
      <c r="D1157">
        <v>119914</v>
      </c>
      <c r="E1157">
        <v>405</v>
      </c>
      <c r="F1157">
        <v>405</v>
      </c>
      <c r="G1157" t="s">
        <v>3138</v>
      </c>
      <c r="H1157">
        <v>0</v>
      </c>
      <c r="K1157" s="30">
        <v>46296.708333333336</v>
      </c>
      <c r="L1157" s="30">
        <v>46297.333333333336</v>
      </c>
    </row>
    <row r="1158" spans="1:12" x14ac:dyDescent="0.25">
      <c r="A1158" t="s">
        <v>1248</v>
      </c>
      <c r="B1158">
        <v>91845</v>
      </c>
      <c r="C1158">
        <v>119916</v>
      </c>
      <c r="D1158">
        <v>119915</v>
      </c>
      <c r="E1158">
        <v>405</v>
      </c>
      <c r="F1158">
        <v>405</v>
      </c>
      <c r="G1158" t="s">
        <v>3138</v>
      </c>
      <c r="H1158">
        <v>0</v>
      </c>
      <c r="K1158" s="30">
        <v>46314.708333333336</v>
      </c>
      <c r="L1158" s="30">
        <v>46315.333333333336</v>
      </c>
    </row>
    <row r="1159" spans="1:12" x14ac:dyDescent="0.25">
      <c r="A1159" t="s">
        <v>1248</v>
      </c>
      <c r="B1159">
        <v>91846</v>
      </c>
      <c r="C1159">
        <v>119917</v>
      </c>
      <c r="D1159">
        <v>119916</v>
      </c>
      <c r="E1159">
        <v>405</v>
      </c>
      <c r="F1159">
        <v>405</v>
      </c>
      <c r="G1159" t="s">
        <v>3138</v>
      </c>
      <c r="H1159">
        <v>0</v>
      </c>
      <c r="K1159" s="30">
        <v>46330.708333333336</v>
      </c>
      <c r="L1159" s="30">
        <v>46331.333333333336</v>
      </c>
    </row>
    <row r="1160" spans="1:12" x14ac:dyDescent="0.25">
      <c r="A1160" t="s">
        <v>1248</v>
      </c>
      <c r="B1160">
        <v>91847</v>
      </c>
      <c r="C1160">
        <v>119918</v>
      </c>
      <c r="D1160">
        <v>119917</v>
      </c>
      <c r="E1160">
        <v>405</v>
      </c>
      <c r="F1160">
        <v>405</v>
      </c>
      <c r="G1160" t="s">
        <v>3138</v>
      </c>
      <c r="H1160">
        <v>0</v>
      </c>
      <c r="K1160" s="30">
        <v>46346.708333333336</v>
      </c>
      <c r="L1160" s="30">
        <v>46349.333333333336</v>
      </c>
    </row>
    <row r="1161" spans="1:12" x14ac:dyDescent="0.25">
      <c r="A1161" t="s">
        <v>1248</v>
      </c>
      <c r="B1161">
        <v>91848</v>
      </c>
      <c r="C1161">
        <v>119919</v>
      </c>
      <c r="D1161">
        <v>119918</v>
      </c>
      <c r="E1161">
        <v>405</v>
      </c>
      <c r="F1161">
        <v>405</v>
      </c>
      <c r="G1161" t="s">
        <v>3138</v>
      </c>
      <c r="H1161">
        <v>0</v>
      </c>
      <c r="K1161" s="30">
        <v>46365.708333333336</v>
      </c>
      <c r="L1161" s="30">
        <v>46366.333333333336</v>
      </c>
    </row>
    <row r="1162" spans="1:12" x14ac:dyDescent="0.25">
      <c r="A1162" t="s">
        <v>1248</v>
      </c>
      <c r="B1162">
        <v>91849</v>
      </c>
      <c r="C1162">
        <v>119920</v>
      </c>
      <c r="D1162">
        <v>119919</v>
      </c>
      <c r="E1162">
        <v>405</v>
      </c>
      <c r="F1162">
        <v>405</v>
      </c>
      <c r="G1162" t="s">
        <v>3138</v>
      </c>
      <c r="H1162">
        <v>0</v>
      </c>
      <c r="K1162" s="30">
        <v>46384.708333333336</v>
      </c>
      <c r="L1162" s="30">
        <v>46385.333333333336</v>
      </c>
    </row>
    <row r="1163" spans="1:12" x14ac:dyDescent="0.25">
      <c r="A1163" t="s">
        <v>1248</v>
      </c>
      <c r="B1163">
        <v>91850</v>
      </c>
      <c r="C1163">
        <v>119921</v>
      </c>
      <c r="D1163">
        <v>119920</v>
      </c>
      <c r="E1163">
        <v>405</v>
      </c>
      <c r="F1163">
        <v>405</v>
      </c>
      <c r="G1163" t="s">
        <v>3138</v>
      </c>
      <c r="H1163">
        <v>0</v>
      </c>
      <c r="K1163" s="30">
        <v>46402.708333333336</v>
      </c>
      <c r="L1163" s="30">
        <v>46405.333333333336</v>
      </c>
    </row>
    <row r="1164" spans="1:12" x14ac:dyDescent="0.25">
      <c r="A1164" t="s">
        <v>1248</v>
      </c>
      <c r="B1164">
        <v>91851</v>
      </c>
      <c r="C1164">
        <v>119922</v>
      </c>
      <c r="D1164">
        <v>119921</v>
      </c>
      <c r="E1164">
        <v>405</v>
      </c>
      <c r="F1164">
        <v>405</v>
      </c>
      <c r="G1164" t="s">
        <v>3138</v>
      </c>
      <c r="H1164">
        <v>0</v>
      </c>
      <c r="K1164" s="30">
        <v>46420.708333333336</v>
      </c>
      <c r="L1164" s="30">
        <v>46421.333333333336</v>
      </c>
    </row>
    <row r="1165" spans="1:12" x14ac:dyDescent="0.25">
      <c r="A1165" t="s">
        <v>1248</v>
      </c>
      <c r="B1165">
        <v>91852</v>
      </c>
      <c r="C1165">
        <v>119812</v>
      </c>
      <c r="D1165">
        <v>119922</v>
      </c>
      <c r="E1165">
        <v>405</v>
      </c>
      <c r="F1165">
        <v>405</v>
      </c>
      <c r="G1165" t="s">
        <v>3138</v>
      </c>
      <c r="H1165">
        <v>-160</v>
      </c>
      <c r="K1165" s="30">
        <v>46409.333333333336</v>
      </c>
      <c r="L1165" s="30">
        <v>46436.708333333336</v>
      </c>
    </row>
    <row r="1166" spans="1:12" x14ac:dyDescent="0.25">
      <c r="A1166" t="s">
        <v>1248</v>
      </c>
      <c r="B1166">
        <v>91853</v>
      </c>
      <c r="C1166">
        <v>119813</v>
      </c>
      <c r="D1166">
        <v>119812</v>
      </c>
      <c r="E1166">
        <v>405</v>
      </c>
      <c r="F1166">
        <v>405</v>
      </c>
      <c r="G1166" t="s">
        <v>3140</v>
      </c>
      <c r="H1166">
        <v>0</v>
      </c>
      <c r="K1166" s="30">
        <v>46409.333333333336</v>
      </c>
      <c r="L1166" s="30">
        <v>46349.333333333336</v>
      </c>
    </row>
    <row r="1167" spans="1:12" x14ac:dyDescent="0.25">
      <c r="A1167" t="s">
        <v>1248</v>
      </c>
      <c r="B1167">
        <v>91854</v>
      </c>
      <c r="C1167">
        <v>119814</v>
      </c>
      <c r="D1167">
        <v>119813</v>
      </c>
      <c r="E1167">
        <v>405</v>
      </c>
      <c r="F1167">
        <v>405</v>
      </c>
      <c r="G1167" t="s">
        <v>3140</v>
      </c>
      <c r="H1167">
        <v>40</v>
      </c>
      <c r="K1167" s="30">
        <v>46415.708333333336</v>
      </c>
      <c r="L1167" s="30">
        <v>46349.333333333336</v>
      </c>
    </row>
    <row r="1168" spans="1:12" x14ac:dyDescent="0.25">
      <c r="A1168" t="s">
        <v>1248</v>
      </c>
      <c r="B1168">
        <v>91855</v>
      </c>
      <c r="C1168">
        <v>119815</v>
      </c>
      <c r="D1168">
        <v>119814</v>
      </c>
      <c r="E1168">
        <v>405</v>
      </c>
      <c r="F1168">
        <v>405</v>
      </c>
      <c r="G1168" t="s">
        <v>3140</v>
      </c>
      <c r="H1168">
        <v>40</v>
      </c>
      <c r="K1168" s="30">
        <v>46422.708333333336</v>
      </c>
      <c r="L1168" s="30">
        <v>46335.333333333336</v>
      </c>
    </row>
    <row r="1169" spans="1:12" x14ac:dyDescent="0.25">
      <c r="A1169" t="s">
        <v>1248</v>
      </c>
      <c r="B1169">
        <v>91856</v>
      </c>
      <c r="C1169">
        <v>119816</v>
      </c>
      <c r="D1169">
        <v>119815</v>
      </c>
      <c r="E1169">
        <v>405</v>
      </c>
      <c r="F1169">
        <v>405</v>
      </c>
      <c r="G1169" t="s">
        <v>3140</v>
      </c>
      <c r="H1169">
        <v>40</v>
      </c>
      <c r="K1169" s="30">
        <v>46429.708333333336</v>
      </c>
      <c r="L1169" s="30">
        <v>46428.333333333336</v>
      </c>
    </row>
    <row r="1170" spans="1:12" x14ac:dyDescent="0.25">
      <c r="A1170" t="s">
        <v>1248</v>
      </c>
      <c r="B1170">
        <v>91857</v>
      </c>
      <c r="C1170">
        <v>119819</v>
      </c>
      <c r="D1170">
        <v>120013</v>
      </c>
      <c r="E1170">
        <v>405</v>
      </c>
      <c r="F1170">
        <v>405</v>
      </c>
      <c r="G1170" t="s">
        <v>3138</v>
      </c>
      <c r="H1170">
        <v>0</v>
      </c>
      <c r="K1170" s="30">
        <v>46311.708333333336</v>
      </c>
      <c r="L1170" s="30">
        <v>46465.333333333336</v>
      </c>
    </row>
    <row r="1171" spans="1:12" x14ac:dyDescent="0.25">
      <c r="A1171" t="s">
        <v>1248</v>
      </c>
      <c r="B1171">
        <v>91858</v>
      </c>
      <c r="C1171">
        <v>119819</v>
      </c>
      <c r="D1171">
        <v>119815</v>
      </c>
      <c r="E1171">
        <v>405</v>
      </c>
      <c r="F1171">
        <v>405</v>
      </c>
      <c r="G1171" t="s">
        <v>3138</v>
      </c>
      <c r="H1171">
        <v>0</v>
      </c>
      <c r="K1171" s="30">
        <v>46464.708333333336</v>
      </c>
      <c r="L1171" s="30">
        <v>46465.333333333336</v>
      </c>
    </row>
    <row r="1172" spans="1:12" x14ac:dyDescent="0.25">
      <c r="A1172" t="s">
        <v>1248</v>
      </c>
      <c r="B1172">
        <v>91859</v>
      </c>
      <c r="C1172">
        <v>119817</v>
      </c>
      <c r="D1172">
        <v>120013</v>
      </c>
      <c r="E1172">
        <v>405</v>
      </c>
      <c r="F1172">
        <v>405</v>
      </c>
      <c r="G1172" t="s">
        <v>3138</v>
      </c>
      <c r="H1172">
        <v>0</v>
      </c>
      <c r="K1172" s="30">
        <v>46311.708333333336</v>
      </c>
      <c r="L1172" s="30">
        <v>46478.333333333336</v>
      </c>
    </row>
    <row r="1173" spans="1:12" x14ac:dyDescent="0.25">
      <c r="A1173" t="s">
        <v>1248</v>
      </c>
      <c r="B1173">
        <v>91860</v>
      </c>
      <c r="C1173">
        <v>119817</v>
      </c>
      <c r="D1173">
        <v>119819</v>
      </c>
      <c r="E1173">
        <v>405</v>
      </c>
      <c r="F1173">
        <v>405</v>
      </c>
      <c r="G1173" t="s">
        <v>3138</v>
      </c>
      <c r="H1173">
        <v>0</v>
      </c>
      <c r="K1173" s="30">
        <v>46477.708333333336</v>
      </c>
      <c r="L1173" s="30">
        <v>46478.333333333336</v>
      </c>
    </row>
    <row r="1174" spans="1:12" x14ac:dyDescent="0.25">
      <c r="A1174" t="s">
        <v>1248</v>
      </c>
      <c r="B1174">
        <v>91861</v>
      </c>
      <c r="C1174">
        <v>119818</v>
      </c>
      <c r="D1174">
        <v>119817</v>
      </c>
      <c r="E1174">
        <v>405</v>
      </c>
      <c r="F1174">
        <v>405</v>
      </c>
      <c r="G1174" t="s">
        <v>3140</v>
      </c>
      <c r="H1174">
        <v>0</v>
      </c>
      <c r="K1174" s="30">
        <v>46478.333333333336</v>
      </c>
      <c r="L1174" s="30">
        <v>46442.333333333336</v>
      </c>
    </row>
    <row r="1175" spans="1:12" x14ac:dyDescent="0.25">
      <c r="A1175" t="s">
        <v>1248</v>
      </c>
      <c r="B1175">
        <v>91862</v>
      </c>
      <c r="C1175">
        <v>119822</v>
      </c>
      <c r="D1175">
        <v>119818</v>
      </c>
      <c r="E1175">
        <v>405</v>
      </c>
      <c r="F1175">
        <v>405</v>
      </c>
      <c r="G1175" t="s">
        <v>3138</v>
      </c>
      <c r="H1175">
        <v>0</v>
      </c>
      <c r="K1175" s="30">
        <v>46505.708333333336</v>
      </c>
      <c r="L1175" s="30">
        <v>46513.333333333336</v>
      </c>
    </row>
    <row r="1176" spans="1:12" x14ac:dyDescent="0.25">
      <c r="A1176" t="s">
        <v>1248</v>
      </c>
      <c r="B1176">
        <v>92005</v>
      </c>
      <c r="C1176">
        <v>120171</v>
      </c>
      <c r="D1176">
        <v>119822</v>
      </c>
      <c r="E1176">
        <v>405</v>
      </c>
      <c r="F1176">
        <v>405</v>
      </c>
      <c r="G1176" t="s">
        <v>3138</v>
      </c>
      <c r="H1176">
        <v>0</v>
      </c>
      <c r="K1176" s="30">
        <v>46512.708333333336</v>
      </c>
      <c r="L1176" s="30">
        <v>46519.708333333336</v>
      </c>
    </row>
    <row r="1177" spans="1:12" x14ac:dyDescent="0.25">
      <c r="A1177" t="s">
        <v>1248</v>
      </c>
      <c r="B1177">
        <v>92006</v>
      </c>
      <c r="C1177">
        <v>119873</v>
      </c>
      <c r="D1177">
        <v>119987</v>
      </c>
      <c r="E1177">
        <v>405</v>
      </c>
      <c r="F1177">
        <v>405</v>
      </c>
      <c r="G1177" t="s">
        <v>3138</v>
      </c>
      <c r="H1177">
        <v>0</v>
      </c>
      <c r="K1177" s="30">
        <v>45891.708333333336</v>
      </c>
      <c r="L1177" s="30">
        <v>45894.333333333336</v>
      </c>
    </row>
    <row r="1178" spans="1:12" x14ac:dyDescent="0.25">
      <c r="A1178" t="s">
        <v>1248</v>
      </c>
      <c r="B1178">
        <v>92007</v>
      </c>
      <c r="C1178">
        <v>119795</v>
      </c>
      <c r="D1178">
        <v>119943</v>
      </c>
      <c r="E1178">
        <v>405</v>
      </c>
      <c r="F1178">
        <v>405</v>
      </c>
      <c r="G1178" t="s">
        <v>3138</v>
      </c>
      <c r="H1178">
        <v>0</v>
      </c>
      <c r="K1178" s="30">
        <v>45779.708333333336</v>
      </c>
      <c r="L1178" s="30">
        <v>45782.333333333336</v>
      </c>
    </row>
    <row r="1179" spans="1:12" x14ac:dyDescent="0.25">
      <c r="A1179" t="s">
        <v>1248</v>
      </c>
      <c r="B1179">
        <v>358573</v>
      </c>
      <c r="C1179">
        <v>352046</v>
      </c>
      <c r="D1179">
        <v>352045</v>
      </c>
      <c r="E1179">
        <v>405</v>
      </c>
      <c r="F1179">
        <v>405</v>
      </c>
      <c r="G1179" t="s">
        <v>3138</v>
      </c>
      <c r="H1179">
        <v>0</v>
      </c>
      <c r="K1179" s="30">
        <v>45797.625</v>
      </c>
      <c r="L1179" s="30">
        <v>45863.333333333336</v>
      </c>
    </row>
    <row r="1180" spans="1:12" x14ac:dyDescent="0.25">
      <c r="A1180" t="s">
        <v>1248</v>
      </c>
      <c r="B1180">
        <v>358574</v>
      </c>
      <c r="C1180">
        <v>352047</v>
      </c>
      <c r="D1180">
        <v>352046</v>
      </c>
      <c r="E1180">
        <v>405</v>
      </c>
      <c r="F1180">
        <v>405</v>
      </c>
      <c r="G1180" t="s">
        <v>3138</v>
      </c>
      <c r="H1180">
        <v>0</v>
      </c>
      <c r="K1180" s="30">
        <v>45800.625</v>
      </c>
      <c r="L1180" s="30">
        <v>45868.333333333336</v>
      </c>
    </row>
    <row r="1181" spans="1:12" x14ac:dyDescent="0.25">
      <c r="A1181" t="s">
        <v>1248</v>
      </c>
      <c r="B1181">
        <v>358575</v>
      </c>
      <c r="C1181">
        <v>352048</v>
      </c>
      <c r="D1181">
        <v>352047</v>
      </c>
      <c r="E1181">
        <v>405</v>
      </c>
      <c r="F1181">
        <v>405</v>
      </c>
      <c r="G1181" t="s">
        <v>3138</v>
      </c>
      <c r="H1181">
        <v>0</v>
      </c>
      <c r="K1181" s="30">
        <v>45803.625</v>
      </c>
      <c r="L1181" s="30">
        <v>45869.333333333336</v>
      </c>
    </row>
    <row r="1182" spans="1:12" x14ac:dyDescent="0.25">
      <c r="A1182" t="s">
        <v>1248</v>
      </c>
      <c r="B1182">
        <v>358576</v>
      </c>
      <c r="C1182">
        <v>352049</v>
      </c>
      <c r="D1182">
        <v>352048</v>
      </c>
      <c r="E1182">
        <v>405</v>
      </c>
      <c r="F1182">
        <v>405</v>
      </c>
      <c r="G1182" t="s">
        <v>3138</v>
      </c>
      <c r="H1182">
        <v>0</v>
      </c>
      <c r="K1182" s="30">
        <v>45805.625</v>
      </c>
      <c r="L1182" s="30">
        <v>45873.333333333336</v>
      </c>
    </row>
    <row r="1183" spans="1:12" x14ac:dyDescent="0.25">
      <c r="A1183" t="s">
        <v>1248</v>
      </c>
      <c r="B1183">
        <v>358577</v>
      </c>
      <c r="C1183">
        <v>352050</v>
      </c>
      <c r="D1183">
        <v>352049</v>
      </c>
      <c r="E1183">
        <v>405</v>
      </c>
      <c r="F1183">
        <v>405</v>
      </c>
      <c r="G1183" t="s">
        <v>3138</v>
      </c>
      <c r="H1183">
        <v>0</v>
      </c>
      <c r="K1183" s="30">
        <v>45811.625</v>
      </c>
      <c r="L1183" s="30">
        <v>45877.333333333336</v>
      </c>
    </row>
    <row r="1184" spans="1:12" x14ac:dyDescent="0.25">
      <c r="A1184" t="s">
        <v>1248</v>
      </c>
      <c r="B1184">
        <v>358578</v>
      </c>
      <c r="C1184">
        <v>352051</v>
      </c>
      <c r="D1184">
        <v>352050</v>
      </c>
      <c r="E1184">
        <v>405</v>
      </c>
      <c r="F1184">
        <v>405</v>
      </c>
      <c r="G1184" t="s">
        <v>3138</v>
      </c>
      <c r="H1184">
        <v>0</v>
      </c>
      <c r="K1184" s="30">
        <v>45819.625</v>
      </c>
      <c r="L1184" s="30">
        <v>45887.333333333336</v>
      </c>
    </row>
    <row r="1185" spans="1:12" x14ac:dyDescent="0.25">
      <c r="A1185" t="s">
        <v>1248</v>
      </c>
      <c r="B1185">
        <v>358579</v>
      </c>
      <c r="C1185">
        <v>352053</v>
      </c>
      <c r="D1185">
        <v>352052</v>
      </c>
      <c r="E1185">
        <v>405</v>
      </c>
      <c r="F1185">
        <v>405</v>
      </c>
      <c r="G1185" t="s">
        <v>3138</v>
      </c>
      <c r="H1185">
        <v>0</v>
      </c>
      <c r="K1185" s="30">
        <v>45793.625</v>
      </c>
      <c r="L1185" s="30">
        <v>45859.625</v>
      </c>
    </row>
    <row r="1186" spans="1:12" x14ac:dyDescent="0.25">
      <c r="A1186" t="s">
        <v>1248</v>
      </c>
      <c r="B1186">
        <v>358580</v>
      </c>
      <c r="C1186">
        <v>352054</v>
      </c>
      <c r="D1186">
        <v>352053</v>
      </c>
      <c r="E1186">
        <v>405</v>
      </c>
      <c r="F1186">
        <v>405</v>
      </c>
      <c r="G1186" t="s">
        <v>3138</v>
      </c>
      <c r="H1186">
        <v>0</v>
      </c>
      <c r="K1186" s="30">
        <v>45798.583333333336</v>
      </c>
      <c r="L1186" s="30">
        <v>45862.583333333336</v>
      </c>
    </row>
    <row r="1187" spans="1:12" x14ac:dyDescent="0.25">
      <c r="A1187" t="s">
        <v>1248</v>
      </c>
      <c r="B1187">
        <v>358581</v>
      </c>
      <c r="C1187">
        <v>352055</v>
      </c>
      <c r="D1187">
        <v>352054</v>
      </c>
      <c r="E1187">
        <v>405</v>
      </c>
      <c r="F1187">
        <v>405</v>
      </c>
      <c r="G1187" t="s">
        <v>3138</v>
      </c>
      <c r="H1187">
        <v>0</v>
      </c>
      <c r="K1187" s="30">
        <v>45799.5</v>
      </c>
      <c r="L1187" s="30">
        <v>45863.541666666664</v>
      </c>
    </row>
    <row r="1188" spans="1:12" x14ac:dyDescent="0.25">
      <c r="A1188" t="s">
        <v>1248</v>
      </c>
      <c r="B1188">
        <v>358582</v>
      </c>
      <c r="C1188">
        <v>352056</v>
      </c>
      <c r="D1188">
        <v>352055</v>
      </c>
      <c r="E1188">
        <v>405</v>
      </c>
      <c r="F1188">
        <v>405</v>
      </c>
      <c r="G1188" t="s">
        <v>3138</v>
      </c>
      <c r="H1188">
        <v>0</v>
      </c>
      <c r="K1188" s="30">
        <v>45803.458333333336</v>
      </c>
      <c r="L1188" s="30">
        <v>45867.458333333336</v>
      </c>
    </row>
    <row r="1189" spans="1:12" x14ac:dyDescent="0.25">
      <c r="A1189" t="s">
        <v>1248</v>
      </c>
      <c r="B1189">
        <v>358583</v>
      </c>
      <c r="C1189">
        <v>352057</v>
      </c>
      <c r="D1189">
        <v>352056</v>
      </c>
      <c r="E1189">
        <v>405</v>
      </c>
      <c r="F1189">
        <v>405</v>
      </c>
      <c r="G1189" t="s">
        <v>3138</v>
      </c>
      <c r="H1189">
        <v>0</v>
      </c>
      <c r="K1189" s="30">
        <v>45807.416666666664</v>
      </c>
      <c r="L1189" s="30">
        <v>45873.416666666664</v>
      </c>
    </row>
    <row r="1190" spans="1:12" x14ac:dyDescent="0.25">
      <c r="A1190" t="s">
        <v>1248</v>
      </c>
      <c r="B1190">
        <v>358584</v>
      </c>
      <c r="C1190">
        <v>352058</v>
      </c>
      <c r="D1190">
        <v>352057</v>
      </c>
      <c r="E1190">
        <v>405</v>
      </c>
      <c r="F1190">
        <v>405</v>
      </c>
      <c r="G1190" t="s">
        <v>3138</v>
      </c>
      <c r="H1190">
        <v>0</v>
      </c>
      <c r="K1190" s="30">
        <v>45817.375</v>
      </c>
      <c r="L1190" s="30">
        <v>45881.375</v>
      </c>
    </row>
    <row r="1191" spans="1:12" x14ac:dyDescent="0.25">
      <c r="A1191" t="s">
        <v>1248</v>
      </c>
      <c r="B1191">
        <v>358585</v>
      </c>
      <c r="C1191">
        <v>352060</v>
      </c>
      <c r="D1191">
        <v>352059</v>
      </c>
      <c r="E1191">
        <v>405</v>
      </c>
      <c r="F1191">
        <v>405</v>
      </c>
      <c r="G1191" t="s">
        <v>3138</v>
      </c>
      <c r="H1191">
        <v>0</v>
      </c>
      <c r="K1191" s="30">
        <v>45791.666666666664</v>
      </c>
      <c r="L1191" s="30">
        <v>45853.625</v>
      </c>
    </row>
    <row r="1192" spans="1:12" x14ac:dyDescent="0.25">
      <c r="A1192" t="s">
        <v>1248</v>
      </c>
      <c r="B1192">
        <v>358586</v>
      </c>
      <c r="C1192">
        <v>352061</v>
      </c>
      <c r="D1192">
        <v>352060</v>
      </c>
      <c r="E1192">
        <v>405</v>
      </c>
      <c r="F1192">
        <v>405</v>
      </c>
      <c r="G1192" t="s">
        <v>3138</v>
      </c>
      <c r="H1192">
        <v>0</v>
      </c>
      <c r="K1192" s="30">
        <v>45796.625</v>
      </c>
      <c r="L1192" s="30">
        <v>45856.583333333336</v>
      </c>
    </row>
    <row r="1193" spans="1:12" x14ac:dyDescent="0.25">
      <c r="A1193" t="s">
        <v>1248</v>
      </c>
      <c r="B1193">
        <v>358587</v>
      </c>
      <c r="C1193">
        <v>352062</v>
      </c>
      <c r="D1193">
        <v>352061</v>
      </c>
      <c r="E1193">
        <v>405</v>
      </c>
      <c r="F1193">
        <v>405</v>
      </c>
      <c r="G1193" t="s">
        <v>3138</v>
      </c>
      <c r="H1193">
        <v>0</v>
      </c>
      <c r="K1193" s="30">
        <v>45797.583333333336</v>
      </c>
      <c r="L1193" s="30">
        <v>45859.541666666664</v>
      </c>
    </row>
    <row r="1194" spans="1:12" x14ac:dyDescent="0.25">
      <c r="A1194" t="s">
        <v>1248</v>
      </c>
      <c r="B1194">
        <v>358588</v>
      </c>
      <c r="C1194">
        <v>352063</v>
      </c>
      <c r="D1194">
        <v>352062</v>
      </c>
      <c r="E1194">
        <v>405</v>
      </c>
      <c r="F1194">
        <v>405</v>
      </c>
      <c r="G1194" t="s">
        <v>3138</v>
      </c>
      <c r="H1194">
        <v>0</v>
      </c>
      <c r="K1194" s="30">
        <v>45799.5</v>
      </c>
      <c r="L1194" s="30">
        <v>45861.458333333336</v>
      </c>
    </row>
    <row r="1195" spans="1:12" x14ac:dyDescent="0.25">
      <c r="A1195" t="s">
        <v>1248</v>
      </c>
      <c r="B1195">
        <v>358589</v>
      </c>
      <c r="C1195">
        <v>352064</v>
      </c>
      <c r="D1195">
        <v>352063</v>
      </c>
      <c r="E1195">
        <v>405</v>
      </c>
      <c r="F1195">
        <v>405</v>
      </c>
      <c r="G1195" t="s">
        <v>3138</v>
      </c>
      <c r="H1195">
        <v>0</v>
      </c>
      <c r="K1195" s="30">
        <v>45805.458333333336</v>
      </c>
      <c r="L1195" s="30">
        <v>45867.416666666664</v>
      </c>
    </row>
    <row r="1196" spans="1:12" x14ac:dyDescent="0.25">
      <c r="A1196" t="s">
        <v>1248</v>
      </c>
      <c r="B1196">
        <v>358590</v>
      </c>
      <c r="C1196">
        <v>352065</v>
      </c>
      <c r="D1196">
        <v>352064</v>
      </c>
      <c r="E1196">
        <v>405</v>
      </c>
      <c r="F1196">
        <v>405</v>
      </c>
      <c r="G1196" t="s">
        <v>3138</v>
      </c>
      <c r="H1196">
        <v>0</v>
      </c>
      <c r="K1196" s="30">
        <v>45813.416666666664</v>
      </c>
      <c r="L1196" s="30">
        <v>45875.375</v>
      </c>
    </row>
    <row r="1197" spans="1:12" x14ac:dyDescent="0.25">
      <c r="A1197" t="s">
        <v>1248</v>
      </c>
      <c r="B1197">
        <v>358591</v>
      </c>
      <c r="C1197">
        <v>352067</v>
      </c>
      <c r="D1197">
        <v>352066</v>
      </c>
      <c r="E1197">
        <v>405</v>
      </c>
      <c r="F1197">
        <v>405</v>
      </c>
      <c r="G1197" t="s">
        <v>3138</v>
      </c>
      <c r="H1197">
        <v>0</v>
      </c>
      <c r="K1197" s="30">
        <v>45779.458333333336</v>
      </c>
      <c r="L1197" s="30">
        <v>45848.333333333336</v>
      </c>
    </row>
    <row r="1198" spans="1:12" x14ac:dyDescent="0.25">
      <c r="A1198" t="s">
        <v>1248</v>
      </c>
      <c r="B1198">
        <v>358592</v>
      </c>
      <c r="C1198">
        <v>352068</v>
      </c>
      <c r="D1198">
        <v>352067</v>
      </c>
      <c r="E1198">
        <v>405</v>
      </c>
      <c r="F1198">
        <v>405</v>
      </c>
      <c r="G1198" t="s">
        <v>3138</v>
      </c>
      <c r="H1198">
        <v>0</v>
      </c>
      <c r="K1198" s="30">
        <v>45784.458333333336</v>
      </c>
      <c r="L1198" s="30">
        <v>45853.333333333336</v>
      </c>
    </row>
    <row r="1199" spans="1:12" x14ac:dyDescent="0.25">
      <c r="A1199" t="s">
        <v>1248</v>
      </c>
      <c r="B1199">
        <v>358593</v>
      </c>
      <c r="C1199">
        <v>352069</v>
      </c>
      <c r="D1199">
        <v>352068</v>
      </c>
      <c r="E1199">
        <v>405</v>
      </c>
      <c r="F1199">
        <v>405</v>
      </c>
      <c r="G1199" t="s">
        <v>3138</v>
      </c>
      <c r="H1199">
        <v>0</v>
      </c>
      <c r="K1199" s="30">
        <v>45785.458333333336</v>
      </c>
      <c r="L1199" s="30">
        <v>45854.333333333336</v>
      </c>
    </row>
    <row r="1200" spans="1:12" x14ac:dyDescent="0.25">
      <c r="A1200" t="s">
        <v>1248</v>
      </c>
      <c r="B1200">
        <v>358594</v>
      </c>
      <c r="C1200">
        <v>352070</v>
      </c>
      <c r="D1200">
        <v>352069</v>
      </c>
      <c r="E1200">
        <v>405</v>
      </c>
      <c r="F1200">
        <v>405</v>
      </c>
      <c r="G1200" t="s">
        <v>3138</v>
      </c>
      <c r="H1200">
        <v>0</v>
      </c>
      <c r="K1200" s="30">
        <v>45789.458333333336</v>
      </c>
      <c r="L1200" s="30">
        <v>45856.333333333336</v>
      </c>
    </row>
    <row r="1201" spans="1:12" x14ac:dyDescent="0.25">
      <c r="A1201" t="s">
        <v>1248</v>
      </c>
      <c r="B1201">
        <v>358595</v>
      </c>
      <c r="C1201">
        <v>352071</v>
      </c>
      <c r="D1201">
        <v>352070</v>
      </c>
      <c r="E1201">
        <v>405</v>
      </c>
      <c r="F1201">
        <v>405</v>
      </c>
      <c r="G1201" t="s">
        <v>3138</v>
      </c>
      <c r="H1201">
        <v>0</v>
      </c>
      <c r="K1201" s="30">
        <v>45793.458333333336</v>
      </c>
      <c r="L1201" s="30">
        <v>45862.333333333336</v>
      </c>
    </row>
    <row r="1202" spans="1:12" x14ac:dyDescent="0.25">
      <c r="A1202" t="s">
        <v>1248</v>
      </c>
      <c r="B1202">
        <v>358596</v>
      </c>
      <c r="C1202">
        <v>352072</v>
      </c>
      <c r="D1202">
        <v>352071</v>
      </c>
      <c r="E1202">
        <v>405</v>
      </c>
      <c r="F1202">
        <v>405</v>
      </c>
      <c r="G1202" t="s">
        <v>3138</v>
      </c>
      <c r="H1202">
        <v>0</v>
      </c>
      <c r="K1202" s="30">
        <v>45803.458333333336</v>
      </c>
      <c r="L1202" s="30">
        <v>45874.375</v>
      </c>
    </row>
    <row r="1203" spans="1:12" x14ac:dyDescent="0.25">
      <c r="A1203" t="s">
        <v>1248</v>
      </c>
      <c r="B1203">
        <v>358597</v>
      </c>
      <c r="C1203">
        <v>352074</v>
      </c>
      <c r="D1203">
        <v>352073</v>
      </c>
      <c r="E1203">
        <v>405</v>
      </c>
      <c r="F1203">
        <v>405</v>
      </c>
      <c r="G1203" t="s">
        <v>3138</v>
      </c>
      <c r="H1203">
        <v>0</v>
      </c>
      <c r="K1203" s="30">
        <v>45777.458333333336</v>
      </c>
      <c r="L1203" s="30">
        <v>45835.583333333336</v>
      </c>
    </row>
    <row r="1204" spans="1:12" x14ac:dyDescent="0.25">
      <c r="A1204" t="s">
        <v>1248</v>
      </c>
      <c r="B1204">
        <v>358598</v>
      </c>
      <c r="C1204">
        <v>352075</v>
      </c>
      <c r="D1204">
        <v>352074</v>
      </c>
      <c r="E1204">
        <v>405</v>
      </c>
      <c r="F1204">
        <v>405</v>
      </c>
      <c r="G1204" t="s">
        <v>3138</v>
      </c>
      <c r="H1204">
        <v>0</v>
      </c>
      <c r="K1204" s="30">
        <v>45782.416666666664</v>
      </c>
      <c r="L1204" s="30">
        <v>45840.541666666664</v>
      </c>
    </row>
    <row r="1205" spans="1:12" x14ac:dyDescent="0.25">
      <c r="A1205" t="s">
        <v>1248</v>
      </c>
      <c r="B1205">
        <v>358599</v>
      </c>
      <c r="C1205">
        <v>352076</v>
      </c>
      <c r="D1205">
        <v>352075</v>
      </c>
      <c r="E1205">
        <v>405</v>
      </c>
      <c r="F1205">
        <v>405</v>
      </c>
      <c r="G1205" t="s">
        <v>3138</v>
      </c>
      <c r="H1205">
        <v>0</v>
      </c>
      <c r="K1205" s="30">
        <v>45783.375</v>
      </c>
      <c r="L1205" s="30">
        <v>45841.458333333336</v>
      </c>
    </row>
    <row r="1206" spans="1:12" x14ac:dyDescent="0.25">
      <c r="A1206" t="s">
        <v>1248</v>
      </c>
      <c r="B1206">
        <v>358600</v>
      </c>
      <c r="C1206">
        <v>352077</v>
      </c>
      <c r="D1206">
        <v>352076</v>
      </c>
      <c r="E1206">
        <v>405</v>
      </c>
      <c r="F1206">
        <v>405</v>
      </c>
      <c r="G1206" t="s">
        <v>3138</v>
      </c>
      <c r="H1206">
        <v>0</v>
      </c>
      <c r="K1206" s="30">
        <v>45784.708333333336</v>
      </c>
      <c r="L1206" s="30">
        <v>45845.416666666664</v>
      </c>
    </row>
    <row r="1207" spans="1:12" x14ac:dyDescent="0.25">
      <c r="A1207" t="s">
        <v>1248</v>
      </c>
      <c r="B1207">
        <v>358601</v>
      </c>
      <c r="C1207">
        <v>352078</v>
      </c>
      <c r="D1207">
        <v>352077</v>
      </c>
      <c r="E1207">
        <v>405</v>
      </c>
      <c r="F1207">
        <v>405</v>
      </c>
      <c r="G1207" t="s">
        <v>3138</v>
      </c>
      <c r="H1207">
        <v>0</v>
      </c>
      <c r="K1207" s="30">
        <v>45790.666666666664</v>
      </c>
      <c r="L1207" s="30">
        <v>45849.375</v>
      </c>
    </row>
    <row r="1208" spans="1:12" x14ac:dyDescent="0.25">
      <c r="A1208" t="s">
        <v>1248</v>
      </c>
      <c r="B1208">
        <v>358602</v>
      </c>
      <c r="C1208">
        <v>352079</v>
      </c>
      <c r="D1208">
        <v>352078</v>
      </c>
      <c r="E1208">
        <v>405</v>
      </c>
      <c r="F1208">
        <v>405</v>
      </c>
      <c r="G1208" t="s">
        <v>3138</v>
      </c>
      <c r="H1208">
        <v>0</v>
      </c>
      <c r="K1208" s="30">
        <v>45798.625</v>
      </c>
      <c r="L1208" s="30">
        <v>45873.416666666664</v>
      </c>
    </row>
    <row r="1209" spans="1:12" x14ac:dyDescent="0.25">
      <c r="A1209" t="s">
        <v>1248</v>
      </c>
      <c r="B1209">
        <v>358603</v>
      </c>
      <c r="C1209">
        <v>352081</v>
      </c>
      <c r="D1209">
        <v>352080</v>
      </c>
      <c r="E1209">
        <v>405</v>
      </c>
      <c r="F1209">
        <v>405</v>
      </c>
      <c r="G1209" t="s">
        <v>3138</v>
      </c>
      <c r="H1209">
        <v>0</v>
      </c>
      <c r="K1209" s="30">
        <v>45775.5</v>
      </c>
      <c r="L1209" s="30">
        <v>45831.583333333336</v>
      </c>
    </row>
    <row r="1210" spans="1:12" x14ac:dyDescent="0.25">
      <c r="A1210" t="s">
        <v>1248</v>
      </c>
      <c r="B1210">
        <v>358604</v>
      </c>
      <c r="C1210">
        <v>352082</v>
      </c>
      <c r="D1210">
        <v>352081</v>
      </c>
      <c r="E1210">
        <v>405</v>
      </c>
      <c r="F1210">
        <v>405</v>
      </c>
      <c r="G1210" t="s">
        <v>3138</v>
      </c>
      <c r="H1210">
        <v>0</v>
      </c>
      <c r="K1210" s="30">
        <v>45778.458333333336</v>
      </c>
      <c r="L1210" s="30">
        <v>45834.541666666664</v>
      </c>
    </row>
    <row r="1211" spans="1:12" x14ac:dyDescent="0.25">
      <c r="A1211" t="s">
        <v>1248</v>
      </c>
      <c r="B1211">
        <v>358605</v>
      </c>
      <c r="C1211">
        <v>352083</v>
      </c>
      <c r="D1211">
        <v>352082</v>
      </c>
      <c r="E1211">
        <v>405</v>
      </c>
      <c r="F1211">
        <v>405</v>
      </c>
      <c r="G1211" t="s">
        <v>3138</v>
      </c>
      <c r="H1211">
        <v>0</v>
      </c>
      <c r="K1211" s="30">
        <v>45779.416666666664</v>
      </c>
      <c r="L1211" s="30">
        <v>45835.458333333336</v>
      </c>
    </row>
    <row r="1212" spans="1:12" x14ac:dyDescent="0.25">
      <c r="A1212" t="s">
        <v>1248</v>
      </c>
      <c r="B1212">
        <v>358606</v>
      </c>
      <c r="C1212">
        <v>352084</v>
      </c>
      <c r="D1212">
        <v>352083</v>
      </c>
      <c r="E1212">
        <v>405</v>
      </c>
      <c r="F1212">
        <v>405</v>
      </c>
      <c r="G1212" t="s">
        <v>3138</v>
      </c>
      <c r="H1212">
        <v>0</v>
      </c>
      <c r="K1212" s="30">
        <v>45783.375</v>
      </c>
      <c r="L1212" s="30">
        <v>45839.416666666664</v>
      </c>
    </row>
    <row r="1213" spans="1:12" x14ac:dyDescent="0.25">
      <c r="A1213" t="s">
        <v>1248</v>
      </c>
      <c r="B1213">
        <v>358607</v>
      </c>
      <c r="C1213">
        <v>352085</v>
      </c>
      <c r="D1213">
        <v>352084</v>
      </c>
      <c r="E1213">
        <v>405</v>
      </c>
      <c r="F1213">
        <v>405</v>
      </c>
      <c r="G1213" t="s">
        <v>3138</v>
      </c>
      <c r="H1213">
        <v>0</v>
      </c>
      <c r="K1213" s="30">
        <v>45786.708333333336</v>
      </c>
      <c r="L1213" s="30">
        <v>45845.375</v>
      </c>
    </row>
    <row r="1214" spans="1:12" x14ac:dyDescent="0.25">
      <c r="A1214" t="s">
        <v>1248</v>
      </c>
      <c r="B1214">
        <v>358608</v>
      </c>
      <c r="C1214">
        <v>352086</v>
      </c>
      <c r="D1214">
        <v>352085</v>
      </c>
      <c r="E1214">
        <v>405</v>
      </c>
      <c r="F1214">
        <v>405</v>
      </c>
      <c r="G1214" t="s">
        <v>3138</v>
      </c>
      <c r="H1214">
        <v>0</v>
      </c>
      <c r="K1214" s="30">
        <v>45796.666666666664</v>
      </c>
      <c r="L1214" s="30">
        <v>45870.458333333336</v>
      </c>
    </row>
    <row r="1215" spans="1:12" x14ac:dyDescent="0.25">
      <c r="A1215" t="s">
        <v>1248</v>
      </c>
      <c r="B1215">
        <v>358609</v>
      </c>
      <c r="C1215">
        <v>352088</v>
      </c>
      <c r="D1215">
        <v>352087</v>
      </c>
      <c r="E1215">
        <v>405</v>
      </c>
      <c r="F1215">
        <v>405</v>
      </c>
      <c r="G1215" t="s">
        <v>3138</v>
      </c>
      <c r="H1215">
        <v>0</v>
      </c>
      <c r="K1215" s="30">
        <v>45771.583333333336</v>
      </c>
      <c r="L1215" s="30">
        <v>45825.583333333336</v>
      </c>
    </row>
    <row r="1216" spans="1:12" x14ac:dyDescent="0.25">
      <c r="A1216" t="s">
        <v>1248</v>
      </c>
      <c r="B1216">
        <v>358610</v>
      </c>
      <c r="C1216">
        <v>352089</v>
      </c>
      <c r="D1216">
        <v>352088</v>
      </c>
      <c r="E1216">
        <v>405</v>
      </c>
      <c r="F1216">
        <v>405</v>
      </c>
      <c r="G1216" t="s">
        <v>3138</v>
      </c>
      <c r="H1216">
        <v>0</v>
      </c>
      <c r="K1216" s="30">
        <v>45776.5</v>
      </c>
      <c r="L1216" s="30">
        <v>45828.541666666664</v>
      </c>
    </row>
    <row r="1217" spans="1:12" x14ac:dyDescent="0.25">
      <c r="A1217" t="s">
        <v>1248</v>
      </c>
      <c r="B1217">
        <v>358611</v>
      </c>
      <c r="C1217">
        <v>352090</v>
      </c>
      <c r="D1217">
        <v>352089</v>
      </c>
      <c r="E1217">
        <v>405</v>
      </c>
      <c r="F1217">
        <v>405</v>
      </c>
      <c r="G1217" t="s">
        <v>3138</v>
      </c>
      <c r="H1217">
        <v>0</v>
      </c>
      <c r="K1217" s="30">
        <v>45777.458333333336</v>
      </c>
      <c r="L1217" s="30">
        <v>45831.458333333336</v>
      </c>
    </row>
    <row r="1218" spans="1:12" x14ac:dyDescent="0.25">
      <c r="A1218" t="s">
        <v>1248</v>
      </c>
      <c r="B1218">
        <v>358612</v>
      </c>
      <c r="C1218">
        <v>352091</v>
      </c>
      <c r="D1218">
        <v>352090</v>
      </c>
      <c r="E1218">
        <v>405</v>
      </c>
      <c r="F1218">
        <v>405</v>
      </c>
      <c r="G1218" t="s">
        <v>3138</v>
      </c>
      <c r="H1218">
        <v>0</v>
      </c>
      <c r="K1218" s="30">
        <v>45779.416666666664</v>
      </c>
      <c r="L1218" s="30">
        <v>45833.416666666664</v>
      </c>
    </row>
    <row r="1219" spans="1:12" x14ac:dyDescent="0.25">
      <c r="A1219" t="s">
        <v>1248</v>
      </c>
      <c r="B1219">
        <v>358613</v>
      </c>
      <c r="C1219">
        <v>352092</v>
      </c>
      <c r="D1219">
        <v>352091</v>
      </c>
      <c r="E1219">
        <v>405</v>
      </c>
      <c r="F1219">
        <v>405</v>
      </c>
      <c r="G1219" t="s">
        <v>3138</v>
      </c>
      <c r="H1219">
        <v>0</v>
      </c>
      <c r="K1219" s="30">
        <v>45785.375</v>
      </c>
      <c r="L1219" s="30">
        <v>45839.375</v>
      </c>
    </row>
    <row r="1220" spans="1:12" x14ac:dyDescent="0.25">
      <c r="A1220" t="s">
        <v>1248</v>
      </c>
      <c r="B1220">
        <v>358614</v>
      </c>
      <c r="C1220">
        <v>352093</v>
      </c>
      <c r="D1220">
        <v>352092</v>
      </c>
      <c r="E1220">
        <v>405</v>
      </c>
      <c r="F1220">
        <v>405</v>
      </c>
      <c r="G1220" t="s">
        <v>3138</v>
      </c>
      <c r="H1220">
        <v>0</v>
      </c>
      <c r="K1220" s="30">
        <v>45792.708333333336</v>
      </c>
      <c r="L1220" s="30">
        <v>45869.541666666664</v>
      </c>
    </row>
    <row r="1221" spans="1:12" x14ac:dyDescent="0.25">
      <c r="A1221" t="s">
        <v>1248</v>
      </c>
      <c r="B1221">
        <v>358615</v>
      </c>
      <c r="C1221">
        <v>352095</v>
      </c>
      <c r="D1221">
        <v>352094</v>
      </c>
      <c r="E1221">
        <v>405</v>
      </c>
      <c r="F1221">
        <v>405</v>
      </c>
      <c r="G1221" t="s">
        <v>3138</v>
      </c>
      <c r="H1221">
        <v>0</v>
      </c>
      <c r="K1221" s="30">
        <v>45769.625</v>
      </c>
      <c r="L1221" s="30">
        <v>45819.583333333336</v>
      </c>
    </row>
    <row r="1222" spans="1:12" x14ac:dyDescent="0.25">
      <c r="A1222" t="s">
        <v>1248</v>
      </c>
      <c r="B1222">
        <v>358616</v>
      </c>
      <c r="C1222">
        <v>352096</v>
      </c>
      <c r="D1222">
        <v>352095</v>
      </c>
      <c r="E1222">
        <v>405</v>
      </c>
      <c r="F1222">
        <v>405</v>
      </c>
      <c r="G1222" t="s">
        <v>3138</v>
      </c>
      <c r="H1222">
        <v>0</v>
      </c>
      <c r="K1222" s="30">
        <v>45772.583333333336</v>
      </c>
      <c r="L1222" s="30">
        <v>45824.541666666664</v>
      </c>
    </row>
    <row r="1223" spans="1:12" x14ac:dyDescent="0.25">
      <c r="A1223" t="s">
        <v>1248</v>
      </c>
      <c r="B1223">
        <v>358617</v>
      </c>
      <c r="C1223">
        <v>352097</v>
      </c>
      <c r="D1223">
        <v>352096</v>
      </c>
      <c r="E1223">
        <v>405</v>
      </c>
      <c r="F1223">
        <v>405</v>
      </c>
      <c r="G1223" t="s">
        <v>3138</v>
      </c>
      <c r="H1223">
        <v>0</v>
      </c>
      <c r="K1223" s="30">
        <v>45775.5</v>
      </c>
      <c r="L1223" s="30">
        <v>45825.458333333336</v>
      </c>
    </row>
    <row r="1224" spans="1:12" x14ac:dyDescent="0.25">
      <c r="A1224" t="s">
        <v>1248</v>
      </c>
      <c r="B1224">
        <v>358618</v>
      </c>
      <c r="C1224">
        <v>352098</v>
      </c>
      <c r="D1224">
        <v>352097</v>
      </c>
      <c r="E1224">
        <v>405</v>
      </c>
      <c r="F1224">
        <v>405</v>
      </c>
      <c r="G1224" t="s">
        <v>3138</v>
      </c>
      <c r="H1224">
        <v>0</v>
      </c>
      <c r="K1224" s="30">
        <v>45777.458333333336</v>
      </c>
      <c r="L1224" s="30">
        <v>45827.416666666664</v>
      </c>
    </row>
    <row r="1225" spans="1:12" x14ac:dyDescent="0.25">
      <c r="A1225" t="s">
        <v>1248</v>
      </c>
      <c r="B1225">
        <v>358619</v>
      </c>
      <c r="C1225">
        <v>352099</v>
      </c>
      <c r="D1225">
        <v>352098</v>
      </c>
      <c r="E1225">
        <v>405</v>
      </c>
      <c r="F1225">
        <v>405</v>
      </c>
      <c r="G1225" t="s">
        <v>3138</v>
      </c>
      <c r="H1225">
        <v>0</v>
      </c>
      <c r="K1225" s="30">
        <v>45783.416666666664</v>
      </c>
      <c r="L1225" s="30">
        <v>45833.375</v>
      </c>
    </row>
    <row r="1226" spans="1:12" x14ac:dyDescent="0.25">
      <c r="A1226" t="s">
        <v>1248</v>
      </c>
      <c r="B1226">
        <v>358620</v>
      </c>
      <c r="C1226">
        <v>352100</v>
      </c>
      <c r="D1226">
        <v>352099</v>
      </c>
      <c r="E1226">
        <v>405</v>
      </c>
      <c r="F1226">
        <v>405</v>
      </c>
      <c r="G1226" t="s">
        <v>3138</v>
      </c>
      <c r="H1226">
        <v>0</v>
      </c>
      <c r="K1226" s="30">
        <v>45791.375</v>
      </c>
      <c r="L1226" s="30">
        <v>45868.583333333336</v>
      </c>
    </row>
    <row r="1227" spans="1:12" x14ac:dyDescent="0.25">
      <c r="A1227" t="s">
        <v>1248</v>
      </c>
      <c r="B1227">
        <v>358621</v>
      </c>
      <c r="C1227">
        <v>352102</v>
      </c>
      <c r="D1227">
        <v>352101</v>
      </c>
      <c r="E1227">
        <v>405</v>
      </c>
      <c r="F1227">
        <v>405</v>
      </c>
      <c r="G1227" t="s">
        <v>3138</v>
      </c>
      <c r="H1227">
        <v>0</v>
      </c>
      <c r="K1227" s="30">
        <v>45765.666666666664</v>
      </c>
      <c r="L1227" s="30">
        <v>45813.583333333336</v>
      </c>
    </row>
    <row r="1228" spans="1:12" x14ac:dyDescent="0.25">
      <c r="A1228" t="s">
        <v>1248</v>
      </c>
      <c r="B1228">
        <v>358622</v>
      </c>
      <c r="C1228">
        <v>352103</v>
      </c>
      <c r="D1228">
        <v>352102</v>
      </c>
      <c r="E1228">
        <v>405</v>
      </c>
      <c r="F1228">
        <v>405</v>
      </c>
      <c r="G1228" t="s">
        <v>3138</v>
      </c>
      <c r="H1228">
        <v>0</v>
      </c>
      <c r="K1228" s="30">
        <v>45770.625</v>
      </c>
      <c r="L1228" s="30">
        <v>45818.541666666664</v>
      </c>
    </row>
    <row r="1229" spans="1:12" x14ac:dyDescent="0.25">
      <c r="A1229" t="s">
        <v>1248</v>
      </c>
      <c r="B1229">
        <v>358623</v>
      </c>
      <c r="C1229">
        <v>352104</v>
      </c>
      <c r="D1229">
        <v>352103</v>
      </c>
      <c r="E1229">
        <v>405</v>
      </c>
      <c r="F1229">
        <v>405</v>
      </c>
      <c r="G1229" t="s">
        <v>3138</v>
      </c>
      <c r="H1229">
        <v>0</v>
      </c>
      <c r="K1229" s="30">
        <v>45771.583333333336</v>
      </c>
      <c r="L1229" s="30">
        <v>45819.458333333336</v>
      </c>
    </row>
    <row r="1230" spans="1:12" x14ac:dyDescent="0.25">
      <c r="A1230" t="s">
        <v>1248</v>
      </c>
      <c r="B1230">
        <v>358624</v>
      </c>
      <c r="C1230">
        <v>352105</v>
      </c>
      <c r="D1230">
        <v>352104</v>
      </c>
      <c r="E1230">
        <v>405</v>
      </c>
      <c r="F1230">
        <v>405</v>
      </c>
      <c r="G1230" t="s">
        <v>3138</v>
      </c>
      <c r="H1230">
        <v>0</v>
      </c>
      <c r="K1230" s="30">
        <v>45775.5</v>
      </c>
      <c r="L1230" s="30">
        <v>45821.416666666664</v>
      </c>
    </row>
    <row r="1231" spans="1:12" x14ac:dyDescent="0.25">
      <c r="A1231" t="s">
        <v>1248</v>
      </c>
      <c r="B1231">
        <v>358625</v>
      </c>
      <c r="C1231">
        <v>352106</v>
      </c>
      <c r="D1231">
        <v>352105</v>
      </c>
      <c r="E1231">
        <v>405</v>
      </c>
      <c r="F1231">
        <v>405</v>
      </c>
      <c r="G1231" t="s">
        <v>3138</v>
      </c>
      <c r="H1231">
        <v>0</v>
      </c>
      <c r="K1231" s="30">
        <v>45779.458333333336</v>
      </c>
      <c r="L1231" s="30">
        <v>45827.375</v>
      </c>
    </row>
    <row r="1232" spans="1:12" x14ac:dyDescent="0.25">
      <c r="A1232" t="s">
        <v>1248</v>
      </c>
      <c r="B1232">
        <v>358626</v>
      </c>
      <c r="C1232">
        <v>352107</v>
      </c>
      <c r="D1232">
        <v>352106</v>
      </c>
      <c r="E1232">
        <v>405</v>
      </c>
      <c r="F1232">
        <v>405</v>
      </c>
      <c r="G1232" t="s">
        <v>3138</v>
      </c>
      <c r="H1232">
        <v>0</v>
      </c>
      <c r="K1232" s="30">
        <v>45789.416666666664</v>
      </c>
      <c r="L1232" s="30">
        <v>45867.625</v>
      </c>
    </row>
    <row r="1233" spans="1:12" x14ac:dyDescent="0.25">
      <c r="A1233" t="s">
        <v>1248</v>
      </c>
      <c r="B1233">
        <v>358627</v>
      </c>
      <c r="C1233">
        <v>352109</v>
      </c>
      <c r="D1233">
        <v>352108</v>
      </c>
      <c r="E1233">
        <v>405</v>
      </c>
      <c r="F1233">
        <v>405</v>
      </c>
      <c r="G1233" t="s">
        <v>3138</v>
      </c>
      <c r="H1233">
        <v>0</v>
      </c>
      <c r="K1233" s="30">
        <v>45755.708333333336</v>
      </c>
      <c r="L1233" s="30">
        <v>45807.583333333336</v>
      </c>
    </row>
    <row r="1234" spans="1:12" x14ac:dyDescent="0.25">
      <c r="A1234" t="s">
        <v>1248</v>
      </c>
      <c r="B1234">
        <v>358628</v>
      </c>
      <c r="C1234">
        <v>352110</v>
      </c>
      <c r="D1234">
        <v>352109</v>
      </c>
      <c r="E1234">
        <v>405</v>
      </c>
      <c r="F1234">
        <v>405</v>
      </c>
      <c r="G1234" t="s">
        <v>3138</v>
      </c>
      <c r="H1234">
        <v>0</v>
      </c>
      <c r="K1234" s="30">
        <v>45758.666666666664</v>
      </c>
      <c r="L1234" s="30">
        <v>45812.541666666664</v>
      </c>
    </row>
    <row r="1235" spans="1:12" x14ac:dyDescent="0.25">
      <c r="A1235" t="s">
        <v>1248</v>
      </c>
      <c r="B1235">
        <v>358629</v>
      </c>
      <c r="C1235">
        <v>352111</v>
      </c>
      <c r="D1235">
        <v>352110</v>
      </c>
      <c r="E1235">
        <v>405</v>
      </c>
      <c r="F1235">
        <v>405</v>
      </c>
      <c r="G1235" t="s">
        <v>3138</v>
      </c>
      <c r="H1235">
        <v>0</v>
      </c>
      <c r="K1235" s="30">
        <v>45761.625</v>
      </c>
      <c r="L1235" s="30">
        <v>45813.458333333336</v>
      </c>
    </row>
    <row r="1236" spans="1:12" x14ac:dyDescent="0.25">
      <c r="A1236" t="s">
        <v>1248</v>
      </c>
      <c r="B1236">
        <v>358630</v>
      </c>
      <c r="C1236">
        <v>352112</v>
      </c>
      <c r="D1236">
        <v>352111</v>
      </c>
      <c r="E1236">
        <v>405</v>
      </c>
      <c r="F1236">
        <v>405</v>
      </c>
      <c r="G1236" t="s">
        <v>3138</v>
      </c>
      <c r="H1236">
        <v>0</v>
      </c>
      <c r="K1236" s="30">
        <v>45763.583333333336</v>
      </c>
      <c r="L1236" s="30">
        <v>45817.416666666664</v>
      </c>
    </row>
    <row r="1237" spans="1:12" x14ac:dyDescent="0.25">
      <c r="A1237" t="s">
        <v>1248</v>
      </c>
      <c r="B1237">
        <v>358631</v>
      </c>
      <c r="C1237">
        <v>352113</v>
      </c>
      <c r="D1237">
        <v>352112</v>
      </c>
      <c r="E1237">
        <v>405</v>
      </c>
      <c r="F1237">
        <v>405</v>
      </c>
      <c r="G1237" t="s">
        <v>3138</v>
      </c>
      <c r="H1237">
        <v>0</v>
      </c>
      <c r="K1237" s="30">
        <v>45769.5</v>
      </c>
      <c r="L1237" s="30">
        <v>45821.375</v>
      </c>
    </row>
    <row r="1238" spans="1:12" x14ac:dyDescent="0.25">
      <c r="A1238" t="s">
        <v>1248</v>
      </c>
      <c r="B1238">
        <v>358632</v>
      </c>
      <c r="C1238">
        <v>352114</v>
      </c>
      <c r="D1238">
        <v>352113</v>
      </c>
      <c r="E1238">
        <v>405</v>
      </c>
      <c r="F1238">
        <v>405</v>
      </c>
      <c r="G1238" t="s">
        <v>3138</v>
      </c>
      <c r="H1238">
        <v>0</v>
      </c>
      <c r="K1238" s="30">
        <v>45777.458333333336</v>
      </c>
      <c r="L1238" s="30">
        <v>45866.666666666664</v>
      </c>
    </row>
    <row r="1239" spans="1:12" x14ac:dyDescent="0.25">
      <c r="A1239" t="s">
        <v>1248</v>
      </c>
      <c r="B1239">
        <v>358633</v>
      </c>
      <c r="C1239">
        <v>352116</v>
      </c>
      <c r="D1239">
        <v>352115</v>
      </c>
      <c r="E1239">
        <v>405</v>
      </c>
      <c r="F1239">
        <v>405</v>
      </c>
      <c r="G1239" t="s">
        <v>3138</v>
      </c>
      <c r="H1239">
        <v>0</v>
      </c>
      <c r="K1239" s="30">
        <v>45754.375</v>
      </c>
      <c r="L1239" s="30">
        <v>45803.583333333336</v>
      </c>
    </row>
    <row r="1240" spans="1:12" x14ac:dyDescent="0.25">
      <c r="A1240" t="s">
        <v>1248</v>
      </c>
      <c r="B1240">
        <v>358634</v>
      </c>
      <c r="C1240">
        <v>352117</v>
      </c>
      <c r="D1240">
        <v>352116</v>
      </c>
      <c r="E1240">
        <v>405</v>
      </c>
      <c r="F1240">
        <v>405</v>
      </c>
      <c r="G1240" t="s">
        <v>3138</v>
      </c>
      <c r="H1240">
        <v>0</v>
      </c>
      <c r="K1240" s="30">
        <v>45756.708333333336</v>
      </c>
      <c r="L1240" s="30">
        <v>45806.541666666664</v>
      </c>
    </row>
    <row r="1241" spans="1:12" x14ac:dyDescent="0.25">
      <c r="A1241" t="s">
        <v>1248</v>
      </c>
      <c r="B1241">
        <v>358635</v>
      </c>
      <c r="C1241">
        <v>352118</v>
      </c>
      <c r="D1241">
        <v>352117</v>
      </c>
      <c r="E1241">
        <v>405</v>
      </c>
      <c r="F1241">
        <v>405</v>
      </c>
      <c r="G1241" t="s">
        <v>3138</v>
      </c>
      <c r="H1241">
        <v>0</v>
      </c>
      <c r="K1241" s="30">
        <v>45757.666666666664</v>
      </c>
      <c r="L1241" s="30">
        <v>45807.458333333336</v>
      </c>
    </row>
    <row r="1242" spans="1:12" x14ac:dyDescent="0.25">
      <c r="A1242" t="s">
        <v>1248</v>
      </c>
      <c r="B1242">
        <v>358636</v>
      </c>
      <c r="C1242">
        <v>352119</v>
      </c>
      <c r="D1242">
        <v>352118</v>
      </c>
      <c r="E1242">
        <v>405</v>
      </c>
      <c r="F1242">
        <v>405</v>
      </c>
      <c r="G1242" t="s">
        <v>3138</v>
      </c>
      <c r="H1242">
        <v>0</v>
      </c>
      <c r="K1242" s="30">
        <v>45761.625</v>
      </c>
      <c r="L1242" s="30">
        <v>45811.416666666664</v>
      </c>
    </row>
    <row r="1243" spans="1:12" x14ac:dyDescent="0.25">
      <c r="A1243" t="s">
        <v>1248</v>
      </c>
      <c r="B1243">
        <v>358637</v>
      </c>
      <c r="C1243">
        <v>352120</v>
      </c>
      <c r="D1243">
        <v>352119</v>
      </c>
      <c r="E1243">
        <v>405</v>
      </c>
      <c r="F1243">
        <v>405</v>
      </c>
      <c r="G1243" t="s">
        <v>3138</v>
      </c>
      <c r="H1243">
        <v>0</v>
      </c>
      <c r="K1243" s="30">
        <v>45765.583333333336</v>
      </c>
      <c r="L1243" s="30">
        <v>45817.375</v>
      </c>
    </row>
    <row r="1244" spans="1:12" x14ac:dyDescent="0.25">
      <c r="A1244" t="s">
        <v>1248</v>
      </c>
      <c r="B1244">
        <v>358638</v>
      </c>
      <c r="C1244">
        <v>352121</v>
      </c>
      <c r="D1244">
        <v>352120</v>
      </c>
      <c r="E1244">
        <v>405</v>
      </c>
      <c r="F1244">
        <v>405</v>
      </c>
      <c r="G1244" t="s">
        <v>3138</v>
      </c>
      <c r="H1244">
        <v>0</v>
      </c>
      <c r="K1244" s="30">
        <v>45775.5</v>
      </c>
      <c r="L1244" s="30">
        <v>45866.333333333336</v>
      </c>
    </row>
    <row r="1245" spans="1:12" x14ac:dyDescent="0.25">
      <c r="A1245" t="s">
        <v>1248</v>
      </c>
      <c r="B1245">
        <v>358639</v>
      </c>
      <c r="C1245">
        <v>352123</v>
      </c>
      <c r="D1245">
        <v>352122</v>
      </c>
      <c r="E1245">
        <v>405</v>
      </c>
      <c r="F1245">
        <v>405</v>
      </c>
      <c r="G1245" t="s">
        <v>3138</v>
      </c>
      <c r="H1245">
        <v>0</v>
      </c>
      <c r="K1245" s="30">
        <v>45750.416666666664</v>
      </c>
      <c r="L1245" s="30">
        <v>45797.583333333336</v>
      </c>
    </row>
    <row r="1246" spans="1:12" x14ac:dyDescent="0.25">
      <c r="A1246" t="s">
        <v>1248</v>
      </c>
      <c r="B1246">
        <v>358640</v>
      </c>
      <c r="C1246">
        <v>352124</v>
      </c>
      <c r="D1246">
        <v>352123</v>
      </c>
      <c r="E1246">
        <v>405</v>
      </c>
      <c r="F1246">
        <v>405</v>
      </c>
      <c r="G1246" t="s">
        <v>3138</v>
      </c>
      <c r="H1246">
        <v>0</v>
      </c>
      <c r="K1246" s="30">
        <v>45755.375</v>
      </c>
      <c r="L1246" s="30">
        <v>45800.541666666664</v>
      </c>
    </row>
    <row r="1247" spans="1:12" x14ac:dyDescent="0.25">
      <c r="A1247" t="s">
        <v>1248</v>
      </c>
      <c r="B1247">
        <v>358641</v>
      </c>
      <c r="C1247">
        <v>352125</v>
      </c>
      <c r="D1247">
        <v>352124</v>
      </c>
      <c r="E1247">
        <v>405</v>
      </c>
      <c r="F1247">
        <v>405</v>
      </c>
      <c r="G1247" t="s">
        <v>3138</v>
      </c>
      <c r="H1247">
        <v>0</v>
      </c>
      <c r="K1247" s="30">
        <v>45755.708333333336</v>
      </c>
      <c r="L1247" s="30">
        <v>45803.458333333336</v>
      </c>
    </row>
    <row r="1248" spans="1:12" x14ac:dyDescent="0.25">
      <c r="A1248" t="s">
        <v>1248</v>
      </c>
      <c r="B1248">
        <v>358642</v>
      </c>
      <c r="C1248">
        <v>352126</v>
      </c>
      <c r="D1248">
        <v>352125</v>
      </c>
      <c r="E1248">
        <v>405</v>
      </c>
      <c r="F1248">
        <v>405</v>
      </c>
      <c r="G1248" t="s">
        <v>3138</v>
      </c>
      <c r="H1248">
        <v>0</v>
      </c>
      <c r="K1248" s="30">
        <v>45757.666666666664</v>
      </c>
      <c r="L1248" s="30">
        <v>45805.416666666664</v>
      </c>
    </row>
    <row r="1249" spans="1:12" x14ac:dyDescent="0.25">
      <c r="A1249" t="s">
        <v>1248</v>
      </c>
      <c r="B1249">
        <v>358643</v>
      </c>
      <c r="C1249">
        <v>352127</v>
      </c>
      <c r="D1249">
        <v>352126</v>
      </c>
      <c r="E1249">
        <v>405</v>
      </c>
      <c r="F1249">
        <v>405</v>
      </c>
      <c r="G1249" t="s">
        <v>3138</v>
      </c>
      <c r="H1249">
        <v>0</v>
      </c>
      <c r="K1249" s="30">
        <v>45763.625</v>
      </c>
      <c r="L1249" s="30">
        <v>45811.375</v>
      </c>
    </row>
    <row r="1250" spans="1:12" x14ac:dyDescent="0.25">
      <c r="A1250" t="s">
        <v>1248</v>
      </c>
      <c r="B1250">
        <v>358644</v>
      </c>
      <c r="C1250">
        <v>352128</v>
      </c>
      <c r="D1250">
        <v>352127</v>
      </c>
      <c r="E1250">
        <v>405</v>
      </c>
      <c r="F1250">
        <v>405</v>
      </c>
      <c r="G1250" t="s">
        <v>3138</v>
      </c>
      <c r="H1250">
        <v>0</v>
      </c>
      <c r="K1250" s="30">
        <v>45771.583333333336</v>
      </c>
      <c r="L1250" s="30">
        <v>45863.375</v>
      </c>
    </row>
    <row r="1251" spans="1:12" x14ac:dyDescent="0.25">
      <c r="A1251" t="s">
        <v>1248</v>
      </c>
      <c r="B1251">
        <v>358645</v>
      </c>
      <c r="C1251">
        <v>352130</v>
      </c>
      <c r="D1251">
        <v>352129</v>
      </c>
      <c r="E1251">
        <v>405</v>
      </c>
      <c r="F1251">
        <v>405</v>
      </c>
      <c r="G1251" t="s">
        <v>3138</v>
      </c>
      <c r="H1251">
        <v>0</v>
      </c>
      <c r="K1251" s="30">
        <v>45748.458333333336</v>
      </c>
      <c r="L1251" s="30">
        <v>45791.583333333336</v>
      </c>
    </row>
    <row r="1252" spans="1:12" x14ac:dyDescent="0.25">
      <c r="A1252" t="s">
        <v>1248</v>
      </c>
      <c r="B1252">
        <v>358646</v>
      </c>
      <c r="C1252">
        <v>352131</v>
      </c>
      <c r="D1252">
        <v>352130</v>
      </c>
      <c r="E1252">
        <v>405</v>
      </c>
      <c r="F1252">
        <v>405</v>
      </c>
      <c r="G1252" t="s">
        <v>3138</v>
      </c>
      <c r="H1252">
        <v>0</v>
      </c>
      <c r="K1252" s="30">
        <v>45751.416666666664</v>
      </c>
      <c r="L1252" s="30">
        <v>45796.541666666664</v>
      </c>
    </row>
    <row r="1253" spans="1:12" x14ac:dyDescent="0.25">
      <c r="A1253" t="s">
        <v>1248</v>
      </c>
      <c r="B1253">
        <v>358647</v>
      </c>
      <c r="C1253">
        <v>352132</v>
      </c>
      <c r="D1253">
        <v>352131</v>
      </c>
      <c r="E1253">
        <v>405</v>
      </c>
      <c r="F1253">
        <v>405</v>
      </c>
      <c r="G1253" t="s">
        <v>3138</v>
      </c>
      <c r="H1253">
        <v>0</v>
      </c>
      <c r="K1253" s="30">
        <v>45754.375</v>
      </c>
      <c r="L1253" s="30">
        <v>45797.458333333336</v>
      </c>
    </row>
    <row r="1254" spans="1:12" x14ac:dyDescent="0.25">
      <c r="A1254" t="s">
        <v>1248</v>
      </c>
      <c r="B1254">
        <v>358648</v>
      </c>
      <c r="C1254">
        <v>352133</v>
      </c>
      <c r="D1254">
        <v>352132</v>
      </c>
      <c r="E1254">
        <v>405</v>
      </c>
      <c r="F1254">
        <v>405</v>
      </c>
      <c r="G1254" t="s">
        <v>3138</v>
      </c>
      <c r="H1254">
        <v>0</v>
      </c>
      <c r="K1254" s="30">
        <v>45755.708333333336</v>
      </c>
      <c r="L1254" s="30">
        <v>45799.416666666664</v>
      </c>
    </row>
    <row r="1255" spans="1:12" x14ac:dyDescent="0.25">
      <c r="A1255" t="s">
        <v>1248</v>
      </c>
      <c r="B1255">
        <v>358649</v>
      </c>
      <c r="C1255">
        <v>352134</v>
      </c>
      <c r="D1255">
        <v>352133</v>
      </c>
      <c r="E1255">
        <v>405</v>
      </c>
      <c r="F1255">
        <v>405</v>
      </c>
      <c r="G1255" t="s">
        <v>3138</v>
      </c>
      <c r="H1255">
        <v>0</v>
      </c>
      <c r="K1255" s="30">
        <v>45761.666666666664</v>
      </c>
      <c r="L1255" s="30">
        <v>45805.375</v>
      </c>
    </row>
    <row r="1256" spans="1:12" x14ac:dyDescent="0.25">
      <c r="A1256" t="s">
        <v>1248</v>
      </c>
      <c r="B1256">
        <v>358650</v>
      </c>
      <c r="C1256">
        <v>352135</v>
      </c>
      <c r="D1256">
        <v>352134</v>
      </c>
      <c r="E1256">
        <v>405</v>
      </c>
      <c r="F1256">
        <v>405</v>
      </c>
      <c r="G1256" t="s">
        <v>3138</v>
      </c>
      <c r="H1256">
        <v>0</v>
      </c>
      <c r="K1256" s="30">
        <v>45769.625</v>
      </c>
      <c r="L1256" s="30">
        <v>45862.416666666664</v>
      </c>
    </row>
    <row r="1257" spans="1:12" x14ac:dyDescent="0.25">
      <c r="A1257" t="s">
        <v>1248</v>
      </c>
      <c r="B1257">
        <v>358651</v>
      </c>
      <c r="C1257">
        <v>352137</v>
      </c>
      <c r="D1257">
        <v>352136</v>
      </c>
      <c r="E1257">
        <v>405</v>
      </c>
      <c r="F1257">
        <v>405</v>
      </c>
      <c r="G1257" t="s">
        <v>3138</v>
      </c>
      <c r="H1257">
        <v>0</v>
      </c>
      <c r="K1257" s="30">
        <v>45744.5</v>
      </c>
      <c r="L1257" s="30">
        <v>45785.583333333336</v>
      </c>
    </row>
    <row r="1258" spans="1:12" x14ac:dyDescent="0.25">
      <c r="A1258" t="s">
        <v>1248</v>
      </c>
      <c r="B1258">
        <v>358652</v>
      </c>
      <c r="C1258">
        <v>352138</v>
      </c>
      <c r="D1258">
        <v>352137</v>
      </c>
      <c r="E1258">
        <v>405</v>
      </c>
      <c r="F1258">
        <v>405</v>
      </c>
      <c r="G1258" t="s">
        <v>3138</v>
      </c>
      <c r="H1258">
        <v>0</v>
      </c>
      <c r="K1258" s="30">
        <v>45749.458333333336</v>
      </c>
      <c r="L1258" s="30">
        <v>45790.541666666664</v>
      </c>
    </row>
    <row r="1259" spans="1:12" x14ac:dyDescent="0.25">
      <c r="A1259" t="s">
        <v>1248</v>
      </c>
      <c r="B1259">
        <v>358653</v>
      </c>
      <c r="C1259">
        <v>352139</v>
      </c>
      <c r="D1259">
        <v>352138</v>
      </c>
      <c r="E1259">
        <v>405</v>
      </c>
      <c r="F1259">
        <v>405</v>
      </c>
      <c r="G1259" t="s">
        <v>3138</v>
      </c>
      <c r="H1259">
        <v>0</v>
      </c>
      <c r="K1259" s="30">
        <v>45750.416666666664</v>
      </c>
      <c r="L1259" s="30">
        <v>45791.458333333336</v>
      </c>
    </row>
    <row r="1260" spans="1:12" x14ac:dyDescent="0.25">
      <c r="A1260" t="s">
        <v>1248</v>
      </c>
      <c r="B1260">
        <v>358654</v>
      </c>
      <c r="C1260">
        <v>352140</v>
      </c>
      <c r="D1260">
        <v>352139</v>
      </c>
      <c r="E1260">
        <v>405</v>
      </c>
      <c r="F1260">
        <v>405</v>
      </c>
      <c r="G1260" t="s">
        <v>3138</v>
      </c>
      <c r="H1260">
        <v>0</v>
      </c>
      <c r="K1260" s="30">
        <v>45754.375</v>
      </c>
      <c r="L1260" s="30">
        <v>45793.416666666664</v>
      </c>
    </row>
    <row r="1261" spans="1:12" x14ac:dyDescent="0.25">
      <c r="A1261" t="s">
        <v>1248</v>
      </c>
      <c r="B1261">
        <v>358655</v>
      </c>
      <c r="C1261">
        <v>352141</v>
      </c>
      <c r="D1261">
        <v>352140</v>
      </c>
      <c r="E1261">
        <v>405</v>
      </c>
      <c r="F1261">
        <v>405</v>
      </c>
      <c r="G1261" t="s">
        <v>3138</v>
      </c>
      <c r="H1261">
        <v>0</v>
      </c>
      <c r="K1261" s="30">
        <v>45757.708333333336</v>
      </c>
      <c r="L1261" s="30">
        <v>45799.375</v>
      </c>
    </row>
    <row r="1262" spans="1:12" x14ac:dyDescent="0.25">
      <c r="A1262" t="s">
        <v>1248</v>
      </c>
      <c r="B1262">
        <v>358656</v>
      </c>
      <c r="C1262">
        <v>352142</v>
      </c>
      <c r="D1262">
        <v>352141</v>
      </c>
      <c r="E1262">
        <v>405</v>
      </c>
      <c r="F1262">
        <v>405</v>
      </c>
      <c r="G1262" t="s">
        <v>3138</v>
      </c>
      <c r="H1262">
        <v>0</v>
      </c>
      <c r="K1262" s="30">
        <v>45765.666666666664</v>
      </c>
      <c r="L1262" s="30">
        <v>45861.458333333336</v>
      </c>
    </row>
    <row r="1263" spans="1:12" x14ac:dyDescent="0.25">
      <c r="A1263" t="s">
        <v>1248</v>
      </c>
      <c r="B1263">
        <v>358657</v>
      </c>
      <c r="C1263">
        <v>352144</v>
      </c>
      <c r="D1263">
        <v>352143</v>
      </c>
      <c r="E1263">
        <v>405</v>
      </c>
      <c r="F1263">
        <v>405</v>
      </c>
      <c r="G1263" t="s">
        <v>3138</v>
      </c>
      <c r="H1263">
        <v>0</v>
      </c>
      <c r="K1263" s="30">
        <v>45742.583333333336</v>
      </c>
      <c r="L1263" s="30">
        <v>45779.583333333336</v>
      </c>
    </row>
    <row r="1264" spans="1:12" x14ac:dyDescent="0.25">
      <c r="A1264" t="s">
        <v>1248</v>
      </c>
      <c r="B1264">
        <v>358658</v>
      </c>
      <c r="C1264">
        <v>352145</v>
      </c>
      <c r="D1264">
        <v>352144</v>
      </c>
      <c r="E1264">
        <v>405</v>
      </c>
      <c r="F1264">
        <v>405</v>
      </c>
      <c r="G1264" t="s">
        <v>3138</v>
      </c>
      <c r="H1264">
        <v>0</v>
      </c>
      <c r="K1264" s="30">
        <v>45747.5</v>
      </c>
      <c r="L1264" s="30">
        <v>45784.541666666664</v>
      </c>
    </row>
    <row r="1265" spans="1:12" x14ac:dyDescent="0.25">
      <c r="A1265" t="s">
        <v>1248</v>
      </c>
      <c r="B1265">
        <v>358659</v>
      </c>
      <c r="C1265">
        <v>352146</v>
      </c>
      <c r="D1265">
        <v>352145</v>
      </c>
      <c r="E1265">
        <v>405</v>
      </c>
      <c r="F1265">
        <v>405</v>
      </c>
      <c r="G1265" t="s">
        <v>3138</v>
      </c>
      <c r="H1265">
        <v>0</v>
      </c>
      <c r="K1265" s="30">
        <v>45748.458333333336</v>
      </c>
      <c r="L1265" s="30">
        <v>45785.458333333336</v>
      </c>
    </row>
    <row r="1266" spans="1:12" x14ac:dyDescent="0.25">
      <c r="A1266" t="s">
        <v>1248</v>
      </c>
      <c r="B1266">
        <v>358660</v>
      </c>
      <c r="C1266">
        <v>352147</v>
      </c>
      <c r="D1266">
        <v>352146</v>
      </c>
      <c r="E1266">
        <v>405</v>
      </c>
      <c r="F1266">
        <v>405</v>
      </c>
      <c r="G1266" t="s">
        <v>3138</v>
      </c>
      <c r="H1266">
        <v>0</v>
      </c>
      <c r="K1266" s="30">
        <v>45750.416666666664</v>
      </c>
      <c r="L1266" s="30">
        <v>45789.416666666664</v>
      </c>
    </row>
    <row r="1267" spans="1:12" x14ac:dyDescent="0.25">
      <c r="A1267" t="s">
        <v>1248</v>
      </c>
      <c r="B1267">
        <v>358661</v>
      </c>
      <c r="C1267">
        <v>352148</v>
      </c>
      <c r="D1267">
        <v>352147</v>
      </c>
      <c r="E1267">
        <v>405</v>
      </c>
      <c r="F1267">
        <v>405</v>
      </c>
      <c r="G1267" t="s">
        <v>3138</v>
      </c>
      <c r="H1267">
        <v>0</v>
      </c>
      <c r="K1267" s="30">
        <v>45756.375</v>
      </c>
      <c r="L1267" s="30">
        <v>45793.375</v>
      </c>
    </row>
    <row r="1268" spans="1:12" x14ac:dyDescent="0.25">
      <c r="A1268" t="s">
        <v>1248</v>
      </c>
      <c r="B1268">
        <v>358662</v>
      </c>
      <c r="C1268">
        <v>352149</v>
      </c>
      <c r="D1268">
        <v>352148</v>
      </c>
      <c r="E1268">
        <v>405</v>
      </c>
      <c r="F1268">
        <v>405</v>
      </c>
      <c r="G1268" t="s">
        <v>3138</v>
      </c>
      <c r="H1268">
        <v>0</v>
      </c>
      <c r="K1268" s="30">
        <v>45763.708333333336</v>
      </c>
      <c r="L1268" s="30">
        <v>45860.541666666664</v>
      </c>
    </row>
    <row r="1269" spans="1:12" x14ac:dyDescent="0.25">
      <c r="A1269" t="s">
        <v>1248</v>
      </c>
      <c r="B1269">
        <v>358663</v>
      </c>
      <c r="C1269">
        <v>352151</v>
      </c>
      <c r="D1269">
        <v>352150</v>
      </c>
      <c r="E1269">
        <v>405</v>
      </c>
      <c r="F1269">
        <v>405</v>
      </c>
      <c r="G1269" t="s">
        <v>3138</v>
      </c>
      <c r="H1269">
        <v>0</v>
      </c>
      <c r="K1269" s="30">
        <v>45740.625</v>
      </c>
      <c r="L1269" s="30">
        <v>45775.583333333336</v>
      </c>
    </row>
    <row r="1270" spans="1:12" x14ac:dyDescent="0.25">
      <c r="A1270" t="s">
        <v>1248</v>
      </c>
      <c r="B1270">
        <v>358664</v>
      </c>
      <c r="C1270">
        <v>352152</v>
      </c>
      <c r="D1270">
        <v>352151</v>
      </c>
      <c r="E1270">
        <v>405</v>
      </c>
      <c r="F1270">
        <v>405</v>
      </c>
      <c r="G1270" t="s">
        <v>3138</v>
      </c>
      <c r="H1270">
        <v>0</v>
      </c>
      <c r="K1270" s="30">
        <v>45743.583333333336</v>
      </c>
      <c r="L1270" s="30">
        <v>45778.541666666664</v>
      </c>
    </row>
    <row r="1271" spans="1:12" x14ac:dyDescent="0.25">
      <c r="A1271" t="s">
        <v>1248</v>
      </c>
      <c r="B1271">
        <v>358665</v>
      </c>
      <c r="C1271">
        <v>352153</v>
      </c>
      <c r="D1271">
        <v>352152</v>
      </c>
      <c r="E1271">
        <v>405</v>
      </c>
      <c r="F1271">
        <v>405</v>
      </c>
      <c r="G1271" t="s">
        <v>3138</v>
      </c>
      <c r="H1271">
        <v>0</v>
      </c>
      <c r="K1271" s="30">
        <v>45744.5</v>
      </c>
      <c r="L1271" s="30">
        <v>45779.458333333336</v>
      </c>
    </row>
    <row r="1272" spans="1:12" x14ac:dyDescent="0.25">
      <c r="A1272" t="s">
        <v>1248</v>
      </c>
      <c r="B1272">
        <v>358666</v>
      </c>
      <c r="C1272">
        <v>352154</v>
      </c>
      <c r="D1272">
        <v>352153</v>
      </c>
      <c r="E1272">
        <v>405</v>
      </c>
      <c r="F1272">
        <v>405</v>
      </c>
      <c r="G1272" t="s">
        <v>3138</v>
      </c>
      <c r="H1272">
        <v>0</v>
      </c>
      <c r="K1272" s="30">
        <v>45748.458333333336</v>
      </c>
      <c r="L1272" s="30">
        <v>45783.416666666664</v>
      </c>
    </row>
    <row r="1273" spans="1:12" x14ac:dyDescent="0.25">
      <c r="A1273" t="s">
        <v>1248</v>
      </c>
      <c r="B1273">
        <v>358667</v>
      </c>
      <c r="C1273">
        <v>352155</v>
      </c>
      <c r="D1273">
        <v>352154</v>
      </c>
      <c r="E1273">
        <v>405</v>
      </c>
      <c r="F1273">
        <v>405</v>
      </c>
      <c r="G1273" t="s">
        <v>3138</v>
      </c>
      <c r="H1273">
        <v>0</v>
      </c>
      <c r="K1273" s="30">
        <v>45754.416666666664</v>
      </c>
      <c r="L1273" s="30">
        <v>45789.375</v>
      </c>
    </row>
    <row r="1274" spans="1:12" x14ac:dyDescent="0.25">
      <c r="A1274" t="s">
        <v>1248</v>
      </c>
      <c r="B1274">
        <v>358668</v>
      </c>
      <c r="C1274">
        <v>352156</v>
      </c>
      <c r="D1274">
        <v>352155</v>
      </c>
      <c r="E1274">
        <v>405</v>
      </c>
      <c r="F1274">
        <v>405</v>
      </c>
      <c r="G1274" t="s">
        <v>3138</v>
      </c>
      <c r="H1274">
        <v>0</v>
      </c>
      <c r="K1274" s="30">
        <v>45762.375</v>
      </c>
      <c r="L1274" s="30">
        <v>45859.583333333336</v>
      </c>
    </row>
    <row r="1275" spans="1:12" x14ac:dyDescent="0.25">
      <c r="A1275" t="s">
        <v>1248</v>
      </c>
      <c r="B1275">
        <v>358669</v>
      </c>
      <c r="C1275">
        <v>352158</v>
      </c>
      <c r="D1275">
        <v>352157</v>
      </c>
      <c r="E1275">
        <v>405</v>
      </c>
      <c r="F1275">
        <v>405</v>
      </c>
      <c r="G1275" t="s">
        <v>3138</v>
      </c>
      <c r="H1275">
        <v>0</v>
      </c>
      <c r="K1275" s="30">
        <v>45736.666666666664</v>
      </c>
      <c r="L1275" s="30">
        <v>45769.583333333336</v>
      </c>
    </row>
    <row r="1276" spans="1:12" x14ac:dyDescent="0.25">
      <c r="A1276" t="s">
        <v>1248</v>
      </c>
      <c r="B1276">
        <v>358670</v>
      </c>
      <c r="C1276">
        <v>352159</v>
      </c>
      <c r="D1276">
        <v>352158</v>
      </c>
      <c r="E1276">
        <v>405</v>
      </c>
      <c r="F1276">
        <v>405</v>
      </c>
      <c r="G1276" t="s">
        <v>3138</v>
      </c>
      <c r="H1276">
        <v>0</v>
      </c>
      <c r="K1276" s="30">
        <v>45741.625</v>
      </c>
      <c r="L1276" s="30">
        <v>45772.541666666664</v>
      </c>
    </row>
    <row r="1277" spans="1:12" x14ac:dyDescent="0.25">
      <c r="A1277" t="s">
        <v>1248</v>
      </c>
      <c r="B1277">
        <v>358671</v>
      </c>
      <c r="C1277">
        <v>352160</v>
      </c>
      <c r="D1277">
        <v>352159</v>
      </c>
      <c r="E1277">
        <v>405</v>
      </c>
      <c r="F1277">
        <v>405</v>
      </c>
      <c r="G1277" t="s">
        <v>3138</v>
      </c>
      <c r="H1277">
        <v>0</v>
      </c>
      <c r="K1277" s="30">
        <v>45742.583333333336</v>
      </c>
      <c r="L1277" s="30">
        <v>45775.458333333336</v>
      </c>
    </row>
    <row r="1278" spans="1:12" x14ac:dyDescent="0.25">
      <c r="A1278" t="s">
        <v>1248</v>
      </c>
      <c r="B1278">
        <v>358672</v>
      </c>
      <c r="C1278">
        <v>352161</v>
      </c>
      <c r="D1278">
        <v>352160</v>
      </c>
      <c r="E1278">
        <v>405</v>
      </c>
      <c r="F1278">
        <v>405</v>
      </c>
      <c r="G1278" t="s">
        <v>3138</v>
      </c>
      <c r="H1278">
        <v>0</v>
      </c>
      <c r="K1278" s="30">
        <v>45744.5</v>
      </c>
      <c r="L1278" s="30">
        <v>45777.416666666664</v>
      </c>
    </row>
    <row r="1279" spans="1:12" x14ac:dyDescent="0.25">
      <c r="A1279" t="s">
        <v>1248</v>
      </c>
      <c r="B1279">
        <v>358673</v>
      </c>
      <c r="C1279">
        <v>352162</v>
      </c>
      <c r="D1279">
        <v>352161</v>
      </c>
      <c r="E1279">
        <v>405</v>
      </c>
      <c r="F1279">
        <v>405</v>
      </c>
      <c r="G1279" t="s">
        <v>3138</v>
      </c>
      <c r="H1279">
        <v>0</v>
      </c>
      <c r="K1279" s="30">
        <v>45750.458333333336</v>
      </c>
      <c r="L1279" s="30">
        <v>45783.375</v>
      </c>
    </row>
    <row r="1280" spans="1:12" x14ac:dyDescent="0.25">
      <c r="A1280" t="s">
        <v>1248</v>
      </c>
      <c r="B1280">
        <v>358674</v>
      </c>
      <c r="C1280">
        <v>352163</v>
      </c>
      <c r="D1280">
        <v>352162</v>
      </c>
      <c r="E1280">
        <v>405</v>
      </c>
      <c r="F1280">
        <v>405</v>
      </c>
      <c r="G1280" t="s">
        <v>3138</v>
      </c>
      <c r="H1280">
        <v>0</v>
      </c>
      <c r="K1280" s="30">
        <v>45758.416666666664</v>
      </c>
      <c r="L1280" s="30">
        <v>45856.625</v>
      </c>
    </row>
    <row r="1281" spans="1:12" x14ac:dyDescent="0.25">
      <c r="A1281" t="s">
        <v>1248</v>
      </c>
      <c r="B1281">
        <v>358675</v>
      </c>
      <c r="C1281">
        <v>352165</v>
      </c>
      <c r="D1281">
        <v>352164</v>
      </c>
      <c r="E1281">
        <v>405</v>
      </c>
      <c r="F1281">
        <v>405</v>
      </c>
      <c r="G1281" t="s">
        <v>3138</v>
      </c>
      <c r="H1281">
        <v>0</v>
      </c>
      <c r="K1281" s="30">
        <v>45722.625</v>
      </c>
      <c r="L1281" s="30">
        <v>45763.583333333336</v>
      </c>
    </row>
    <row r="1282" spans="1:12" x14ac:dyDescent="0.25">
      <c r="A1282" t="s">
        <v>1248</v>
      </c>
      <c r="B1282">
        <v>358676</v>
      </c>
      <c r="C1282">
        <v>352166</v>
      </c>
      <c r="D1282">
        <v>352165</v>
      </c>
      <c r="E1282">
        <v>405</v>
      </c>
      <c r="F1282">
        <v>405</v>
      </c>
      <c r="G1282" t="s">
        <v>3138</v>
      </c>
      <c r="H1282">
        <v>0</v>
      </c>
      <c r="K1282" s="30">
        <v>45728.583333333336</v>
      </c>
      <c r="L1282" s="30">
        <v>45768.541666666664</v>
      </c>
    </row>
    <row r="1283" spans="1:12" x14ac:dyDescent="0.25">
      <c r="A1283" t="s">
        <v>1248</v>
      </c>
      <c r="B1283">
        <v>358677</v>
      </c>
      <c r="C1283">
        <v>352167</v>
      </c>
      <c r="D1283">
        <v>352166</v>
      </c>
      <c r="E1283">
        <v>405</v>
      </c>
      <c r="F1283">
        <v>405</v>
      </c>
      <c r="G1283" t="s">
        <v>3138</v>
      </c>
      <c r="H1283">
        <v>0</v>
      </c>
      <c r="K1283" s="30">
        <v>45729.5</v>
      </c>
      <c r="L1283" s="30">
        <v>45769.458333333336</v>
      </c>
    </row>
    <row r="1284" spans="1:12" x14ac:dyDescent="0.25">
      <c r="A1284" t="s">
        <v>1248</v>
      </c>
      <c r="B1284">
        <v>358678</v>
      </c>
      <c r="C1284">
        <v>352168</v>
      </c>
      <c r="D1284">
        <v>352167</v>
      </c>
      <c r="E1284">
        <v>405</v>
      </c>
      <c r="F1284">
        <v>405</v>
      </c>
      <c r="G1284" t="s">
        <v>3138</v>
      </c>
      <c r="H1284">
        <v>0</v>
      </c>
      <c r="K1284" s="30">
        <v>45733.458333333336</v>
      </c>
      <c r="L1284" s="30">
        <v>45771.416666666664</v>
      </c>
    </row>
    <row r="1285" spans="1:12" x14ac:dyDescent="0.25">
      <c r="A1285" t="s">
        <v>1248</v>
      </c>
      <c r="B1285">
        <v>358679</v>
      </c>
      <c r="C1285">
        <v>352169</v>
      </c>
      <c r="D1285">
        <v>352168</v>
      </c>
      <c r="E1285">
        <v>405</v>
      </c>
      <c r="F1285">
        <v>405</v>
      </c>
      <c r="G1285" t="s">
        <v>3138</v>
      </c>
      <c r="H1285">
        <v>0</v>
      </c>
      <c r="K1285" s="30">
        <v>45737.416666666664</v>
      </c>
      <c r="L1285" s="30">
        <v>45777.375</v>
      </c>
    </row>
    <row r="1286" spans="1:12" x14ac:dyDescent="0.25">
      <c r="A1286" t="s">
        <v>1248</v>
      </c>
      <c r="B1286">
        <v>358680</v>
      </c>
      <c r="C1286">
        <v>352170</v>
      </c>
      <c r="D1286">
        <v>352169</v>
      </c>
      <c r="E1286">
        <v>405</v>
      </c>
      <c r="F1286">
        <v>405</v>
      </c>
      <c r="G1286" t="s">
        <v>3138</v>
      </c>
      <c r="H1286">
        <v>0</v>
      </c>
      <c r="K1286" s="30">
        <v>45747.375</v>
      </c>
      <c r="L1286" s="30">
        <v>45855.666666666664</v>
      </c>
    </row>
    <row r="1287" spans="1:12" x14ac:dyDescent="0.25">
      <c r="A1287" t="s">
        <v>1248</v>
      </c>
      <c r="B1287">
        <v>358681</v>
      </c>
      <c r="C1287">
        <v>352172</v>
      </c>
      <c r="D1287">
        <v>352171</v>
      </c>
      <c r="E1287">
        <v>405</v>
      </c>
      <c r="F1287">
        <v>405</v>
      </c>
      <c r="G1287" t="s">
        <v>3138</v>
      </c>
      <c r="H1287">
        <v>0</v>
      </c>
      <c r="K1287" s="30">
        <v>45720.666666666664</v>
      </c>
      <c r="L1287" s="30">
        <v>45757.583333333336</v>
      </c>
    </row>
    <row r="1288" spans="1:12" x14ac:dyDescent="0.25">
      <c r="A1288" t="s">
        <v>1248</v>
      </c>
      <c r="B1288">
        <v>358682</v>
      </c>
      <c r="C1288">
        <v>352173</v>
      </c>
      <c r="D1288">
        <v>352172</v>
      </c>
      <c r="E1288">
        <v>405</v>
      </c>
      <c r="F1288">
        <v>405</v>
      </c>
      <c r="G1288" t="s">
        <v>3138</v>
      </c>
      <c r="H1288">
        <v>0</v>
      </c>
      <c r="K1288" s="30">
        <v>45723.625</v>
      </c>
      <c r="L1288" s="30">
        <v>45762.541666666664</v>
      </c>
    </row>
    <row r="1289" spans="1:12" x14ac:dyDescent="0.25">
      <c r="A1289" t="s">
        <v>1248</v>
      </c>
      <c r="B1289">
        <v>358683</v>
      </c>
      <c r="C1289">
        <v>352174</v>
      </c>
      <c r="D1289">
        <v>352173</v>
      </c>
      <c r="E1289">
        <v>405</v>
      </c>
      <c r="F1289">
        <v>405</v>
      </c>
      <c r="G1289" t="s">
        <v>3138</v>
      </c>
      <c r="H1289">
        <v>0</v>
      </c>
      <c r="K1289" s="30">
        <v>45726.583333333336</v>
      </c>
      <c r="L1289" s="30">
        <v>45763.458333333336</v>
      </c>
    </row>
    <row r="1290" spans="1:12" x14ac:dyDescent="0.25">
      <c r="A1290" t="s">
        <v>1248</v>
      </c>
      <c r="B1290">
        <v>358684</v>
      </c>
      <c r="C1290">
        <v>352175</v>
      </c>
      <c r="D1290">
        <v>352174</v>
      </c>
      <c r="E1290">
        <v>405</v>
      </c>
      <c r="F1290">
        <v>405</v>
      </c>
      <c r="G1290" t="s">
        <v>3138</v>
      </c>
      <c r="H1290">
        <v>0</v>
      </c>
      <c r="K1290" s="30">
        <v>45728.5</v>
      </c>
      <c r="L1290" s="30">
        <v>45765.416666666664</v>
      </c>
    </row>
    <row r="1291" spans="1:12" x14ac:dyDescent="0.25">
      <c r="A1291" t="s">
        <v>1248</v>
      </c>
      <c r="B1291">
        <v>358685</v>
      </c>
      <c r="C1291">
        <v>352176</v>
      </c>
      <c r="D1291">
        <v>352175</v>
      </c>
      <c r="E1291">
        <v>405</v>
      </c>
      <c r="F1291">
        <v>405</v>
      </c>
      <c r="G1291" t="s">
        <v>3138</v>
      </c>
      <c r="H1291">
        <v>0</v>
      </c>
      <c r="K1291" s="30">
        <v>45734.458333333336</v>
      </c>
      <c r="L1291" s="30">
        <v>45771.375</v>
      </c>
    </row>
    <row r="1292" spans="1:12" x14ac:dyDescent="0.25">
      <c r="A1292" t="s">
        <v>1248</v>
      </c>
      <c r="B1292">
        <v>358686</v>
      </c>
      <c r="C1292">
        <v>352177</v>
      </c>
      <c r="D1292">
        <v>352176</v>
      </c>
      <c r="E1292">
        <v>405</v>
      </c>
      <c r="F1292">
        <v>405</v>
      </c>
      <c r="G1292" t="s">
        <v>3138</v>
      </c>
      <c r="H1292">
        <v>0</v>
      </c>
      <c r="K1292" s="30">
        <v>45742.416666666664</v>
      </c>
      <c r="L1292" s="30">
        <v>45855.333333333336</v>
      </c>
    </row>
    <row r="1293" spans="1:12" x14ac:dyDescent="0.25">
      <c r="A1293" t="s">
        <v>1248</v>
      </c>
      <c r="B1293">
        <v>358687</v>
      </c>
      <c r="C1293">
        <v>352179</v>
      </c>
      <c r="D1293">
        <v>352178</v>
      </c>
      <c r="E1293">
        <v>405</v>
      </c>
      <c r="F1293">
        <v>405</v>
      </c>
      <c r="G1293" t="s">
        <v>3138</v>
      </c>
      <c r="H1293">
        <v>0</v>
      </c>
      <c r="K1293" s="30">
        <v>45722.666666666664</v>
      </c>
      <c r="L1293" s="30">
        <v>45751.583333333336</v>
      </c>
    </row>
    <row r="1294" spans="1:12" x14ac:dyDescent="0.25">
      <c r="A1294" t="s">
        <v>1248</v>
      </c>
      <c r="B1294">
        <v>358688</v>
      </c>
      <c r="C1294">
        <v>352180</v>
      </c>
      <c r="D1294">
        <v>352179</v>
      </c>
      <c r="E1294">
        <v>405</v>
      </c>
      <c r="F1294">
        <v>405</v>
      </c>
      <c r="G1294" t="s">
        <v>3138</v>
      </c>
      <c r="H1294">
        <v>0</v>
      </c>
      <c r="K1294" s="30">
        <v>45728.666666666664</v>
      </c>
      <c r="L1294" s="30">
        <v>45756.541666666664</v>
      </c>
    </row>
    <row r="1295" spans="1:12" x14ac:dyDescent="0.25">
      <c r="A1295" t="s">
        <v>1248</v>
      </c>
      <c r="B1295">
        <v>358689</v>
      </c>
      <c r="C1295">
        <v>352181</v>
      </c>
      <c r="D1295">
        <v>352180</v>
      </c>
      <c r="E1295">
        <v>405</v>
      </c>
      <c r="F1295">
        <v>405</v>
      </c>
      <c r="G1295" t="s">
        <v>3138</v>
      </c>
      <c r="H1295">
        <v>0</v>
      </c>
      <c r="K1295" s="30">
        <v>45729.625</v>
      </c>
      <c r="L1295" s="30">
        <v>45757.458333333336</v>
      </c>
    </row>
    <row r="1296" spans="1:12" x14ac:dyDescent="0.25">
      <c r="A1296" t="s">
        <v>1248</v>
      </c>
      <c r="B1296">
        <v>358690</v>
      </c>
      <c r="C1296">
        <v>352182</v>
      </c>
      <c r="D1296">
        <v>352181</v>
      </c>
      <c r="E1296">
        <v>405</v>
      </c>
      <c r="F1296">
        <v>405</v>
      </c>
      <c r="G1296" t="s">
        <v>3138</v>
      </c>
      <c r="H1296">
        <v>0</v>
      </c>
      <c r="K1296" s="30">
        <v>45733.583333333336</v>
      </c>
      <c r="L1296" s="30">
        <v>45761.416666666664</v>
      </c>
    </row>
    <row r="1297" spans="1:12" x14ac:dyDescent="0.25">
      <c r="A1297" t="s">
        <v>1248</v>
      </c>
      <c r="B1297">
        <v>358691</v>
      </c>
      <c r="C1297">
        <v>352183</v>
      </c>
      <c r="D1297">
        <v>352182</v>
      </c>
      <c r="E1297">
        <v>405</v>
      </c>
      <c r="F1297">
        <v>405</v>
      </c>
      <c r="G1297" t="s">
        <v>3138</v>
      </c>
      <c r="H1297">
        <v>0</v>
      </c>
      <c r="K1297" s="30">
        <v>45737.5</v>
      </c>
      <c r="L1297" s="30">
        <v>45765.375</v>
      </c>
    </row>
    <row r="1298" spans="1:12" x14ac:dyDescent="0.25">
      <c r="A1298" t="s">
        <v>1248</v>
      </c>
      <c r="B1298">
        <v>358692</v>
      </c>
      <c r="C1298">
        <v>352184</v>
      </c>
      <c r="D1298">
        <v>352183</v>
      </c>
      <c r="E1298">
        <v>405</v>
      </c>
      <c r="F1298">
        <v>405</v>
      </c>
      <c r="G1298" t="s">
        <v>3138</v>
      </c>
      <c r="H1298">
        <v>0</v>
      </c>
      <c r="K1298" s="30">
        <v>45747.458333333336</v>
      </c>
      <c r="L1298" s="30">
        <v>45854.375</v>
      </c>
    </row>
    <row r="1299" spans="1:12" x14ac:dyDescent="0.25">
      <c r="A1299" t="s">
        <v>1248</v>
      </c>
      <c r="B1299">
        <v>358693</v>
      </c>
      <c r="C1299">
        <v>352186</v>
      </c>
      <c r="D1299">
        <v>352185</v>
      </c>
      <c r="E1299">
        <v>405</v>
      </c>
      <c r="F1299">
        <v>405</v>
      </c>
      <c r="G1299" t="s">
        <v>3138</v>
      </c>
      <c r="H1299">
        <v>0</v>
      </c>
      <c r="K1299" s="30">
        <v>45720.708333333336</v>
      </c>
      <c r="L1299" s="30">
        <v>45747.333333333336</v>
      </c>
    </row>
    <row r="1300" spans="1:12" x14ac:dyDescent="0.25">
      <c r="A1300" t="s">
        <v>1248</v>
      </c>
      <c r="B1300">
        <v>358694</v>
      </c>
      <c r="C1300">
        <v>352187</v>
      </c>
      <c r="D1300">
        <v>352186</v>
      </c>
      <c r="E1300">
        <v>405</v>
      </c>
      <c r="F1300">
        <v>405</v>
      </c>
      <c r="G1300" t="s">
        <v>3138</v>
      </c>
      <c r="H1300">
        <v>0</v>
      </c>
      <c r="K1300" s="30">
        <v>45723.708333333336</v>
      </c>
      <c r="L1300" s="30">
        <v>45750.333333333336</v>
      </c>
    </row>
    <row r="1301" spans="1:12" x14ac:dyDescent="0.25">
      <c r="A1301" t="s">
        <v>1248</v>
      </c>
      <c r="B1301">
        <v>358695</v>
      </c>
      <c r="C1301">
        <v>352188</v>
      </c>
      <c r="D1301">
        <v>352187</v>
      </c>
      <c r="E1301">
        <v>405</v>
      </c>
      <c r="F1301">
        <v>405</v>
      </c>
      <c r="G1301" t="s">
        <v>3138</v>
      </c>
      <c r="H1301">
        <v>0</v>
      </c>
      <c r="K1301" s="30">
        <v>45726.708333333336</v>
      </c>
      <c r="L1301" s="30">
        <v>45751.333333333336</v>
      </c>
    </row>
    <row r="1302" spans="1:12" x14ac:dyDescent="0.25">
      <c r="A1302" t="s">
        <v>1248</v>
      </c>
      <c r="B1302">
        <v>358696</v>
      </c>
      <c r="C1302">
        <v>352189</v>
      </c>
      <c r="D1302">
        <v>352188</v>
      </c>
      <c r="E1302">
        <v>405</v>
      </c>
      <c r="F1302">
        <v>405</v>
      </c>
      <c r="G1302" t="s">
        <v>3138</v>
      </c>
      <c r="H1302">
        <v>0</v>
      </c>
      <c r="K1302" s="30">
        <v>45728.708333333336</v>
      </c>
      <c r="L1302" s="30">
        <v>45755.333333333336</v>
      </c>
    </row>
    <row r="1303" spans="1:12" x14ac:dyDescent="0.25">
      <c r="A1303" t="s">
        <v>1248</v>
      </c>
      <c r="B1303">
        <v>358697</v>
      </c>
      <c r="C1303">
        <v>352190</v>
      </c>
      <c r="D1303">
        <v>352189</v>
      </c>
      <c r="E1303">
        <v>405</v>
      </c>
      <c r="F1303">
        <v>405</v>
      </c>
      <c r="G1303" t="s">
        <v>3138</v>
      </c>
      <c r="H1303">
        <v>0</v>
      </c>
      <c r="K1303" s="30">
        <v>45734.708333333336</v>
      </c>
      <c r="L1303" s="30">
        <v>45761.333333333336</v>
      </c>
    </row>
    <row r="1304" spans="1:12" x14ac:dyDescent="0.25">
      <c r="A1304" t="s">
        <v>1248</v>
      </c>
      <c r="B1304">
        <v>358698</v>
      </c>
      <c r="C1304">
        <v>352191</v>
      </c>
      <c r="D1304">
        <v>352190</v>
      </c>
      <c r="E1304">
        <v>405</v>
      </c>
      <c r="F1304">
        <v>405</v>
      </c>
      <c r="G1304" t="s">
        <v>3138</v>
      </c>
      <c r="H1304">
        <v>0</v>
      </c>
      <c r="K1304" s="30">
        <v>45742.708333333336</v>
      </c>
      <c r="L1304" s="30">
        <v>45853.375</v>
      </c>
    </row>
    <row r="1305" spans="1:12" x14ac:dyDescent="0.25">
      <c r="A1305" t="s">
        <v>1248</v>
      </c>
      <c r="B1305">
        <v>358699</v>
      </c>
      <c r="C1305">
        <v>352193</v>
      </c>
      <c r="D1305">
        <v>352192</v>
      </c>
      <c r="E1305">
        <v>405</v>
      </c>
      <c r="F1305">
        <v>405</v>
      </c>
      <c r="G1305" t="s">
        <v>3138</v>
      </c>
      <c r="H1305">
        <v>0</v>
      </c>
      <c r="K1305" s="30">
        <v>45896.666666666664</v>
      </c>
      <c r="L1305" s="30">
        <v>46385.702777777777</v>
      </c>
    </row>
    <row r="1306" spans="1:12" x14ac:dyDescent="0.25">
      <c r="A1306" t="s">
        <v>1248</v>
      </c>
      <c r="B1306">
        <v>358700</v>
      </c>
      <c r="C1306">
        <v>352194</v>
      </c>
      <c r="D1306">
        <v>352193</v>
      </c>
      <c r="E1306">
        <v>405</v>
      </c>
      <c r="F1306">
        <v>405</v>
      </c>
      <c r="G1306" t="s">
        <v>3138</v>
      </c>
      <c r="H1306">
        <v>0</v>
      </c>
      <c r="K1306" s="30">
        <v>45904.463888888888</v>
      </c>
      <c r="L1306" s="30">
        <v>46395.541666666664</v>
      </c>
    </row>
    <row r="1307" spans="1:12" x14ac:dyDescent="0.25">
      <c r="A1307" t="s">
        <v>1248</v>
      </c>
      <c r="B1307">
        <v>358701</v>
      </c>
      <c r="C1307">
        <v>352195</v>
      </c>
      <c r="D1307">
        <v>352194</v>
      </c>
      <c r="E1307">
        <v>405</v>
      </c>
      <c r="F1307">
        <v>405</v>
      </c>
      <c r="G1307" t="s">
        <v>3138</v>
      </c>
      <c r="H1307">
        <v>0</v>
      </c>
      <c r="K1307" s="30">
        <v>45905.422222222223</v>
      </c>
      <c r="L1307" s="30">
        <v>46398.458333333336</v>
      </c>
    </row>
    <row r="1308" spans="1:12" x14ac:dyDescent="0.25">
      <c r="A1308" t="s">
        <v>1248</v>
      </c>
      <c r="B1308">
        <v>358702</v>
      </c>
      <c r="C1308">
        <v>352196</v>
      </c>
      <c r="D1308">
        <v>352195</v>
      </c>
      <c r="E1308">
        <v>405</v>
      </c>
      <c r="F1308">
        <v>405</v>
      </c>
      <c r="G1308" t="s">
        <v>3138</v>
      </c>
      <c r="H1308">
        <v>0</v>
      </c>
      <c r="K1308" s="30">
        <v>45909.380555555559</v>
      </c>
      <c r="L1308" s="30">
        <v>46400.416666666664</v>
      </c>
    </row>
    <row r="1309" spans="1:12" x14ac:dyDescent="0.25">
      <c r="A1309" t="s">
        <v>1248</v>
      </c>
      <c r="B1309">
        <v>358703</v>
      </c>
      <c r="C1309">
        <v>352197</v>
      </c>
      <c r="D1309">
        <v>352196</v>
      </c>
      <c r="E1309">
        <v>405</v>
      </c>
      <c r="F1309">
        <v>405</v>
      </c>
      <c r="G1309" t="s">
        <v>3138</v>
      </c>
      <c r="H1309">
        <v>0</v>
      </c>
      <c r="K1309" s="30">
        <v>45915.380555555559</v>
      </c>
      <c r="L1309" s="30">
        <v>46406.416666666664</v>
      </c>
    </row>
    <row r="1310" spans="1:12" x14ac:dyDescent="0.25">
      <c r="A1310" t="s">
        <v>1248</v>
      </c>
      <c r="B1310">
        <v>358704</v>
      </c>
      <c r="C1310">
        <v>352198</v>
      </c>
      <c r="D1310">
        <v>352197</v>
      </c>
      <c r="E1310">
        <v>405</v>
      </c>
      <c r="F1310">
        <v>405</v>
      </c>
      <c r="G1310" t="s">
        <v>3138</v>
      </c>
      <c r="H1310">
        <v>0</v>
      </c>
      <c r="K1310" s="30">
        <v>45923.338888888888</v>
      </c>
      <c r="L1310" s="30">
        <v>46414.375</v>
      </c>
    </row>
    <row r="1311" spans="1:12" x14ac:dyDescent="0.25">
      <c r="A1311" t="s">
        <v>1248</v>
      </c>
      <c r="B1311">
        <v>358705</v>
      </c>
      <c r="C1311">
        <v>352200</v>
      </c>
      <c r="D1311">
        <v>352199</v>
      </c>
      <c r="E1311">
        <v>405</v>
      </c>
      <c r="F1311">
        <v>405</v>
      </c>
      <c r="G1311" t="s">
        <v>3138</v>
      </c>
      <c r="H1311">
        <v>0</v>
      </c>
      <c r="K1311" s="30">
        <v>45891.666666666664</v>
      </c>
      <c r="L1311" s="30">
        <v>46366.702777777777</v>
      </c>
    </row>
    <row r="1312" spans="1:12" x14ac:dyDescent="0.25">
      <c r="A1312" t="s">
        <v>1248</v>
      </c>
      <c r="B1312">
        <v>358706</v>
      </c>
      <c r="C1312">
        <v>352201</v>
      </c>
      <c r="D1312">
        <v>352200</v>
      </c>
      <c r="E1312">
        <v>405</v>
      </c>
      <c r="F1312">
        <v>405</v>
      </c>
      <c r="G1312" t="s">
        <v>3138</v>
      </c>
      <c r="H1312">
        <v>0</v>
      </c>
      <c r="K1312" s="30">
        <v>45901.463888888888</v>
      </c>
      <c r="L1312" s="30">
        <v>46374.541666666664</v>
      </c>
    </row>
    <row r="1313" spans="1:12" x14ac:dyDescent="0.25">
      <c r="A1313" t="s">
        <v>1248</v>
      </c>
      <c r="B1313">
        <v>358707</v>
      </c>
      <c r="C1313">
        <v>352202</v>
      </c>
      <c r="D1313">
        <v>352201</v>
      </c>
      <c r="E1313">
        <v>405</v>
      </c>
      <c r="F1313">
        <v>405</v>
      </c>
      <c r="G1313" t="s">
        <v>3138</v>
      </c>
      <c r="H1313">
        <v>0</v>
      </c>
      <c r="K1313" s="30">
        <v>45902.422222222223</v>
      </c>
      <c r="L1313" s="30">
        <v>46377.458333333336</v>
      </c>
    </row>
    <row r="1314" spans="1:12" x14ac:dyDescent="0.25">
      <c r="A1314" t="s">
        <v>1248</v>
      </c>
      <c r="B1314">
        <v>358708</v>
      </c>
      <c r="C1314">
        <v>352203</v>
      </c>
      <c r="D1314">
        <v>352202</v>
      </c>
      <c r="E1314">
        <v>405</v>
      </c>
      <c r="F1314">
        <v>405</v>
      </c>
      <c r="G1314" t="s">
        <v>3138</v>
      </c>
      <c r="H1314">
        <v>0</v>
      </c>
      <c r="K1314" s="30">
        <v>45904.380555555559</v>
      </c>
      <c r="L1314" s="30">
        <v>46379.416666666664</v>
      </c>
    </row>
    <row r="1315" spans="1:12" x14ac:dyDescent="0.25">
      <c r="A1315" t="s">
        <v>1248</v>
      </c>
      <c r="B1315">
        <v>358709</v>
      </c>
      <c r="C1315">
        <v>352204</v>
      </c>
      <c r="D1315">
        <v>352203</v>
      </c>
      <c r="E1315">
        <v>405</v>
      </c>
      <c r="F1315">
        <v>405</v>
      </c>
      <c r="G1315" t="s">
        <v>3138</v>
      </c>
      <c r="H1315">
        <v>0</v>
      </c>
      <c r="K1315" s="30">
        <v>45910.380555555559</v>
      </c>
      <c r="L1315" s="30">
        <v>46386.416666666664</v>
      </c>
    </row>
    <row r="1316" spans="1:12" x14ac:dyDescent="0.25">
      <c r="A1316" t="s">
        <v>1248</v>
      </c>
      <c r="B1316">
        <v>358710</v>
      </c>
      <c r="C1316">
        <v>352205</v>
      </c>
      <c r="D1316">
        <v>352204</v>
      </c>
      <c r="E1316">
        <v>405</v>
      </c>
      <c r="F1316">
        <v>405</v>
      </c>
      <c r="G1316" t="s">
        <v>3138</v>
      </c>
      <c r="H1316">
        <v>0</v>
      </c>
      <c r="K1316" s="30">
        <v>45918.338888888888</v>
      </c>
      <c r="L1316" s="30">
        <v>46398.375</v>
      </c>
    </row>
    <row r="1317" spans="1:12" x14ac:dyDescent="0.25">
      <c r="A1317" t="s">
        <v>1248</v>
      </c>
      <c r="B1317">
        <v>358711</v>
      </c>
      <c r="C1317">
        <v>352207</v>
      </c>
      <c r="D1317">
        <v>352206</v>
      </c>
      <c r="E1317">
        <v>405</v>
      </c>
      <c r="F1317">
        <v>405</v>
      </c>
      <c r="G1317" t="s">
        <v>3138</v>
      </c>
      <c r="H1317">
        <v>0</v>
      </c>
      <c r="K1317" s="30">
        <v>45888.666666666664</v>
      </c>
      <c r="L1317" s="30">
        <v>46349.702777777777</v>
      </c>
    </row>
    <row r="1318" spans="1:12" x14ac:dyDescent="0.25">
      <c r="A1318" t="s">
        <v>1248</v>
      </c>
      <c r="B1318">
        <v>358712</v>
      </c>
      <c r="C1318">
        <v>352208</v>
      </c>
      <c r="D1318">
        <v>352207</v>
      </c>
      <c r="E1318">
        <v>405</v>
      </c>
      <c r="F1318">
        <v>405</v>
      </c>
      <c r="G1318" t="s">
        <v>3138</v>
      </c>
      <c r="H1318">
        <v>0</v>
      </c>
      <c r="K1318" s="30">
        <v>45896.463888888888</v>
      </c>
      <c r="L1318" s="30">
        <v>46357.541666666664</v>
      </c>
    </row>
    <row r="1319" spans="1:12" x14ac:dyDescent="0.25">
      <c r="A1319" t="s">
        <v>1248</v>
      </c>
      <c r="B1319">
        <v>358713</v>
      </c>
      <c r="C1319">
        <v>352209</v>
      </c>
      <c r="D1319">
        <v>352208</v>
      </c>
      <c r="E1319">
        <v>405</v>
      </c>
      <c r="F1319">
        <v>405</v>
      </c>
      <c r="G1319" t="s">
        <v>3138</v>
      </c>
      <c r="H1319">
        <v>0</v>
      </c>
      <c r="K1319" s="30">
        <v>45897.422222222223</v>
      </c>
      <c r="L1319" s="30">
        <v>46358.458333333336</v>
      </c>
    </row>
    <row r="1320" spans="1:12" x14ac:dyDescent="0.25">
      <c r="A1320" t="s">
        <v>1248</v>
      </c>
      <c r="B1320">
        <v>358714</v>
      </c>
      <c r="C1320">
        <v>352210</v>
      </c>
      <c r="D1320">
        <v>352209</v>
      </c>
      <c r="E1320">
        <v>405</v>
      </c>
      <c r="F1320">
        <v>405</v>
      </c>
      <c r="G1320" t="s">
        <v>3138</v>
      </c>
      <c r="H1320">
        <v>0</v>
      </c>
      <c r="K1320" s="30">
        <v>45901.380555555559</v>
      </c>
      <c r="L1320" s="30">
        <v>46360.416666666664</v>
      </c>
    </row>
    <row r="1321" spans="1:12" x14ac:dyDescent="0.25">
      <c r="A1321" t="s">
        <v>1248</v>
      </c>
      <c r="B1321">
        <v>358715</v>
      </c>
      <c r="C1321">
        <v>352211</v>
      </c>
      <c r="D1321">
        <v>352210</v>
      </c>
      <c r="E1321">
        <v>405</v>
      </c>
      <c r="F1321">
        <v>405</v>
      </c>
      <c r="G1321" t="s">
        <v>3138</v>
      </c>
      <c r="H1321">
        <v>0</v>
      </c>
      <c r="K1321" s="30">
        <v>45905.380555555559</v>
      </c>
      <c r="L1321" s="30">
        <v>46367.416666666664</v>
      </c>
    </row>
    <row r="1322" spans="1:12" x14ac:dyDescent="0.25">
      <c r="A1322" t="s">
        <v>1248</v>
      </c>
      <c r="B1322">
        <v>358716</v>
      </c>
      <c r="C1322">
        <v>352212</v>
      </c>
      <c r="D1322">
        <v>352211</v>
      </c>
      <c r="E1322">
        <v>405</v>
      </c>
      <c r="F1322">
        <v>405</v>
      </c>
      <c r="G1322" t="s">
        <v>3138</v>
      </c>
      <c r="H1322">
        <v>0</v>
      </c>
      <c r="K1322" s="30">
        <v>45915.338888888888</v>
      </c>
      <c r="L1322" s="30">
        <v>46377.375</v>
      </c>
    </row>
    <row r="1323" spans="1:12" x14ac:dyDescent="0.25">
      <c r="A1323" t="s">
        <v>1248</v>
      </c>
      <c r="B1323">
        <v>358717</v>
      </c>
      <c r="C1323">
        <v>352214</v>
      </c>
      <c r="D1323">
        <v>352213</v>
      </c>
      <c r="E1323">
        <v>405</v>
      </c>
      <c r="F1323">
        <v>405</v>
      </c>
      <c r="G1323" t="s">
        <v>3138</v>
      </c>
      <c r="H1323">
        <v>0</v>
      </c>
      <c r="K1323" s="30">
        <v>45883.666666666664</v>
      </c>
      <c r="L1323" s="30">
        <v>46331.702777777777</v>
      </c>
    </row>
    <row r="1324" spans="1:12" x14ac:dyDescent="0.25">
      <c r="A1324" t="s">
        <v>1248</v>
      </c>
      <c r="B1324">
        <v>358718</v>
      </c>
      <c r="C1324">
        <v>352215</v>
      </c>
      <c r="D1324">
        <v>352214</v>
      </c>
      <c r="E1324">
        <v>405</v>
      </c>
      <c r="F1324">
        <v>405</v>
      </c>
      <c r="G1324" t="s">
        <v>3138</v>
      </c>
      <c r="H1324">
        <v>0</v>
      </c>
      <c r="K1324" s="30">
        <v>45891.463888888888</v>
      </c>
      <c r="L1324" s="30">
        <v>46339.541666666664</v>
      </c>
    </row>
    <row r="1325" spans="1:12" x14ac:dyDescent="0.25">
      <c r="A1325" t="s">
        <v>1248</v>
      </c>
      <c r="B1325">
        <v>358719</v>
      </c>
      <c r="C1325">
        <v>352216</v>
      </c>
      <c r="D1325">
        <v>352215</v>
      </c>
      <c r="E1325">
        <v>405</v>
      </c>
      <c r="F1325">
        <v>405</v>
      </c>
      <c r="G1325" t="s">
        <v>3138</v>
      </c>
      <c r="H1325">
        <v>0</v>
      </c>
      <c r="K1325" s="30">
        <v>45894.422222222223</v>
      </c>
      <c r="L1325" s="30">
        <v>46342.458333333336</v>
      </c>
    </row>
    <row r="1326" spans="1:12" x14ac:dyDescent="0.25">
      <c r="A1326" t="s">
        <v>1248</v>
      </c>
      <c r="B1326">
        <v>358722</v>
      </c>
      <c r="C1326">
        <v>352219</v>
      </c>
      <c r="D1326">
        <v>352218</v>
      </c>
      <c r="E1326">
        <v>405</v>
      </c>
      <c r="F1326">
        <v>405</v>
      </c>
      <c r="G1326" t="s">
        <v>3138</v>
      </c>
      <c r="H1326">
        <v>0</v>
      </c>
      <c r="K1326" s="30">
        <v>45904.338888888888</v>
      </c>
      <c r="L1326" s="30">
        <v>46358.375</v>
      </c>
    </row>
    <row r="1327" spans="1:12" x14ac:dyDescent="0.25">
      <c r="A1327" t="s">
        <v>1248</v>
      </c>
      <c r="B1327">
        <v>358723</v>
      </c>
      <c r="C1327">
        <v>352221</v>
      </c>
      <c r="D1327">
        <v>352220</v>
      </c>
      <c r="E1327">
        <v>405</v>
      </c>
      <c r="F1327">
        <v>405</v>
      </c>
      <c r="G1327" t="s">
        <v>3138</v>
      </c>
      <c r="H1327">
        <v>0</v>
      </c>
      <c r="K1327" s="30">
        <v>45881.416666666664</v>
      </c>
      <c r="L1327" s="30">
        <v>46315.702777777777</v>
      </c>
    </row>
    <row r="1328" spans="1:12" x14ac:dyDescent="0.25">
      <c r="A1328" t="s">
        <v>1248</v>
      </c>
      <c r="B1328">
        <v>358724</v>
      </c>
      <c r="C1328">
        <v>352222</v>
      </c>
      <c r="D1328">
        <v>352221</v>
      </c>
      <c r="E1328">
        <v>405</v>
      </c>
      <c r="F1328">
        <v>405</v>
      </c>
      <c r="G1328" t="s">
        <v>3138</v>
      </c>
      <c r="H1328">
        <v>0</v>
      </c>
      <c r="K1328" s="30">
        <v>45888.630555555559</v>
      </c>
      <c r="L1328" s="30">
        <v>46323.541666666664</v>
      </c>
    </row>
    <row r="1329" spans="1:12" x14ac:dyDescent="0.25">
      <c r="A1329" t="s">
        <v>1248</v>
      </c>
      <c r="B1329">
        <v>358725</v>
      </c>
      <c r="C1329">
        <v>352223</v>
      </c>
      <c r="D1329">
        <v>352222</v>
      </c>
      <c r="E1329">
        <v>405</v>
      </c>
      <c r="F1329">
        <v>405</v>
      </c>
      <c r="G1329" t="s">
        <v>3138</v>
      </c>
      <c r="H1329">
        <v>0</v>
      </c>
      <c r="K1329" s="30">
        <v>45889.588888888888</v>
      </c>
      <c r="L1329" s="30">
        <v>46324.458333333336</v>
      </c>
    </row>
    <row r="1330" spans="1:12" x14ac:dyDescent="0.25">
      <c r="A1330" t="s">
        <v>1248</v>
      </c>
      <c r="B1330">
        <v>358726</v>
      </c>
      <c r="C1330">
        <v>352224</v>
      </c>
      <c r="D1330">
        <v>352223</v>
      </c>
      <c r="E1330">
        <v>405</v>
      </c>
      <c r="F1330">
        <v>405</v>
      </c>
      <c r="G1330" t="s">
        <v>3138</v>
      </c>
      <c r="H1330">
        <v>0</v>
      </c>
      <c r="K1330" s="30">
        <v>45891.547222222223</v>
      </c>
      <c r="L1330" s="30">
        <v>46328.416666666664</v>
      </c>
    </row>
    <row r="1331" spans="1:12" x14ac:dyDescent="0.25">
      <c r="A1331" t="s">
        <v>1248</v>
      </c>
      <c r="B1331">
        <v>358727</v>
      </c>
      <c r="C1331">
        <v>352225</v>
      </c>
      <c r="D1331">
        <v>352224</v>
      </c>
      <c r="E1331">
        <v>405</v>
      </c>
      <c r="F1331">
        <v>405</v>
      </c>
      <c r="G1331" t="s">
        <v>3138</v>
      </c>
      <c r="H1331">
        <v>0</v>
      </c>
      <c r="K1331" s="30">
        <v>45897.547222222223</v>
      </c>
      <c r="L1331" s="30">
        <v>46332.416666666664</v>
      </c>
    </row>
    <row r="1332" spans="1:12" x14ac:dyDescent="0.25">
      <c r="A1332" t="s">
        <v>1248</v>
      </c>
      <c r="B1332">
        <v>358728</v>
      </c>
      <c r="C1332">
        <v>352226</v>
      </c>
      <c r="D1332">
        <v>352225</v>
      </c>
      <c r="E1332">
        <v>405</v>
      </c>
      <c r="F1332">
        <v>405</v>
      </c>
      <c r="G1332" t="s">
        <v>3138</v>
      </c>
      <c r="H1332">
        <v>0</v>
      </c>
      <c r="K1332" s="30">
        <v>45905.463888888888</v>
      </c>
      <c r="L1332" s="30">
        <v>46342.375</v>
      </c>
    </row>
    <row r="1333" spans="1:12" x14ac:dyDescent="0.25">
      <c r="A1333" t="s">
        <v>1248</v>
      </c>
      <c r="B1333">
        <v>358729</v>
      </c>
      <c r="C1333">
        <v>352228</v>
      </c>
      <c r="D1333">
        <v>352227</v>
      </c>
      <c r="E1333">
        <v>405</v>
      </c>
      <c r="F1333">
        <v>405</v>
      </c>
      <c r="G1333" t="s">
        <v>3138</v>
      </c>
      <c r="H1333">
        <v>0</v>
      </c>
      <c r="K1333" s="30">
        <v>45877.458333333336</v>
      </c>
      <c r="L1333" s="30">
        <v>46297.702777777777</v>
      </c>
    </row>
    <row r="1334" spans="1:12" x14ac:dyDescent="0.25">
      <c r="A1334" t="s">
        <v>1248</v>
      </c>
      <c r="B1334">
        <v>358730</v>
      </c>
      <c r="C1334">
        <v>352229</v>
      </c>
      <c r="D1334">
        <v>352228</v>
      </c>
      <c r="E1334">
        <v>405</v>
      </c>
      <c r="F1334">
        <v>405</v>
      </c>
      <c r="G1334" t="s">
        <v>3138</v>
      </c>
      <c r="H1334">
        <v>0</v>
      </c>
      <c r="K1334" s="30">
        <v>45884.672222222223</v>
      </c>
      <c r="L1334" s="30">
        <v>46307.541666666664</v>
      </c>
    </row>
    <row r="1335" spans="1:12" x14ac:dyDescent="0.25">
      <c r="A1335" t="s">
        <v>1248</v>
      </c>
      <c r="B1335">
        <v>358731</v>
      </c>
      <c r="C1335">
        <v>352230</v>
      </c>
      <c r="D1335">
        <v>352229</v>
      </c>
      <c r="E1335">
        <v>405</v>
      </c>
      <c r="F1335">
        <v>405</v>
      </c>
      <c r="G1335" t="s">
        <v>3138</v>
      </c>
      <c r="H1335">
        <v>0</v>
      </c>
      <c r="K1335" s="30">
        <v>45887.630555555559</v>
      </c>
      <c r="L1335" s="30">
        <v>46308.458333333336</v>
      </c>
    </row>
    <row r="1336" spans="1:12" x14ac:dyDescent="0.25">
      <c r="A1336" t="s">
        <v>1248</v>
      </c>
      <c r="B1336">
        <v>358732</v>
      </c>
      <c r="C1336">
        <v>352231</v>
      </c>
      <c r="D1336">
        <v>352230</v>
      </c>
      <c r="E1336">
        <v>405</v>
      </c>
      <c r="F1336">
        <v>405</v>
      </c>
      <c r="G1336" t="s">
        <v>3138</v>
      </c>
      <c r="H1336">
        <v>0</v>
      </c>
      <c r="K1336" s="30">
        <v>45889.588888888888</v>
      </c>
      <c r="L1336" s="30">
        <v>46310.416666666664</v>
      </c>
    </row>
    <row r="1337" spans="1:12" x14ac:dyDescent="0.25">
      <c r="A1337" t="s">
        <v>1248</v>
      </c>
      <c r="B1337">
        <v>358733</v>
      </c>
      <c r="C1337">
        <v>352232</v>
      </c>
      <c r="D1337">
        <v>352231</v>
      </c>
      <c r="E1337">
        <v>405</v>
      </c>
      <c r="F1337">
        <v>405</v>
      </c>
      <c r="G1337" t="s">
        <v>3138</v>
      </c>
      <c r="H1337">
        <v>0</v>
      </c>
      <c r="K1337" s="30">
        <v>45895.588888888888</v>
      </c>
      <c r="L1337" s="30">
        <v>46316.416666666664</v>
      </c>
    </row>
    <row r="1338" spans="1:12" x14ac:dyDescent="0.25">
      <c r="A1338" t="s">
        <v>1248</v>
      </c>
      <c r="B1338">
        <v>358734</v>
      </c>
      <c r="C1338">
        <v>352233</v>
      </c>
      <c r="D1338">
        <v>352232</v>
      </c>
      <c r="E1338">
        <v>405</v>
      </c>
      <c r="F1338">
        <v>405</v>
      </c>
      <c r="G1338" t="s">
        <v>3138</v>
      </c>
      <c r="H1338">
        <v>0</v>
      </c>
      <c r="K1338" s="30">
        <v>45903.547222222223</v>
      </c>
      <c r="L1338" s="30">
        <v>46324.375</v>
      </c>
    </row>
    <row r="1339" spans="1:12" x14ac:dyDescent="0.25">
      <c r="A1339" t="s">
        <v>1248</v>
      </c>
      <c r="B1339">
        <v>358735</v>
      </c>
      <c r="C1339">
        <v>352235</v>
      </c>
      <c r="D1339">
        <v>352234</v>
      </c>
      <c r="E1339">
        <v>405</v>
      </c>
      <c r="F1339">
        <v>405</v>
      </c>
      <c r="G1339" t="s">
        <v>3138</v>
      </c>
      <c r="H1339">
        <v>0</v>
      </c>
      <c r="K1339" s="30">
        <v>45875.5</v>
      </c>
      <c r="L1339" s="30">
        <v>46281.702777777777</v>
      </c>
    </row>
    <row r="1340" spans="1:12" x14ac:dyDescent="0.25">
      <c r="A1340" t="s">
        <v>1248</v>
      </c>
      <c r="B1340">
        <v>358736</v>
      </c>
      <c r="C1340">
        <v>352236</v>
      </c>
      <c r="D1340">
        <v>352235</v>
      </c>
      <c r="E1340">
        <v>405</v>
      </c>
      <c r="F1340">
        <v>405</v>
      </c>
      <c r="G1340" t="s">
        <v>3138</v>
      </c>
      <c r="H1340">
        <v>0</v>
      </c>
      <c r="K1340" s="30">
        <v>45883.338888888888</v>
      </c>
      <c r="L1340" s="30">
        <v>46289.541666666664</v>
      </c>
    </row>
    <row r="1341" spans="1:12" x14ac:dyDescent="0.25">
      <c r="A1341" t="s">
        <v>1248</v>
      </c>
      <c r="B1341">
        <v>358737</v>
      </c>
      <c r="C1341">
        <v>352237</v>
      </c>
      <c r="D1341">
        <v>352236</v>
      </c>
      <c r="E1341">
        <v>405</v>
      </c>
      <c r="F1341">
        <v>405</v>
      </c>
      <c r="G1341" t="s">
        <v>3138</v>
      </c>
      <c r="H1341">
        <v>0</v>
      </c>
      <c r="K1341" s="30">
        <v>45883.672222222223</v>
      </c>
      <c r="L1341" s="30">
        <v>46290.458333333336</v>
      </c>
    </row>
    <row r="1342" spans="1:12" x14ac:dyDescent="0.25">
      <c r="A1342" t="s">
        <v>1248</v>
      </c>
      <c r="B1342">
        <v>358738</v>
      </c>
      <c r="C1342">
        <v>352238</v>
      </c>
      <c r="D1342">
        <v>352237</v>
      </c>
      <c r="E1342">
        <v>405</v>
      </c>
      <c r="F1342">
        <v>405</v>
      </c>
      <c r="G1342" t="s">
        <v>3138</v>
      </c>
      <c r="H1342">
        <v>0</v>
      </c>
      <c r="K1342" s="30">
        <v>45887.630555555559</v>
      </c>
      <c r="L1342" s="30">
        <v>46294.416666666664</v>
      </c>
    </row>
    <row r="1343" spans="1:12" x14ac:dyDescent="0.25">
      <c r="A1343" t="s">
        <v>1248</v>
      </c>
      <c r="B1343">
        <v>358739</v>
      </c>
      <c r="C1343">
        <v>352239</v>
      </c>
      <c r="D1343">
        <v>352238</v>
      </c>
      <c r="E1343">
        <v>405</v>
      </c>
      <c r="F1343">
        <v>405</v>
      </c>
      <c r="G1343" t="s">
        <v>3138</v>
      </c>
      <c r="H1343">
        <v>0</v>
      </c>
      <c r="K1343" s="30">
        <v>45891.630555555559</v>
      </c>
      <c r="L1343" s="30">
        <v>46300.416666666664</v>
      </c>
    </row>
    <row r="1344" spans="1:12" x14ac:dyDescent="0.25">
      <c r="A1344" t="s">
        <v>1248</v>
      </c>
      <c r="B1344">
        <v>358740</v>
      </c>
      <c r="C1344">
        <v>352240</v>
      </c>
      <c r="D1344">
        <v>352239</v>
      </c>
      <c r="E1344">
        <v>405</v>
      </c>
      <c r="F1344">
        <v>405</v>
      </c>
      <c r="G1344" t="s">
        <v>3138</v>
      </c>
      <c r="H1344">
        <v>0</v>
      </c>
      <c r="K1344" s="30">
        <v>45901.588888888888</v>
      </c>
      <c r="L1344" s="30">
        <v>46308.375</v>
      </c>
    </row>
    <row r="1345" spans="1:12" x14ac:dyDescent="0.25">
      <c r="A1345" t="s">
        <v>1248</v>
      </c>
      <c r="B1345">
        <v>358741</v>
      </c>
      <c r="C1345">
        <v>352242</v>
      </c>
      <c r="D1345">
        <v>352241</v>
      </c>
      <c r="E1345">
        <v>405</v>
      </c>
      <c r="F1345">
        <v>405</v>
      </c>
      <c r="G1345" t="s">
        <v>3138</v>
      </c>
      <c r="H1345">
        <v>0</v>
      </c>
      <c r="K1345" s="30">
        <v>45873.583333333336</v>
      </c>
      <c r="L1345" s="30">
        <v>46260.65</v>
      </c>
    </row>
    <row r="1346" spans="1:12" x14ac:dyDescent="0.25">
      <c r="A1346" t="s">
        <v>1248</v>
      </c>
      <c r="B1346">
        <v>358742</v>
      </c>
      <c r="C1346">
        <v>352243</v>
      </c>
      <c r="D1346">
        <v>352242</v>
      </c>
      <c r="E1346">
        <v>405</v>
      </c>
      <c r="F1346">
        <v>405</v>
      </c>
      <c r="G1346" t="s">
        <v>3138</v>
      </c>
      <c r="H1346">
        <v>0</v>
      </c>
      <c r="K1346" s="30">
        <v>45881.380555555559</v>
      </c>
      <c r="L1346" s="30">
        <v>46268.447222222225</v>
      </c>
    </row>
    <row r="1347" spans="1:12" x14ac:dyDescent="0.25">
      <c r="A1347" t="s">
        <v>1248</v>
      </c>
      <c r="B1347">
        <v>358743</v>
      </c>
      <c r="C1347">
        <v>352244</v>
      </c>
      <c r="D1347">
        <v>352243</v>
      </c>
      <c r="E1347">
        <v>405</v>
      </c>
      <c r="F1347">
        <v>405</v>
      </c>
      <c r="G1347" t="s">
        <v>3138</v>
      </c>
      <c r="H1347">
        <v>0</v>
      </c>
      <c r="K1347" s="30">
        <v>45882.338888888888</v>
      </c>
      <c r="L1347" s="30">
        <v>46269.405555555553</v>
      </c>
    </row>
    <row r="1348" spans="1:12" x14ac:dyDescent="0.25">
      <c r="A1348" t="s">
        <v>1248</v>
      </c>
      <c r="B1348">
        <v>358744</v>
      </c>
      <c r="C1348">
        <v>352245</v>
      </c>
      <c r="D1348">
        <v>352244</v>
      </c>
      <c r="E1348">
        <v>405</v>
      </c>
      <c r="F1348">
        <v>405</v>
      </c>
      <c r="G1348" t="s">
        <v>3138</v>
      </c>
      <c r="H1348">
        <v>0</v>
      </c>
      <c r="K1348" s="30">
        <v>45889.35</v>
      </c>
      <c r="L1348" s="30">
        <v>46276.416666666664</v>
      </c>
    </row>
    <row r="1349" spans="1:12" x14ac:dyDescent="0.25">
      <c r="A1349" t="s">
        <v>1248</v>
      </c>
      <c r="B1349">
        <v>358745</v>
      </c>
      <c r="C1349">
        <v>352246</v>
      </c>
      <c r="D1349">
        <v>352245</v>
      </c>
      <c r="E1349">
        <v>405</v>
      </c>
      <c r="F1349">
        <v>405</v>
      </c>
      <c r="G1349" t="s">
        <v>3138</v>
      </c>
      <c r="H1349">
        <v>0</v>
      </c>
      <c r="K1349" s="30">
        <v>45895.35</v>
      </c>
      <c r="L1349" s="30">
        <v>46282.416666666664</v>
      </c>
    </row>
    <row r="1350" spans="1:12" x14ac:dyDescent="0.25">
      <c r="A1350" t="s">
        <v>1248</v>
      </c>
      <c r="B1350">
        <v>358746</v>
      </c>
      <c r="C1350">
        <v>352247</v>
      </c>
      <c r="D1350">
        <v>352246</v>
      </c>
      <c r="E1350">
        <v>405</v>
      </c>
      <c r="F1350">
        <v>405</v>
      </c>
      <c r="G1350" t="s">
        <v>3138</v>
      </c>
      <c r="H1350">
        <v>0</v>
      </c>
      <c r="K1350" s="30">
        <v>45902.683333333334</v>
      </c>
      <c r="L1350" s="30">
        <v>46290.375</v>
      </c>
    </row>
    <row r="1351" spans="1:12" x14ac:dyDescent="0.25">
      <c r="A1351" t="s">
        <v>1248</v>
      </c>
      <c r="B1351">
        <v>358747</v>
      </c>
      <c r="C1351">
        <v>352249</v>
      </c>
      <c r="D1351">
        <v>352248</v>
      </c>
      <c r="E1351">
        <v>405</v>
      </c>
      <c r="F1351">
        <v>405</v>
      </c>
      <c r="G1351" t="s">
        <v>3138</v>
      </c>
      <c r="H1351">
        <v>0</v>
      </c>
      <c r="K1351" s="30">
        <v>45869.625</v>
      </c>
      <c r="L1351" s="30">
        <v>46244.65</v>
      </c>
    </row>
    <row r="1352" spans="1:12" x14ac:dyDescent="0.25">
      <c r="A1352" t="s">
        <v>1248</v>
      </c>
      <c r="B1352">
        <v>358748</v>
      </c>
      <c r="C1352">
        <v>352250</v>
      </c>
      <c r="D1352">
        <v>352249</v>
      </c>
      <c r="E1352">
        <v>405</v>
      </c>
      <c r="F1352">
        <v>405</v>
      </c>
      <c r="G1352" t="s">
        <v>3138</v>
      </c>
      <c r="H1352">
        <v>0</v>
      </c>
      <c r="K1352" s="30">
        <v>45877.422222222223</v>
      </c>
      <c r="L1352" s="30">
        <v>46252.447222222225</v>
      </c>
    </row>
    <row r="1353" spans="1:12" x14ac:dyDescent="0.25">
      <c r="A1353" t="s">
        <v>1248</v>
      </c>
      <c r="B1353">
        <v>358749</v>
      </c>
      <c r="C1353">
        <v>352251</v>
      </c>
      <c r="D1353">
        <v>352250</v>
      </c>
      <c r="E1353">
        <v>405</v>
      </c>
      <c r="F1353">
        <v>405</v>
      </c>
      <c r="G1353" t="s">
        <v>3138</v>
      </c>
      <c r="H1353">
        <v>0</v>
      </c>
      <c r="K1353" s="30">
        <v>45880.380555555559</v>
      </c>
      <c r="L1353" s="30">
        <v>46253.405555555553</v>
      </c>
    </row>
    <row r="1354" spans="1:12" x14ac:dyDescent="0.25">
      <c r="A1354" t="s">
        <v>1248</v>
      </c>
      <c r="B1354">
        <v>358750</v>
      </c>
      <c r="C1354">
        <v>352252</v>
      </c>
      <c r="D1354">
        <v>352251</v>
      </c>
      <c r="E1354">
        <v>405</v>
      </c>
      <c r="F1354">
        <v>405</v>
      </c>
      <c r="G1354" t="s">
        <v>3138</v>
      </c>
      <c r="H1354">
        <v>0</v>
      </c>
      <c r="K1354" s="30">
        <v>45887.39166666667</v>
      </c>
      <c r="L1354" s="30">
        <v>46260.416666666664</v>
      </c>
    </row>
    <row r="1355" spans="1:12" x14ac:dyDescent="0.25">
      <c r="A1355" t="s">
        <v>1248</v>
      </c>
      <c r="B1355">
        <v>358751</v>
      </c>
      <c r="C1355">
        <v>352253</v>
      </c>
      <c r="D1355">
        <v>352252</v>
      </c>
      <c r="E1355">
        <v>405</v>
      </c>
      <c r="F1355">
        <v>405</v>
      </c>
      <c r="G1355" t="s">
        <v>3138</v>
      </c>
      <c r="H1355">
        <v>0</v>
      </c>
      <c r="K1355" s="30">
        <v>45891.39166666667</v>
      </c>
      <c r="L1355" s="30">
        <v>46266.416666666664</v>
      </c>
    </row>
    <row r="1356" spans="1:12" x14ac:dyDescent="0.25">
      <c r="A1356" t="s">
        <v>1248</v>
      </c>
      <c r="B1356">
        <v>358752</v>
      </c>
      <c r="C1356">
        <v>352254</v>
      </c>
      <c r="D1356">
        <v>352253</v>
      </c>
      <c r="E1356">
        <v>405</v>
      </c>
      <c r="F1356">
        <v>405</v>
      </c>
      <c r="G1356" t="s">
        <v>3138</v>
      </c>
      <c r="H1356">
        <v>0</v>
      </c>
      <c r="K1356" s="30">
        <v>45901.35</v>
      </c>
      <c r="L1356" s="30">
        <v>46274.375</v>
      </c>
    </row>
    <row r="1357" spans="1:12" x14ac:dyDescent="0.25">
      <c r="A1357" t="s">
        <v>1248</v>
      </c>
      <c r="B1357">
        <v>358753</v>
      </c>
      <c r="C1357">
        <v>352256</v>
      </c>
      <c r="D1357">
        <v>352255</v>
      </c>
      <c r="E1357">
        <v>405</v>
      </c>
      <c r="F1357">
        <v>405</v>
      </c>
      <c r="G1357" t="s">
        <v>3138</v>
      </c>
      <c r="H1357">
        <v>0</v>
      </c>
      <c r="K1357" s="30">
        <v>45867.666666666664</v>
      </c>
      <c r="L1357" s="30">
        <v>46226.65</v>
      </c>
    </row>
    <row r="1358" spans="1:12" x14ac:dyDescent="0.25">
      <c r="A1358" t="s">
        <v>1248</v>
      </c>
      <c r="B1358">
        <v>358754</v>
      </c>
      <c r="C1358">
        <v>352257</v>
      </c>
      <c r="D1358">
        <v>352256</v>
      </c>
      <c r="E1358">
        <v>405</v>
      </c>
      <c r="F1358">
        <v>405</v>
      </c>
      <c r="G1358" t="s">
        <v>3138</v>
      </c>
      <c r="H1358">
        <v>0</v>
      </c>
      <c r="K1358" s="30">
        <v>45875.463888888888</v>
      </c>
      <c r="L1358" s="30">
        <v>46234.447222222225</v>
      </c>
    </row>
    <row r="1359" spans="1:12" x14ac:dyDescent="0.25">
      <c r="A1359" t="s">
        <v>1248</v>
      </c>
      <c r="B1359">
        <v>358755</v>
      </c>
      <c r="C1359">
        <v>352258</v>
      </c>
      <c r="D1359">
        <v>352257</v>
      </c>
      <c r="E1359">
        <v>405</v>
      </c>
      <c r="F1359">
        <v>405</v>
      </c>
      <c r="G1359" t="s">
        <v>3138</v>
      </c>
      <c r="H1359">
        <v>0</v>
      </c>
      <c r="K1359" s="30">
        <v>45876.422222222223</v>
      </c>
      <c r="L1359" s="30">
        <v>46237.405555555553</v>
      </c>
    </row>
    <row r="1360" spans="1:12" x14ac:dyDescent="0.25">
      <c r="A1360" t="s">
        <v>1248</v>
      </c>
      <c r="B1360">
        <v>358756</v>
      </c>
      <c r="C1360">
        <v>352259</v>
      </c>
      <c r="D1360">
        <v>352258</v>
      </c>
      <c r="E1360">
        <v>405</v>
      </c>
      <c r="F1360">
        <v>405</v>
      </c>
      <c r="G1360" t="s">
        <v>3138</v>
      </c>
      <c r="H1360">
        <v>0</v>
      </c>
      <c r="K1360" s="30">
        <v>45883.433333333334</v>
      </c>
      <c r="L1360" s="30">
        <v>46244.416666666664</v>
      </c>
    </row>
    <row r="1361" spans="1:12" x14ac:dyDescent="0.25">
      <c r="A1361" t="s">
        <v>1248</v>
      </c>
      <c r="B1361">
        <v>358757</v>
      </c>
      <c r="C1361">
        <v>352260</v>
      </c>
      <c r="D1361">
        <v>352259</v>
      </c>
      <c r="E1361">
        <v>405</v>
      </c>
      <c r="F1361">
        <v>405</v>
      </c>
      <c r="G1361" t="s">
        <v>3138</v>
      </c>
      <c r="H1361">
        <v>0</v>
      </c>
      <c r="K1361" s="30">
        <v>45889.433333333334</v>
      </c>
      <c r="L1361" s="30">
        <v>46248.416666666664</v>
      </c>
    </row>
    <row r="1362" spans="1:12" x14ac:dyDescent="0.25">
      <c r="A1362" t="s">
        <v>1248</v>
      </c>
      <c r="B1362">
        <v>358758</v>
      </c>
      <c r="C1362">
        <v>352261</v>
      </c>
      <c r="D1362">
        <v>352260</v>
      </c>
      <c r="E1362">
        <v>405</v>
      </c>
      <c r="F1362">
        <v>405</v>
      </c>
      <c r="G1362" t="s">
        <v>3138</v>
      </c>
      <c r="H1362">
        <v>0</v>
      </c>
      <c r="K1362" s="30">
        <v>45897.39166666667</v>
      </c>
      <c r="L1362" s="30">
        <v>46258.375</v>
      </c>
    </row>
    <row r="1363" spans="1:12" x14ac:dyDescent="0.25">
      <c r="A1363" t="s">
        <v>1248</v>
      </c>
      <c r="B1363">
        <v>358759</v>
      </c>
      <c r="C1363">
        <v>352263</v>
      </c>
      <c r="D1363">
        <v>352262</v>
      </c>
      <c r="E1363">
        <v>405</v>
      </c>
      <c r="F1363">
        <v>405</v>
      </c>
      <c r="G1363" t="s">
        <v>3138</v>
      </c>
      <c r="H1363">
        <v>0</v>
      </c>
      <c r="K1363" s="30">
        <v>45856.558333333334</v>
      </c>
      <c r="L1363" s="30">
        <v>46210.65</v>
      </c>
    </row>
    <row r="1364" spans="1:12" x14ac:dyDescent="0.25">
      <c r="A1364" t="s">
        <v>1248</v>
      </c>
      <c r="B1364">
        <v>358760</v>
      </c>
      <c r="C1364">
        <v>352264</v>
      </c>
      <c r="D1364">
        <v>352263</v>
      </c>
      <c r="E1364">
        <v>405</v>
      </c>
      <c r="F1364">
        <v>405</v>
      </c>
      <c r="G1364" t="s">
        <v>3138</v>
      </c>
      <c r="H1364">
        <v>0</v>
      </c>
      <c r="K1364" s="30">
        <v>45866.355555555558</v>
      </c>
      <c r="L1364" s="30">
        <v>46218.447222222225</v>
      </c>
    </row>
    <row r="1365" spans="1:12" x14ac:dyDescent="0.25">
      <c r="A1365" t="s">
        <v>1248</v>
      </c>
      <c r="B1365">
        <v>358761</v>
      </c>
      <c r="C1365">
        <v>352265</v>
      </c>
      <c r="D1365">
        <v>352264</v>
      </c>
      <c r="E1365">
        <v>405</v>
      </c>
      <c r="F1365">
        <v>405</v>
      </c>
      <c r="G1365" t="s">
        <v>3138</v>
      </c>
      <c r="H1365">
        <v>0</v>
      </c>
      <c r="K1365" s="30">
        <v>45866.688888888886</v>
      </c>
      <c r="L1365" s="30">
        <v>46219.405555555553</v>
      </c>
    </row>
    <row r="1366" spans="1:12" x14ac:dyDescent="0.25">
      <c r="A1366" t="s">
        <v>1248</v>
      </c>
      <c r="B1366">
        <v>358762</v>
      </c>
      <c r="C1366">
        <v>352266</v>
      </c>
      <c r="D1366">
        <v>352265</v>
      </c>
      <c r="E1366">
        <v>405</v>
      </c>
      <c r="F1366">
        <v>405</v>
      </c>
      <c r="G1366" t="s">
        <v>3138</v>
      </c>
      <c r="H1366">
        <v>0</v>
      </c>
      <c r="K1366" s="30">
        <v>45873.7</v>
      </c>
      <c r="L1366" s="30">
        <v>46226.416666666664</v>
      </c>
    </row>
    <row r="1367" spans="1:12" x14ac:dyDescent="0.25">
      <c r="A1367" t="s">
        <v>1248</v>
      </c>
      <c r="B1367">
        <v>358763</v>
      </c>
      <c r="C1367">
        <v>352267</v>
      </c>
      <c r="D1367">
        <v>352266</v>
      </c>
      <c r="E1367">
        <v>405</v>
      </c>
      <c r="F1367">
        <v>405</v>
      </c>
      <c r="G1367" t="s">
        <v>3138</v>
      </c>
      <c r="H1367">
        <v>0</v>
      </c>
      <c r="K1367" s="30">
        <v>45877.7</v>
      </c>
      <c r="L1367" s="30">
        <v>46232.416666666664</v>
      </c>
    </row>
    <row r="1368" spans="1:12" x14ac:dyDescent="0.25">
      <c r="A1368" t="s">
        <v>1248</v>
      </c>
      <c r="B1368">
        <v>358764</v>
      </c>
      <c r="C1368">
        <v>352268</v>
      </c>
      <c r="D1368">
        <v>352267</v>
      </c>
      <c r="E1368">
        <v>405</v>
      </c>
      <c r="F1368">
        <v>405</v>
      </c>
      <c r="G1368" t="s">
        <v>3138</v>
      </c>
      <c r="H1368">
        <v>0</v>
      </c>
      <c r="K1368" s="30">
        <v>45887.658333333333</v>
      </c>
      <c r="L1368" s="30">
        <v>46240.375</v>
      </c>
    </row>
    <row r="1369" spans="1:12" x14ac:dyDescent="0.25">
      <c r="A1369" t="s">
        <v>1248</v>
      </c>
      <c r="B1369">
        <v>358765</v>
      </c>
      <c r="C1369">
        <v>352270</v>
      </c>
      <c r="D1369">
        <v>352269</v>
      </c>
      <c r="E1369">
        <v>405</v>
      </c>
      <c r="F1369">
        <v>405</v>
      </c>
      <c r="G1369" t="s">
        <v>3138</v>
      </c>
      <c r="H1369">
        <v>0</v>
      </c>
      <c r="K1369" s="30">
        <v>45854.6</v>
      </c>
      <c r="L1369" s="30">
        <v>46192.65</v>
      </c>
    </row>
    <row r="1370" spans="1:12" x14ac:dyDescent="0.25">
      <c r="A1370" t="s">
        <v>1248</v>
      </c>
      <c r="B1370">
        <v>358766</v>
      </c>
      <c r="C1370">
        <v>352271</v>
      </c>
      <c r="D1370">
        <v>352270</v>
      </c>
      <c r="E1370">
        <v>405</v>
      </c>
      <c r="F1370">
        <v>405</v>
      </c>
      <c r="G1370" t="s">
        <v>3138</v>
      </c>
      <c r="H1370">
        <v>0</v>
      </c>
      <c r="K1370" s="30">
        <v>45862.397222222222</v>
      </c>
      <c r="L1370" s="30">
        <v>46202.447222222225</v>
      </c>
    </row>
    <row r="1371" spans="1:12" x14ac:dyDescent="0.25">
      <c r="A1371" t="s">
        <v>1248</v>
      </c>
      <c r="B1371">
        <v>358767</v>
      </c>
      <c r="C1371">
        <v>352272</v>
      </c>
      <c r="D1371">
        <v>352271</v>
      </c>
      <c r="E1371">
        <v>405</v>
      </c>
      <c r="F1371">
        <v>405</v>
      </c>
      <c r="G1371" t="s">
        <v>3138</v>
      </c>
      <c r="H1371">
        <v>0</v>
      </c>
      <c r="K1371" s="30">
        <v>45863.355555555558</v>
      </c>
      <c r="L1371" s="30">
        <v>46203.405555555553</v>
      </c>
    </row>
    <row r="1372" spans="1:12" x14ac:dyDescent="0.25">
      <c r="A1372" t="s">
        <v>1248</v>
      </c>
      <c r="B1372">
        <v>358768</v>
      </c>
      <c r="C1372">
        <v>352273</v>
      </c>
      <c r="D1372">
        <v>352272</v>
      </c>
      <c r="E1372">
        <v>405</v>
      </c>
      <c r="F1372">
        <v>405</v>
      </c>
      <c r="G1372" t="s">
        <v>3138</v>
      </c>
      <c r="H1372">
        <v>0</v>
      </c>
      <c r="K1372" s="30">
        <v>45870.366666666669</v>
      </c>
      <c r="L1372" s="30">
        <v>46210.416666666664</v>
      </c>
    </row>
    <row r="1373" spans="1:12" x14ac:dyDescent="0.25">
      <c r="A1373" t="s">
        <v>1248</v>
      </c>
      <c r="B1373">
        <v>358769</v>
      </c>
      <c r="C1373">
        <v>352274</v>
      </c>
      <c r="D1373">
        <v>352273</v>
      </c>
      <c r="E1373">
        <v>405</v>
      </c>
      <c r="F1373">
        <v>405</v>
      </c>
      <c r="G1373" t="s">
        <v>3138</v>
      </c>
      <c r="H1373">
        <v>0</v>
      </c>
      <c r="K1373" s="30">
        <v>45876.366666666669</v>
      </c>
      <c r="L1373" s="30">
        <v>46216.416666666664</v>
      </c>
    </row>
    <row r="1374" spans="1:12" x14ac:dyDescent="0.25">
      <c r="A1374" t="s">
        <v>1248</v>
      </c>
      <c r="B1374">
        <v>358770</v>
      </c>
      <c r="C1374">
        <v>352275</v>
      </c>
      <c r="D1374">
        <v>352274</v>
      </c>
      <c r="E1374">
        <v>405</v>
      </c>
      <c r="F1374">
        <v>405</v>
      </c>
      <c r="G1374" t="s">
        <v>3138</v>
      </c>
      <c r="H1374">
        <v>0</v>
      </c>
      <c r="K1374" s="30">
        <v>45883.7</v>
      </c>
      <c r="L1374" s="30">
        <v>46224.375</v>
      </c>
    </row>
    <row r="1375" spans="1:12" x14ac:dyDescent="0.25">
      <c r="A1375" t="s">
        <v>1248</v>
      </c>
      <c r="B1375">
        <v>358771</v>
      </c>
      <c r="C1375">
        <v>352277</v>
      </c>
      <c r="D1375">
        <v>352276</v>
      </c>
      <c r="E1375">
        <v>405</v>
      </c>
      <c r="F1375">
        <v>405</v>
      </c>
      <c r="G1375" t="s">
        <v>3138</v>
      </c>
      <c r="H1375">
        <v>0</v>
      </c>
      <c r="K1375" s="30">
        <v>45852.64166666667</v>
      </c>
      <c r="L1375" s="30">
        <v>46176.65</v>
      </c>
    </row>
    <row r="1376" spans="1:12" x14ac:dyDescent="0.25">
      <c r="A1376" t="s">
        <v>1248</v>
      </c>
      <c r="B1376">
        <v>358772</v>
      </c>
      <c r="C1376">
        <v>352278</v>
      </c>
      <c r="D1376">
        <v>352277</v>
      </c>
      <c r="E1376">
        <v>405</v>
      </c>
      <c r="F1376">
        <v>405</v>
      </c>
      <c r="G1376" t="s">
        <v>3138</v>
      </c>
      <c r="H1376">
        <v>0</v>
      </c>
      <c r="K1376" s="30">
        <v>45860.438888888886</v>
      </c>
      <c r="L1376" s="30">
        <v>46184.447222222225</v>
      </c>
    </row>
    <row r="1377" spans="1:12" x14ac:dyDescent="0.25">
      <c r="A1377" t="s">
        <v>1248</v>
      </c>
      <c r="B1377">
        <v>358773</v>
      </c>
      <c r="C1377">
        <v>352279</v>
      </c>
      <c r="D1377">
        <v>352278</v>
      </c>
      <c r="E1377">
        <v>405</v>
      </c>
      <c r="F1377">
        <v>405</v>
      </c>
      <c r="G1377" t="s">
        <v>3138</v>
      </c>
      <c r="H1377">
        <v>0</v>
      </c>
      <c r="K1377" s="30">
        <v>45861.397222222222</v>
      </c>
      <c r="L1377" s="30">
        <v>46185.405555555553</v>
      </c>
    </row>
    <row r="1378" spans="1:12" x14ac:dyDescent="0.25">
      <c r="A1378" t="s">
        <v>1248</v>
      </c>
      <c r="B1378">
        <v>358774</v>
      </c>
      <c r="C1378">
        <v>352280</v>
      </c>
      <c r="D1378">
        <v>352279</v>
      </c>
      <c r="E1378">
        <v>405</v>
      </c>
      <c r="F1378">
        <v>405</v>
      </c>
      <c r="G1378" t="s">
        <v>3138</v>
      </c>
      <c r="H1378">
        <v>0</v>
      </c>
      <c r="K1378" s="30">
        <v>45868.408333333333</v>
      </c>
      <c r="L1378" s="30">
        <v>46192.416666666664</v>
      </c>
    </row>
    <row r="1379" spans="1:12" x14ac:dyDescent="0.25">
      <c r="A1379" t="s">
        <v>1248</v>
      </c>
      <c r="B1379">
        <v>358775</v>
      </c>
      <c r="C1379">
        <v>352281</v>
      </c>
      <c r="D1379">
        <v>352280</v>
      </c>
      <c r="E1379">
        <v>405</v>
      </c>
      <c r="F1379">
        <v>405</v>
      </c>
      <c r="G1379" t="s">
        <v>3138</v>
      </c>
      <c r="H1379">
        <v>0</v>
      </c>
      <c r="K1379" s="30">
        <v>45874.408333333333</v>
      </c>
      <c r="L1379" s="30">
        <v>46198.416666666664</v>
      </c>
    </row>
    <row r="1380" spans="1:12" x14ac:dyDescent="0.25">
      <c r="A1380" t="s">
        <v>1248</v>
      </c>
      <c r="B1380">
        <v>358776</v>
      </c>
      <c r="C1380">
        <v>352282</v>
      </c>
      <c r="D1380">
        <v>352281</v>
      </c>
      <c r="E1380">
        <v>405</v>
      </c>
      <c r="F1380">
        <v>405</v>
      </c>
      <c r="G1380" t="s">
        <v>3138</v>
      </c>
      <c r="H1380">
        <v>0</v>
      </c>
      <c r="K1380" s="30">
        <v>45882.366666666669</v>
      </c>
      <c r="L1380" s="30">
        <v>46206.375</v>
      </c>
    </row>
    <row r="1381" spans="1:12" x14ac:dyDescent="0.25">
      <c r="A1381" t="s">
        <v>1248</v>
      </c>
      <c r="B1381">
        <v>358777</v>
      </c>
      <c r="C1381">
        <v>352284</v>
      </c>
      <c r="D1381">
        <v>352283</v>
      </c>
      <c r="E1381">
        <v>405</v>
      </c>
      <c r="F1381">
        <v>405</v>
      </c>
      <c r="G1381" t="s">
        <v>3138</v>
      </c>
      <c r="H1381">
        <v>0</v>
      </c>
      <c r="K1381" s="30">
        <v>45848.683333333334</v>
      </c>
      <c r="L1381" s="30">
        <v>46157.65</v>
      </c>
    </row>
    <row r="1382" spans="1:12" x14ac:dyDescent="0.25">
      <c r="A1382" t="s">
        <v>1248</v>
      </c>
      <c r="B1382">
        <v>358778</v>
      </c>
      <c r="C1382">
        <v>352285</v>
      </c>
      <c r="D1382">
        <v>352284</v>
      </c>
      <c r="E1382">
        <v>405</v>
      </c>
      <c r="F1382">
        <v>405</v>
      </c>
      <c r="G1382" t="s">
        <v>3138</v>
      </c>
      <c r="H1382">
        <v>0</v>
      </c>
      <c r="K1382" s="30">
        <v>45856.480555555558</v>
      </c>
      <c r="L1382" s="30">
        <v>46167.447222222225</v>
      </c>
    </row>
    <row r="1383" spans="1:12" x14ac:dyDescent="0.25">
      <c r="A1383" t="s">
        <v>1248</v>
      </c>
      <c r="B1383">
        <v>358779</v>
      </c>
      <c r="C1383">
        <v>352286</v>
      </c>
      <c r="D1383">
        <v>352285</v>
      </c>
      <c r="E1383">
        <v>405</v>
      </c>
      <c r="F1383">
        <v>405</v>
      </c>
      <c r="G1383" t="s">
        <v>3138</v>
      </c>
      <c r="H1383">
        <v>0</v>
      </c>
      <c r="K1383" s="30">
        <v>45859.438888888886</v>
      </c>
      <c r="L1383" s="30">
        <v>46168.405555555553</v>
      </c>
    </row>
    <row r="1384" spans="1:12" x14ac:dyDescent="0.25">
      <c r="A1384" t="s">
        <v>1248</v>
      </c>
      <c r="B1384">
        <v>358780</v>
      </c>
      <c r="C1384">
        <v>352287</v>
      </c>
      <c r="D1384">
        <v>352286</v>
      </c>
      <c r="E1384">
        <v>405</v>
      </c>
      <c r="F1384">
        <v>405</v>
      </c>
      <c r="G1384" t="s">
        <v>3138</v>
      </c>
      <c r="H1384">
        <v>0</v>
      </c>
      <c r="K1384" s="30">
        <v>45866.45</v>
      </c>
      <c r="L1384" s="30">
        <v>46176.416666666664</v>
      </c>
    </row>
    <row r="1385" spans="1:12" x14ac:dyDescent="0.25">
      <c r="A1385" t="s">
        <v>1248</v>
      </c>
      <c r="B1385">
        <v>358781</v>
      </c>
      <c r="C1385">
        <v>352288</v>
      </c>
      <c r="D1385">
        <v>352287</v>
      </c>
      <c r="E1385">
        <v>405</v>
      </c>
      <c r="F1385">
        <v>405</v>
      </c>
      <c r="G1385" t="s">
        <v>3138</v>
      </c>
      <c r="H1385">
        <v>0</v>
      </c>
      <c r="K1385" s="30">
        <v>45870.45</v>
      </c>
      <c r="L1385" s="30">
        <v>46182.416666666664</v>
      </c>
    </row>
    <row r="1386" spans="1:12" x14ac:dyDescent="0.25">
      <c r="A1386" t="s">
        <v>1248</v>
      </c>
      <c r="B1386">
        <v>358782</v>
      </c>
      <c r="C1386">
        <v>352289</v>
      </c>
      <c r="D1386">
        <v>352288</v>
      </c>
      <c r="E1386">
        <v>405</v>
      </c>
      <c r="F1386">
        <v>405</v>
      </c>
      <c r="G1386" t="s">
        <v>3138</v>
      </c>
      <c r="H1386">
        <v>0</v>
      </c>
      <c r="K1386" s="30">
        <v>45880.408333333333</v>
      </c>
      <c r="L1386" s="30">
        <v>46190.375</v>
      </c>
    </row>
    <row r="1387" spans="1:12" x14ac:dyDescent="0.25">
      <c r="A1387" t="s">
        <v>1248</v>
      </c>
      <c r="B1387">
        <v>358783</v>
      </c>
      <c r="C1387">
        <v>352291</v>
      </c>
      <c r="D1387">
        <v>352290</v>
      </c>
      <c r="E1387">
        <v>405</v>
      </c>
      <c r="F1387">
        <v>405</v>
      </c>
      <c r="G1387" t="s">
        <v>3138</v>
      </c>
      <c r="H1387">
        <v>0</v>
      </c>
      <c r="K1387" s="30">
        <v>45847.35</v>
      </c>
      <c r="L1387" s="30">
        <v>46140.65</v>
      </c>
    </row>
    <row r="1388" spans="1:12" x14ac:dyDescent="0.25">
      <c r="A1388" t="s">
        <v>1248</v>
      </c>
      <c r="B1388">
        <v>358784</v>
      </c>
      <c r="C1388">
        <v>352292</v>
      </c>
      <c r="D1388">
        <v>352291</v>
      </c>
      <c r="E1388">
        <v>405</v>
      </c>
      <c r="F1388">
        <v>405</v>
      </c>
      <c r="G1388" t="s">
        <v>3138</v>
      </c>
      <c r="H1388">
        <v>0</v>
      </c>
      <c r="K1388" s="30">
        <v>45854.563888888886</v>
      </c>
      <c r="L1388" s="30">
        <v>46149.447222222225</v>
      </c>
    </row>
    <row r="1389" spans="1:12" x14ac:dyDescent="0.25">
      <c r="A1389" t="s">
        <v>1248</v>
      </c>
      <c r="B1389">
        <v>358785</v>
      </c>
      <c r="C1389">
        <v>352293</v>
      </c>
      <c r="D1389">
        <v>352292</v>
      </c>
      <c r="E1389">
        <v>405</v>
      </c>
      <c r="F1389">
        <v>405</v>
      </c>
      <c r="G1389" t="s">
        <v>3138</v>
      </c>
      <c r="H1389">
        <v>0</v>
      </c>
      <c r="K1389" s="30">
        <v>45855.480555555558</v>
      </c>
      <c r="L1389" s="30">
        <v>46150.405555555553</v>
      </c>
    </row>
    <row r="1390" spans="1:12" x14ac:dyDescent="0.25">
      <c r="A1390" t="s">
        <v>1248</v>
      </c>
      <c r="B1390">
        <v>358786</v>
      </c>
      <c r="C1390">
        <v>352294</v>
      </c>
      <c r="D1390">
        <v>352293</v>
      </c>
      <c r="E1390">
        <v>405</v>
      </c>
      <c r="F1390">
        <v>405</v>
      </c>
      <c r="G1390" t="s">
        <v>3138</v>
      </c>
      <c r="H1390">
        <v>0</v>
      </c>
      <c r="K1390" s="30">
        <v>45862.491666666669</v>
      </c>
      <c r="L1390" s="30">
        <v>46157.416666666664</v>
      </c>
    </row>
    <row r="1391" spans="1:12" x14ac:dyDescent="0.25">
      <c r="A1391" t="s">
        <v>1248</v>
      </c>
      <c r="B1391">
        <v>358787</v>
      </c>
      <c r="C1391">
        <v>352295</v>
      </c>
      <c r="D1391">
        <v>352294</v>
      </c>
      <c r="E1391">
        <v>405</v>
      </c>
      <c r="F1391">
        <v>405</v>
      </c>
      <c r="G1391" t="s">
        <v>3138</v>
      </c>
      <c r="H1391">
        <v>0</v>
      </c>
      <c r="K1391" s="30">
        <v>45868.491666666669</v>
      </c>
      <c r="L1391" s="30">
        <v>46163.416666666664</v>
      </c>
    </row>
    <row r="1392" spans="1:12" x14ac:dyDescent="0.25">
      <c r="A1392" t="s">
        <v>1248</v>
      </c>
      <c r="B1392">
        <v>358788</v>
      </c>
      <c r="C1392">
        <v>352296</v>
      </c>
      <c r="D1392">
        <v>352295</v>
      </c>
      <c r="E1392">
        <v>405</v>
      </c>
      <c r="F1392">
        <v>405</v>
      </c>
      <c r="G1392" t="s">
        <v>3138</v>
      </c>
      <c r="H1392">
        <v>0</v>
      </c>
      <c r="K1392" s="30">
        <v>45876.45</v>
      </c>
      <c r="L1392" s="30">
        <v>46171.375</v>
      </c>
    </row>
    <row r="1393" spans="1:12" x14ac:dyDescent="0.25">
      <c r="A1393" t="s">
        <v>1248</v>
      </c>
      <c r="B1393">
        <v>358789</v>
      </c>
      <c r="C1393">
        <v>352298</v>
      </c>
      <c r="D1393">
        <v>352297</v>
      </c>
      <c r="E1393">
        <v>405</v>
      </c>
      <c r="F1393">
        <v>405</v>
      </c>
      <c r="G1393" t="s">
        <v>3138</v>
      </c>
      <c r="H1393">
        <v>0</v>
      </c>
      <c r="K1393" s="30">
        <v>45845.39166666667</v>
      </c>
      <c r="L1393" s="30">
        <v>46122.65</v>
      </c>
    </row>
    <row r="1394" spans="1:12" x14ac:dyDescent="0.25">
      <c r="A1394" t="s">
        <v>1248</v>
      </c>
      <c r="B1394">
        <v>358790</v>
      </c>
      <c r="C1394">
        <v>352299</v>
      </c>
      <c r="D1394">
        <v>352298</v>
      </c>
      <c r="E1394">
        <v>405</v>
      </c>
      <c r="F1394">
        <v>405</v>
      </c>
      <c r="G1394" t="s">
        <v>3138</v>
      </c>
      <c r="H1394">
        <v>0</v>
      </c>
      <c r="K1394" s="30">
        <v>45852.605555555558</v>
      </c>
      <c r="L1394" s="30">
        <v>46132.447222222225</v>
      </c>
    </row>
    <row r="1395" spans="1:12" x14ac:dyDescent="0.25">
      <c r="A1395" t="s">
        <v>1248</v>
      </c>
      <c r="B1395">
        <v>358791</v>
      </c>
      <c r="C1395">
        <v>352300</v>
      </c>
      <c r="D1395">
        <v>352299</v>
      </c>
      <c r="E1395">
        <v>405</v>
      </c>
      <c r="F1395">
        <v>405</v>
      </c>
      <c r="G1395" t="s">
        <v>3138</v>
      </c>
      <c r="H1395">
        <v>0</v>
      </c>
      <c r="K1395" s="30">
        <v>45853.563888888886</v>
      </c>
      <c r="L1395" s="30">
        <v>46133.405555555553</v>
      </c>
    </row>
    <row r="1396" spans="1:12" x14ac:dyDescent="0.25">
      <c r="A1396" t="s">
        <v>1248</v>
      </c>
      <c r="B1396">
        <v>358792</v>
      </c>
      <c r="C1396">
        <v>352301</v>
      </c>
      <c r="D1396">
        <v>352300</v>
      </c>
      <c r="E1396">
        <v>405</v>
      </c>
      <c r="F1396">
        <v>405</v>
      </c>
      <c r="G1396" t="s">
        <v>3138</v>
      </c>
      <c r="H1396">
        <v>0</v>
      </c>
      <c r="K1396" s="30">
        <v>45860.574999999997</v>
      </c>
      <c r="L1396" s="30">
        <v>46140.416666666664</v>
      </c>
    </row>
    <row r="1397" spans="1:12" x14ac:dyDescent="0.25">
      <c r="A1397" t="s">
        <v>1248</v>
      </c>
      <c r="B1397">
        <v>358793</v>
      </c>
      <c r="C1397">
        <v>352302</v>
      </c>
      <c r="D1397">
        <v>352301</v>
      </c>
      <c r="E1397">
        <v>405</v>
      </c>
      <c r="F1397">
        <v>405</v>
      </c>
      <c r="G1397" t="s">
        <v>3138</v>
      </c>
      <c r="H1397">
        <v>0</v>
      </c>
      <c r="K1397" s="30">
        <v>45866.574999999997</v>
      </c>
      <c r="L1397" s="30">
        <v>46147.416666666664</v>
      </c>
    </row>
    <row r="1398" spans="1:12" x14ac:dyDescent="0.25">
      <c r="A1398" t="s">
        <v>1248</v>
      </c>
      <c r="B1398">
        <v>358794</v>
      </c>
      <c r="C1398">
        <v>352303</v>
      </c>
      <c r="D1398">
        <v>352302</v>
      </c>
      <c r="E1398">
        <v>405</v>
      </c>
      <c r="F1398">
        <v>405</v>
      </c>
      <c r="G1398" t="s">
        <v>3138</v>
      </c>
      <c r="H1398">
        <v>0</v>
      </c>
      <c r="K1398" s="30">
        <v>45874.491666666669</v>
      </c>
      <c r="L1398" s="30">
        <v>46155.375</v>
      </c>
    </row>
    <row r="1399" spans="1:12" x14ac:dyDescent="0.25">
      <c r="A1399" t="s">
        <v>1248</v>
      </c>
      <c r="B1399">
        <v>358795</v>
      </c>
      <c r="C1399">
        <v>352305</v>
      </c>
      <c r="D1399">
        <v>352304</v>
      </c>
      <c r="E1399">
        <v>405</v>
      </c>
      <c r="F1399">
        <v>405</v>
      </c>
      <c r="G1399" t="s">
        <v>3138</v>
      </c>
      <c r="H1399">
        <v>0</v>
      </c>
      <c r="K1399" s="30">
        <v>45828.666666666664</v>
      </c>
      <c r="L1399" s="30">
        <v>46105.65</v>
      </c>
    </row>
    <row r="1400" spans="1:12" x14ac:dyDescent="0.25">
      <c r="A1400" t="s">
        <v>1248</v>
      </c>
      <c r="B1400">
        <v>358796</v>
      </c>
      <c r="C1400">
        <v>352306</v>
      </c>
      <c r="D1400">
        <v>352305</v>
      </c>
      <c r="E1400">
        <v>405</v>
      </c>
      <c r="F1400">
        <v>405</v>
      </c>
      <c r="G1400" t="s">
        <v>3138</v>
      </c>
      <c r="H1400">
        <v>0</v>
      </c>
      <c r="K1400" s="30">
        <v>45838.463888888888</v>
      </c>
      <c r="L1400" s="30">
        <v>46113.447222222225</v>
      </c>
    </row>
    <row r="1401" spans="1:12" x14ac:dyDescent="0.25">
      <c r="A1401" t="s">
        <v>1248</v>
      </c>
      <c r="B1401">
        <v>358797</v>
      </c>
      <c r="C1401">
        <v>352307</v>
      </c>
      <c r="D1401">
        <v>352306</v>
      </c>
      <c r="E1401">
        <v>405</v>
      </c>
      <c r="F1401">
        <v>405</v>
      </c>
      <c r="G1401" t="s">
        <v>3138</v>
      </c>
      <c r="H1401">
        <v>0</v>
      </c>
      <c r="K1401" s="30">
        <v>45839.422222222223</v>
      </c>
      <c r="L1401" s="30">
        <v>46114.405555555553</v>
      </c>
    </row>
    <row r="1402" spans="1:12" x14ac:dyDescent="0.25">
      <c r="A1402" t="s">
        <v>1248</v>
      </c>
      <c r="B1402">
        <v>358798</v>
      </c>
      <c r="C1402">
        <v>352308</v>
      </c>
      <c r="D1402">
        <v>352307</v>
      </c>
      <c r="E1402">
        <v>405</v>
      </c>
      <c r="F1402">
        <v>405</v>
      </c>
      <c r="G1402" t="s">
        <v>3138</v>
      </c>
      <c r="H1402">
        <v>0</v>
      </c>
      <c r="K1402" s="30">
        <v>45846.433333333334</v>
      </c>
      <c r="L1402" s="30">
        <v>46122.416666666664</v>
      </c>
    </row>
    <row r="1403" spans="1:12" x14ac:dyDescent="0.25">
      <c r="A1403" t="s">
        <v>1248</v>
      </c>
      <c r="B1403">
        <v>358799</v>
      </c>
      <c r="C1403">
        <v>352309</v>
      </c>
      <c r="D1403">
        <v>352308</v>
      </c>
      <c r="E1403">
        <v>405</v>
      </c>
      <c r="F1403">
        <v>405</v>
      </c>
      <c r="G1403" t="s">
        <v>3138</v>
      </c>
      <c r="H1403">
        <v>0</v>
      </c>
      <c r="K1403" s="30">
        <v>45852.433333333334</v>
      </c>
      <c r="L1403" s="30">
        <v>46128.416666666664</v>
      </c>
    </row>
    <row r="1404" spans="1:12" x14ac:dyDescent="0.25">
      <c r="A1404" t="s">
        <v>1248</v>
      </c>
      <c r="B1404">
        <v>358800</v>
      </c>
      <c r="C1404">
        <v>352310</v>
      </c>
      <c r="D1404">
        <v>352309</v>
      </c>
      <c r="E1404">
        <v>405</v>
      </c>
      <c r="F1404">
        <v>405</v>
      </c>
      <c r="G1404" t="s">
        <v>3138</v>
      </c>
      <c r="H1404">
        <v>0</v>
      </c>
      <c r="K1404" s="30">
        <v>45860.39166666667</v>
      </c>
      <c r="L1404" s="30">
        <v>46136.375</v>
      </c>
    </row>
    <row r="1405" spans="1:12" x14ac:dyDescent="0.25">
      <c r="A1405" t="s">
        <v>1248</v>
      </c>
      <c r="B1405">
        <v>358801</v>
      </c>
      <c r="C1405">
        <v>352312</v>
      </c>
      <c r="D1405">
        <v>352311</v>
      </c>
      <c r="E1405">
        <v>405</v>
      </c>
      <c r="F1405">
        <v>405</v>
      </c>
      <c r="G1405" t="s">
        <v>3138</v>
      </c>
      <c r="H1405">
        <v>0</v>
      </c>
      <c r="K1405" s="30">
        <v>45826.458333333336</v>
      </c>
      <c r="L1405" s="30">
        <v>46087.65</v>
      </c>
    </row>
    <row r="1406" spans="1:12" x14ac:dyDescent="0.25">
      <c r="A1406" t="s">
        <v>1248</v>
      </c>
      <c r="B1406">
        <v>358802</v>
      </c>
      <c r="C1406">
        <v>352313</v>
      </c>
      <c r="D1406">
        <v>352312</v>
      </c>
      <c r="E1406">
        <v>405</v>
      </c>
      <c r="F1406">
        <v>405</v>
      </c>
      <c r="G1406" t="s">
        <v>3138</v>
      </c>
      <c r="H1406">
        <v>0</v>
      </c>
      <c r="K1406" s="30">
        <v>45833.672222222223</v>
      </c>
      <c r="L1406" s="30">
        <v>46097.447222222225</v>
      </c>
    </row>
    <row r="1407" spans="1:12" x14ac:dyDescent="0.25">
      <c r="A1407" t="s">
        <v>1248</v>
      </c>
      <c r="B1407">
        <v>358803</v>
      </c>
      <c r="C1407">
        <v>352314</v>
      </c>
      <c r="D1407">
        <v>352313</v>
      </c>
      <c r="E1407">
        <v>405</v>
      </c>
      <c r="F1407">
        <v>405</v>
      </c>
      <c r="G1407" t="s">
        <v>3138</v>
      </c>
      <c r="H1407">
        <v>0</v>
      </c>
      <c r="K1407" s="30">
        <v>45834.630555555559</v>
      </c>
      <c r="L1407" s="30">
        <v>46098.405555555553</v>
      </c>
    </row>
    <row r="1408" spans="1:12" x14ac:dyDescent="0.25">
      <c r="A1408" t="s">
        <v>1248</v>
      </c>
      <c r="B1408">
        <v>358804</v>
      </c>
      <c r="C1408">
        <v>352315</v>
      </c>
      <c r="D1408">
        <v>352314</v>
      </c>
      <c r="E1408">
        <v>405</v>
      </c>
      <c r="F1408">
        <v>405</v>
      </c>
      <c r="G1408" t="s">
        <v>3138</v>
      </c>
      <c r="H1408">
        <v>0</v>
      </c>
      <c r="K1408" s="30">
        <v>45841.64166666667</v>
      </c>
      <c r="L1408" s="30">
        <v>46105.416666666664</v>
      </c>
    </row>
    <row r="1409" spans="1:12" x14ac:dyDescent="0.25">
      <c r="A1409" t="s">
        <v>1248</v>
      </c>
      <c r="B1409">
        <v>358805</v>
      </c>
      <c r="C1409">
        <v>352316</v>
      </c>
      <c r="D1409">
        <v>352315</v>
      </c>
      <c r="E1409">
        <v>405</v>
      </c>
      <c r="F1409">
        <v>405</v>
      </c>
      <c r="G1409" t="s">
        <v>3138</v>
      </c>
      <c r="H1409">
        <v>0</v>
      </c>
      <c r="K1409" s="30">
        <v>45847.64166666667</v>
      </c>
      <c r="L1409" s="30">
        <v>46111.416666666664</v>
      </c>
    </row>
    <row r="1410" spans="1:12" x14ac:dyDescent="0.25">
      <c r="A1410" t="s">
        <v>1248</v>
      </c>
      <c r="B1410">
        <v>358806</v>
      </c>
      <c r="C1410">
        <v>352317</v>
      </c>
      <c r="D1410">
        <v>352316</v>
      </c>
      <c r="E1410">
        <v>405</v>
      </c>
      <c r="F1410">
        <v>405</v>
      </c>
      <c r="G1410" t="s">
        <v>3138</v>
      </c>
      <c r="H1410">
        <v>0</v>
      </c>
      <c r="K1410" s="30">
        <v>45855.6</v>
      </c>
      <c r="L1410" s="30">
        <v>46120.375</v>
      </c>
    </row>
    <row r="1411" spans="1:12" x14ac:dyDescent="0.25">
      <c r="A1411" t="s">
        <v>1248</v>
      </c>
      <c r="B1411">
        <v>358807</v>
      </c>
      <c r="C1411">
        <v>352319</v>
      </c>
      <c r="D1411">
        <v>352318</v>
      </c>
      <c r="E1411">
        <v>405</v>
      </c>
      <c r="F1411">
        <v>405</v>
      </c>
      <c r="G1411" t="s">
        <v>3138</v>
      </c>
      <c r="H1411">
        <v>0</v>
      </c>
      <c r="K1411" s="30">
        <v>45824.5</v>
      </c>
      <c r="L1411" s="30">
        <v>46071.65</v>
      </c>
    </row>
    <row r="1412" spans="1:12" x14ac:dyDescent="0.25">
      <c r="A1412" t="s">
        <v>1248</v>
      </c>
      <c r="B1412">
        <v>358808</v>
      </c>
      <c r="C1412">
        <v>352320</v>
      </c>
      <c r="D1412">
        <v>352319</v>
      </c>
      <c r="E1412">
        <v>405</v>
      </c>
      <c r="F1412">
        <v>405</v>
      </c>
      <c r="G1412" t="s">
        <v>3138</v>
      </c>
      <c r="H1412">
        <v>0</v>
      </c>
      <c r="K1412" s="30">
        <v>45832.338888888888</v>
      </c>
      <c r="L1412" s="30">
        <v>46079.447222222225</v>
      </c>
    </row>
    <row r="1413" spans="1:12" x14ac:dyDescent="0.25">
      <c r="A1413" t="s">
        <v>1248</v>
      </c>
      <c r="B1413">
        <v>358809</v>
      </c>
      <c r="C1413">
        <v>352321</v>
      </c>
      <c r="D1413">
        <v>352320</v>
      </c>
      <c r="E1413">
        <v>405</v>
      </c>
      <c r="F1413">
        <v>405</v>
      </c>
      <c r="G1413" t="s">
        <v>3138</v>
      </c>
      <c r="H1413">
        <v>0</v>
      </c>
      <c r="K1413" s="30">
        <v>45832.672222222223</v>
      </c>
      <c r="L1413" s="30">
        <v>46080.405555555553</v>
      </c>
    </row>
    <row r="1414" spans="1:12" x14ac:dyDescent="0.25">
      <c r="A1414" t="s">
        <v>1248</v>
      </c>
      <c r="B1414">
        <v>358810</v>
      </c>
      <c r="C1414">
        <v>352322</v>
      </c>
      <c r="D1414">
        <v>352321</v>
      </c>
      <c r="E1414">
        <v>405</v>
      </c>
      <c r="F1414">
        <v>405</v>
      </c>
      <c r="G1414" t="s">
        <v>3138</v>
      </c>
      <c r="H1414">
        <v>0</v>
      </c>
      <c r="K1414" s="30">
        <v>45839.683333333334</v>
      </c>
      <c r="L1414" s="30">
        <v>46087.416666666664</v>
      </c>
    </row>
    <row r="1415" spans="1:12" x14ac:dyDescent="0.25">
      <c r="A1415" t="s">
        <v>1248</v>
      </c>
      <c r="B1415">
        <v>358811</v>
      </c>
      <c r="C1415">
        <v>352323</v>
      </c>
      <c r="D1415">
        <v>352322</v>
      </c>
      <c r="E1415">
        <v>405</v>
      </c>
      <c r="F1415">
        <v>405</v>
      </c>
      <c r="G1415" t="s">
        <v>3138</v>
      </c>
      <c r="H1415">
        <v>0</v>
      </c>
      <c r="K1415" s="30">
        <v>45845.683333333334</v>
      </c>
      <c r="L1415" s="30">
        <v>46093.416666666664</v>
      </c>
    </row>
    <row r="1416" spans="1:12" x14ac:dyDescent="0.25">
      <c r="A1416" t="s">
        <v>1248</v>
      </c>
      <c r="B1416">
        <v>358812</v>
      </c>
      <c r="C1416">
        <v>352324</v>
      </c>
      <c r="D1416">
        <v>352323</v>
      </c>
      <c r="E1416">
        <v>405</v>
      </c>
      <c r="F1416">
        <v>405</v>
      </c>
      <c r="G1416" t="s">
        <v>3138</v>
      </c>
      <c r="H1416">
        <v>0</v>
      </c>
      <c r="K1416" s="30">
        <v>45853.64166666667</v>
      </c>
      <c r="L1416" s="30">
        <v>46101.375</v>
      </c>
    </row>
    <row r="1417" spans="1:12" x14ac:dyDescent="0.25">
      <c r="A1417" t="s">
        <v>1248</v>
      </c>
      <c r="B1417">
        <v>358813</v>
      </c>
      <c r="C1417">
        <v>352326</v>
      </c>
      <c r="D1417">
        <v>352325</v>
      </c>
      <c r="E1417">
        <v>405</v>
      </c>
      <c r="F1417">
        <v>405</v>
      </c>
      <c r="G1417" t="s">
        <v>3138</v>
      </c>
      <c r="H1417">
        <v>0</v>
      </c>
      <c r="K1417" s="30">
        <v>45820.583333333336</v>
      </c>
      <c r="L1417" s="30">
        <v>46055.65</v>
      </c>
    </row>
    <row r="1418" spans="1:12" x14ac:dyDescent="0.25">
      <c r="A1418" t="s">
        <v>1248</v>
      </c>
      <c r="B1418">
        <v>358814</v>
      </c>
      <c r="C1418">
        <v>352327</v>
      </c>
      <c r="D1418">
        <v>352326</v>
      </c>
      <c r="E1418">
        <v>405</v>
      </c>
      <c r="F1418">
        <v>405</v>
      </c>
      <c r="G1418" t="s">
        <v>3138</v>
      </c>
      <c r="H1418">
        <v>0</v>
      </c>
      <c r="K1418" s="30">
        <v>45828.380555555559</v>
      </c>
      <c r="L1418" s="30">
        <v>46063.447222222225</v>
      </c>
    </row>
    <row r="1419" spans="1:12" x14ac:dyDescent="0.25">
      <c r="A1419" t="s">
        <v>1248</v>
      </c>
      <c r="B1419">
        <v>358815</v>
      </c>
      <c r="C1419">
        <v>352328</v>
      </c>
      <c r="D1419">
        <v>352327</v>
      </c>
      <c r="E1419">
        <v>405</v>
      </c>
      <c r="F1419">
        <v>405</v>
      </c>
      <c r="G1419" t="s">
        <v>3138</v>
      </c>
      <c r="H1419">
        <v>0</v>
      </c>
      <c r="K1419" s="30">
        <v>45831.338888888888</v>
      </c>
      <c r="L1419" s="30">
        <v>46064.405555555553</v>
      </c>
    </row>
    <row r="1420" spans="1:12" x14ac:dyDescent="0.25">
      <c r="A1420" t="s">
        <v>1248</v>
      </c>
      <c r="B1420">
        <v>358816</v>
      </c>
      <c r="C1420">
        <v>352329</v>
      </c>
      <c r="D1420">
        <v>352328</v>
      </c>
      <c r="E1420">
        <v>405</v>
      </c>
      <c r="F1420">
        <v>405</v>
      </c>
      <c r="G1420" t="s">
        <v>3138</v>
      </c>
      <c r="H1420">
        <v>0</v>
      </c>
      <c r="K1420" s="30">
        <v>45838.35</v>
      </c>
      <c r="L1420" s="30">
        <v>46071.416666666664</v>
      </c>
    </row>
    <row r="1421" spans="1:12" x14ac:dyDescent="0.25">
      <c r="A1421" t="s">
        <v>1248</v>
      </c>
      <c r="B1421">
        <v>358817</v>
      </c>
      <c r="C1421">
        <v>352330</v>
      </c>
      <c r="D1421">
        <v>352329</v>
      </c>
      <c r="E1421">
        <v>405</v>
      </c>
      <c r="F1421">
        <v>405</v>
      </c>
      <c r="G1421" t="s">
        <v>3138</v>
      </c>
      <c r="H1421">
        <v>0</v>
      </c>
      <c r="K1421" s="30">
        <v>45842.35</v>
      </c>
      <c r="L1421" s="30">
        <v>46077.416666666664</v>
      </c>
    </row>
    <row r="1422" spans="1:12" x14ac:dyDescent="0.25">
      <c r="A1422" t="s">
        <v>1248</v>
      </c>
      <c r="B1422">
        <v>358818</v>
      </c>
      <c r="C1422">
        <v>352331</v>
      </c>
      <c r="D1422">
        <v>352330</v>
      </c>
      <c r="E1422">
        <v>405</v>
      </c>
      <c r="F1422">
        <v>405</v>
      </c>
      <c r="G1422" t="s">
        <v>3138</v>
      </c>
      <c r="H1422">
        <v>0</v>
      </c>
      <c r="K1422" s="30">
        <v>45849.683333333334</v>
      </c>
      <c r="L1422" s="30">
        <v>46085.375</v>
      </c>
    </row>
    <row r="1423" spans="1:12" x14ac:dyDescent="0.25">
      <c r="A1423" t="s">
        <v>1248</v>
      </c>
      <c r="B1423">
        <v>358819</v>
      </c>
      <c r="C1423">
        <v>352333</v>
      </c>
      <c r="D1423">
        <v>352332</v>
      </c>
      <c r="E1423">
        <v>405</v>
      </c>
      <c r="F1423">
        <v>405</v>
      </c>
      <c r="G1423" t="s">
        <v>3138</v>
      </c>
      <c r="H1423">
        <v>0</v>
      </c>
      <c r="K1423" s="30">
        <v>45818.625</v>
      </c>
      <c r="L1423" s="30">
        <v>46037.65</v>
      </c>
    </row>
    <row r="1424" spans="1:12" x14ac:dyDescent="0.25">
      <c r="A1424" t="s">
        <v>1248</v>
      </c>
      <c r="B1424">
        <v>358820</v>
      </c>
      <c r="C1424">
        <v>352334</v>
      </c>
      <c r="D1424">
        <v>352333</v>
      </c>
      <c r="E1424">
        <v>405</v>
      </c>
      <c r="F1424">
        <v>405</v>
      </c>
      <c r="G1424" t="s">
        <v>3138</v>
      </c>
      <c r="H1424">
        <v>0</v>
      </c>
      <c r="K1424" s="30">
        <v>45826.422222222223</v>
      </c>
      <c r="L1424" s="30">
        <v>46045.447222222225</v>
      </c>
    </row>
    <row r="1425" spans="1:12" x14ac:dyDescent="0.25">
      <c r="A1425" t="s">
        <v>1248</v>
      </c>
      <c r="B1425">
        <v>358821</v>
      </c>
      <c r="C1425">
        <v>352335</v>
      </c>
      <c r="D1425">
        <v>352334</v>
      </c>
      <c r="E1425">
        <v>405</v>
      </c>
      <c r="F1425">
        <v>405</v>
      </c>
      <c r="G1425" t="s">
        <v>3138</v>
      </c>
      <c r="H1425">
        <v>0</v>
      </c>
      <c r="K1425" s="30">
        <v>45827.380555555559</v>
      </c>
      <c r="L1425" s="30">
        <v>46048.405555555553</v>
      </c>
    </row>
    <row r="1426" spans="1:12" x14ac:dyDescent="0.25">
      <c r="A1426" t="s">
        <v>1248</v>
      </c>
      <c r="B1426">
        <v>358822</v>
      </c>
      <c r="C1426">
        <v>352336</v>
      </c>
      <c r="D1426">
        <v>352335</v>
      </c>
      <c r="E1426">
        <v>405</v>
      </c>
      <c r="F1426">
        <v>405</v>
      </c>
      <c r="G1426" t="s">
        <v>3138</v>
      </c>
      <c r="H1426">
        <v>0</v>
      </c>
      <c r="K1426" s="30">
        <v>45834.39166666667</v>
      </c>
      <c r="L1426" s="30">
        <v>46055.416666666664</v>
      </c>
    </row>
    <row r="1427" spans="1:12" x14ac:dyDescent="0.25">
      <c r="A1427" t="s">
        <v>1248</v>
      </c>
      <c r="B1427">
        <v>358823</v>
      </c>
      <c r="C1427">
        <v>352337</v>
      </c>
      <c r="D1427">
        <v>352336</v>
      </c>
      <c r="E1427">
        <v>405</v>
      </c>
      <c r="F1427">
        <v>405</v>
      </c>
      <c r="G1427" t="s">
        <v>3138</v>
      </c>
      <c r="H1427">
        <v>0</v>
      </c>
      <c r="K1427" s="30">
        <v>45840.39166666667</v>
      </c>
      <c r="L1427" s="30">
        <v>46059.416666666664</v>
      </c>
    </row>
    <row r="1428" spans="1:12" x14ac:dyDescent="0.25">
      <c r="A1428" t="s">
        <v>1248</v>
      </c>
      <c r="B1428">
        <v>358824</v>
      </c>
      <c r="C1428">
        <v>352338</v>
      </c>
      <c r="D1428">
        <v>352337</v>
      </c>
      <c r="E1428">
        <v>405</v>
      </c>
      <c r="F1428">
        <v>405</v>
      </c>
      <c r="G1428" t="s">
        <v>3138</v>
      </c>
      <c r="H1428">
        <v>0</v>
      </c>
      <c r="K1428" s="30">
        <v>45848.35</v>
      </c>
      <c r="L1428" s="30">
        <v>46069.375</v>
      </c>
    </row>
    <row r="1429" spans="1:12" x14ac:dyDescent="0.25">
      <c r="A1429" t="s">
        <v>1248</v>
      </c>
      <c r="B1429">
        <v>358826</v>
      </c>
      <c r="C1429">
        <v>352178</v>
      </c>
      <c r="D1429">
        <v>352185</v>
      </c>
      <c r="E1429">
        <v>405</v>
      </c>
      <c r="F1429">
        <v>405</v>
      </c>
      <c r="G1429" t="s">
        <v>3138</v>
      </c>
      <c r="H1429">
        <v>0</v>
      </c>
      <c r="K1429" s="30">
        <v>45720.708333333336</v>
      </c>
      <c r="L1429" s="30">
        <v>45749.625</v>
      </c>
    </row>
    <row r="1430" spans="1:12" x14ac:dyDescent="0.25">
      <c r="A1430" t="s">
        <v>1248</v>
      </c>
      <c r="B1430">
        <v>358828</v>
      </c>
      <c r="C1430">
        <v>352164</v>
      </c>
      <c r="D1430">
        <v>352171</v>
      </c>
      <c r="E1430">
        <v>405</v>
      </c>
      <c r="F1430">
        <v>405</v>
      </c>
      <c r="G1430" t="s">
        <v>3138</v>
      </c>
      <c r="H1430">
        <v>0</v>
      </c>
      <c r="K1430" s="30">
        <v>45720.666666666664</v>
      </c>
      <c r="L1430" s="30">
        <v>45761.625</v>
      </c>
    </row>
    <row r="1431" spans="1:12" x14ac:dyDescent="0.25">
      <c r="A1431" t="s">
        <v>1248</v>
      </c>
      <c r="B1431">
        <v>358830</v>
      </c>
      <c r="C1431">
        <v>352150</v>
      </c>
      <c r="D1431">
        <v>352157</v>
      </c>
      <c r="E1431">
        <v>405</v>
      </c>
      <c r="F1431">
        <v>405</v>
      </c>
      <c r="G1431" t="s">
        <v>3138</v>
      </c>
      <c r="H1431">
        <v>0</v>
      </c>
      <c r="K1431" s="30">
        <v>45736.666666666664</v>
      </c>
      <c r="L1431" s="30">
        <v>45771.625</v>
      </c>
    </row>
    <row r="1432" spans="1:12" x14ac:dyDescent="0.25">
      <c r="A1432" t="s">
        <v>1248</v>
      </c>
      <c r="B1432">
        <v>358832</v>
      </c>
      <c r="C1432">
        <v>352185</v>
      </c>
      <c r="D1432">
        <v>119928</v>
      </c>
      <c r="E1432">
        <v>405</v>
      </c>
      <c r="F1432">
        <v>405</v>
      </c>
      <c r="G1432" t="s">
        <v>3138</v>
      </c>
      <c r="H1432">
        <v>0</v>
      </c>
      <c r="K1432" s="30">
        <v>45716.708333333336</v>
      </c>
      <c r="L1432" s="30">
        <v>45743.333333333336</v>
      </c>
    </row>
    <row r="1433" spans="1:12" x14ac:dyDescent="0.25">
      <c r="A1433" t="s">
        <v>1248</v>
      </c>
      <c r="B1433">
        <v>358834</v>
      </c>
      <c r="C1433">
        <v>352136</v>
      </c>
      <c r="D1433">
        <v>352143</v>
      </c>
      <c r="E1433">
        <v>405</v>
      </c>
      <c r="F1433">
        <v>405</v>
      </c>
      <c r="G1433" t="s">
        <v>3138</v>
      </c>
      <c r="H1433">
        <v>0</v>
      </c>
      <c r="K1433" s="30">
        <v>45742.583333333336</v>
      </c>
      <c r="L1433" s="30">
        <v>45783.625</v>
      </c>
    </row>
    <row r="1434" spans="1:12" x14ac:dyDescent="0.25">
      <c r="A1434" t="s">
        <v>1248</v>
      </c>
      <c r="B1434">
        <v>358835</v>
      </c>
      <c r="C1434">
        <v>352129</v>
      </c>
      <c r="D1434">
        <v>352136</v>
      </c>
      <c r="E1434">
        <v>405</v>
      </c>
      <c r="F1434">
        <v>405</v>
      </c>
      <c r="G1434" t="s">
        <v>3138</v>
      </c>
      <c r="H1434">
        <v>0</v>
      </c>
      <c r="K1434" s="30">
        <v>45744.5</v>
      </c>
      <c r="L1434" s="30">
        <v>45789.625</v>
      </c>
    </row>
    <row r="1435" spans="1:12" x14ac:dyDescent="0.25">
      <c r="A1435" t="s">
        <v>1248</v>
      </c>
      <c r="B1435">
        <v>358836</v>
      </c>
      <c r="C1435">
        <v>352122</v>
      </c>
      <c r="D1435">
        <v>352129</v>
      </c>
      <c r="E1435">
        <v>405</v>
      </c>
      <c r="F1435">
        <v>405</v>
      </c>
      <c r="G1435" t="s">
        <v>3138</v>
      </c>
      <c r="H1435">
        <v>0</v>
      </c>
      <c r="K1435" s="30">
        <v>45748.458333333336</v>
      </c>
      <c r="L1435" s="30">
        <v>45793.625</v>
      </c>
    </row>
    <row r="1436" spans="1:12" x14ac:dyDescent="0.25">
      <c r="A1436" t="s">
        <v>1248</v>
      </c>
      <c r="B1436">
        <v>358837</v>
      </c>
      <c r="C1436">
        <v>352115</v>
      </c>
      <c r="D1436">
        <v>352122</v>
      </c>
      <c r="E1436">
        <v>405</v>
      </c>
      <c r="F1436">
        <v>405</v>
      </c>
      <c r="G1436" t="s">
        <v>3138</v>
      </c>
      <c r="H1436">
        <v>0</v>
      </c>
      <c r="K1436" s="30">
        <v>45750.416666666664</v>
      </c>
      <c r="L1436" s="30">
        <v>45799.625</v>
      </c>
    </row>
    <row r="1437" spans="1:12" x14ac:dyDescent="0.25">
      <c r="A1437" t="s">
        <v>1248</v>
      </c>
      <c r="B1437">
        <v>358838</v>
      </c>
      <c r="C1437">
        <v>352108</v>
      </c>
      <c r="D1437">
        <v>352115</v>
      </c>
      <c r="E1437">
        <v>405</v>
      </c>
      <c r="F1437">
        <v>405</v>
      </c>
      <c r="G1437" t="s">
        <v>3138</v>
      </c>
      <c r="H1437">
        <v>0</v>
      </c>
      <c r="K1437" s="30">
        <v>45754.375</v>
      </c>
      <c r="L1437" s="30">
        <v>45805.625</v>
      </c>
    </row>
    <row r="1438" spans="1:12" x14ac:dyDescent="0.25">
      <c r="A1438" t="s">
        <v>1248</v>
      </c>
      <c r="B1438">
        <v>358840</v>
      </c>
      <c r="C1438">
        <v>352094</v>
      </c>
      <c r="D1438">
        <v>352101</v>
      </c>
      <c r="E1438">
        <v>405</v>
      </c>
      <c r="F1438">
        <v>405</v>
      </c>
      <c r="G1438" t="s">
        <v>3138</v>
      </c>
      <c r="H1438">
        <v>0</v>
      </c>
      <c r="K1438" s="30">
        <v>45765.666666666664</v>
      </c>
      <c r="L1438" s="30">
        <v>45817.625</v>
      </c>
    </row>
    <row r="1439" spans="1:12" x14ac:dyDescent="0.25">
      <c r="A1439" t="s">
        <v>1248</v>
      </c>
      <c r="B1439">
        <v>358841</v>
      </c>
      <c r="C1439">
        <v>352087</v>
      </c>
      <c r="D1439">
        <v>352094</v>
      </c>
      <c r="E1439">
        <v>405</v>
      </c>
      <c r="F1439">
        <v>405</v>
      </c>
      <c r="G1439" t="s">
        <v>3138</v>
      </c>
      <c r="H1439">
        <v>0</v>
      </c>
      <c r="K1439" s="30">
        <v>45769.625</v>
      </c>
      <c r="L1439" s="30">
        <v>45821.625</v>
      </c>
    </row>
    <row r="1440" spans="1:12" x14ac:dyDescent="0.25">
      <c r="A1440" t="s">
        <v>1248</v>
      </c>
      <c r="B1440">
        <v>358842</v>
      </c>
      <c r="C1440">
        <v>352080</v>
      </c>
      <c r="D1440">
        <v>352087</v>
      </c>
      <c r="E1440">
        <v>405</v>
      </c>
      <c r="F1440">
        <v>405</v>
      </c>
      <c r="G1440" t="s">
        <v>3138</v>
      </c>
      <c r="H1440">
        <v>0</v>
      </c>
      <c r="K1440" s="30">
        <v>45771.583333333336</v>
      </c>
      <c r="L1440" s="30">
        <v>45827.625</v>
      </c>
    </row>
    <row r="1441" spans="1:12" x14ac:dyDescent="0.25">
      <c r="A1441" t="s">
        <v>1248</v>
      </c>
      <c r="B1441">
        <v>358843</v>
      </c>
      <c r="C1441">
        <v>352073</v>
      </c>
      <c r="D1441">
        <v>352080</v>
      </c>
      <c r="E1441">
        <v>405</v>
      </c>
      <c r="F1441">
        <v>405</v>
      </c>
      <c r="G1441" t="s">
        <v>3138</v>
      </c>
      <c r="H1441">
        <v>0</v>
      </c>
      <c r="K1441" s="30">
        <v>45775.5</v>
      </c>
      <c r="L1441" s="30">
        <v>45833.625</v>
      </c>
    </row>
    <row r="1442" spans="1:12" x14ac:dyDescent="0.25">
      <c r="A1442" t="s">
        <v>1248</v>
      </c>
      <c r="B1442">
        <v>358844</v>
      </c>
      <c r="C1442">
        <v>352066</v>
      </c>
      <c r="D1442">
        <v>352073</v>
      </c>
      <c r="E1442">
        <v>405</v>
      </c>
      <c r="F1442">
        <v>405</v>
      </c>
      <c r="G1442" t="s">
        <v>3138</v>
      </c>
      <c r="H1442">
        <v>0</v>
      </c>
      <c r="K1442" s="30">
        <v>45777.458333333336</v>
      </c>
      <c r="L1442" s="30">
        <v>45846.333333333336</v>
      </c>
    </row>
    <row r="1443" spans="1:12" x14ac:dyDescent="0.25">
      <c r="A1443" t="s">
        <v>1248</v>
      </c>
      <c r="B1443">
        <v>358847</v>
      </c>
      <c r="C1443">
        <v>352052</v>
      </c>
      <c r="D1443">
        <v>352059</v>
      </c>
      <c r="E1443">
        <v>405</v>
      </c>
      <c r="F1443">
        <v>405</v>
      </c>
      <c r="G1443" t="s">
        <v>3138</v>
      </c>
      <c r="H1443">
        <v>0</v>
      </c>
      <c r="K1443" s="30">
        <v>45791.666666666664</v>
      </c>
      <c r="L1443" s="30">
        <v>45853.65</v>
      </c>
    </row>
    <row r="1444" spans="1:12" x14ac:dyDescent="0.25">
      <c r="A1444" t="s">
        <v>1248</v>
      </c>
      <c r="B1444">
        <v>358848</v>
      </c>
      <c r="C1444">
        <v>352045</v>
      </c>
      <c r="D1444">
        <v>352052</v>
      </c>
      <c r="E1444">
        <v>405</v>
      </c>
      <c r="F1444">
        <v>405</v>
      </c>
      <c r="G1444" t="s">
        <v>3138</v>
      </c>
      <c r="H1444">
        <v>0</v>
      </c>
      <c r="K1444" s="30">
        <v>45793.625</v>
      </c>
      <c r="L1444" s="30">
        <v>45855.60833333333</v>
      </c>
    </row>
    <row r="1445" spans="1:12" x14ac:dyDescent="0.25">
      <c r="A1445" t="s">
        <v>1248</v>
      </c>
      <c r="B1445">
        <v>358852</v>
      </c>
      <c r="C1445">
        <v>352346</v>
      </c>
      <c r="D1445">
        <v>352353</v>
      </c>
      <c r="E1445">
        <v>405</v>
      </c>
      <c r="F1445">
        <v>405</v>
      </c>
      <c r="G1445" t="s">
        <v>3138</v>
      </c>
      <c r="H1445">
        <v>0</v>
      </c>
      <c r="K1445" s="30">
        <v>45839.433333333334</v>
      </c>
      <c r="L1445" s="30">
        <v>46034.333333333336</v>
      </c>
    </row>
    <row r="1446" spans="1:12" x14ac:dyDescent="0.25">
      <c r="A1446" t="s">
        <v>1248</v>
      </c>
      <c r="B1446">
        <v>358853</v>
      </c>
      <c r="C1446">
        <v>352297</v>
      </c>
      <c r="D1446">
        <v>352346</v>
      </c>
      <c r="E1446">
        <v>405</v>
      </c>
      <c r="F1446">
        <v>405</v>
      </c>
      <c r="G1446" t="s">
        <v>3138</v>
      </c>
      <c r="H1446">
        <v>0</v>
      </c>
      <c r="K1446" s="30">
        <v>45841.433333333334</v>
      </c>
      <c r="L1446" s="30">
        <v>46120.691666666666</v>
      </c>
    </row>
    <row r="1447" spans="1:12" x14ac:dyDescent="0.25">
      <c r="A1447" t="s">
        <v>1248</v>
      </c>
      <c r="B1447">
        <v>358854</v>
      </c>
      <c r="C1447">
        <v>352290</v>
      </c>
      <c r="D1447">
        <v>352297</v>
      </c>
      <c r="E1447">
        <v>405</v>
      </c>
      <c r="F1447">
        <v>405</v>
      </c>
      <c r="G1447" t="s">
        <v>3138</v>
      </c>
      <c r="H1447">
        <v>0</v>
      </c>
      <c r="K1447" s="30">
        <v>45845.39166666667</v>
      </c>
      <c r="L1447" s="30">
        <v>46136.691666666666</v>
      </c>
    </row>
    <row r="1448" spans="1:12" x14ac:dyDescent="0.25">
      <c r="A1448" t="s">
        <v>1248</v>
      </c>
      <c r="B1448">
        <v>358855</v>
      </c>
      <c r="C1448">
        <v>352283</v>
      </c>
      <c r="D1448">
        <v>352290</v>
      </c>
      <c r="E1448">
        <v>405</v>
      </c>
      <c r="F1448">
        <v>405</v>
      </c>
      <c r="G1448" t="s">
        <v>3138</v>
      </c>
      <c r="H1448">
        <v>0</v>
      </c>
      <c r="K1448" s="30">
        <v>45847.35</v>
      </c>
      <c r="L1448" s="30">
        <v>46155.691666666666</v>
      </c>
    </row>
    <row r="1449" spans="1:12" x14ac:dyDescent="0.25">
      <c r="A1449" t="s">
        <v>1248</v>
      </c>
      <c r="B1449">
        <v>358856</v>
      </c>
      <c r="C1449">
        <v>352276</v>
      </c>
      <c r="D1449">
        <v>352283</v>
      </c>
      <c r="E1449">
        <v>405</v>
      </c>
      <c r="F1449">
        <v>405</v>
      </c>
      <c r="G1449" t="s">
        <v>3138</v>
      </c>
      <c r="H1449">
        <v>0</v>
      </c>
      <c r="K1449" s="30">
        <v>45848.683333333334</v>
      </c>
      <c r="L1449" s="30">
        <v>46171.691666666666</v>
      </c>
    </row>
    <row r="1450" spans="1:12" x14ac:dyDescent="0.25">
      <c r="A1450" t="s">
        <v>1248</v>
      </c>
      <c r="B1450">
        <v>358857</v>
      </c>
      <c r="C1450">
        <v>352269</v>
      </c>
      <c r="D1450">
        <v>352276</v>
      </c>
      <c r="E1450">
        <v>405</v>
      </c>
      <c r="F1450">
        <v>405</v>
      </c>
      <c r="G1450" t="s">
        <v>3138</v>
      </c>
      <c r="H1450">
        <v>0</v>
      </c>
      <c r="K1450" s="30">
        <v>45852.64166666667</v>
      </c>
      <c r="L1450" s="30">
        <v>46190.691666666666</v>
      </c>
    </row>
    <row r="1451" spans="1:12" x14ac:dyDescent="0.25">
      <c r="A1451" t="s">
        <v>1248</v>
      </c>
      <c r="B1451">
        <v>358858</v>
      </c>
      <c r="C1451">
        <v>352262</v>
      </c>
      <c r="D1451">
        <v>352269</v>
      </c>
      <c r="E1451">
        <v>405</v>
      </c>
      <c r="F1451">
        <v>405</v>
      </c>
      <c r="G1451" t="s">
        <v>3138</v>
      </c>
      <c r="H1451">
        <v>0</v>
      </c>
      <c r="K1451" s="30">
        <v>45854.6</v>
      </c>
      <c r="L1451" s="30">
        <v>46206.691666666666</v>
      </c>
    </row>
    <row r="1452" spans="1:12" x14ac:dyDescent="0.25">
      <c r="A1452" t="s">
        <v>1248</v>
      </c>
      <c r="B1452">
        <v>358862</v>
      </c>
      <c r="C1452">
        <v>352101</v>
      </c>
      <c r="D1452">
        <v>352108</v>
      </c>
      <c r="E1452">
        <v>405</v>
      </c>
      <c r="F1452">
        <v>405</v>
      </c>
      <c r="G1452" t="s">
        <v>3138</v>
      </c>
      <c r="H1452">
        <v>0</v>
      </c>
      <c r="K1452" s="30">
        <v>45755.708333333336</v>
      </c>
      <c r="L1452" s="30">
        <v>45811.625</v>
      </c>
    </row>
    <row r="1453" spans="1:12" x14ac:dyDescent="0.25">
      <c r="A1453" t="s">
        <v>1248</v>
      </c>
      <c r="B1453">
        <v>358863</v>
      </c>
      <c r="C1453">
        <v>352059</v>
      </c>
      <c r="D1453">
        <v>352066</v>
      </c>
      <c r="E1453">
        <v>405</v>
      </c>
      <c r="F1453">
        <v>405</v>
      </c>
      <c r="G1453" t="s">
        <v>3138</v>
      </c>
      <c r="H1453">
        <v>0</v>
      </c>
      <c r="K1453" s="30">
        <v>45779.458333333336</v>
      </c>
      <c r="L1453" s="30">
        <v>45849.666666666664</v>
      </c>
    </row>
    <row r="1454" spans="1:12" x14ac:dyDescent="0.25">
      <c r="A1454" t="s">
        <v>1248</v>
      </c>
      <c r="B1454">
        <v>358866</v>
      </c>
      <c r="C1454">
        <v>352360</v>
      </c>
      <c r="D1454">
        <v>352045</v>
      </c>
      <c r="E1454">
        <v>405</v>
      </c>
      <c r="F1454">
        <v>405</v>
      </c>
      <c r="G1454" t="s">
        <v>3138</v>
      </c>
      <c r="H1454">
        <v>0</v>
      </c>
      <c r="K1454" s="30">
        <v>45797.625</v>
      </c>
      <c r="L1454" s="30">
        <v>45859.60833333333</v>
      </c>
    </row>
    <row r="1455" spans="1:12" x14ac:dyDescent="0.25">
      <c r="A1455" t="s">
        <v>1248</v>
      </c>
      <c r="B1455">
        <v>358867</v>
      </c>
      <c r="C1455">
        <v>352206</v>
      </c>
      <c r="D1455">
        <v>352213</v>
      </c>
      <c r="E1455">
        <v>405</v>
      </c>
      <c r="F1455">
        <v>405</v>
      </c>
      <c r="G1455" t="s">
        <v>3138</v>
      </c>
      <c r="H1455">
        <v>0</v>
      </c>
      <c r="K1455" s="30">
        <v>45883.666666666664</v>
      </c>
      <c r="L1455" s="30">
        <v>46346.369444444441</v>
      </c>
    </row>
    <row r="1456" spans="1:12" x14ac:dyDescent="0.25">
      <c r="A1456" t="s">
        <v>1248</v>
      </c>
      <c r="B1456">
        <v>358868</v>
      </c>
      <c r="C1456">
        <v>352199</v>
      </c>
      <c r="D1456">
        <v>352206</v>
      </c>
      <c r="E1456">
        <v>405</v>
      </c>
      <c r="F1456">
        <v>405</v>
      </c>
      <c r="G1456" t="s">
        <v>3138</v>
      </c>
      <c r="H1456">
        <v>0</v>
      </c>
      <c r="K1456" s="30">
        <v>45888.666666666664</v>
      </c>
      <c r="L1456" s="30">
        <v>46365.369444444441</v>
      </c>
    </row>
    <row r="1457" spans="1:12" x14ac:dyDescent="0.25">
      <c r="A1457" t="s">
        <v>1248</v>
      </c>
      <c r="B1457">
        <v>358869</v>
      </c>
      <c r="C1457">
        <v>352192</v>
      </c>
      <c r="D1457">
        <v>352199</v>
      </c>
      <c r="E1457">
        <v>405</v>
      </c>
      <c r="F1457">
        <v>405</v>
      </c>
      <c r="G1457" t="s">
        <v>3138</v>
      </c>
      <c r="H1457">
        <v>0</v>
      </c>
      <c r="K1457" s="30">
        <v>45891.666666666664</v>
      </c>
      <c r="L1457" s="30">
        <v>46384.369444444441</v>
      </c>
    </row>
    <row r="1458" spans="1:12" x14ac:dyDescent="0.25">
      <c r="A1458" t="s">
        <v>1248</v>
      </c>
      <c r="B1458">
        <v>358870</v>
      </c>
      <c r="C1458">
        <v>352339</v>
      </c>
      <c r="D1458">
        <v>352045</v>
      </c>
      <c r="E1458">
        <v>405</v>
      </c>
      <c r="F1458">
        <v>405</v>
      </c>
      <c r="G1458" t="s">
        <v>3138</v>
      </c>
      <c r="H1458">
        <v>0</v>
      </c>
      <c r="K1458" s="30">
        <v>45797.625</v>
      </c>
      <c r="L1458" s="30">
        <v>46016.65</v>
      </c>
    </row>
    <row r="1459" spans="1:12" x14ac:dyDescent="0.25">
      <c r="A1459" t="s">
        <v>1248</v>
      </c>
      <c r="B1459">
        <v>358871</v>
      </c>
      <c r="C1459">
        <v>352332</v>
      </c>
      <c r="D1459">
        <v>352339</v>
      </c>
      <c r="E1459">
        <v>405</v>
      </c>
      <c r="F1459">
        <v>405</v>
      </c>
      <c r="G1459" t="s">
        <v>3138</v>
      </c>
      <c r="H1459">
        <v>0</v>
      </c>
      <c r="K1459" s="30">
        <v>45814.666666666664</v>
      </c>
      <c r="L1459" s="30">
        <v>46035.691666666666</v>
      </c>
    </row>
    <row r="1460" spans="1:12" x14ac:dyDescent="0.25">
      <c r="A1460" t="s">
        <v>1248</v>
      </c>
      <c r="B1460">
        <v>358872</v>
      </c>
      <c r="C1460">
        <v>352325</v>
      </c>
      <c r="D1460">
        <v>352332</v>
      </c>
      <c r="E1460">
        <v>405</v>
      </c>
      <c r="F1460">
        <v>405</v>
      </c>
      <c r="G1460" t="s">
        <v>3138</v>
      </c>
      <c r="H1460">
        <v>0</v>
      </c>
      <c r="K1460" s="30">
        <v>45818.625</v>
      </c>
      <c r="L1460" s="30">
        <v>46051.691666666666</v>
      </c>
    </row>
    <row r="1461" spans="1:12" x14ac:dyDescent="0.25">
      <c r="A1461" t="s">
        <v>1248</v>
      </c>
      <c r="B1461">
        <v>358873</v>
      </c>
      <c r="C1461">
        <v>352318</v>
      </c>
      <c r="D1461">
        <v>352325</v>
      </c>
      <c r="E1461">
        <v>405</v>
      </c>
      <c r="F1461">
        <v>405</v>
      </c>
      <c r="G1461" t="s">
        <v>3138</v>
      </c>
      <c r="H1461">
        <v>0</v>
      </c>
      <c r="K1461" s="30">
        <v>45820.583333333336</v>
      </c>
      <c r="L1461" s="30">
        <v>46069.691666666666</v>
      </c>
    </row>
    <row r="1462" spans="1:12" x14ac:dyDescent="0.25">
      <c r="A1462" t="s">
        <v>1248</v>
      </c>
      <c r="B1462">
        <v>358874</v>
      </c>
      <c r="C1462">
        <v>352311</v>
      </c>
      <c r="D1462">
        <v>352318</v>
      </c>
      <c r="E1462">
        <v>405</v>
      </c>
      <c r="F1462">
        <v>405</v>
      </c>
      <c r="G1462" t="s">
        <v>3138</v>
      </c>
      <c r="H1462">
        <v>0</v>
      </c>
      <c r="K1462" s="30">
        <v>45824.5</v>
      </c>
      <c r="L1462" s="30">
        <v>46085.691666666666</v>
      </c>
    </row>
    <row r="1463" spans="1:12" x14ac:dyDescent="0.25">
      <c r="A1463" t="s">
        <v>1248</v>
      </c>
      <c r="B1463">
        <v>358875</v>
      </c>
      <c r="C1463">
        <v>352304</v>
      </c>
      <c r="D1463">
        <v>352311</v>
      </c>
      <c r="E1463">
        <v>405</v>
      </c>
      <c r="F1463">
        <v>405</v>
      </c>
      <c r="G1463" t="s">
        <v>3138</v>
      </c>
      <c r="H1463">
        <v>0</v>
      </c>
      <c r="K1463" s="30">
        <v>45826.458333333336</v>
      </c>
      <c r="L1463" s="30">
        <v>46101.691666666666</v>
      </c>
    </row>
    <row r="1464" spans="1:12" x14ac:dyDescent="0.25">
      <c r="A1464" t="s">
        <v>1248</v>
      </c>
      <c r="B1464">
        <v>358878</v>
      </c>
      <c r="C1464">
        <v>352248</v>
      </c>
      <c r="D1464">
        <v>352255</v>
      </c>
      <c r="E1464">
        <v>405</v>
      </c>
      <c r="F1464">
        <v>405</v>
      </c>
      <c r="G1464" t="s">
        <v>3138</v>
      </c>
      <c r="H1464">
        <v>0</v>
      </c>
      <c r="K1464" s="30">
        <v>45867.666666666664</v>
      </c>
      <c r="L1464" s="30">
        <v>46240.691666666666</v>
      </c>
    </row>
    <row r="1465" spans="1:12" x14ac:dyDescent="0.25">
      <c r="A1465" t="s">
        <v>1248</v>
      </c>
      <c r="B1465">
        <v>358879</v>
      </c>
      <c r="C1465">
        <v>352241</v>
      </c>
      <c r="D1465">
        <v>352248</v>
      </c>
      <c r="E1465">
        <v>405</v>
      </c>
      <c r="F1465">
        <v>405</v>
      </c>
      <c r="G1465" t="s">
        <v>3138</v>
      </c>
      <c r="H1465">
        <v>0</v>
      </c>
      <c r="K1465" s="30">
        <v>45869.625</v>
      </c>
      <c r="L1465" s="30">
        <v>46258.691666666666</v>
      </c>
    </row>
    <row r="1466" spans="1:12" x14ac:dyDescent="0.25">
      <c r="A1466" t="s">
        <v>1248</v>
      </c>
      <c r="B1466">
        <v>358880</v>
      </c>
      <c r="C1466">
        <v>352234</v>
      </c>
      <c r="D1466">
        <v>352241</v>
      </c>
      <c r="E1466">
        <v>405</v>
      </c>
      <c r="F1466">
        <v>405</v>
      </c>
      <c r="G1466" t="s">
        <v>3138</v>
      </c>
      <c r="H1466">
        <v>0</v>
      </c>
      <c r="K1466" s="30">
        <v>45873.583333333336</v>
      </c>
      <c r="L1466" s="30">
        <v>46280.369444444441</v>
      </c>
    </row>
    <row r="1467" spans="1:12" x14ac:dyDescent="0.25">
      <c r="A1467" t="s">
        <v>1248</v>
      </c>
      <c r="B1467">
        <v>358881</v>
      </c>
      <c r="C1467">
        <v>352227</v>
      </c>
      <c r="D1467">
        <v>352234</v>
      </c>
      <c r="E1467">
        <v>405</v>
      </c>
      <c r="F1467">
        <v>405</v>
      </c>
      <c r="G1467" t="s">
        <v>3138</v>
      </c>
      <c r="H1467">
        <v>0</v>
      </c>
      <c r="K1467" s="30">
        <v>45875.5</v>
      </c>
      <c r="L1467" s="30">
        <v>46296.369444444441</v>
      </c>
    </row>
    <row r="1468" spans="1:12" x14ac:dyDescent="0.25">
      <c r="A1468" t="s">
        <v>1248</v>
      </c>
      <c r="B1468">
        <v>358882</v>
      </c>
      <c r="C1468">
        <v>352220</v>
      </c>
      <c r="D1468">
        <v>352227</v>
      </c>
      <c r="E1468">
        <v>405</v>
      </c>
      <c r="F1468">
        <v>405</v>
      </c>
      <c r="G1468" t="s">
        <v>3138</v>
      </c>
      <c r="H1468">
        <v>0</v>
      </c>
      <c r="K1468" s="30">
        <v>45877.458333333336</v>
      </c>
      <c r="L1468" s="30">
        <v>46314.369444444441</v>
      </c>
    </row>
    <row r="1469" spans="1:12" x14ac:dyDescent="0.25">
      <c r="A1469" t="s">
        <v>1248</v>
      </c>
      <c r="B1469">
        <v>358883</v>
      </c>
      <c r="C1469">
        <v>119967</v>
      </c>
      <c r="D1469">
        <v>352190</v>
      </c>
      <c r="E1469">
        <v>405</v>
      </c>
      <c r="F1469">
        <v>405</v>
      </c>
      <c r="G1469" t="s">
        <v>3138</v>
      </c>
      <c r="H1469">
        <v>0</v>
      </c>
      <c r="K1469" s="30">
        <v>45742.708333333336</v>
      </c>
      <c r="L1469" s="30">
        <v>45769.333333333336</v>
      </c>
    </row>
    <row r="1470" spans="1:12" x14ac:dyDescent="0.25">
      <c r="A1470" t="s">
        <v>1248</v>
      </c>
      <c r="B1470">
        <v>358884</v>
      </c>
      <c r="C1470">
        <v>119968</v>
      </c>
      <c r="D1470">
        <v>352183</v>
      </c>
      <c r="E1470">
        <v>405</v>
      </c>
      <c r="F1470">
        <v>405</v>
      </c>
      <c r="G1470" t="s">
        <v>3138</v>
      </c>
      <c r="H1470">
        <v>0</v>
      </c>
      <c r="K1470" s="30">
        <v>45747.458333333336</v>
      </c>
      <c r="L1470" s="30">
        <v>45775.333333333336</v>
      </c>
    </row>
    <row r="1471" spans="1:12" x14ac:dyDescent="0.25">
      <c r="A1471" t="s">
        <v>1248</v>
      </c>
      <c r="B1471">
        <v>358885</v>
      </c>
      <c r="C1471">
        <v>119969</v>
      </c>
      <c r="D1471">
        <v>352176</v>
      </c>
      <c r="E1471">
        <v>405</v>
      </c>
      <c r="F1471">
        <v>405</v>
      </c>
      <c r="G1471" t="s">
        <v>3138</v>
      </c>
      <c r="H1471">
        <v>0</v>
      </c>
      <c r="K1471" s="30">
        <v>45742.416666666664</v>
      </c>
      <c r="L1471" s="30">
        <v>45779.333333333336</v>
      </c>
    </row>
    <row r="1472" spans="1:12" x14ac:dyDescent="0.25">
      <c r="A1472" t="s">
        <v>1248</v>
      </c>
      <c r="B1472">
        <v>358886</v>
      </c>
      <c r="C1472">
        <v>119970</v>
      </c>
      <c r="D1472">
        <v>352169</v>
      </c>
      <c r="E1472">
        <v>405</v>
      </c>
      <c r="F1472">
        <v>405</v>
      </c>
      <c r="G1472" t="s">
        <v>3138</v>
      </c>
      <c r="H1472">
        <v>0</v>
      </c>
      <c r="K1472" s="30">
        <v>45747.375</v>
      </c>
      <c r="L1472" s="30">
        <v>45785.333333333336</v>
      </c>
    </row>
    <row r="1473" spans="1:12" x14ac:dyDescent="0.25">
      <c r="A1473" t="s">
        <v>1248</v>
      </c>
      <c r="B1473">
        <v>358887</v>
      </c>
      <c r="C1473">
        <v>119971</v>
      </c>
      <c r="D1473">
        <v>352162</v>
      </c>
      <c r="E1473">
        <v>405</v>
      </c>
      <c r="F1473">
        <v>405</v>
      </c>
      <c r="G1473" t="s">
        <v>3138</v>
      </c>
      <c r="H1473">
        <v>0</v>
      </c>
      <c r="K1473" s="30">
        <v>45758.416666666664</v>
      </c>
      <c r="L1473" s="30">
        <v>45791.333333333336</v>
      </c>
    </row>
    <row r="1474" spans="1:12" x14ac:dyDescent="0.25">
      <c r="A1474" t="s">
        <v>1248</v>
      </c>
      <c r="B1474">
        <v>358888</v>
      </c>
      <c r="C1474">
        <v>119972</v>
      </c>
      <c r="D1474">
        <v>352155</v>
      </c>
      <c r="E1474">
        <v>405</v>
      </c>
      <c r="F1474">
        <v>405</v>
      </c>
      <c r="G1474" t="s">
        <v>3138</v>
      </c>
      <c r="H1474">
        <v>0</v>
      </c>
      <c r="K1474" s="30">
        <v>45762.375</v>
      </c>
      <c r="L1474" s="30">
        <v>45797.333333333336</v>
      </c>
    </row>
    <row r="1475" spans="1:12" x14ac:dyDescent="0.25">
      <c r="A1475" t="s">
        <v>1248</v>
      </c>
      <c r="B1475">
        <v>358889</v>
      </c>
      <c r="C1475">
        <v>119973</v>
      </c>
      <c r="D1475">
        <v>352148</v>
      </c>
      <c r="E1475">
        <v>405</v>
      </c>
      <c r="F1475">
        <v>405</v>
      </c>
      <c r="G1475" t="s">
        <v>3138</v>
      </c>
      <c r="H1475">
        <v>0</v>
      </c>
      <c r="K1475" s="30">
        <v>45763.708333333336</v>
      </c>
      <c r="L1475" s="30">
        <v>45803.333333333336</v>
      </c>
    </row>
    <row r="1476" spans="1:12" x14ac:dyDescent="0.25">
      <c r="A1476" t="s">
        <v>1248</v>
      </c>
      <c r="B1476">
        <v>358890</v>
      </c>
      <c r="C1476">
        <v>119974</v>
      </c>
      <c r="D1476">
        <v>352141</v>
      </c>
      <c r="E1476">
        <v>405</v>
      </c>
      <c r="F1476">
        <v>405</v>
      </c>
      <c r="G1476" t="s">
        <v>3138</v>
      </c>
      <c r="H1476">
        <v>0</v>
      </c>
      <c r="K1476" s="30">
        <v>45765.666666666664</v>
      </c>
      <c r="L1476" s="30">
        <v>45807.333333333336</v>
      </c>
    </row>
    <row r="1477" spans="1:12" x14ac:dyDescent="0.25">
      <c r="A1477" t="s">
        <v>1248</v>
      </c>
      <c r="B1477">
        <v>358891</v>
      </c>
      <c r="C1477">
        <v>119975</v>
      </c>
      <c r="D1477">
        <v>352134</v>
      </c>
      <c r="E1477">
        <v>405</v>
      </c>
      <c r="F1477">
        <v>405</v>
      </c>
      <c r="G1477" t="s">
        <v>3138</v>
      </c>
      <c r="H1477">
        <v>0</v>
      </c>
      <c r="K1477" s="30">
        <v>45769.625</v>
      </c>
      <c r="L1477" s="30">
        <v>45813.333333333336</v>
      </c>
    </row>
    <row r="1478" spans="1:12" x14ac:dyDescent="0.25">
      <c r="A1478" t="s">
        <v>1248</v>
      </c>
      <c r="B1478">
        <v>358892</v>
      </c>
      <c r="C1478">
        <v>119976</v>
      </c>
      <c r="D1478">
        <v>352127</v>
      </c>
      <c r="E1478">
        <v>405</v>
      </c>
      <c r="F1478">
        <v>405</v>
      </c>
      <c r="G1478" t="s">
        <v>3138</v>
      </c>
      <c r="H1478">
        <v>0</v>
      </c>
      <c r="K1478" s="30">
        <v>45771.583333333336</v>
      </c>
      <c r="L1478" s="30">
        <v>45819.333333333336</v>
      </c>
    </row>
    <row r="1479" spans="1:12" x14ac:dyDescent="0.25">
      <c r="A1479" t="s">
        <v>1248</v>
      </c>
      <c r="B1479">
        <v>358893</v>
      </c>
      <c r="C1479">
        <v>119977</v>
      </c>
      <c r="D1479">
        <v>352120</v>
      </c>
      <c r="E1479">
        <v>405</v>
      </c>
      <c r="F1479">
        <v>405</v>
      </c>
      <c r="G1479" t="s">
        <v>3138</v>
      </c>
      <c r="H1479">
        <v>0</v>
      </c>
      <c r="K1479" s="30">
        <v>45775.5</v>
      </c>
      <c r="L1479" s="30">
        <v>45825.333333333336</v>
      </c>
    </row>
    <row r="1480" spans="1:12" x14ac:dyDescent="0.25">
      <c r="A1480" t="s">
        <v>1248</v>
      </c>
      <c r="B1480">
        <v>358894</v>
      </c>
      <c r="C1480">
        <v>119978</v>
      </c>
      <c r="D1480">
        <v>352113</v>
      </c>
      <c r="E1480">
        <v>405</v>
      </c>
      <c r="F1480">
        <v>405</v>
      </c>
      <c r="G1480" t="s">
        <v>3138</v>
      </c>
      <c r="H1480">
        <v>0</v>
      </c>
      <c r="K1480" s="30">
        <v>45777.458333333336</v>
      </c>
      <c r="L1480" s="30">
        <v>45831.333333333336</v>
      </c>
    </row>
    <row r="1481" spans="1:12" x14ac:dyDescent="0.25">
      <c r="A1481" t="s">
        <v>1248</v>
      </c>
      <c r="B1481">
        <v>358895</v>
      </c>
      <c r="C1481">
        <v>119979</v>
      </c>
      <c r="D1481">
        <v>352106</v>
      </c>
      <c r="E1481">
        <v>405</v>
      </c>
      <c r="F1481">
        <v>405</v>
      </c>
      <c r="G1481" t="s">
        <v>3138</v>
      </c>
      <c r="H1481">
        <v>0</v>
      </c>
      <c r="K1481" s="30">
        <v>45789.416666666664</v>
      </c>
      <c r="L1481" s="30">
        <v>45835.333333333336</v>
      </c>
    </row>
    <row r="1482" spans="1:12" x14ac:dyDescent="0.25">
      <c r="A1482" t="s">
        <v>1248</v>
      </c>
      <c r="B1482">
        <v>358896</v>
      </c>
      <c r="C1482">
        <v>119980</v>
      </c>
      <c r="D1482">
        <v>352099</v>
      </c>
      <c r="E1482">
        <v>405</v>
      </c>
      <c r="F1482">
        <v>405</v>
      </c>
      <c r="G1482" t="s">
        <v>3138</v>
      </c>
      <c r="H1482">
        <v>0</v>
      </c>
      <c r="K1482" s="30">
        <v>45791.375</v>
      </c>
      <c r="L1482" s="30">
        <v>45841.333333333336</v>
      </c>
    </row>
    <row r="1483" spans="1:12" x14ac:dyDescent="0.25">
      <c r="A1483" t="s">
        <v>1248</v>
      </c>
      <c r="B1483">
        <v>358897</v>
      </c>
      <c r="C1483">
        <v>119981</v>
      </c>
      <c r="D1483">
        <v>352092</v>
      </c>
      <c r="E1483">
        <v>405</v>
      </c>
      <c r="F1483">
        <v>405</v>
      </c>
      <c r="G1483" t="s">
        <v>3138</v>
      </c>
      <c r="H1483">
        <v>0</v>
      </c>
      <c r="K1483" s="30">
        <v>45792.708333333336</v>
      </c>
      <c r="L1483" s="30">
        <v>45847.333333333336</v>
      </c>
    </row>
    <row r="1484" spans="1:12" x14ac:dyDescent="0.25">
      <c r="A1484" t="s">
        <v>1248</v>
      </c>
      <c r="B1484">
        <v>358898</v>
      </c>
      <c r="C1484">
        <v>119982</v>
      </c>
      <c r="D1484">
        <v>352085</v>
      </c>
      <c r="E1484">
        <v>405</v>
      </c>
      <c r="F1484">
        <v>405</v>
      </c>
      <c r="G1484" t="s">
        <v>3138</v>
      </c>
      <c r="H1484">
        <v>0</v>
      </c>
      <c r="K1484" s="30">
        <v>45796.666666666664</v>
      </c>
      <c r="L1484" s="30">
        <v>45853.333333333336</v>
      </c>
    </row>
    <row r="1485" spans="1:12" x14ac:dyDescent="0.25">
      <c r="A1485" t="s">
        <v>1248</v>
      </c>
      <c r="B1485">
        <v>358899</v>
      </c>
      <c r="C1485">
        <v>119983</v>
      </c>
      <c r="D1485">
        <v>352078</v>
      </c>
      <c r="E1485">
        <v>405</v>
      </c>
      <c r="F1485">
        <v>405</v>
      </c>
      <c r="G1485" t="s">
        <v>3138</v>
      </c>
      <c r="H1485">
        <v>0</v>
      </c>
      <c r="K1485" s="30">
        <v>45798.625</v>
      </c>
      <c r="L1485" s="30">
        <v>45859.333333333336</v>
      </c>
    </row>
    <row r="1486" spans="1:12" x14ac:dyDescent="0.25">
      <c r="A1486" t="s">
        <v>1248</v>
      </c>
      <c r="B1486">
        <v>358900</v>
      </c>
      <c r="C1486">
        <v>119984</v>
      </c>
      <c r="D1486">
        <v>352071</v>
      </c>
      <c r="E1486">
        <v>405</v>
      </c>
      <c r="F1486">
        <v>405</v>
      </c>
      <c r="G1486" t="s">
        <v>3138</v>
      </c>
      <c r="H1486">
        <v>0</v>
      </c>
      <c r="K1486" s="30">
        <v>45803.458333333336</v>
      </c>
      <c r="L1486" s="30">
        <v>45870.333333333336</v>
      </c>
    </row>
    <row r="1487" spans="1:12" x14ac:dyDescent="0.25">
      <c r="A1487" t="s">
        <v>1248</v>
      </c>
      <c r="B1487">
        <v>358930</v>
      </c>
      <c r="C1487">
        <v>352341</v>
      </c>
      <c r="D1487">
        <v>352340</v>
      </c>
      <c r="E1487">
        <v>405</v>
      </c>
      <c r="F1487">
        <v>405</v>
      </c>
      <c r="G1487" t="s">
        <v>3138</v>
      </c>
      <c r="H1487">
        <v>0</v>
      </c>
      <c r="K1487" s="30">
        <v>45824.463888888888</v>
      </c>
      <c r="L1487" s="30">
        <v>46029.405555555553</v>
      </c>
    </row>
    <row r="1488" spans="1:12" x14ac:dyDescent="0.25">
      <c r="A1488" t="s">
        <v>1248</v>
      </c>
      <c r="B1488">
        <v>358931</v>
      </c>
      <c r="C1488">
        <v>352342</v>
      </c>
      <c r="D1488">
        <v>352341</v>
      </c>
      <c r="E1488">
        <v>405</v>
      </c>
      <c r="F1488">
        <v>405</v>
      </c>
      <c r="G1488" t="s">
        <v>3138</v>
      </c>
      <c r="H1488">
        <v>0</v>
      </c>
      <c r="K1488" s="30">
        <v>45825.422222222223</v>
      </c>
      <c r="L1488" s="30">
        <v>46030.363888888889</v>
      </c>
    </row>
    <row r="1489" spans="1:12" x14ac:dyDescent="0.25">
      <c r="A1489" t="s">
        <v>1248</v>
      </c>
      <c r="B1489">
        <v>358932</v>
      </c>
      <c r="C1489">
        <v>352343</v>
      </c>
      <c r="D1489">
        <v>352342</v>
      </c>
      <c r="E1489">
        <v>405</v>
      </c>
      <c r="F1489">
        <v>405</v>
      </c>
      <c r="G1489" t="s">
        <v>3138</v>
      </c>
      <c r="H1489">
        <v>0</v>
      </c>
      <c r="K1489" s="30">
        <v>45832.433333333334</v>
      </c>
      <c r="L1489" s="30">
        <v>46037.375</v>
      </c>
    </row>
    <row r="1490" spans="1:12" x14ac:dyDescent="0.25">
      <c r="A1490" t="s">
        <v>1248</v>
      </c>
      <c r="B1490">
        <v>358933</v>
      </c>
      <c r="C1490">
        <v>352344</v>
      </c>
      <c r="D1490">
        <v>352343</v>
      </c>
      <c r="E1490">
        <v>405</v>
      </c>
      <c r="F1490">
        <v>405</v>
      </c>
      <c r="G1490" t="s">
        <v>3138</v>
      </c>
      <c r="H1490">
        <v>0</v>
      </c>
      <c r="K1490" s="30">
        <v>45838.433333333334</v>
      </c>
      <c r="L1490" s="30">
        <v>46043.375</v>
      </c>
    </row>
    <row r="1491" spans="1:12" x14ac:dyDescent="0.25">
      <c r="A1491" t="s">
        <v>1248</v>
      </c>
      <c r="B1491">
        <v>358934</v>
      </c>
      <c r="C1491">
        <v>352345</v>
      </c>
      <c r="D1491">
        <v>352344</v>
      </c>
      <c r="E1491">
        <v>405</v>
      </c>
      <c r="F1491">
        <v>405</v>
      </c>
      <c r="G1491" t="s">
        <v>3138</v>
      </c>
      <c r="H1491">
        <v>0</v>
      </c>
      <c r="K1491" s="30">
        <v>45846.433333333334</v>
      </c>
      <c r="L1491" s="30">
        <v>46051.375</v>
      </c>
    </row>
    <row r="1492" spans="1:12" x14ac:dyDescent="0.25">
      <c r="A1492" t="s">
        <v>1248</v>
      </c>
      <c r="B1492">
        <v>358935</v>
      </c>
      <c r="C1492">
        <v>352340</v>
      </c>
      <c r="D1492">
        <v>352339</v>
      </c>
      <c r="E1492">
        <v>405</v>
      </c>
      <c r="F1492">
        <v>405</v>
      </c>
      <c r="G1492" t="s">
        <v>3138</v>
      </c>
      <c r="H1492">
        <v>0</v>
      </c>
      <c r="K1492" s="30">
        <v>45814.666666666664</v>
      </c>
      <c r="L1492" s="30">
        <v>46017.60833333333</v>
      </c>
    </row>
    <row r="1493" spans="1:12" x14ac:dyDescent="0.25">
      <c r="A1493" t="s">
        <v>1248</v>
      </c>
      <c r="B1493">
        <v>358936</v>
      </c>
      <c r="C1493">
        <v>352355</v>
      </c>
      <c r="D1493">
        <v>352354</v>
      </c>
      <c r="E1493">
        <v>405</v>
      </c>
      <c r="F1493">
        <v>405</v>
      </c>
      <c r="G1493" t="s">
        <v>3138</v>
      </c>
      <c r="H1493">
        <v>0</v>
      </c>
      <c r="K1493" s="30">
        <v>45813.463888888888</v>
      </c>
      <c r="L1493" s="30">
        <v>46002.363888888889</v>
      </c>
    </row>
    <row r="1494" spans="1:12" x14ac:dyDescent="0.25">
      <c r="A1494" t="s">
        <v>1248</v>
      </c>
      <c r="B1494">
        <v>358937</v>
      </c>
      <c r="C1494">
        <v>352356</v>
      </c>
      <c r="D1494">
        <v>352355</v>
      </c>
      <c r="E1494">
        <v>405</v>
      </c>
      <c r="F1494">
        <v>405</v>
      </c>
      <c r="G1494" t="s">
        <v>3138</v>
      </c>
      <c r="H1494">
        <v>0</v>
      </c>
      <c r="K1494" s="30">
        <v>45814.422222222223</v>
      </c>
      <c r="L1494" s="30">
        <v>46002.697222222225</v>
      </c>
    </row>
    <row r="1495" spans="1:12" x14ac:dyDescent="0.25">
      <c r="A1495" t="s">
        <v>1248</v>
      </c>
      <c r="B1495">
        <v>358938</v>
      </c>
      <c r="C1495">
        <v>352357</v>
      </c>
      <c r="D1495">
        <v>352356</v>
      </c>
      <c r="E1495">
        <v>405</v>
      </c>
      <c r="F1495">
        <v>405</v>
      </c>
      <c r="G1495" t="s">
        <v>3138</v>
      </c>
      <c r="H1495">
        <v>0</v>
      </c>
      <c r="K1495" s="30">
        <v>45821.433333333334</v>
      </c>
      <c r="L1495" s="30">
        <v>46010.333333333336</v>
      </c>
    </row>
    <row r="1496" spans="1:12" x14ac:dyDescent="0.25">
      <c r="A1496" t="s">
        <v>1248</v>
      </c>
      <c r="B1496">
        <v>358939</v>
      </c>
      <c r="C1496">
        <v>352358</v>
      </c>
      <c r="D1496">
        <v>352357</v>
      </c>
      <c r="E1496">
        <v>405</v>
      </c>
      <c r="F1496">
        <v>405</v>
      </c>
      <c r="G1496" t="s">
        <v>3138</v>
      </c>
      <c r="H1496">
        <v>0</v>
      </c>
      <c r="K1496" s="30">
        <v>45827.433333333334</v>
      </c>
      <c r="L1496" s="30">
        <v>46016.333333333336</v>
      </c>
    </row>
    <row r="1497" spans="1:12" x14ac:dyDescent="0.25">
      <c r="A1497" t="s">
        <v>1248</v>
      </c>
      <c r="B1497">
        <v>358942</v>
      </c>
      <c r="C1497">
        <v>352362</v>
      </c>
      <c r="D1497">
        <v>352361</v>
      </c>
      <c r="E1497">
        <v>405</v>
      </c>
      <c r="F1497">
        <v>405</v>
      </c>
      <c r="G1497" t="s">
        <v>3138</v>
      </c>
      <c r="H1497">
        <v>0</v>
      </c>
      <c r="K1497" s="30">
        <v>45812.547222222223</v>
      </c>
      <c r="L1497" s="30">
        <v>45869.405555555553</v>
      </c>
    </row>
    <row r="1498" spans="1:12" x14ac:dyDescent="0.25">
      <c r="A1498" t="s">
        <v>1248</v>
      </c>
      <c r="B1498">
        <v>358943</v>
      </c>
      <c r="C1498">
        <v>352363</v>
      </c>
      <c r="D1498">
        <v>352362</v>
      </c>
      <c r="E1498">
        <v>405</v>
      </c>
      <c r="F1498">
        <v>405</v>
      </c>
      <c r="G1498" t="s">
        <v>3138</v>
      </c>
      <c r="H1498">
        <v>0</v>
      </c>
      <c r="K1498" s="30">
        <v>45813.463888888888</v>
      </c>
      <c r="L1498" s="30">
        <v>45870.363888888889</v>
      </c>
    </row>
    <row r="1499" spans="1:12" x14ac:dyDescent="0.25">
      <c r="A1499" t="s">
        <v>1248</v>
      </c>
      <c r="B1499">
        <v>358944</v>
      </c>
      <c r="C1499">
        <v>352364</v>
      </c>
      <c r="D1499">
        <v>352363</v>
      </c>
      <c r="E1499">
        <v>405</v>
      </c>
      <c r="F1499">
        <v>405</v>
      </c>
      <c r="G1499" t="s">
        <v>3138</v>
      </c>
      <c r="H1499">
        <v>0</v>
      </c>
      <c r="K1499" s="30">
        <v>45820.474999999999</v>
      </c>
      <c r="L1499" s="30">
        <v>45877.375</v>
      </c>
    </row>
    <row r="1500" spans="1:12" x14ac:dyDescent="0.25">
      <c r="A1500" t="s">
        <v>1248</v>
      </c>
      <c r="B1500">
        <v>358945</v>
      </c>
      <c r="C1500">
        <v>352365</v>
      </c>
      <c r="D1500">
        <v>352364</v>
      </c>
      <c r="E1500">
        <v>405</v>
      </c>
      <c r="F1500">
        <v>405</v>
      </c>
      <c r="G1500" t="s">
        <v>3138</v>
      </c>
      <c r="H1500">
        <v>0</v>
      </c>
      <c r="K1500" s="30">
        <v>45826.474999999999</v>
      </c>
      <c r="L1500" s="30">
        <v>45883.375</v>
      </c>
    </row>
    <row r="1501" spans="1:12" x14ac:dyDescent="0.25">
      <c r="A1501" t="s">
        <v>1248</v>
      </c>
      <c r="B1501">
        <v>358946</v>
      </c>
      <c r="C1501">
        <v>352366</v>
      </c>
      <c r="D1501">
        <v>352365</v>
      </c>
      <c r="E1501">
        <v>405</v>
      </c>
      <c r="F1501">
        <v>405</v>
      </c>
      <c r="G1501" t="s">
        <v>3138</v>
      </c>
      <c r="H1501">
        <v>0</v>
      </c>
      <c r="K1501" s="30">
        <v>45834.474999999999</v>
      </c>
      <c r="L1501" s="30">
        <v>45891.375</v>
      </c>
    </row>
    <row r="1502" spans="1:12" x14ac:dyDescent="0.25">
      <c r="A1502" t="s">
        <v>1248</v>
      </c>
      <c r="B1502">
        <v>358947</v>
      </c>
      <c r="C1502">
        <v>352361</v>
      </c>
      <c r="D1502">
        <v>352360</v>
      </c>
      <c r="E1502">
        <v>405</v>
      </c>
      <c r="F1502">
        <v>405</v>
      </c>
      <c r="G1502" t="s">
        <v>3138</v>
      </c>
      <c r="H1502">
        <v>0</v>
      </c>
      <c r="K1502" s="30">
        <v>45804.708333333336</v>
      </c>
      <c r="L1502" s="30">
        <v>45861.60833333333</v>
      </c>
    </row>
    <row r="1503" spans="1:12" x14ac:dyDescent="0.25">
      <c r="A1503" t="s">
        <v>1248</v>
      </c>
      <c r="B1503">
        <v>364868</v>
      </c>
      <c r="C1503">
        <v>352348</v>
      </c>
      <c r="D1503">
        <v>352347</v>
      </c>
      <c r="E1503">
        <v>405</v>
      </c>
      <c r="F1503">
        <v>405</v>
      </c>
      <c r="G1503" t="s">
        <v>3138</v>
      </c>
      <c r="H1503">
        <v>0</v>
      </c>
      <c r="K1503" s="30">
        <v>45814.422222222223</v>
      </c>
      <c r="L1503" s="30">
        <v>46008.363888888889</v>
      </c>
    </row>
    <row r="1504" spans="1:12" x14ac:dyDescent="0.25">
      <c r="A1504" t="s">
        <v>1248</v>
      </c>
      <c r="B1504">
        <v>364869</v>
      </c>
      <c r="C1504">
        <v>352349</v>
      </c>
      <c r="D1504">
        <v>352348</v>
      </c>
      <c r="E1504">
        <v>405</v>
      </c>
      <c r="F1504">
        <v>405</v>
      </c>
      <c r="G1504" t="s">
        <v>3138</v>
      </c>
      <c r="H1504">
        <v>0</v>
      </c>
      <c r="K1504" s="30">
        <v>45817.380555555559</v>
      </c>
      <c r="L1504" s="30">
        <v>46008.697222222225</v>
      </c>
    </row>
    <row r="1505" spans="1:12" x14ac:dyDescent="0.25">
      <c r="A1505" t="s">
        <v>1248</v>
      </c>
      <c r="B1505">
        <v>364870</v>
      </c>
      <c r="C1505">
        <v>352350</v>
      </c>
      <c r="D1505">
        <v>352349</v>
      </c>
      <c r="E1505">
        <v>405</v>
      </c>
      <c r="F1505">
        <v>405</v>
      </c>
      <c r="G1505" t="s">
        <v>3138</v>
      </c>
      <c r="H1505">
        <v>0</v>
      </c>
      <c r="K1505" s="30">
        <v>45824.39166666667</v>
      </c>
      <c r="L1505" s="30">
        <v>46016.333333333336</v>
      </c>
    </row>
    <row r="1506" spans="1:12" x14ac:dyDescent="0.25">
      <c r="A1506" t="s">
        <v>1248</v>
      </c>
      <c r="B1506">
        <v>364871</v>
      </c>
      <c r="C1506">
        <v>352351</v>
      </c>
      <c r="D1506">
        <v>352350</v>
      </c>
      <c r="E1506">
        <v>405</v>
      </c>
      <c r="F1506">
        <v>405</v>
      </c>
      <c r="G1506" t="s">
        <v>3138</v>
      </c>
      <c r="H1506">
        <v>0</v>
      </c>
      <c r="K1506" s="30">
        <v>45828.39166666667</v>
      </c>
      <c r="L1506" s="30">
        <v>46022.333333333336</v>
      </c>
    </row>
    <row r="1507" spans="1:12" x14ac:dyDescent="0.25">
      <c r="A1507" t="s">
        <v>1248</v>
      </c>
      <c r="B1507">
        <v>364872</v>
      </c>
      <c r="C1507">
        <v>352347</v>
      </c>
      <c r="D1507">
        <v>352352</v>
      </c>
      <c r="E1507">
        <v>405</v>
      </c>
      <c r="F1507">
        <v>405</v>
      </c>
      <c r="G1507" t="s">
        <v>3138</v>
      </c>
      <c r="H1507">
        <v>0</v>
      </c>
      <c r="K1507" s="30">
        <v>45806.625</v>
      </c>
      <c r="L1507" s="30">
        <v>46000.566666666666</v>
      </c>
    </row>
    <row r="1508" spans="1:12" x14ac:dyDescent="0.25">
      <c r="A1508" t="s">
        <v>1248</v>
      </c>
      <c r="B1508">
        <v>365500</v>
      </c>
      <c r="C1508">
        <v>352157</v>
      </c>
      <c r="D1508">
        <v>119932</v>
      </c>
      <c r="E1508">
        <v>405</v>
      </c>
      <c r="F1508">
        <v>405</v>
      </c>
      <c r="G1508" t="s">
        <v>3138</v>
      </c>
      <c r="H1508">
        <v>0</v>
      </c>
      <c r="K1508" s="30">
        <v>45734.708333333336</v>
      </c>
      <c r="L1508" s="30">
        <v>45765.625</v>
      </c>
    </row>
    <row r="1509" spans="1:12" x14ac:dyDescent="0.25">
      <c r="A1509" t="s">
        <v>1248</v>
      </c>
      <c r="B1509">
        <v>365506</v>
      </c>
      <c r="C1509">
        <v>352143</v>
      </c>
      <c r="D1509">
        <v>119933</v>
      </c>
      <c r="E1509">
        <v>405</v>
      </c>
      <c r="F1509">
        <v>405</v>
      </c>
      <c r="G1509" t="s">
        <v>3138</v>
      </c>
      <c r="H1509">
        <v>0</v>
      </c>
      <c r="K1509" s="30">
        <v>45737.708333333336</v>
      </c>
      <c r="L1509" s="30">
        <v>45777.625</v>
      </c>
    </row>
    <row r="1510" spans="1:12" x14ac:dyDescent="0.25">
      <c r="A1510" t="s">
        <v>1248</v>
      </c>
      <c r="B1510">
        <v>365509</v>
      </c>
      <c r="C1510">
        <v>352101</v>
      </c>
      <c r="D1510">
        <v>119939</v>
      </c>
      <c r="E1510">
        <v>405</v>
      </c>
      <c r="F1510">
        <v>405</v>
      </c>
      <c r="G1510" t="s">
        <v>3138</v>
      </c>
      <c r="H1510">
        <v>0</v>
      </c>
      <c r="K1510" s="30">
        <v>45763.708333333336</v>
      </c>
      <c r="L1510" s="30">
        <v>45811.625</v>
      </c>
    </row>
    <row r="1511" spans="1:12" x14ac:dyDescent="0.25">
      <c r="A1511" t="s">
        <v>1248</v>
      </c>
      <c r="B1511">
        <v>365513</v>
      </c>
      <c r="C1511">
        <v>352059</v>
      </c>
      <c r="D1511">
        <v>119945</v>
      </c>
      <c r="E1511">
        <v>405</v>
      </c>
      <c r="F1511">
        <v>405</v>
      </c>
      <c r="G1511" t="s">
        <v>3138</v>
      </c>
      <c r="H1511">
        <v>0</v>
      </c>
      <c r="K1511" s="30">
        <v>45789.708333333336</v>
      </c>
      <c r="L1511" s="30">
        <v>45849.666666666664</v>
      </c>
    </row>
    <row r="1512" spans="1:12" x14ac:dyDescent="0.25">
      <c r="A1512" t="s">
        <v>1248</v>
      </c>
      <c r="B1512">
        <v>365518</v>
      </c>
      <c r="C1512">
        <v>352354</v>
      </c>
      <c r="D1512">
        <v>352359</v>
      </c>
      <c r="E1512">
        <v>405</v>
      </c>
      <c r="F1512">
        <v>405</v>
      </c>
      <c r="G1512" t="s">
        <v>3138</v>
      </c>
      <c r="H1512">
        <v>0</v>
      </c>
      <c r="K1512" s="30">
        <v>45805.666666666664</v>
      </c>
      <c r="L1512" s="30">
        <v>45994.566666666666</v>
      </c>
    </row>
    <row r="1513" spans="1:12" x14ac:dyDescent="0.25">
      <c r="A1513" t="s">
        <v>1248</v>
      </c>
      <c r="B1513">
        <v>365519</v>
      </c>
      <c r="C1513">
        <v>352353</v>
      </c>
      <c r="D1513">
        <v>352358</v>
      </c>
      <c r="E1513">
        <v>405</v>
      </c>
      <c r="F1513">
        <v>405</v>
      </c>
      <c r="G1513" t="s">
        <v>3138</v>
      </c>
      <c r="H1513">
        <v>0</v>
      </c>
      <c r="K1513" s="30">
        <v>45835.433333333334</v>
      </c>
      <c r="L1513" s="30">
        <v>46027.333333333336</v>
      </c>
    </row>
    <row r="1514" spans="1:12" x14ac:dyDescent="0.25">
      <c r="A1514" t="s">
        <v>1248</v>
      </c>
      <c r="B1514">
        <v>365520</v>
      </c>
      <c r="C1514">
        <v>352360</v>
      </c>
      <c r="D1514">
        <v>119850</v>
      </c>
      <c r="E1514">
        <v>405</v>
      </c>
      <c r="F1514">
        <v>405</v>
      </c>
      <c r="G1514" t="s">
        <v>3138</v>
      </c>
      <c r="H1514">
        <v>0</v>
      </c>
      <c r="K1514" s="30">
        <v>45800.708333333336</v>
      </c>
      <c r="L1514" s="30">
        <v>45859.60833333333</v>
      </c>
    </row>
    <row r="1515" spans="1:12" x14ac:dyDescent="0.25">
      <c r="A1515" t="s">
        <v>1248</v>
      </c>
      <c r="B1515">
        <v>365521</v>
      </c>
      <c r="C1515">
        <v>352359</v>
      </c>
      <c r="D1515">
        <v>352360</v>
      </c>
      <c r="E1515">
        <v>405</v>
      </c>
      <c r="F1515">
        <v>405</v>
      </c>
      <c r="G1515" t="s">
        <v>3138</v>
      </c>
      <c r="H1515">
        <v>0</v>
      </c>
      <c r="K1515" s="30">
        <v>45804.708333333336</v>
      </c>
      <c r="L1515" s="30">
        <v>45993.60833333333</v>
      </c>
    </row>
    <row r="1516" spans="1:12" x14ac:dyDescent="0.25">
      <c r="A1516" t="s">
        <v>1248</v>
      </c>
      <c r="B1516">
        <v>365522</v>
      </c>
      <c r="C1516">
        <v>352352</v>
      </c>
      <c r="D1516">
        <v>352359</v>
      </c>
      <c r="E1516">
        <v>405</v>
      </c>
      <c r="F1516">
        <v>405</v>
      </c>
      <c r="G1516" t="s">
        <v>3138</v>
      </c>
      <c r="H1516">
        <v>0</v>
      </c>
      <c r="K1516" s="30">
        <v>45805.666666666664</v>
      </c>
      <c r="L1516" s="30">
        <v>45999.60833333333</v>
      </c>
    </row>
    <row r="1517" spans="1:12" x14ac:dyDescent="0.25">
      <c r="A1517" t="s">
        <v>1248</v>
      </c>
      <c r="B1517">
        <v>365523</v>
      </c>
      <c r="C1517">
        <v>352339</v>
      </c>
      <c r="D1517">
        <v>352352</v>
      </c>
      <c r="E1517">
        <v>405</v>
      </c>
      <c r="F1517">
        <v>405</v>
      </c>
      <c r="G1517" t="s">
        <v>3138</v>
      </c>
      <c r="H1517">
        <v>0</v>
      </c>
      <c r="K1517" s="30">
        <v>45806.625</v>
      </c>
      <c r="L1517" s="30">
        <v>46016.65</v>
      </c>
    </row>
    <row r="1518" spans="1:12" x14ac:dyDescent="0.25">
      <c r="A1518" t="s">
        <v>1248</v>
      </c>
      <c r="B1518">
        <v>365524</v>
      </c>
      <c r="C1518">
        <v>352339</v>
      </c>
      <c r="D1518">
        <v>119853</v>
      </c>
      <c r="E1518">
        <v>405</v>
      </c>
      <c r="F1518">
        <v>405</v>
      </c>
      <c r="G1518" t="s">
        <v>3138</v>
      </c>
      <c r="H1518">
        <v>0</v>
      </c>
      <c r="K1518" s="30">
        <v>45813.708333333336</v>
      </c>
      <c r="L1518" s="30">
        <v>46016.65</v>
      </c>
    </row>
    <row r="1519" spans="1:12" x14ac:dyDescent="0.25">
      <c r="A1519" t="s">
        <v>1248</v>
      </c>
      <c r="B1519">
        <v>365525</v>
      </c>
      <c r="C1519">
        <v>352297</v>
      </c>
      <c r="D1519">
        <v>119859</v>
      </c>
      <c r="E1519">
        <v>405</v>
      </c>
      <c r="F1519">
        <v>405</v>
      </c>
      <c r="G1519" t="s">
        <v>3138</v>
      </c>
      <c r="H1519">
        <v>0</v>
      </c>
      <c r="K1519" s="30">
        <v>45839.708333333336</v>
      </c>
      <c r="L1519" s="30">
        <v>46120.691666666666</v>
      </c>
    </row>
    <row r="1520" spans="1:12" x14ac:dyDescent="0.25">
      <c r="A1520" t="s">
        <v>1248</v>
      </c>
      <c r="B1520">
        <v>365529</v>
      </c>
      <c r="C1520">
        <v>352255</v>
      </c>
      <c r="D1520">
        <v>119865</v>
      </c>
      <c r="E1520">
        <v>405</v>
      </c>
      <c r="F1520">
        <v>405</v>
      </c>
      <c r="G1520" t="s">
        <v>3138</v>
      </c>
      <c r="H1520">
        <v>0</v>
      </c>
      <c r="K1520" s="30">
        <v>45863.708333333336</v>
      </c>
      <c r="L1520" s="30">
        <v>46224.691666666666</v>
      </c>
    </row>
    <row r="1521" spans="1:12" x14ac:dyDescent="0.25">
      <c r="A1521" t="s">
        <v>1248</v>
      </c>
      <c r="B1521">
        <v>365538</v>
      </c>
      <c r="C1521">
        <v>352213</v>
      </c>
      <c r="D1521">
        <v>352220</v>
      </c>
      <c r="E1521">
        <v>405</v>
      </c>
      <c r="F1521">
        <v>405</v>
      </c>
      <c r="G1521" t="s">
        <v>3138</v>
      </c>
      <c r="H1521">
        <v>0</v>
      </c>
      <c r="K1521" s="30">
        <v>45881.416666666664</v>
      </c>
      <c r="L1521" s="30">
        <v>46330.369444444441</v>
      </c>
    </row>
    <row r="1522" spans="1:12" x14ac:dyDescent="0.25">
      <c r="A1522" t="s">
        <v>1248</v>
      </c>
      <c r="B1522">
        <v>365539</v>
      </c>
      <c r="C1522">
        <v>119922</v>
      </c>
      <c r="D1522">
        <v>119897</v>
      </c>
      <c r="E1522">
        <v>405</v>
      </c>
      <c r="F1522">
        <v>405</v>
      </c>
      <c r="G1522" t="s">
        <v>3138</v>
      </c>
      <c r="H1522">
        <v>0</v>
      </c>
      <c r="K1522" s="30">
        <v>46035.708333333336</v>
      </c>
      <c r="L1522" s="30">
        <v>46421.333333333336</v>
      </c>
    </row>
    <row r="1523" spans="1:12" x14ac:dyDescent="0.25">
      <c r="A1523" t="s">
        <v>1248</v>
      </c>
      <c r="B1523">
        <v>365540</v>
      </c>
      <c r="C1523">
        <v>352192</v>
      </c>
      <c r="D1523">
        <v>119872</v>
      </c>
      <c r="E1523">
        <v>405</v>
      </c>
      <c r="F1523">
        <v>405</v>
      </c>
      <c r="G1523" t="s">
        <v>3138</v>
      </c>
      <c r="H1523">
        <v>0</v>
      </c>
      <c r="K1523" s="30">
        <v>45894.708333333336</v>
      </c>
      <c r="L1523" s="30">
        <v>46384.369444444441</v>
      </c>
    </row>
    <row r="1524" spans="1:12" x14ac:dyDescent="0.25">
      <c r="A1524" t="s">
        <v>1248</v>
      </c>
      <c r="B1524">
        <v>365541</v>
      </c>
      <c r="C1524">
        <v>119924</v>
      </c>
      <c r="D1524">
        <v>229302</v>
      </c>
      <c r="E1524">
        <v>405</v>
      </c>
      <c r="F1524">
        <v>405</v>
      </c>
      <c r="G1524" t="s">
        <v>3140</v>
      </c>
      <c r="H1524">
        <v>0</v>
      </c>
      <c r="K1524" s="30">
        <v>45616.333333333336</v>
      </c>
      <c r="L1524" s="30">
        <v>45617.333333333336</v>
      </c>
    </row>
    <row r="1525" spans="1:12" x14ac:dyDescent="0.25">
      <c r="A1525" t="s">
        <v>1248</v>
      </c>
      <c r="B1525">
        <v>365554</v>
      </c>
      <c r="C1525">
        <v>120171</v>
      </c>
      <c r="D1525">
        <v>119816</v>
      </c>
      <c r="E1525">
        <v>405</v>
      </c>
      <c r="F1525">
        <v>405</v>
      </c>
      <c r="G1525" t="s">
        <v>3139</v>
      </c>
      <c r="H1525">
        <v>0</v>
      </c>
      <c r="K1525" s="30">
        <v>46471.708333333336</v>
      </c>
      <c r="L1525" s="30">
        <v>46519.708333333336</v>
      </c>
    </row>
    <row r="1526" spans="1:12" x14ac:dyDescent="0.25">
      <c r="A1526" t="s">
        <v>1248</v>
      </c>
      <c r="B1526">
        <v>365555</v>
      </c>
      <c r="C1526">
        <v>352143</v>
      </c>
      <c r="D1526">
        <v>352150</v>
      </c>
      <c r="E1526">
        <v>405</v>
      </c>
      <c r="F1526">
        <v>405</v>
      </c>
      <c r="G1526" t="s">
        <v>3138</v>
      </c>
      <c r="H1526">
        <v>0</v>
      </c>
      <c r="K1526" s="30">
        <v>45740.625</v>
      </c>
      <c r="L1526" s="30">
        <v>45777.625</v>
      </c>
    </row>
    <row r="1527" spans="1:12" x14ac:dyDescent="0.25">
      <c r="A1527" t="s">
        <v>1248</v>
      </c>
      <c r="B1527">
        <v>365556</v>
      </c>
      <c r="C1527">
        <v>352184</v>
      </c>
      <c r="D1527">
        <v>352191</v>
      </c>
      <c r="E1527">
        <v>405</v>
      </c>
      <c r="F1527">
        <v>405</v>
      </c>
      <c r="G1527" t="s">
        <v>3138</v>
      </c>
      <c r="H1527">
        <v>0</v>
      </c>
      <c r="K1527" s="30">
        <v>45743.708333333336</v>
      </c>
      <c r="L1527" s="30">
        <v>45854.375</v>
      </c>
    </row>
    <row r="1528" spans="1:12" x14ac:dyDescent="0.25">
      <c r="A1528" t="s">
        <v>1248</v>
      </c>
      <c r="B1528">
        <v>365557</v>
      </c>
      <c r="C1528">
        <v>352177</v>
      </c>
      <c r="D1528">
        <v>352184</v>
      </c>
      <c r="E1528">
        <v>405</v>
      </c>
      <c r="F1528">
        <v>405</v>
      </c>
      <c r="G1528" t="s">
        <v>3138</v>
      </c>
      <c r="H1528">
        <v>0</v>
      </c>
      <c r="K1528" s="30">
        <v>45748.416666666664</v>
      </c>
      <c r="L1528" s="30">
        <v>45855.333333333336</v>
      </c>
    </row>
    <row r="1529" spans="1:12" x14ac:dyDescent="0.25">
      <c r="A1529" t="s">
        <v>1248</v>
      </c>
      <c r="B1529">
        <v>365558</v>
      </c>
      <c r="C1529">
        <v>352170</v>
      </c>
      <c r="D1529">
        <v>352177</v>
      </c>
      <c r="E1529">
        <v>405</v>
      </c>
      <c r="F1529">
        <v>405</v>
      </c>
      <c r="G1529" t="s">
        <v>3138</v>
      </c>
      <c r="H1529">
        <v>0</v>
      </c>
      <c r="K1529" s="30">
        <v>45749.375</v>
      </c>
      <c r="L1529" s="30">
        <v>45855.666666666664</v>
      </c>
    </row>
    <row r="1530" spans="1:12" x14ac:dyDescent="0.25">
      <c r="A1530" t="s">
        <v>1248</v>
      </c>
      <c r="B1530">
        <v>365559</v>
      </c>
      <c r="C1530">
        <v>352163</v>
      </c>
      <c r="D1530">
        <v>352170</v>
      </c>
      <c r="E1530">
        <v>405</v>
      </c>
      <c r="F1530">
        <v>405</v>
      </c>
      <c r="G1530" t="s">
        <v>3138</v>
      </c>
      <c r="H1530">
        <v>0</v>
      </c>
      <c r="K1530" s="30">
        <v>45749.708333333336</v>
      </c>
      <c r="L1530" s="30">
        <v>45856.625</v>
      </c>
    </row>
    <row r="1531" spans="1:12" x14ac:dyDescent="0.25">
      <c r="A1531" t="s">
        <v>1248</v>
      </c>
      <c r="B1531">
        <v>365560</v>
      </c>
      <c r="C1531">
        <v>352156</v>
      </c>
      <c r="D1531">
        <v>352163</v>
      </c>
      <c r="E1531">
        <v>405</v>
      </c>
      <c r="F1531">
        <v>405</v>
      </c>
      <c r="G1531" t="s">
        <v>3138</v>
      </c>
      <c r="H1531">
        <v>0</v>
      </c>
      <c r="K1531" s="30">
        <v>45761.375</v>
      </c>
      <c r="L1531" s="30">
        <v>45859.583333333336</v>
      </c>
    </row>
    <row r="1532" spans="1:12" x14ac:dyDescent="0.25">
      <c r="A1532" t="s">
        <v>1248</v>
      </c>
      <c r="B1532">
        <v>365561</v>
      </c>
      <c r="C1532">
        <v>352149</v>
      </c>
      <c r="D1532">
        <v>352156</v>
      </c>
      <c r="E1532">
        <v>405</v>
      </c>
      <c r="F1532">
        <v>405</v>
      </c>
      <c r="G1532" t="s">
        <v>3138</v>
      </c>
      <c r="H1532">
        <v>0</v>
      </c>
      <c r="K1532" s="30">
        <v>45762.708333333336</v>
      </c>
      <c r="L1532" s="30">
        <v>45860.541666666664</v>
      </c>
    </row>
    <row r="1533" spans="1:12" x14ac:dyDescent="0.25">
      <c r="A1533" t="s">
        <v>1248</v>
      </c>
      <c r="B1533">
        <v>365562</v>
      </c>
      <c r="C1533">
        <v>352142</v>
      </c>
      <c r="D1533">
        <v>352149</v>
      </c>
      <c r="E1533">
        <v>405</v>
      </c>
      <c r="F1533">
        <v>405</v>
      </c>
      <c r="G1533" t="s">
        <v>3138</v>
      </c>
      <c r="H1533">
        <v>0</v>
      </c>
      <c r="K1533" s="30">
        <v>45764.666666666664</v>
      </c>
      <c r="L1533" s="30">
        <v>45861.458333333336</v>
      </c>
    </row>
    <row r="1534" spans="1:12" x14ac:dyDescent="0.25">
      <c r="A1534" t="s">
        <v>1248</v>
      </c>
      <c r="B1534">
        <v>365563</v>
      </c>
      <c r="C1534">
        <v>352135</v>
      </c>
      <c r="D1534">
        <v>352142</v>
      </c>
      <c r="E1534">
        <v>405</v>
      </c>
      <c r="F1534">
        <v>405</v>
      </c>
      <c r="G1534" t="s">
        <v>3138</v>
      </c>
      <c r="H1534">
        <v>0</v>
      </c>
      <c r="K1534" s="30">
        <v>45768.625</v>
      </c>
      <c r="L1534" s="30">
        <v>45862.416666666664</v>
      </c>
    </row>
    <row r="1535" spans="1:12" x14ac:dyDescent="0.25">
      <c r="A1535" t="s">
        <v>1248</v>
      </c>
      <c r="B1535">
        <v>365564</v>
      </c>
      <c r="C1535">
        <v>352128</v>
      </c>
      <c r="D1535">
        <v>352135</v>
      </c>
      <c r="E1535">
        <v>405</v>
      </c>
      <c r="F1535">
        <v>405</v>
      </c>
      <c r="G1535" t="s">
        <v>3138</v>
      </c>
      <c r="H1535">
        <v>0</v>
      </c>
      <c r="K1535" s="30">
        <v>45770.583333333336</v>
      </c>
      <c r="L1535" s="30">
        <v>45863.375</v>
      </c>
    </row>
    <row r="1536" spans="1:12" x14ac:dyDescent="0.25">
      <c r="A1536" t="s">
        <v>1248</v>
      </c>
      <c r="B1536">
        <v>365565</v>
      </c>
      <c r="C1536">
        <v>352121</v>
      </c>
      <c r="D1536">
        <v>352128</v>
      </c>
      <c r="E1536">
        <v>405</v>
      </c>
      <c r="F1536">
        <v>405</v>
      </c>
      <c r="G1536" t="s">
        <v>3138</v>
      </c>
      <c r="H1536">
        <v>0</v>
      </c>
      <c r="K1536" s="30">
        <v>45772.5</v>
      </c>
      <c r="L1536" s="30">
        <v>45866.333333333336</v>
      </c>
    </row>
    <row r="1537" spans="1:12" x14ac:dyDescent="0.25">
      <c r="A1537" t="s">
        <v>1248</v>
      </c>
      <c r="B1537">
        <v>365566</v>
      </c>
      <c r="C1537">
        <v>352114</v>
      </c>
      <c r="D1537">
        <v>352121</v>
      </c>
      <c r="E1537">
        <v>405</v>
      </c>
      <c r="F1537">
        <v>405</v>
      </c>
      <c r="G1537" t="s">
        <v>3138</v>
      </c>
      <c r="H1537">
        <v>0</v>
      </c>
      <c r="K1537" s="30">
        <v>45776.458333333336</v>
      </c>
      <c r="L1537" s="30">
        <v>45866.666666666664</v>
      </c>
    </row>
    <row r="1538" spans="1:12" x14ac:dyDescent="0.25">
      <c r="A1538" t="s">
        <v>1248</v>
      </c>
      <c r="B1538">
        <v>365567</v>
      </c>
      <c r="C1538">
        <v>352107</v>
      </c>
      <c r="D1538">
        <v>352114</v>
      </c>
      <c r="E1538">
        <v>405</v>
      </c>
      <c r="F1538">
        <v>405</v>
      </c>
      <c r="G1538" t="s">
        <v>3138</v>
      </c>
      <c r="H1538">
        <v>0</v>
      </c>
      <c r="K1538" s="30">
        <v>45778.416666666664</v>
      </c>
      <c r="L1538" s="30">
        <v>45867.625</v>
      </c>
    </row>
    <row r="1539" spans="1:12" x14ac:dyDescent="0.25">
      <c r="A1539" t="s">
        <v>1248</v>
      </c>
      <c r="B1539">
        <v>365568</v>
      </c>
      <c r="C1539">
        <v>352100</v>
      </c>
      <c r="D1539">
        <v>352107</v>
      </c>
      <c r="E1539">
        <v>405</v>
      </c>
      <c r="F1539">
        <v>405</v>
      </c>
      <c r="G1539" t="s">
        <v>3138</v>
      </c>
      <c r="H1539">
        <v>0</v>
      </c>
      <c r="K1539" s="30">
        <v>45790.375</v>
      </c>
      <c r="L1539" s="30">
        <v>45868.583333333336</v>
      </c>
    </row>
    <row r="1540" spans="1:12" x14ac:dyDescent="0.25">
      <c r="A1540" t="s">
        <v>1248</v>
      </c>
      <c r="B1540">
        <v>365569</v>
      </c>
      <c r="C1540">
        <v>352093</v>
      </c>
      <c r="D1540">
        <v>352100</v>
      </c>
      <c r="E1540">
        <v>405</v>
      </c>
      <c r="F1540">
        <v>405</v>
      </c>
      <c r="G1540" t="s">
        <v>3138</v>
      </c>
      <c r="H1540">
        <v>0</v>
      </c>
      <c r="K1540" s="30">
        <v>45791.708333333336</v>
      </c>
      <c r="L1540" s="30">
        <v>45869.541666666664</v>
      </c>
    </row>
    <row r="1541" spans="1:12" x14ac:dyDescent="0.25">
      <c r="A1541" t="s">
        <v>1248</v>
      </c>
      <c r="B1541">
        <v>365570</v>
      </c>
      <c r="C1541">
        <v>352086</v>
      </c>
      <c r="D1541">
        <v>352093</v>
      </c>
      <c r="E1541">
        <v>405</v>
      </c>
      <c r="F1541">
        <v>405</v>
      </c>
      <c r="G1541" t="s">
        <v>3138</v>
      </c>
      <c r="H1541">
        <v>0</v>
      </c>
      <c r="K1541" s="30">
        <v>45793.666666666664</v>
      </c>
      <c r="L1541" s="30">
        <v>45870.458333333336</v>
      </c>
    </row>
    <row r="1542" spans="1:12" x14ac:dyDescent="0.25">
      <c r="A1542" t="s">
        <v>1248</v>
      </c>
      <c r="B1542">
        <v>365571</v>
      </c>
      <c r="C1542">
        <v>352079</v>
      </c>
      <c r="D1542">
        <v>352086</v>
      </c>
      <c r="E1542">
        <v>405</v>
      </c>
      <c r="F1542">
        <v>405</v>
      </c>
      <c r="G1542" t="s">
        <v>3138</v>
      </c>
      <c r="H1542">
        <v>0</v>
      </c>
      <c r="K1542" s="30">
        <v>45797.625</v>
      </c>
      <c r="L1542" s="30">
        <v>45873.416666666664</v>
      </c>
    </row>
    <row r="1543" spans="1:12" x14ac:dyDescent="0.25">
      <c r="A1543" t="s">
        <v>1248</v>
      </c>
      <c r="B1543">
        <v>365572</v>
      </c>
      <c r="C1543">
        <v>352072</v>
      </c>
      <c r="D1543">
        <v>352079</v>
      </c>
      <c r="E1543">
        <v>405</v>
      </c>
      <c r="F1543">
        <v>405</v>
      </c>
      <c r="G1543" t="s">
        <v>3138</v>
      </c>
      <c r="H1543">
        <v>0</v>
      </c>
      <c r="K1543" s="30">
        <v>45799.583333333336</v>
      </c>
      <c r="L1543" s="30">
        <v>45874.375</v>
      </c>
    </row>
    <row r="1544" spans="1:12" x14ac:dyDescent="0.25">
      <c r="A1544" t="s">
        <v>1248</v>
      </c>
      <c r="B1544">
        <v>365573</v>
      </c>
      <c r="C1544">
        <v>352065</v>
      </c>
      <c r="D1544">
        <v>352072</v>
      </c>
      <c r="E1544">
        <v>405</v>
      </c>
      <c r="F1544">
        <v>405</v>
      </c>
      <c r="G1544" t="s">
        <v>3138</v>
      </c>
      <c r="H1544">
        <v>0</v>
      </c>
      <c r="K1544" s="30">
        <v>45804.458333333336</v>
      </c>
      <c r="L1544" s="30">
        <v>45875.375</v>
      </c>
    </row>
    <row r="1545" spans="1:12" x14ac:dyDescent="0.25">
      <c r="A1545" t="s">
        <v>1248</v>
      </c>
      <c r="B1545">
        <v>365574</v>
      </c>
      <c r="C1545">
        <v>352058</v>
      </c>
      <c r="D1545">
        <v>352065</v>
      </c>
      <c r="E1545">
        <v>405</v>
      </c>
      <c r="F1545">
        <v>405</v>
      </c>
      <c r="G1545" t="s">
        <v>3138</v>
      </c>
      <c r="H1545">
        <v>0</v>
      </c>
      <c r="K1545" s="30">
        <v>45814.375</v>
      </c>
      <c r="L1545" s="30">
        <v>45881.375</v>
      </c>
    </row>
    <row r="1546" spans="1:12" x14ac:dyDescent="0.25">
      <c r="A1546" t="s">
        <v>1248</v>
      </c>
      <c r="B1546">
        <v>365575</v>
      </c>
      <c r="C1546">
        <v>352051</v>
      </c>
      <c r="D1546">
        <v>352058</v>
      </c>
      <c r="E1546">
        <v>405</v>
      </c>
      <c r="F1546">
        <v>405</v>
      </c>
      <c r="G1546" t="s">
        <v>3138</v>
      </c>
      <c r="H1546">
        <v>0</v>
      </c>
      <c r="K1546" s="30">
        <v>45817.708333333336</v>
      </c>
      <c r="L1546" s="30">
        <v>45887.333333333336</v>
      </c>
    </row>
    <row r="1547" spans="1:12" x14ac:dyDescent="0.25">
      <c r="A1547" t="s">
        <v>1248</v>
      </c>
      <c r="B1547">
        <v>365576</v>
      </c>
      <c r="C1547">
        <v>352345</v>
      </c>
      <c r="D1547">
        <v>352366</v>
      </c>
      <c r="E1547">
        <v>405</v>
      </c>
      <c r="F1547">
        <v>405</v>
      </c>
      <c r="G1547" t="s">
        <v>3138</v>
      </c>
      <c r="H1547">
        <v>0</v>
      </c>
      <c r="K1547" s="30">
        <v>45835.433333333334</v>
      </c>
      <c r="L1547" s="30">
        <v>46051.375</v>
      </c>
    </row>
    <row r="1548" spans="1:12" x14ac:dyDescent="0.25">
      <c r="A1548" t="s">
        <v>1248</v>
      </c>
      <c r="B1548">
        <v>365577</v>
      </c>
      <c r="C1548">
        <v>352338</v>
      </c>
      <c r="D1548">
        <v>352345</v>
      </c>
      <c r="E1548">
        <v>405</v>
      </c>
      <c r="F1548">
        <v>405</v>
      </c>
      <c r="G1548" t="s">
        <v>3138</v>
      </c>
      <c r="H1548">
        <v>0</v>
      </c>
      <c r="K1548" s="30">
        <v>45847.39166666667</v>
      </c>
      <c r="L1548" s="30">
        <v>46069.375</v>
      </c>
    </row>
    <row r="1549" spans="1:12" x14ac:dyDescent="0.25">
      <c r="A1549" t="s">
        <v>1248</v>
      </c>
      <c r="B1549">
        <v>365578</v>
      </c>
      <c r="C1549">
        <v>352331</v>
      </c>
      <c r="D1549">
        <v>352338</v>
      </c>
      <c r="E1549">
        <v>405</v>
      </c>
      <c r="F1549">
        <v>405</v>
      </c>
      <c r="G1549" t="s">
        <v>3138</v>
      </c>
      <c r="H1549">
        <v>0</v>
      </c>
      <c r="K1549" s="30">
        <v>45848.683333333334</v>
      </c>
      <c r="L1549" s="30">
        <v>46085.375</v>
      </c>
    </row>
    <row r="1550" spans="1:12" x14ac:dyDescent="0.25">
      <c r="A1550" t="s">
        <v>1248</v>
      </c>
      <c r="B1550">
        <v>365579</v>
      </c>
      <c r="C1550">
        <v>352324</v>
      </c>
      <c r="D1550">
        <v>352331</v>
      </c>
      <c r="E1550">
        <v>405</v>
      </c>
      <c r="F1550">
        <v>405</v>
      </c>
      <c r="G1550" t="s">
        <v>3138</v>
      </c>
      <c r="H1550">
        <v>0</v>
      </c>
      <c r="K1550" s="30">
        <v>45852.64166666667</v>
      </c>
      <c r="L1550" s="30">
        <v>46101.375</v>
      </c>
    </row>
    <row r="1551" spans="1:12" x14ac:dyDescent="0.25">
      <c r="A1551" t="s">
        <v>1248</v>
      </c>
      <c r="B1551">
        <v>365580</v>
      </c>
      <c r="C1551">
        <v>352317</v>
      </c>
      <c r="D1551">
        <v>352324</v>
      </c>
      <c r="E1551">
        <v>405</v>
      </c>
      <c r="F1551">
        <v>405</v>
      </c>
      <c r="G1551" t="s">
        <v>3138</v>
      </c>
      <c r="H1551">
        <v>0</v>
      </c>
      <c r="K1551" s="30">
        <v>45854.6</v>
      </c>
      <c r="L1551" s="30">
        <v>46120.375</v>
      </c>
    </row>
    <row r="1552" spans="1:12" x14ac:dyDescent="0.25">
      <c r="A1552" t="s">
        <v>1248</v>
      </c>
      <c r="B1552">
        <v>365581</v>
      </c>
      <c r="C1552">
        <v>352310</v>
      </c>
      <c r="D1552">
        <v>352317</v>
      </c>
      <c r="E1552">
        <v>405</v>
      </c>
      <c r="F1552">
        <v>405</v>
      </c>
      <c r="G1552" t="s">
        <v>3138</v>
      </c>
      <c r="H1552">
        <v>0</v>
      </c>
      <c r="K1552" s="30">
        <v>45856.558333333334</v>
      </c>
      <c r="L1552" s="30">
        <v>46136.375</v>
      </c>
    </row>
    <row r="1553" spans="1:12" x14ac:dyDescent="0.25">
      <c r="A1553" t="s">
        <v>1248</v>
      </c>
      <c r="B1553">
        <v>365582</v>
      </c>
      <c r="C1553">
        <v>352303</v>
      </c>
      <c r="D1553">
        <v>352310</v>
      </c>
      <c r="E1553">
        <v>405</v>
      </c>
      <c r="F1553">
        <v>405</v>
      </c>
      <c r="G1553" t="s">
        <v>3138</v>
      </c>
      <c r="H1553">
        <v>0</v>
      </c>
      <c r="K1553" s="30">
        <v>45861.35</v>
      </c>
      <c r="L1553" s="30">
        <v>46155.375</v>
      </c>
    </row>
    <row r="1554" spans="1:12" x14ac:dyDescent="0.25">
      <c r="A1554" t="s">
        <v>1248</v>
      </c>
      <c r="B1554">
        <v>365583</v>
      </c>
      <c r="C1554">
        <v>352296</v>
      </c>
      <c r="D1554">
        <v>352303</v>
      </c>
      <c r="E1554">
        <v>405</v>
      </c>
      <c r="F1554">
        <v>405</v>
      </c>
      <c r="G1554" t="s">
        <v>3138</v>
      </c>
      <c r="H1554">
        <v>0</v>
      </c>
      <c r="K1554" s="30">
        <v>45875.45</v>
      </c>
      <c r="L1554" s="30">
        <v>46171.375</v>
      </c>
    </row>
    <row r="1555" spans="1:12" x14ac:dyDescent="0.25">
      <c r="A1555" t="s">
        <v>1248</v>
      </c>
      <c r="B1555">
        <v>365584</v>
      </c>
      <c r="C1555">
        <v>352289</v>
      </c>
      <c r="D1555">
        <v>352296</v>
      </c>
      <c r="E1555">
        <v>405</v>
      </c>
      <c r="F1555">
        <v>405</v>
      </c>
      <c r="G1555" t="s">
        <v>3138</v>
      </c>
      <c r="H1555">
        <v>0</v>
      </c>
      <c r="K1555" s="30">
        <v>45877.408333333333</v>
      </c>
      <c r="L1555" s="30">
        <v>46190.375</v>
      </c>
    </row>
    <row r="1556" spans="1:12" x14ac:dyDescent="0.25">
      <c r="A1556" t="s">
        <v>1248</v>
      </c>
      <c r="B1556">
        <v>365585</v>
      </c>
      <c r="C1556">
        <v>352282</v>
      </c>
      <c r="D1556">
        <v>352289</v>
      </c>
      <c r="E1556">
        <v>405</v>
      </c>
      <c r="F1556">
        <v>405</v>
      </c>
      <c r="G1556" t="s">
        <v>3138</v>
      </c>
      <c r="H1556">
        <v>0</v>
      </c>
      <c r="K1556" s="30">
        <v>45881.366666666669</v>
      </c>
      <c r="L1556" s="30">
        <v>46206.375</v>
      </c>
    </row>
    <row r="1557" spans="1:12" x14ac:dyDescent="0.25">
      <c r="A1557" t="s">
        <v>1248</v>
      </c>
      <c r="B1557">
        <v>365586</v>
      </c>
      <c r="C1557">
        <v>352275</v>
      </c>
      <c r="D1557">
        <v>352282</v>
      </c>
      <c r="E1557">
        <v>405</v>
      </c>
      <c r="F1557">
        <v>405</v>
      </c>
      <c r="G1557" t="s">
        <v>3138</v>
      </c>
      <c r="H1557">
        <v>0</v>
      </c>
      <c r="K1557" s="30">
        <v>45882.7</v>
      </c>
      <c r="L1557" s="30">
        <v>46224.375</v>
      </c>
    </row>
    <row r="1558" spans="1:12" x14ac:dyDescent="0.25">
      <c r="A1558" t="s">
        <v>1248</v>
      </c>
      <c r="B1558">
        <v>365587</v>
      </c>
      <c r="C1558">
        <v>352268</v>
      </c>
      <c r="D1558">
        <v>352275</v>
      </c>
      <c r="E1558">
        <v>405</v>
      </c>
      <c r="F1558">
        <v>405</v>
      </c>
      <c r="G1558" t="s">
        <v>3138</v>
      </c>
      <c r="H1558">
        <v>0</v>
      </c>
      <c r="K1558" s="30">
        <v>45884.658333333333</v>
      </c>
      <c r="L1558" s="30">
        <v>46240.375</v>
      </c>
    </row>
    <row r="1559" spans="1:12" x14ac:dyDescent="0.25">
      <c r="A1559" t="s">
        <v>1248</v>
      </c>
      <c r="B1559">
        <v>365588</v>
      </c>
      <c r="C1559">
        <v>352261</v>
      </c>
      <c r="D1559">
        <v>352268</v>
      </c>
      <c r="E1559">
        <v>405</v>
      </c>
      <c r="F1559">
        <v>405</v>
      </c>
      <c r="G1559" t="s">
        <v>3138</v>
      </c>
      <c r="H1559">
        <v>0</v>
      </c>
      <c r="K1559" s="30">
        <v>45888.616666666669</v>
      </c>
      <c r="L1559" s="30">
        <v>46258.375</v>
      </c>
    </row>
    <row r="1560" spans="1:12" x14ac:dyDescent="0.25">
      <c r="A1560" t="s">
        <v>1248</v>
      </c>
      <c r="B1560">
        <v>365589</v>
      </c>
      <c r="C1560">
        <v>352254</v>
      </c>
      <c r="D1560">
        <v>352261</v>
      </c>
      <c r="E1560">
        <v>405</v>
      </c>
      <c r="F1560">
        <v>405</v>
      </c>
      <c r="G1560" t="s">
        <v>3138</v>
      </c>
      <c r="H1560">
        <v>0</v>
      </c>
      <c r="K1560" s="30">
        <v>45898.35</v>
      </c>
      <c r="L1560" s="30">
        <v>46274.375</v>
      </c>
    </row>
    <row r="1561" spans="1:12" x14ac:dyDescent="0.25">
      <c r="A1561" t="s">
        <v>1248</v>
      </c>
      <c r="B1561">
        <v>365590</v>
      </c>
      <c r="C1561">
        <v>352247</v>
      </c>
      <c r="D1561">
        <v>352254</v>
      </c>
      <c r="E1561">
        <v>405</v>
      </c>
      <c r="F1561">
        <v>405</v>
      </c>
      <c r="G1561" t="s">
        <v>3138</v>
      </c>
      <c r="H1561">
        <v>0</v>
      </c>
      <c r="K1561" s="30">
        <v>45901.683333333334</v>
      </c>
      <c r="L1561" s="30">
        <v>46290.375</v>
      </c>
    </row>
    <row r="1562" spans="1:12" x14ac:dyDescent="0.25">
      <c r="A1562" t="s">
        <v>1248</v>
      </c>
      <c r="B1562">
        <v>365591</v>
      </c>
      <c r="C1562">
        <v>352240</v>
      </c>
      <c r="D1562">
        <v>352247</v>
      </c>
      <c r="E1562">
        <v>405</v>
      </c>
      <c r="F1562">
        <v>405</v>
      </c>
      <c r="G1562" t="s">
        <v>3138</v>
      </c>
      <c r="H1562">
        <v>0</v>
      </c>
      <c r="K1562" s="30">
        <v>45903.64166666667</v>
      </c>
      <c r="L1562" s="30">
        <v>46308.375</v>
      </c>
    </row>
    <row r="1563" spans="1:12" x14ac:dyDescent="0.25">
      <c r="A1563" t="s">
        <v>1248</v>
      </c>
      <c r="B1563">
        <v>365592</v>
      </c>
      <c r="C1563">
        <v>352233</v>
      </c>
      <c r="D1563">
        <v>352240</v>
      </c>
      <c r="E1563">
        <v>405</v>
      </c>
      <c r="F1563">
        <v>405</v>
      </c>
      <c r="G1563" t="s">
        <v>3138</v>
      </c>
      <c r="H1563">
        <v>0</v>
      </c>
      <c r="K1563" s="30">
        <v>45904.6</v>
      </c>
      <c r="L1563" s="30">
        <v>46324.375</v>
      </c>
    </row>
    <row r="1564" spans="1:12" x14ac:dyDescent="0.25">
      <c r="A1564" t="s">
        <v>1248</v>
      </c>
      <c r="B1564">
        <v>365593</v>
      </c>
      <c r="C1564">
        <v>352226</v>
      </c>
      <c r="D1564">
        <v>352233</v>
      </c>
      <c r="E1564">
        <v>405</v>
      </c>
      <c r="F1564">
        <v>405</v>
      </c>
      <c r="G1564" t="s">
        <v>3138</v>
      </c>
      <c r="H1564">
        <v>0</v>
      </c>
      <c r="K1564" s="30">
        <v>45905.558333333334</v>
      </c>
      <c r="L1564" s="30">
        <v>46342.375</v>
      </c>
    </row>
    <row r="1565" spans="1:12" x14ac:dyDescent="0.25">
      <c r="A1565" t="s">
        <v>1248</v>
      </c>
      <c r="B1565">
        <v>365594</v>
      </c>
      <c r="C1565">
        <v>352219</v>
      </c>
      <c r="D1565">
        <v>352226</v>
      </c>
      <c r="E1565">
        <v>405</v>
      </c>
      <c r="F1565">
        <v>405</v>
      </c>
      <c r="G1565" t="s">
        <v>3138</v>
      </c>
      <c r="H1565">
        <v>0</v>
      </c>
      <c r="K1565" s="30">
        <v>45908.474999999999</v>
      </c>
      <c r="L1565" s="30">
        <v>46358.375</v>
      </c>
    </row>
    <row r="1566" spans="1:12" x14ac:dyDescent="0.25">
      <c r="A1566" t="s">
        <v>1248</v>
      </c>
      <c r="B1566">
        <v>365595</v>
      </c>
      <c r="C1566">
        <v>352212</v>
      </c>
      <c r="D1566">
        <v>352219</v>
      </c>
      <c r="E1566">
        <v>405</v>
      </c>
      <c r="F1566">
        <v>405</v>
      </c>
      <c r="G1566" t="s">
        <v>3138</v>
      </c>
      <c r="H1566">
        <v>0</v>
      </c>
      <c r="K1566" s="30">
        <v>45910.672222222223</v>
      </c>
      <c r="L1566" s="30">
        <v>46377.375</v>
      </c>
    </row>
    <row r="1567" spans="1:12" x14ac:dyDescent="0.25">
      <c r="A1567" t="s">
        <v>1248</v>
      </c>
      <c r="B1567">
        <v>365596</v>
      </c>
      <c r="C1567">
        <v>352205</v>
      </c>
      <c r="D1567">
        <v>352212</v>
      </c>
      <c r="E1567">
        <v>405</v>
      </c>
      <c r="F1567">
        <v>405</v>
      </c>
      <c r="G1567" t="s">
        <v>3138</v>
      </c>
      <c r="H1567">
        <v>0</v>
      </c>
      <c r="K1567" s="30">
        <v>45915.672222222223</v>
      </c>
      <c r="L1567" s="30">
        <v>46398.375</v>
      </c>
    </row>
    <row r="1568" spans="1:12" x14ac:dyDescent="0.25">
      <c r="A1568" t="s">
        <v>1248</v>
      </c>
      <c r="B1568">
        <v>365597</v>
      </c>
      <c r="C1568">
        <v>352198</v>
      </c>
      <c r="D1568">
        <v>352205</v>
      </c>
      <c r="E1568">
        <v>405</v>
      </c>
      <c r="F1568">
        <v>405</v>
      </c>
      <c r="G1568" t="s">
        <v>3138</v>
      </c>
      <c r="H1568">
        <v>0</v>
      </c>
      <c r="K1568" s="30">
        <v>45918.672222222223</v>
      </c>
      <c r="L1568" s="30">
        <v>46414.375</v>
      </c>
    </row>
    <row r="1569" spans="1:12" x14ac:dyDescent="0.25">
      <c r="A1569" t="s">
        <v>1248</v>
      </c>
      <c r="B1569">
        <v>365598</v>
      </c>
      <c r="C1569">
        <v>352255</v>
      </c>
      <c r="D1569">
        <v>352262</v>
      </c>
      <c r="E1569">
        <v>405</v>
      </c>
      <c r="F1569">
        <v>405</v>
      </c>
      <c r="G1569" t="s">
        <v>3138</v>
      </c>
      <c r="H1569">
        <v>0</v>
      </c>
      <c r="K1569" s="30">
        <v>45856.558333333334</v>
      </c>
      <c r="L1569" s="30">
        <v>46224.691666666666</v>
      </c>
    </row>
    <row r="1570" spans="1:12" x14ac:dyDescent="0.25">
      <c r="A1570" t="s">
        <v>1248</v>
      </c>
      <c r="B1570">
        <v>365599</v>
      </c>
      <c r="C1570">
        <v>352297</v>
      </c>
      <c r="D1570">
        <v>352304</v>
      </c>
      <c r="E1570">
        <v>405</v>
      </c>
      <c r="F1570">
        <v>405</v>
      </c>
      <c r="G1570" t="s">
        <v>3138</v>
      </c>
      <c r="H1570">
        <v>0</v>
      </c>
      <c r="K1570" s="30">
        <v>45828.666666666664</v>
      </c>
      <c r="L1570" s="30">
        <v>46120.691666666666</v>
      </c>
    </row>
    <row r="1571" spans="1:12" x14ac:dyDescent="0.25">
      <c r="A1571" t="s">
        <v>1248</v>
      </c>
      <c r="B1571">
        <v>365601</v>
      </c>
      <c r="C1571">
        <v>120171</v>
      </c>
      <c r="D1571">
        <v>120016</v>
      </c>
      <c r="E1571">
        <v>405</v>
      </c>
      <c r="F1571">
        <v>405</v>
      </c>
      <c r="G1571" t="s">
        <v>3139</v>
      </c>
      <c r="H1571">
        <v>0</v>
      </c>
      <c r="K1571" s="30">
        <v>45895.708333333336</v>
      </c>
      <c r="L1571" s="30">
        <v>46519.708333333336</v>
      </c>
    </row>
    <row r="1572" spans="1:12" x14ac:dyDescent="0.25">
      <c r="A1572" t="s">
        <v>1248</v>
      </c>
      <c r="B1572">
        <v>365602</v>
      </c>
      <c r="C1572">
        <v>120171</v>
      </c>
      <c r="D1572">
        <v>120022</v>
      </c>
      <c r="E1572">
        <v>405</v>
      </c>
      <c r="F1572">
        <v>405</v>
      </c>
      <c r="G1572" t="s">
        <v>3139</v>
      </c>
      <c r="H1572">
        <v>0</v>
      </c>
      <c r="K1572" s="30">
        <v>45968.708333333336</v>
      </c>
      <c r="L1572" s="30">
        <v>46519.708333333336</v>
      </c>
    </row>
    <row r="1573" spans="1:12" x14ac:dyDescent="0.25">
      <c r="A1573" t="s">
        <v>1248</v>
      </c>
      <c r="B1573">
        <v>365605</v>
      </c>
      <c r="C1573">
        <v>229302</v>
      </c>
      <c r="D1573">
        <v>119820</v>
      </c>
      <c r="E1573">
        <v>405</v>
      </c>
      <c r="F1573">
        <v>405</v>
      </c>
      <c r="G1573" t="s">
        <v>3140</v>
      </c>
      <c r="H1573">
        <v>16</v>
      </c>
      <c r="K1573" s="30">
        <v>45615.708333333336</v>
      </c>
      <c r="L1573" s="30">
        <v>45685.333333333336</v>
      </c>
    </row>
    <row r="1574" spans="1:12" x14ac:dyDescent="0.25">
      <c r="A1574" t="s">
        <v>1248</v>
      </c>
      <c r="B1574">
        <v>365671</v>
      </c>
      <c r="C1574">
        <v>229301</v>
      </c>
      <c r="D1574">
        <v>229305</v>
      </c>
      <c r="E1574">
        <v>405</v>
      </c>
      <c r="F1574">
        <v>405</v>
      </c>
      <c r="G1574" t="s">
        <v>3138</v>
      </c>
      <c r="H1574">
        <v>0</v>
      </c>
      <c r="K1574" s="30">
        <v>45796.708333333336</v>
      </c>
      <c r="L1574" s="30">
        <v>46016.333333333336</v>
      </c>
    </row>
    <row r="1575" spans="1:12" x14ac:dyDescent="0.25">
      <c r="A1575" t="s">
        <v>1248</v>
      </c>
      <c r="B1575">
        <v>365672</v>
      </c>
      <c r="C1575">
        <v>229304</v>
      </c>
      <c r="D1575">
        <v>229301</v>
      </c>
      <c r="E1575">
        <v>405</v>
      </c>
      <c r="F1575">
        <v>405</v>
      </c>
      <c r="G1575" t="s">
        <v>3138</v>
      </c>
      <c r="H1575">
        <v>0</v>
      </c>
      <c r="K1575" s="30">
        <v>45936.708333333336</v>
      </c>
      <c r="L1575" s="30">
        <v>46162.333333333336</v>
      </c>
    </row>
    <row r="1576" spans="1:12" x14ac:dyDescent="0.25">
      <c r="A1576" t="s">
        <v>1248</v>
      </c>
      <c r="B1576">
        <v>365673</v>
      </c>
      <c r="C1576">
        <v>229303</v>
      </c>
      <c r="D1576">
        <v>229304</v>
      </c>
      <c r="E1576">
        <v>405</v>
      </c>
      <c r="F1576">
        <v>405</v>
      </c>
      <c r="G1576" t="s">
        <v>3138</v>
      </c>
      <c r="H1576">
        <v>0</v>
      </c>
      <c r="K1576" s="30">
        <v>46006.708333333336</v>
      </c>
      <c r="L1576" s="30">
        <v>46233.333333333336</v>
      </c>
    </row>
    <row r="1577" spans="1:12" x14ac:dyDescent="0.25">
      <c r="A1577" t="s">
        <v>1248</v>
      </c>
      <c r="B1577">
        <v>365674</v>
      </c>
      <c r="C1577">
        <v>119794</v>
      </c>
      <c r="D1577">
        <v>229303</v>
      </c>
      <c r="E1577">
        <v>405</v>
      </c>
      <c r="F1577">
        <v>405</v>
      </c>
      <c r="G1577" t="s">
        <v>3138</v>
      </c>
      <c r="H1577">
        <v>0</v>
      </c>
      <c r="K1577" s="30">
        <v>46150.708333333336</v>
      </c>
      <c r="L1577" s="30">
        <v>46374.333333333336</v>
      </c>
    </row>
    <row r="1578" spans="1:12" x14ac:dyDescent="0.25">
      <c r="A1578" t="s">
        <v>1248</v>
      </c>
      <c r="B1578">
        <v>365675</v>
      </c>
      <c r="C1578">
        <v>119985</v>
      </c>
      <c r="D1578">
        <v>119799</v>
      </c>
      <c r="E1578">
        <v>405</v>
      </c>
      <c r="F1578">
        <v>405</v>
      </c>
      <c r="G1578" t="s">
        <v>3138</v>
      </c>
      <c r="H1578">
        <v>0</v>
      </c>
      <c r="K1578" s="30">
        <v>45875.708333333336</v>
      </c>
      <c r="L1578" s="30">
        <v>45876.333333333336</v>
      </c>
    </row>
    <row r="1579" spans="1:12" x14ac:dyDescent="0.25">
      <c r="A1579" t="s">
        <v>1248</v>
      </c>
      <c r="B1579">
        <v>368275</v>
      </c>
      <c r="C1579">
        <v>119967</v>
      </c>
      <c r="D1579">
        <v>119928</v>
      </c>
      <c r="E1579">
        <v>405</v>
      </c>
      <c r="F1579">
        <v>405</v>
      </c>
      <c r="G1579" t="s">
        <v>3138</v>
      </c>
      <c r="H1579">
        <v>0</v>
      </c>
      <c r="K1579" s="30">
        <v>45716.708333333336</v>
      </c>
      <c r="L1579" s="30">
        <v>45769.333333333336</v>
      </c>
    </row>
    <row r="1580" spans="1:12" x14ac:dyDescent="0.25">
      <c r="A1580" t="s">
        <v>1248</v>
      </c>
      <c r="B1580">
        <v>368280</v>
      </c>
      <c r="C1580">
        <v>352059</v>
      </c>
      <c r="D1580">
        <v>119928</v>
      </c>
      <c r="E1580">
        <v>405</v>
      </c>
      <c r="F1580">
        <v>405</v>
      </c>
      <c r="G1580" t="s">
        <v>3138</v>
      </c>
      <c r="H1580">
        <v>0</v>
      </c>
      <c r="K1580" s="30">
        <v>45716.708333333336</v>
      </c>
      <c r="L1580" s="30">
        <v>45849.666666666664</v>
      </c>
    </row>
    <row r="1581" spans="1:12" x14ac:dyDescent="0.25">
      <c r="A1581" t="s">
        <v>1248</v>
      </c>
      <c r="B1581">
        <v>368342</v>
      </c>
      <c r="C1581">
        <v>119873</v>
      </c>
      <c r="D1581">
        <v>119850</v>
      </c>
      <c r="E1581">
        <v>405</v>
      </c>
      <c r="F1581">
        <v>405</v>
      </c>
      <c r="G1581" t="s">
        <v>3138</v>
      </c>
      <c r="H1581">
        <v>0</v>
      </c>
      <c r="K1581" s="30">
        <v>45800.708333333336</v>
      </c>
      <c r="L1581" s="30">
        <v>45894.333333333336</v>
      </c>
    </row>
    <row r="1582" spans="1:12" x14ac:dyDescent="0.25">
      <c r="A1582" t="s">
        <v>1248</v>
      </c>
      <c r="B1582">
        <v>368344</v>
      </c>
      <c r="C1582">
        <v>119873</v>
      </c>
      <c r="D1582">
        <v>119939</v>
      </c>
      <c r="E1582">
        <v>405</v>
      </c>
      <c r="F1582">
        <v>405</v>
      </c>
      <c r="G1582" t="s">
        <v>3138</v>
      </c>
      <c r="H1582">
        <v>0</v>
      </c>
      <c r="K1582" s="30">
        <v>45763.708333333336</v>
      </c>
      <c r="L1582" s="30">
        <v>45894.333333333336</v>
      </c>
    </row>
    <row r="1583" spans="1:12" x14ac:dyDescent="0.25">
      <c r="A1583" t="s">
        <v>1248</v>
      </c>
      <c r="B1583">
        <v>368346</v>
      </c>
      <c r="C1583">
        <v>119873</v>
      </c>
      <c r="D1583">
        <v>119933</v>
      </c>
      <c r="E1583">
        <v>405</v>
      </c>
      <c r="F1583">
        <v>405</v>
      </c>
      <c r="G1583" t="s">
        <v>3138</v>
      </c>
      <c r="H1583">
        <v>0</v>
      </c>
      <c r="K1583" s="30">
        <v>45737.708333333336</v>
      </c>
      <c r="L1583" s="30">
        <v>45894.333333333336</v>
      </c>
    </row>
    <row r="1584" spans="1:12" x14ac:dyDescent="0.25">
      <c r="A1584" t="s">
        <v>1248</v>
      </c>
      <c r="B1584">
        <v>368348</v>
      </c>
      <c r="C1584">
        <v>119873</v>
      </c>
      <c r="D1584">
        <v>119928</v>
      </c>
      <c r="E1584">
        <v>405</v>
      </c>
      <c r="F1584">
        <v>405</v>
      </c>
      <c r="G1584" t="s">
        <v>3138</v>
      </c>
      <c r="H1584">
        <v>0</v>
      </c>
      <c r="K1584" s="30">
        <v>45716.708333333336</v>
      </c>
      <c r="L1584" s="30">
        <v>45894.333333333336</v>
      </c>
    </row>
    <row r="1585" spans="1:12" x14ac:dyDescent="0.25">
      <c r="A1585" t="s">
        <v>1248</v>
      </c>
      <c r="B1585">
        <v>368432</v>
      </c>
      <c r="C1585">
        <v>352171</v>
      </c>
      <c r="D1585">
        <v>352185</v>
      </c>
      <c r="E1585">
        <v>405</v>
      </c>
      <c r="F1585">
        <v>405</v>
      </c>
      <c r="G1585" t="s">
        <v>3140</v>
      </c>
      <c r="H1585">
        <v>0</v>
      </c>
      <c r="K1585" s="30">
        <v>45719.333333333336</v>
      </c>
      <c r="L1585" s="30">
        <v>45751.625</v>
      </c>
    </row>
    <row r="1586" spans="1:12" x14ac:dyDescent="0.25">
      <c r="A1586" t="s">
        <v>1248</v>
      </c>
      <c r="B1586">
        <v>368434</v>
      </c>
      <c r="C1586">
        <v>352157</v>
      </c>
      <c r="D1586">
        <v>352178</v>
      </c>
      <c r="E1586">
        <v>405</v>
      </c>
      <c r="F1586">
        <v>405</v>
      </c>
      <c r="G1586" t="s">
        <v>3138</v>
      </c>
      <c r="H1586">
        <v>0</v>
      </c>
      <c r="K1586" s="30">
        <v>45722.666666666664</v>
      </c>
      <c r="L1586" s="30">
        <v>45765.625</v>
      </c>
    </row>
    <row r="1587" spans="1:12" x14ac:dyDescent="0.25">
      <c r="A1587" t="s">
        <v>1248</v>
      </c>
      <c r="B1587">
        <v>368839</v>
      </c>
      <c r="C1587">
        <v>352179</v>
      </c>
      <c r="D1587">
        <v>352186</v>
      </c>
      <c r="E1587">
        <v>405</v>
      </c>
      <c r="F1587">
        <v>405</v>
      </c>
      <c r="G1587" t="s">
        <v>3138</v>
      </c>
      <c r="H1587">
        <v>0</v>
      </c>
      <c r="K1587" s="30">
        <v>45723.708333333336</v>
      </c>
      <c r="L1587" s="30">
        <v>45751.583333333336</v>
      </c>
    </row>
    <row r="1588" spans="1:12" x14ac:dyDescent="0.25">
      <c r="A1588" t="s">
        <v>1248</v>
      </c>
      <c r="B1588">
        <v>368840</v>
      </c>
      <c r="C1588">
        <v>352165</v>
      </c>
      <c r="D1588">
        <v>352172</v>
      </c>
      <c r="E1588">
        <v>405</v>
      </c>
      <c r="F1588">
        <v>405</v>
      </c>
      <c r="G1588" t="s">
        <v>3138</v>
      </c>
      <c r="H1588">
        <v>0</v>
      </c>
      <c r="K1588" s="30">
        <v>45723.625</v>
      </c>
      <c r="L1588" s="30">
        <v>45763.583333333336</v>
      </c>
    </row>
    <row r="1589" spans="1:12" x14ac:dyDescent="0.25">
      <c r="A1589" t="s">
        <v>1248</v>
      </c>
      <c r="B1589">
        <v>368842</v>
      </c>
      <c r="C1589">
        <v>352346</v>
      </c>
      <c r="D1589">
        <v>352351</v>
      </c>
      <c r="E1589">
        <v>405</v>
      </c>
      <c r="F1589">
        <v>405</v>
      </c>
      <c r="G1589" t="s">
        <v>3138</v>
      </c>
      <c r="H1589">
        <v>0</v>
      </c>
      <c r="K1589" s="30">
        <v>45838.39166666667</v>
      </c>
      <c r="L1589" s="30">
        <v>46034.333333333336</v>
      </c>
    </row>
    <row r="1590" spans="1:12" x14ac:dyDescent="0.25">
      <c r="A1590" t="s">
        <v>1248</v>
      </c>
      <c r="B1590">
        <v>368843</v>
      </c>
      <c r="C1590">
        <v>360982</v>
      </c>
      <c r="D1590">
        <v>360981</v>
      </c>
      <c r="E1590">
        <v>405</v>
      </c>
      <c r="F1590">
        <v>405</v>
      </c>
      <c r="G1590" t="s">
        <v>3138</v>
      </c>
      <c r="H1590">
        <v>0</v>
      </c>
      <c r="K1590" s="30">
        <v>45705.708333333336</v>
      </c>
      <c r="L1590" s="30">
        <v>46506.333333333336</v>
      </c>
    </row>
    <row r="1591" spans="1:12" x14ac:dyDescent="0.25">
      <c r="A1591" t="s">
        <v>1248</v>
      </c>
      <c r="B1591">
        <v>368844</v>
      </c>
      <c r="C1591">
        <v>360981</v>
      </c>
      <c r="D1591">
        <v>119793</v>
      </c>
      <c r="E1591">
        <v>405</v>
      </c>
      <c r="F1591">
        <v>405</v>
      </c>
      <c r="G1591" t="s">
        <v>3138</v>
      </c>
      <c r="H1591">
        <v>0</v>
      </c>
      <c r="K1591" s="30">
        <v>45698.708333333336</v>
      </c>
      <c r="L1591" s="30">
        <v>46492.333333333336</v>
      </c>
    </row>
    <row r="1592" spans="1:12" x14ac:dyDescent="0.25">
      <c r="A1592" t="s">
        <v>1248</v>
      </c>
      <c r="B1592">
        <v>368845</v>
      </c>
      <c r="C1592">
        <v>360984</v>
      </c>
      <c r="D1592">
        <v>360983</v>
      </c>
      <c r="E1592">
        <v>405</v>
      </c>
      <c r="F1592">
        <v>405</v>
      </c>
      <c r="G1592" t="s">
        <v>3138</v>
      </c>
      <c r="H1592">
        <v>0</v>
      </c>
      <c r="K1592" s="30">
        <v>45712.708333333336</v>
      </c>
      <c r="L1592" s="30">
        <v>46506.333333333336</v>
      </c>
    </row>
    <row r="1593" spans="1:12" x14ac:dyDescent="0.25">
      <c r="A1593" t="s">
        <v>1248</v>
      </c>
      <c r="B1593">
        <v>368846</v>
      </c>
      <c r="C1593">
        <v>360983</v>
      </c>
      <c r="D1593">
        <v>360981</v>
      </c>
      <c r="E1593">
        <v>405</v>
      </c>
      <c r="F1593">
        <v>405</v>
      </c>
      <c r="G1593" t="s">
        <v>3138</v>
      </c>
      <c r="H1593">
        <v>0</v>
      </c>
      <c r="K1593" s="30">
        <v>45705.708333333336</v>
      </c>
      <c r="L1593" s="30">
        <v>46499.333333333336</v>
      </c>
    </row>
    <row r="1594" spans="1:12" x14ac:dyDescent="0.25">
      <c r="A1594" t="s">
        <v>1248</v>
      </c>
      <c r="B1594">
        <v>368847</v>
      </c>
      <c r="C1594">
        <v>120171</v>
      </c>
      <c r="D1594">
        <v>360982</v>
      </c>
      <c r="E1594">
        <v>405</v>
      </c>
      <c r="F1594">
        <v>405</v>
      </c>
      <c r="G1594" t="s">
        <v>3139</v>
      </c>
      <c r="H1594">
        <v>0</v>
      </c>
      <c r="K1594" s="30">
        <v>45719.708333333336</v>
      </c>
      <c r="L1594" s="30">
        <v>46519.708333333336</v>
      </c>
    </row>
    <row r="1595" spans="1:12" x14ac:dyDescent="0.25">
      <c r="A1595" t="s">
        <v>1248</v>
      </c>
      <c r="B1595">
        <v>368848</v>
      </c>
      <c r="C1595">
        <v>120171</v>
      </c>
      <c r="D1595">
        <v>360984</v>
      </c>
      <c r="E1595">
        <v>405</v>
      </c>
      <c r="F1595">
        <v>405</v>
      </c>
      <c r="G1595" t="s">
        <v>3139</v>
      </c>
      <c r="H1595">
        <v>0</v>
      </c>
      <c r="K1595" s="30">
        <v>45726.708333333336</v>
      </c>
      <c r="L1595" s="30">
        <v>46519.708333333336</v>
      </c>
    </row>
    <row r="1596" spans="1:12" x14ac:dyDescent="0.25">
      <c r="A1596" t="s">
        <v>1248</v>
      </c>
      <c r="B1596">
        <v>368849</v>
      </c>
      <c r="C1596">
        <v>229305</v>
      </c>
      <c r="D1596">
        <v>229302</v>
      </c>
      <c r="E1596">
        <v>405</v>
      </c>
      <c r="F1596">
        <v>405</v>
      </c>
      <c r="G1596" t="s">
        <v>3140</v>
      </c>
      <c r="H1596">
        <v>32</v>
      </c>
      <c r="K1596" s="30">
        <v>45621.708333333336</v>
      </c>
      <c r="L1596" s="30">
        <v>45765.333333333336</v>
      </c>
    </row>
    <row r="1597" spans="1:12" x14ac:dyDescent="0.25">
      <c r="A1597" t="s">
        <v>1248</v>
      </c>
      <c r="B1597">
        <v>368850</v>
      </c>
      <c r="C1597">
        <v>119799</v>
      </c>
      <c r="D1597">
        <v>119821</v>
      </c>
      <c r="E1597">
        <v>405</v>
      </c>
      <c r="F1597">
        <v>405</v>
      </c>
      <c r="G1597" t="s">
        <v>3138</v>
      </c>
      <c r="H1597">
        <v>0</v>
      </c>
      <c r="K1597" s="30">
        <v>45856.708333333336</v>
      </c>
      <c r="L1597" s="30">
        <v>45859.333333333336</v>
      </c>
    </row>
    <row r="1598" spans="1:12" x14ac:dyDescent="0.25">
      <c r="A1598" t="s">
        <v>1248</v>
      </c>
      <c r="B1598">
        <v>368851</v>
      </c>
      <c r="C1598">
        <v>120171</v>
      </c>
      <c r="D1598">
        <v>119807</v>
      </c>
      <c r="E1598">
        <v>405</v>
      </c>
      <c r="F1598">
        <v>405</v>
      </c>
      <c r="G1598" t="s">
        <v>3139</v>
      </c>
      <c r="H1598">
        <v>0</v>
      </c>
      <c r="K1598" s="30">
        <v>45876.708333333336</v>
      </c>
      <c r="L1598" s="30">
        <v>46519.708333333336</v>
      </c>
    </row>
    <row r="1599" spans="1:12" x14ac:dyDescent="0.25">
      <c r="A1599" t="s">
        <v>1248</v>
      </c>
      <c r="B1599">
        <v>368852</v>
      </c>
      <c r="C1599">
        <v>120171</v>
      </c>
      <c r="D1599">
        <v>119794</v>
      </c>
      <c r="E1599">
        <v>405</v>
      </c>
      <c r="F1599">
        <v>405</v>
      </c>
      <c r="G1599" t="s">
        <v>3139</v>
      </c>
      <c r="H1599">
        <v>0</v>
      </c>
      <c r="K1599" s="30">
        <v>46293.708333333336</v>
      </c>
      <c r="L1599" s="30">
        <v>46519.708333333336</v>
      </c>
    </row>
    <row r="1600" spans="1:12" x14ac:dyDescent="0.25">
      <c r="A1600" t="s">
        <v>1248</v>
      </c>
      <c r="B1600">
        <v>368854</v>
      </c>
      <c r="C1600">
        <v>119819</v>
      </c>
      <c r="D1600">
        <v>119801</v>
      </c>
      <c r="E1600">
        <v>405</v>
      </c>
      <c r="F1600">
        <v>405</v>
      </c>
      <c r="G1600" t="s">
        <v>3138</v>
      </c>
      <c r="H1600">
        <v>0</v>
      </c>
      <c r="K1600" s="30">
        <v>45894.708333333336</v>
      </c>
      <c r="L1600" s="30">
        <v>46465.333333333336</v>
      </c>
    </row>
    <row r="1601" spans="1:12" x14ac:dyDescent="0.25">
      <c r="A1601" t="s">
        <v>1248</v>
      </c>
      <c r="B1601">
        <v>368855</v>
      </c>
      <c r="C1601">
        <v>119923</v>
      </c>
      <c r="D1601">
        <v>119791</v>
      </c>
      <c r="E1601">
        <v>405</v>
      </c>
      <c r="F1601">
        <v>405</v>
      </c>
      <c r="G1601" t="s">
        <v>3138</v>
      </c>
      <c r="H1601">
        <v>0</v>
      </c>
      <c r="K1601" s="30">
        <v>45653.708333333336</v>
      </c>
      <c r="L1601" s="30">
        <v>45656.333333333336</v>
      </c>
    </row>
    <row r="1602" spans="1:12" x14ac:dyDescent="0.25">
      <c r="A1602" t="s">
        <v>1248</v>
      </c>
      <c r="B1602">
        <v>368857</v>
      </c>
      <c r="C1602">
        <v>352219</v>
      </c>
      <c r="D1602">
        <v>352217</v>
      </c>
      <c r="E1602">
        <v>405</v>
      </c>
      <c r="F1602">
        <v>405</v>
      </c>
      <c r="G1602" t="s">
        <v>3138</v>
      </c>
      <c r="H1602">
        <v>0</v>
      </c>
      <c r="K1602" s="30">
        <v>45910.338888888888</v>
      </c>
      <c r="L1602" s="30">
        <v>46358.375</v>
      </c>
    </row>
    <row r="1603" spans="1:12" x14ac:dyDescent="0.25">
      <c r="A1603" t="s">
        <v>1248</v>
      </c>
      <c r="B1603">
        <v>368858</v>
      </c>
      <c r="C1603">
        <v>352218</v>
      </c>
      <c r="D1603">
        <v>352216</v>
      </c>
      <c r="E1603">
        <v>405</v>
      </c>
      <c r="F1603">
        <v>405</v>
      </c>
      <c r="G1603" t="s">
        <v>3138</v>
      </c>
      <c r="H1603">
        <v>0</v>
      </c>
      <c r="K1603" s="30">
        <v>45896.380555555559</v>
      </c>
      <c r="L1603" s="30">
        <v>46344.416666666664</v>
      </c>
    </row>
    <row r="1604" spans="1:12" x14ac:dyDescent="0.25">
      <c r="A1604" t="s">
        <v>1248</v>
      </c>
      <c r="B1604">
        <v>368859</v>
      </c>
      <c r="C1604">
        <v>352217</v>
      </c>
      <c r="D1604">
        <v>352218</v>
      </c>
      <c r="E1604">
        <v>405</v>
      </c>
      <c r="F1604">
        <v>405</v>
      </c>
      <c r="G1604" t="s">
        <v>3138</v>
      </c>
      <c r="H1604">
        <v>0</v>
      </c>
      <c r="K1604" s="30">
        <v>45904.338888888888</v>
      </c>
      <c r="L1604" s="30">
        <v>46352.375</v>
      </c>
    </row>
    <row r="1605" spans="1:12" x14ac:dyDescent="0.25">
      <c r="A1605" t="s">
        <v>1248</v>
      </c>
      <c r="B1605">
        <v>368860</v>
      </c>
      <c r="C1605">
        <v>119866</v>
      </c>
      <c r="D1605">
        <v>119865</v>
      </c>
      <c r="E1605">
        <v>405</v>
      </c>
      <c r="F1605">
        <v>405</v>
      </c>
      <c r="G1605" t="s">
        <v>3138</v>
      </c>
      <c r="H1605">
        <v>0</v>
      </c>
      <c r="K1605" s="30">
        <v>45863.708333333336</v>
      </c>
      <c r="L1605" s="30">
        <v>46288.369444444441</v>
      </c>
    </row>
    <row r="1606" spans="1:12" x14ac:dyDescent="0.25">
      <c r="A1606" t="s">
        <v>1248</v>
      </c>
      <c r="B1606">
        <v>368861</v>
      </c>
      <c r="C1606">
        <v>119867</v>
      </c>
      <c r="D1606">
        <v>119866</v>
      </c>
      <c r="E1606">
        <v>405</v>
      </c>
      <c r="F1606">
        <v>405</v>
      </c>
      <c r="G1606" t="s">
        <v>3138</v>
      </c>
      <c r="H1606">
        <v>0</v>
      </c>
      <c r="K1606" s="30">
        <v>45868.708333333336</v>
      </c>
      <c r="L1606" s="30">
        <v>46293.369444444441</v>
      </c>
    </row>
    <row r="1607" spans="1:12" x14ac:dyDescent="0.25">
      <c r="A1607" t="s">
        <v>1248</v>
      </c>
      <c r="B1607">
        <v>368862</v>
      </c>
      <c r="C1607">
        <v>119868</v>
      </c>
      <c r="D1607">
        <v>119867</v>
      </c>
      <c r="E1607">
        <v>405</v>
      </c>
      <c r="F1607">
        <v>405</v>
      </c>
      <c r="G1607" t="s">
        <v>3138</v>
      </c>
      <c r="H1607">
        <v>0</v>
      </c>
      <c r="K1607" s="30">
        <v>45873.708333333336</v>
      </c>
      <c r="L1607" s="30">
        <v>46309.369444444441</v>
      </c>
    </row>
    <row r="1608" spans="1:12" x14ac:dyDescent="0.25">
      <c r="A1608" t="s">
        <v>1248</v>
      </c>
      <c r="B1608">
        <v>368863</v>
      </c>
      <c r="C1608">
        <v>119869</v>
      </c>
      <c r="D1608">
        <v>119868</v>
      </c>
      <c r="E1608">
        <v>405</v>
      </c>
      <c r="F1608">
        <v>405</v>
      </c>
      <c r="G1608" t="s">
        <v>3138</v>
      </c>
      <c r="H1608">
        <v>0</v>
      </c>
      <c r="K1608" s="30">
        <v>45876.708333333336</v>
      </c>
      <c r="L1608" s="30">
        <v>46325.369444444441</v>
      </c>
    </row>
    <row r="1609" spans="1:12" x14ac:dyDescent="0.25">
      <c r="A1609" t="s">
        <v>1248</v>
      </c>
      <c r="B1609">
        <v>368864</v>
      </c>
      <c r="C1609">
        <v>119870</v>
      </c>
      <c r="D1609">
        <v>119869</v>
      </c>
      <c r="E1609">
        <v>405</v>
      </c>
      <c r="F1609">
        <v>405</v>
      </c>
      <c r="G1609" t="s">
        <v>3138</v>
      </c>
      <c r="H1609">
        <v>0</v>
      </c>
      <c r="K1609" s="30">
        <v>45881.708333333336</v>
      </c>
      <c r="L1609" s="30">
        <v>46343.369444444441</v>
      </c>
    </row>
    <row r="1610" spans="1:12" x14ac:dyDescent="0.25">
      <c r="A1610" t="s">
        <v>1248</v>
      </c>
      <c r="B1610">
        <v>368865</v>
      </c>
      <c r="C1610">
        <v>119871</v>
      </c>
      <c r="D1610">
        <v>119870</v>
      </c>
      <c r="E1610">
        <v>405</v>
      </c>
      <c r="F1610">
        <v>405</v>
      </c>
      <c r="G1610" t="s">
        <v>3138</v>
      </c>
      <c r="H1610">
        <v>0</v>
      </c>
      <c r="K1610" s="30">
        <v>45884.708333333336</v>
      </c>
      <c r="L1610" s="30">
        <v>46359.369444444441</v>
      </c>
    </row>
    <row r="1611" spans="1:12" x14ac:dyDescent="0.25">
      <c r="A1611" t="s">
        <v>1248</v>
      </c>
      <c r="B1611">
        <v>368866</v>
      </c>
      <c r="C1611">
        <v>119872</v>
      </c>
      <c r="D1611">
        <v>119871</v>
      </c>
      <c r="E1611">
        <v>405</v>
      </c>
      <c r="F1611">
        <v>405</v>
      </c>
      <c r="G1611" t="s">
        <v>3138</v>
      </c>
      <c r="H1611">
        <v>0</v>
      </c>
      <c r="K1611" s="30">
        <v>45889.708333333336</v>
      </c>
      <c r="L1611" s="30">
        <v>46378.369444444441</v>
      </c>
    </row>
    <row r="1612" spans="1:12" x14ac:dyDescent="0.25">
      <c r="A1612" t="s">
        <v>1248</v>
      </c>
      <c r="B1612">
        <v>368867</v>
      </c>
      <c r="C1612">
        <v>119804</v>
      </c>
      <c r="D1612">
        <v>119983</v>
      </c>
      <c r="E1612">
        <v>405</v>
      </c>
      <c r="F1612">
        <v>405</v>
      </c>
      <c r="G1612" t="s">
        <v>3140</v>
      </c>
      <c r="H1612">
        <v>0</v>
      </c>
      <c r="K1612" s="30">
        <v>45833.333333333336</v>
      </c>
      <c r="L1612" s="30">
        <v>45853.333333333336</v>
      </c>
    </row>
    <row r="1613" spans="1:12" x14ac:dyDescent="0.25">
      <c r="A1613" t="s">
        <v>1248</v>
      </c>
      <c r="B1613">
        <v>369522</v>
      </c>
      <c r="C1613">
        <v>120005</v>
      </c>
      <c r="D1613">
        <v>119800</v>
      </c>
      <c r="E1613">
        <v>405</v>
      </c>
      <c r="F1613">
        <v>405</v>
      </c>
      <c r="G1613" t="s">
        <v>3138</v>
      </c>
      <c r="H1613">
        <v>0</v>
      </c>
      <c r="K1613" s="30">
        <v>45889.708333333336</v>
      </c>
      <c r="L1613" s="30">
        <v>46316.333333333336</v>
      </c>
    </row>
    <row r="1614" spans="1:12" x14ac:dyDescent="0.25">
      <c r="A1614" t="s">
        <v>1248</v>
      </c>
      <c r="B1614">
        <v>369523</v>
      </c>
      <c r="C1614">
        <v>119851</v>
      </c>
      <c r="D1614">
        <v>119850</v>
      </c>
      <c r="E1614">
        <v>405</v>
      </c>
      <c r="F1614">
        <v>405</v>
      </c>
      <c r="G1614" t="s">
        <v>3138</v>
      </c>
      <c r="H1614">
        <v>0</v>
      </c>
      <c r="K1614" s="30">
        <v>45800.708333333336</v>
      </c>
      <c r="L1614" s="30">
        <v>46003.65</v>
      </c>
    </row>
    <row r="1615" spans="1:12" x14ac:dyDescent="0.25">
      <c r="A1615" t="s">
        <v>1248</v>
      </c>
      <c r="B1615">
        <v>369524</v>
      </c>
      <c r="C1615">
        <v>352199</v>
      </c>
      <c r="D1615">
        <v>119871</v>
      </c>
      <c r="E1615">
        <v>405</v>
      </c>
      <c r="F1615">
        <v>405</v>
      </c>
      <c r="G1615" t="s">
        <v>3138</v>
      </c>
      <c r="H1615">
        <v>0</v>
      </c>
      <c r="K1615" s="30">
        <v>45889.708333333336</v>
      </c>
      <c r="L1615" s="30">
        <v>46365.369444444441</v>
      </c>
    </row>
    <row r="1616" spans="1:12" x14ac:dyDescent="0.25">
      <c r="A1616" t="s">
        <v>1248</v>
      </c>
      <c r="B1616">
        <v>369525</v>
      </c>
      <c r="C1616">
        <v>120171</v>
      </c>
      <c r="D1616">
        <v>352205</v>
      </c>
      <c r="E1616">
        <v>405</v>
      </c>
      <c r="F1616">
        <v>405</v>
      </c>
      <c r="G1616" t="s">
        <v>3139</v>
      </c>
      <c r="H1616">
        <v>0</v>
      </c>
      <c r="K1616" s="30">
        <v>45918.672222222223</v>
      </c>
      <c r="L1616" s="30">
        <v>46519.708333333336</v>
      </c>
    </row>
    <row r="1617" spans="1:12" x14ac:dyDescent="0.25">
      <c r="A1617" t="s">
        <v>1248</v>
      </c>
      <c r="B1617">
        <v>369526</v>
      </c>
      <c r="C1617">
        <v>352206</v>
      </c>
      <c r="D1617">
        <v>119870</v>
      </c>
      <c r="E1617">
        <v>405</v>
      </c>
      <c r="F1617">
        <v>405</v>
      </c>
      <c r="G1617" t="s">
        <v>3138</v>
      </c>
      <c r="H1617">
        <v>0</v>
      </c>
      <c r="K1617" s="30">
        <v>45884.708333333336</v>
      </c>
      <c r="L1617" s="30">
        <v>46346.369444444441</v>
      </c>
    </row>
    <row r="1618" spans="1:12" x14ac:dyDescent="0.25">
      <c r="A1618" t="s">
        <v>1248</v>
      </c>
      <c r="B1618">
        <v>369527</v>
      </c>
      <c r="C1618">
        <v>352213</v>
      </c>
      <c r="D1618">
        <v>119869</v>
      </c>
      <c r="E1618">
        <v>405</v>
      </c>
      <c r="F1618">
        <v>405</v>
      </c>
      <c r="G1618" t="s">
        <v>3138</v>
      </c>
      <c r="H1618">
        <v>0</v>
      </c>
      <c r="K1618" s="30">
        <v>45881.708333333336</v>
      </c>
      <c r="L1618" s="30">
        <v>46330.369444444441</v>
      </c>
    </row>
    <row r="1619" spans="1:12" x14ac:dyDescent="0.25">
      <c r="A1619" t="s">
        <v>1248</v>
      </c>
      <c r="B1619">
        <v>369528</v>
      </c>
      <c r="C1619">
        <v>352220</v>
      </c>
      <c r="D1619">
        <v>119868</v>
      </c>
      <c r="E1619">
        <v>405</v>
      </c>
      <c r="F1619">
        <v>405</v>
      </c>
      <c r="G1619" t="s">
        <v>3138</v>
      </c>
      <c r="H1619">
        <v>0</v>
      </c>
      <c r="K1619" s="30">
        <v>45876.708333333336</v>
      </c>
      <c r="L1619" s="30">
        <v>46314.369444444441</v>
      </c>
    </row>
    <row r="1620" spans="1:12" x14ac:dyDescent="0.25">
      <c r="A1620" t="s">
        <v>1248</v>
      </c>
      <c r="B1620">
        <v>369529</v>
      </c>
      <c r="C1620">
        <v>352227</v>
      </c>
      <c r="D1620">
        <v>119867</v>
      </c>
      <c r="E1620">
        <v>405</v>
      </c>
      <c r="F1620">
        <v>405</v>
      </c>
      <c r="G1620" t="s">
        <v>3138</v>
      </c>
      <c r="H1620">
        <v>0</v>
      </c>
      <c r="K1620" s="30">
        <v>45873.708333333336</v>
      </c>
      <c r="L1620" s="30">
        <v>46296.369444444441</v>
      </c>
    </row>
    <row r="1621" spans="1:12" x14ac:dyDescent="0.25">
      <c r="A1621" t="s">
        <v>1248</v>
      </c>
      <c r="B1621">
        <v>369530</v>
      </c>
      <c r="C1621">
        <v>119897</v>
      </c>
      <c r="D1621">
        <v>352198</v>
      </c>
      <c r="E1621">
        <v>405</v>
      </c>
      <c r="F1621">
        <v>405</v>
      </c>
      <c r="G1621" t="s">
        <v>3138</v>
      </c>
      <c r="H1621">
        <v>0</v>
      </c>
      <c r="K1621" s="30">
        <v>45923.672222222223</v>
      </c>
      <c r="L1621" s="30">
        <v>46415.333333333336</v>
      </c>
    </row>
    <row r="1622" spans="1:12" x14ac:dyDescent="0.25">
      <c r="A1622" t="s">
        <v>1248</v>
      </c>
      <c r="B1622">
        <v>369531</v>
      </c>
      <c r="C1622">
        <v>119921</v>
      </c>
      <c r="D1622">
        <v>119896</v>
      </c>
      <c r="E1622">
        <v>405</v>
      </c>
      <c r="F1622">
        <v>405</v>
      </c>
      <c r="G1622" t="s">
        <v>3138</v>
      </c>
      <c r="H1622">
        <v>0</v>
      </c>
      <c r="K1622" s="30">
        <v>46029.708333333336</v>
      </c>
      <c r="L1622" s="30">
        <v>46405.333333333336</v>
      </c>
    </row>
    <row r="1623" spans="1:12" x14ac:dyDescent="0.25">
      <c r="A1623" t="s">
        <v>1248</v>
      </c>
      <c r="B1623">
        <v>369532</v>
      </c>
      <c r="C1623">
        <v>119896</v>
      </c>
      <c r="D1623">
        <v>352205</v>
      </c>
      <c r="E1623">
        <v>405</v>
      </c>
      <c r="F1623">
        <v>405</v>
      </c>
      <c r="G1623" t="s">
        <v>3138</v>
      </c>
      <c r="H1623">
        <v>0</v>
      </c>
      <c r="K1623" s="30">
        <v>45918.672222222223</v>
      </c>
      <c r="L1623" s="30">
        <v>46399.333333333336</v>
      </c>
    </row>
    <row r="1624" spans="1:12" x14ac:dyDescent="0.25">
      <c r="A1624" t="s">
        <v>1248</v>
      </c>
      <c r="B1624">
        <v>369533</v>
      </c>
      <c r="C1624">
        <v>119920</v>
      </c>
      <c r="D1624">
        <v>119895</v>
      </c>
      <c r="E1624">
        <v>405</v>
      </c>
      <c r="F1624">
        <v>405</v>
      </c>
      <c r="G1624" t="s">
        <v>3138</v>
      </c>
      <c r="H1624">
        <v>0</v>
      </c>
      <c r="K1624" s="30">
        <v>46021.708333333336</v>
      </c>
      <c r="L1624" s="30">
        <v>46385.333333333336</v>
      </c>
    </row>
    <row r="1625" spans="1:12" x14ac:dyDescent="0.25">
      <c r="A1625" t="s">
        <v>1248</v>
      </c>
      <c r="B1625">
        <v>369534</v>
      </c>
      <c r="C1625">
        <v>119895</v>
      </c>
      <c r="D1625">
        <v>352212</v>
      </c>
      <c r="E1625">
        <v>405</v>
      </c>
      <c r="F1625">
        <v>405</v>
      </c>
      <c r="G1625" t="s">
        <v>3138</v>
      </c>
      <c r="H1625">
        <v>0</v>
      </c>
      <c r="K1625" s="30">
        <v>45915.672222222223</v>
      </c>
      <c r="L1625" s="30">
        <v>46378.333333333336</v>
      </c>
    </row>
    <row r="1626" spans="1:12" x14ac:dyDescent="0.25">
      <c r="A1626" t="s">
        <v>1248</v>
      </c>
      <c r="B1626">
        <v>369535</v>
      </c>
      <c r="C1626">
        <v>119919</v>
      </c>
      <c r="D1626">
        <v>119894</v>
      </c>
      <c r="E1626">
        <v>405</v>
      </c>
      <c r="F1626">
        <v>405</v>
      </c>
      <c r="G1626" t="s">
        <v>3138</v>
      </c>
      <c r="H1626">
        <v>0</v>
      </c>
      <c r="K1626" s="30">
        <v>46015.708333333336</v>
      </c>
      <c r="L1626" s="30">
        <v>46366.333333333336</v>
      </c>
    </row>
    <row r="1627" spans="1:12" x14ac:dyDescent="0.25">
      <c r="A1627" t="s">
        <v>1248</v>
      </c>
      <c r="B1627">
        <v>369536</v>
      </c>
      <c r="C1627">
        <v>119894</v>
      </c>
      <c r="D1627">
        <v>352219</v>
      </c>
      <c r="E1627">
        <v>405</v>
      </c>
      <c r="F1627">
        <v>405</v>
      </c>
      <c r="G1627" t="s">
        <v>3138</v>
      </c>
      <c r="H1627">
        <v>0</v>
      </c>
      <c r="K1627" s="30">
        <v>45910.672222222223</v>
      </c>
      <c r="L1627" s="30">
        <v>46359.333333333336</v>
      </c>
    </row>
    <row r="1628" spans="1:12" x14ac:dyDescent="0.25">
      <c r="A1628" t="s">
        <v>1248</v>
      </c>
      <c r="B1628">
        <v>369537</v>
      </c>
      <c r="C1628">
        <v>119893</v>
      </c>
      <c r="D1628">
        <v>352226</v>
      </c>
      <c r="E1628">
        <v>405</v>
      </c>
      <c r="F1628">
        <v>405</v>
      </c>
      <c r="G1628" t="s">
        <v>3138</v>
      </c>
      <c r="H1628">
        <v>0</v>
      </c>
      <c r="K1628" s="30">
        <v>45908.474999999999</v>
      </c>
      <c r="L1628" s="30">
        <v>46343.333333333336</v>
      </c>
    </row>
    <row r="1629" spans="1:12" x14ac:dyDescent="0.25">
      <c r="A1629" t="s">
        <v>1248</v>
      </c>
      <c r="B1629">
        <v>369538</v>
      </c>
      <c r="C1629">
        <v>119918</v>
      </c>
      <c r="D1629">
        <v>119893</v>
      </c>
      <c r="E1629">
        <v>405</v>
      </c>
      <c r="F1629">
        <v>405</v>
      </c>
      <c r="G1629" t="s">
        <v>3138</v>
      </c>
      <c r="H1629">
        <v>0</v>
      </c>
      <c r="K1629" s="30">
        <v>46009.708333333336</v>
      </c>
      <c r="L1629" s="30">
        <v>46349.333333333336</v>
      </c>
    </row>
    <row r="1630" spans="1:12" x14ac:dyDescent="0.25">
      <c r="A1630" t="s">
        <v>1248</v>
      </c>
      <c r="B1630">
        <v>369539</v>
      </c>
      <c r="C1630">
        <v>119917</v>
      </c>
      <c r="D1630">
        <v>119892</v>
      </c>
      <c r="E1630">
        <v>405</v>
      </c>
      <c r="F1630">
        <v>405</v>
      </c>
      <c r="G1630" t="s">
        <v>3138</v>
      </c>
      <c r="H1630">
        <v>0</v>
      </c>
      <c r="K1630" s="30">
        <v>46003.708333333336</v>
      </c>
      <c r="L1630" s="30">
        <v>46331.333333333336</v>
      </c>
    </row>
    <row r="1631" spans="1:12" x14ac:dyDescent="0.25">
      <c r="A1631" t="s">
        <v>1248</v>
      </c>
      <c r="B1631">
        <v>369540</v>
      </c>
      <c r="C1631">
        <v>119892</v>
      </c>
      <c r="D1631">
        <v>352233</v>
      </c>
      <c r="E1631">
        <v>405</v>
      </c>
      <c r="F1631">
        <v>405</v>
      </c>
      <c r="G1631" t="s">
        <v>3138</v>
      </c>
      <c r="H1631">
        <v>0</v>
      </c>
      <c r="K1631" s="30">
        <v>45905.558333333334</v>
      </c>
      <c r="L1631" s="30">
        <v>46325.333333333336</v>
      </c>
    </row>
    <row r="1632" spans="1:12" x14ac:dyDescent="0.25">
      <c r="A1632" t="s">
        <v>1248</v>
      </c>
      <c r="B1632">
        <v>369541</v>
      </c>
      <c r="C1632">
        <v>119891</v>
      </c>
      <c r="D1632">
        <v>352240</v>
      </c>
      <c r="E1632">
        <v>405</v>
      </c>
      <c r="F1632">
        <v>405</v>
      </c>
      <c r="G1632" t="s">
        <v>3138</v>
      </c>
      <c r="H1632">
        <v>0</v>
      </c>
      <c r="K1632" s="30">
        <v>45904.6</v>
      </c>
      <c r="L1632" s="30">
        <v>46309.333333333336</v>
      </c>
    </row>
    <row r="1633" spans="1:12" x14ac:dyDescent="0.25">
      <c r="A1633" t="s">
        <v>1248</v>
      </c>
      <c r="B1633">
        <v>369542</v>
      </c>
      <c r="C1633">
        <v>119916</v>
      </c>
      <c r="D1633">
        <v>119891</v>
      </c>
      <c r="E1633">
        <v>405</v>
      </c>
      <c r="F1633">
        <v>405</v>
      </c>
      <c r="G1633" t="s">
        <v>3138</v>
      </c>
      <c r="H1633">
        <v>0</v>
      </c>
      <c r="K1633" s="30">
        <v>45999.708333333336</v>
      </c>
      <c r="L1633" s="30">
        <v>46315.333333333336</v>
      </c>
    </row>
    <row r="1634" spans="1:12" x14ac:dyDescent="0.25">
      <c r="A1634" t="s">
        <v>1248</v>
      </c>
      <c r="B1634">
        <v>369543</v>
      </c>
      <c r="C1634">
        <v>119890</v>
      </c>
      <c r="D1634">
        <v>352247</v>
      </c>
      <c r="E1634">
        <v>405</v>
      </c>
      <c r="F1634">
        <v>405</v>
      </c>
      <c r="G1634" t="s">
        <v>3138</v>
      </c>
      <c r="H1634">
        <v>0</v>
      </c>
      <c r="K1634" s="30">
        <v>45903.64166666667</v>
      </c>
      <c r="L1634" s="30">
        <v>46293.333333333336</v>
      </c>
    </row>
    <row r="1635" spans="1:12" x14ac:dyDescent="0.25">
      <c r="A1635" t="s">
        <v>1248</v>
      </c>
      <c r="B1635">
        <v>369544</v>
      </c>
      <c r="C1635">
        <v>119915</v>
      </c>
      <c r="D1635">
        <v>119890</v>
      </c>
      <c r="E1635">
        <v>405</v>
      </c>
      <c r="F1635">
        <v>405</v>
      </c>
      <c r="G1635" t="s">
        <v>3138</v>
      </c>
      <c r="H1635">
        <v>0</v>
      </c>
      <c r="K1635" s="30">
        <v>45993.708333333336</v>
      </c>
      <c r="L1635" s="30">
        <v>46297.333333333336</v>
      </c>
    </row>
    <row r="1636" spans="1:12" x14ac:dyDescent="0.25">
      <c r="A1636" t="s">
        <v>1248</v>
      </c>
      <c r="B1636">
        <v>369545</v>
      </c>
      <c r="C1636">
        <v>352241</v>
      </c>
      <c r="D1636">
        <v>119865</v>
      </c>
      <c r="E1636">
        <v>405</v>
      </c>
      <c r="F1636">
        <v>405</v>
      </c>
      <c r="G1636" t="s">
        <v>3138</v>
      </c>
      <c r="H1636">
        <v>0</v>
      </c>
      <c r="K1636" s="30">
        <v>45863.708333333336</v>
      </c>
      <c r="L1636" s="30">
        <v>46258.691666666666</v>
      </c>
    </row>
    <row r="1637" spans="1:12" x14ac:dyDescent="0.25">
      <c r="A1637" t="s">
        <v>1248</v>
      </c>
      <c r="B1637">
        <v>369546</v>
      </c>
      <c r="C1637">
        <v>352248</v>
      </c>
      <c r="D1637">
        <v>119864</v>
      </c>
      <c r="E1637">
        <v>405</v>
      </c>
      <c r="F1637">
        <v>405</v>
      </c>
      <c r="G1637" t="s">
        <v>3138</v>
      </c>
      <c r="H1637">
        <v>0</v>
      </c>
      <c r="K1637" s="30">
        <v>45860.708333333336</v>
      </c>
      <c r="L1637" s="30">
        <v>46240.691666666666</v>
      </c>
    </row>
    <row r="1638" spans="1:12" x14ac:dyDescent="0.25">
      <c r="A1638" t="s">
        <v>1248</v>
      </c>
      <c r="B1638">
        <v>369547</v>
      </c>
      <c r="C1638">
        <v>119914</v>
      </c>
      <c r="D1638">
        <v>119889</v>
      </c>
      <c r="E1638">
        <v>405</v>
      </c>
      <c r="F1638">
        <v>405</v>
      </c>
      <c r="G1638" t="s">
        <v>3138</v>
      </c>
      <c r="H1638">
        <v>0</v>
      </c>
      <c r="K1638" s="30">
        <v>45987.708333333336</v>
      </c>
      <c r="L1638" s="30">
        <v>46281.333333333336</v>
      </c>
    </row>
    <row r="1639" spans="1:12" x14ac:dyDescent="0.25">
      <c r="A1639" t="s">
        <v>1248</v>
      </c>
      <c r="B1639">
        <v>369548</v>
      </c>
      <c r="C1639">
        <v>119889</v>
      </c>
      <c r="D1639">
        <v>352254</v>
      </c>
      <c r="E1639">
        <v>405</v>
      </c>
      <c r="F1639">
        <v>405</v>
      </c>
      <c r="G1639" t="s">
        <v>3138</v>
      </c>
      <c r="H1639">
        <v>0</v>
      </c>
      <c r="K1639" s="30">
        <v>45901.683333333334</v>
      </c>
      <c r="L1639" s="30">
        <v>46275.333333333336</v>
      </c>
    </row>
    <row r="1640" spans="1:12" x14ac:dyDescent="0.25">
      <c r="A1640" t="s">
        <v>1248</v>
      </c>
      <c r="B1640">
        <v>369549</v>
      </c>
      <c r="C1640">
        <v>119913</v>
      </c>
      <c r="D1640">
        <v>119888</v>
      </c>
      <c r="E1640">
        <v>405</v>
      </c>
      <c r="F1640">
        <v>405</v>
      </c>
      <c r="G1640" t="s">
        <v>3138</v>
      </c>
      <c r="H1640">
        <v>0</v>
      </c>
      <c r="K1640" s="30">
        <v>45981.708333333336</v>
      </c>
      <c r="L1640" s="30">
        <v>46265.333333333336</v>
      </c>
    </row>
    <row r="1641" spans="1:12" x14ac:dyDescent="0.25">
      <c r="A1641" t="s">
        <v>1248</v>
      </c>
      <c r="B1641">
        <v>369550</v>
      </c>
      <c r="C1641">
        <v>119888</v>
      </c>
      <c r="D1641">
        <v>352261</v>
      </c>
      <c r="E1641">
        <v>405</v>
      </c>
      <c r="F1641">
        <v>405</v>
      </c>
      <c r="G1641" t="s">
        <v>3138</v>
      </c>
      <c r="H1641">
        <v>0</v>
      </c>
      <c r="K1641" s="30">
        <v>45898.35</v>
      </c>
      <c r="L1641" s="30">
        <v>46259.333333333336</v>
      </c>
    </row>
    <row r="1642" spans="1:12" x14ac:dyDescent="0.25">
      <c r="A1642" t="s">
        <v>1248</v>
      </c>
      <c r="B1642">
        <v>369551</v>
      </c>
      <c r="C1642">
        <v>352255</v>
      </c>
      <c r="D1642">
        <v>119863</v>
      </c>
      <c r="E1642">
        <v>405</v>
      </c>
      <c r="F1642">
        <v>405</v>
      </c>
      <c r="G1642" t="s">
        <v>3138</v>
      </c>
      <c r="H1642">
        <v>0</v>
      </c>
      <c r="K1642" s="30">
        <v>45855.708333333336</v>
      </c>
      <c r="L1642" s="30">
        <v>46224.691666666666</v>
      </c>
    </row>
    <row r="1643" spans="1:12" x14ac:dyDescent="0.25">
      <c r="A1643" t="s">
        <v>1248</v>
      </c>
      <c r="B1643">
        <v>369552</v>
      </c>
      <c r="C1643">
        <v>119887</v>
      </c>
      <c r="D1643">
        <v>352268</v>
      </c>
      <c r="E1643">
        <v>405</v>
      </c>
      <c r="F1643">
        <v>405</v>
      </c>
      <c r="G1643" t="s">
        <v>3138</v>
      </c>
      <c r="H1643">
        <v>0</v>
      </c>
      <c r="K1643" s="30">
        <v>45888.616666666669</v>
      </c>
      <c r="L1643" s="30">
        <v>46241.333333333336</v>
      </c>
    </row>
    <row r="1644" spans="1:12" x14ac:dyDescent="0.25">
      <c r="A1644" t="s">
        <v>1248</v>
      </c>
      <c r="B1644">
        <v>369553</v>
      </c>
      <c r="C1644">
        <v>119912</v>
      </c>
      <c r="D1644">
        <v>119887</v>
      </c>
      <c r="E1644">
        <v>405</v>
      </c>
      <c r="F1644">
        <v>405</v>
      </c>
      <c r="G1644" t="s">
        <v>3138</v>
      </c>
      <c r="H1644">
        <v>0</v>
      </c>
      <c r="K1644" s="30">
        <v>45975.708333333336</v>
      </c>
      <c r="L1644" s="30">
        <v>46247.333333333336</v>
      </c>
    </row>
    <row r="1645" spans="1:12" x14ac:dyDescent="0.25">
      <c r="A1645" t="s">
        <v>1248</v>
      </c>
      <c r="B1645">
        <v>369554</v>
      </c>
      <c r="C1645">
        <v>352262</v>
      </c>
      <c r="D1645">
        <v>119862</v>
      </c>
      <c r="E1645">
        <v>405</v>
      </c>
      <c r="F1645">
        <v>405</v>
      </c>
      <c r="G1645" t="s">
        <v>3138</v>
      </c>
      <c r="H1645">
        <v>0</v>
      </c>
      <c r="K1645" s="30">
        <v>45852.708333333336</v>
      </c>
      <c r="L1645" s="30">
        <v>46206.691666666666</v>
      </c>
    </row>
    <row r="1646" spans="1:12" x14ac:dyDescent="0.25">
      <c r="A1646" t="s">
        <v>1248</v>
      </c>
      <c r="B1646">
        <v>369555</v>
      </c>
      <c r="C1646">
        <v>352269</v>
      </c>
      <c r="D1646">
        <v>119861</v>
      </c>
      <c r="E1646">
        <v>405</v>
      </c>
      <c r="F1646">
        <v>405</v>
      </c>
      <c r="G1646" t="s">
        <v>3138</v>
      </c>
      <c r="H1646">
        <v>0</v>
      </c>
      <c r="K1646" s="30">
        <v>45847.708333333336</v>
      </c>
      <c r="L1646" s="30">
        <v>46190.691666666666</v>
      </c>
    </row>
    <row r="1647" spans="1:12" x14ac:dyDescent="0.25">
      <c r="A1647" t="s">
        <v>1248</v>
      </c>
      <c r="B1647">
        <v>369556</v>
      </c>
      <c r="C1647">
        <v>119886</v>
      </c>
      <c r="D1647">
        <v>352275</v>
      </c>
      <c r="E1647">
        <v>405</v>
      </c>
      <c r="F1647">
        <v>405</v>
      </c>
      <c r="G1647" t="s">
        <v>3138</v>
      </c>
      <c r="H1647">
        <v>0</v>
      </c>
      <c r="K1647" s="30">
        <v>45884.658333333333</v>
      </c>
      <c r="L1647" s="30">
        <v>46225.333333333336</v>
      </c>
    </row>
    <row r="1648" spans="1:12" x14ac:dyDescent="0.25">
      <c r="A1648" t="s">
        <v>1248</v>
      </c>
      <c r="B1648">
        <v>369557</v>
      </c>
      <c r="C1648">
        <v>119911</v>
      </c>
      <c r="D1648">
        <v>119886</v>
      </c>
      <c r="E1648">
        <v>405</v>
      </c>
      <c r="F1648">
        <v>405</v>
      </c>
      <c r="G1648" t="s">
        <v>3138</v>
      </c>
      <c r="H1648">
        <v>0</v>
      </c>
      <c r="K1648" s="30">
        <v>45971.708333333336</v>
      </c>
      <c r="L1648" s="30">
        <v>46231.333333333336</v>
      </c>
    </row>
    <row r="1649" spans="1:12" x14ac:dyDescent="0.25">
      <c r="A1649" t="s">
        <v>1248</v>
      </c>
      <c r="B1649">
        <v>369558</v>
      </c>
      <c r="C1649">
        <v>119885</v>
      </c>
      <c r="D1649">
        <v>352282</v>
      </c>
      <c r="E1649">
        <v>405</v>
      </c>
      <c r="F1649">
        <v>405</v>
      </c>
      <c r="G1649" t="s">
        <v>3138</v>
      </c>
      <c r="H1649">
        <v>0</v>
      </c>
      <c r="K1649" s="30">
        <v>45882.7</v>
      </c>
      <c r="L1649" s="30">
        <v>46209.333333333336</v>
      </c>
    </row>
    <row r="1650" spans="1:12" x14ac:dyDescent="0.25">
      <c r="A1650" t="s">
        <v>1248</v>
      </c>
      <c r="B1650">
        <v>369559</v>
      </c>
      <c r="C1650">
        <v>352276</v>
      </c>
      <c r="D1650">
        <v>119860</v>
      </c>
      <c r="E1650">
        <v>405</v>
      </c>
      <c r="F1650">
        <v>405</v>
      </c>
      <c r="G1650" t="s">
        <v>3138</v>
      </c>
      <c r="H1650">
        <v>0</v>
      </c>
      <c r="K1650" s="30">
        <v>45842.708333333336</v>
      </c>
      <c r="L1650" s="30">
        <v>46171.691666666666</v>
      </c>
    </row>
    <row r="1651" spans="1:12" x14ac:dyDescent="0.25">
      <c r="A1651" t="s">
        <v>1248</v>
      </c>
      <c r="B1651">
        <v>369560</v>
      </c>
      <c r="C1651">
        <v>119910</v>
      </c>
      <c r="D1651">
        <v>119885</v>
      </c>
      <c r="E1651">
        <v>405</v>
      </c>
      <c r="F1651">
        <v>405</v>
      </c>
      <c r="G1651" t="s">
        <v>3138</v>
      </c>
      <c r="H1651">
        <v>0</v>
      </c>
      <c r="K1651" s="30">
        <v>45965.708333333336</v>
      </c>
      <c r="L1651" s="30">
        <v>46213.333333333336</v>
      </c>
    </row>
    <row r="1652" spans="1:12" x14ac:dyDescent="0.25">
      <c r="A1652" t="s">
        <v>1248</v>
      </c>
      <c r="B1652">
        <v>369561</v>
      </c>
      <c r="C1652">
        <v>352283</v>
      </c>
      <c r="D1652">
        <v>119859</v>
      </c>
      <c r="E1652">
        <v>405</v>
      </c>
      <c r="F1652">
        <v>405</v>
      </c>
      <c r="G1652" t="s">
        <v>3138</v>
      </c>
      <c r="H1652">
        <v>0</v>
      </c>
      <c r="K1652" s="30">
        <v>45839.708333333336</v>
      </c>
      <c r="L1652" s="30">
        <v>46155.691666666666</v>
      </c>
    </row>
    <row r="1653" spans="1:12" x14ac:dyDescent="0.25">
      <c r="A1653" t="s">
        <v>1248</v>
      </c>
      <c r="B1653">
        <v>369562</v>
      </c>
      <c r="C1653">
        <v>119884</v>
      </c>
      <c r="D1653">
        <v>352289</v>
      </c>
      <c r="E1653">
        <v>405</v>
      </c>
      <c r="F1653">
        <v>405</v>
      </c>
      <c r="G1653" t="s">
        <v>3138</v>
      </c>
      <c r="H1653">
        <v>0</v>
      </c>
      <c r="K1653" s="30">
        <v>45881.366666666669</v>
      </c>
      <c r="L1653" s="30">
        <v>46191.333333333336</v>
      </c>
    </row>
    <row r="1654" spans="1:12" x14ac:dyDescent="0.25">
      <c r="A1654" t="s">
        <v>1248</v>
      </c>
      <c r="B1654">
        <v>369563</v>
      </c>
      <c r="C1654">
        <v>119909</v>
      </c>
      <c r="D1654">
        <v>119884</v>
      </c>
      <c r="E1654">
        <v>405</v>
      </c>
      <c r="F1654">
        <v>405</v>
      </c>
      <c r="G1654" t="s">
        <v>3138</v>
      </c>
      <c r="H1654">
        <v>0</v>
      </c>
      <c r="K1654" s="30">
        <v>45959.708333333336</v>
      </c>
      <c r="L1654" s="30">
        <v>46197.333333333336</v>
      </c>
    </row>
    <row r="1655" spans="1:12" x14ac:dyDescent="0.25">
      <c r="A1655" t="s">
        <v>1248</v>
      </c>
      <c r="B1655">
        <v>369564</v>
      </c>
      <c r="C1655">
        <v>352290</v>
      </c>
      <c r="D1655">
        <v>119858</v>
      </c>
      <c r="E1655">
        <v>405</v>
      </c>
      <c r="F1655">
        <v>405</v>
      </c>
      <c r="G1655" t="s">
        <v>3138</v>
      </c>
      <c r="H1655">
        <v>0</v>
      </c>
      <c r="K1655" s="30">
        <v>45834.708333333336</v>
      </c>
      <c r="L1655" s="30">
        <v>46136.691666666666</v>
      </c>
    </row>
    <row r="1656" spans="1:12" x14ac:dyDescent="0.25">
      <c r="A1656" t="s">
        <v>1248</v>
      </c>
      <c r="B1656">
        <v>369565</v>
      </c>
      <c r="C1656">
        <v>119883</v>
      </c>
      <c r="D1656">
        <v>352296</v>
      </c>
      <c r="E1656">
        <v>405</v>
      </c>
      <c r="F1656">
        <v>405</v>
      </c>
      <c r="G1656" t="s">
        <v>3138</v>
      </c>
      <c r="H1656">
        <v>0</v>
      </c>
      <c r="K1656" s="30">
        <v>45877.408333333333</v>
      </c>
      <c r="L1656" s="30">
        <v>46174.333333333336</v>
      </c>
    </row>
    <row r="1657" spans="1:12" x14ac:dyDescent="0.25">
      <c r="A1657" t="s">
        <v>1248</v>
      </c>
      <c r="B1657">
        <v>369566</v>
      </c>
      <c r="C1657">
        <v>119908</v>
      </c>
      <c r="D1657">
        <v>119883</v>
      </c>
      <c r="E1657">
        <v>405</v>
      </c>
      <c r="F1657">
        <v>405</v>
      </c>
      <c r="G1657" t="s">
        <v>3138</v>
      </c>
      <c r="H1657">
        <v>0</v>
      </c>
      <c r="K1657" s="30">
        <v>45953.708333333336</v>
      </c>
      <c r="L1657" s="30">
        <v>46181.333333333336</v>
      </c>
    </row>
    <row r="1658" spans="1:12" x14ac:dyDescent="0.25">
      <c r="A1658" t="s">
        <v>1248</v>
      </c>
      <c r="B1658">
        <v>369567</v>
      </c>
      <c r="C1658">
        <v>352297</v>
      </c>
      <c r="D1658">
        <v>119857</v>
      </c>
      <c r="E1658">
        <v>405</v>
      </c>
      <c r="F1658">
        <v>405</v>
      </c>
      <c r="G1658" t="s">
        <v>3138</v>
      </c>
      <c r="H1658">
        <v>0</v>
      </c>
      <c r="K1658" s="30">
        <v>45831.708333333336</v>
      </c>
      <c r="L1658" s="30">
        <v>46120.691666666666</v>
      </c>
    </row>
    <row r="1659" spans="1:12" x14ac:dyDescent="0.25">
      <c r="A1659" t="s">
        <v>1248</v>
      </c>
      <c r="B1659">
        <v>369568</v>
      </c>
      <c r="C1659">
        <v>119907</v>
      </c>
      <c r="D1659">
        <v>119882</v>
      </c>
      <c r="E1659">
        <v>405</v>
      </c>
      <c r="F1659">
        <v>405</v>
      </c>
      <c r="G1659" t="s">
        <v>3138</v>
      </c>
      <c r="H1659">
        <v>0</v>
      </c>
      <c r="K1659" s="30">
        <v>45947.708333333336</v>
      </c>
      <c r="L1659" s="30">
        <v>46162.333333333336</v>
      </c>
    </row>
    <row r="1660" spans="1:12" x14ac:dyDescent="0.25">
      <c r="A1660" t="s">
        <v>1248</v>
      </c>
      <c r="B1660">
        <v>369569</v>
      </c>
      <c r="C1660">
        <v>119882</v>
      </c>
      <c r="D1660">
        <v>352303</v>
      </c>
      <c r="E1660">
        <v>405</v>
      </c>
      <c r="F1660">
        <v>405</v>
      </c>
      <c r="G1660" t="s">
        <v>3138</v>
      </c>
      <c r="H1660">
        <v>0</v>
      </c>
      <c r="K1660" s="30">
        <v>45875.45</v>
      </c>
      <c r="L1660" s="30">
        <v>46156.333333333336</v>
      </c>
    </row>
    <row r="1661" spans="1:12" x14ac:dyDescent="0.25">
      <c r="A1661" t="s">
        <v>1248</v>
      </c>
      <c r="B1661">
        <v>369570</v>
      </c>
      <c r="C1661">
        <v>352304</v>
      </c>
      <c r="D1661">
        <v>119856</v>
      </c>
      <c r="E1661">
        <v>405</v>
      </c>
      <c r="F1661">
        <v>405</v>
      </c>
      <c r="G1661" t="s">
        <v>3138</v>
      </c>
      <c r="H1661">
        <v>0</v>
      </c>
      <c r="K1661" s="30">
        <v>45826.708333333336</v>
      </c>
      <c r="L1661" s="30">
        <v>46101.691666666666</v>
      </c>
    </row>
    <row r="1662" spans="1:12" x14ac:dyDescent="0.25">
      <c r="A1662" t="s">
        <v>1248</v>
      </c>
      <c r="B1662">
        <v>369571</v>
      </c>
      <c r="C1662">
        <v>119881</v>
      </c>
      <c r="D1662">
        <v>352310</v>
      </c>
      <c r="E1662">
        <v>405</v>
      </c>
      <c r="F1662">
        <v>405</v>
      </c>
      <c r="G1662" t="s">
        <v>3138</v>
      </c>
      <c r="H1662">
        <v>0</v>
      </c>
      <c r="K1662" s="30">
        <v>45861.35</v>
      </c>
      <c r="L1662" s="30">
        <v>46139.333333333336</v>
      </c>
    </row>
    <row r="1663" spans="1:12" x14ac:dyDescent="0.25">
      <c r="A1663" t="s">
        <v>1248</v>
      </c>
      <c r="B1663">
        <v>369572</v>
      </c>
      <c r="C1663">
        <v>119906</v>
      </c>
      <c r="D1663">
        <v>119881</v>
      </c>
      <c r="E1663">
        <v>405</v>
      </c>
      <c r="F1663">
        <v>405</v>
      </c>
      <c r="G1663" t="s">
        <v>3138</v>
      </c>
      <c r="H1663">
        <v>0</v>
      </c>
      <c r="K1663" s="30">
        <v>45943.708333333336</v>
      </c>
      <c r="L1663" s="30">
        <v>46146.333333333336</v>
      </c>
    </row>
    <row r="1664" spans="1:12" x14ac:dyDescent="0.25">
      <c r="A1664" t="s">
        <v>1248</v>
      </c>
      <c r="B1664">
        <v>369573</v>
      </c>
      <c r="C1664">
        <v>352311</v>
      </c>
      <c r="D1664">
        <v>119855</v>
      </c>
      <c r="E1664">
        <v>405</v>
      </c>
      <c r="F1664">
        <v>405</v>
      </c>
      <c r="G1664" t="s">
        <v>3138</v>
      </c>
      <c r="H1664">
        <v>0</v>
      </c>
      <c r="K1664" s="30">
        <v>45821.708333333336</v>
      </c>
      <c r="L1664" s="30">
        <v>46085.691666666666</v>
      </c>
    </row>
    <row r="1665" spans="1:12" x14ac:dyDescent="0.25">
      <c r="A1665" t="s">
        <v>1248</v>
      </c>
      <c r="B1665">
        <v>369574</v>
      </c>
      <c r="C1665">
        <v>119880</v>
      </c>
      <c r="D1665">
        <v>352317</v>
      </c>
      <c r="E1665">
        <v>405</v>
      </c>
      <c r="F1665">
        <v>405</v>
      </c>
      <c r="G1665" t="s">
        <v>3138</v>
      </c>
      <c r="H1665">
        <v>0</v>
      </c>
      <c r="K1665" s="30">
        <v>45856.558333333334</v>
      </c>
      <c r="L1665" s="30">
        <v>46121.333333333336</v>
      </c>
    </row>
    <row r="1666" spans="1:12" x14ac:dyDescent="0.25">
      <c r="A1666" t="s">
        <v>1248</v>
      </c>
      <c r="B1666">
        <v>369575</v>
      </c>
      <c r="C1666">
        <v>119905</v>
      </c>
      <c r="D1666">
        <v>119880</v>
      </c>
      <c r="E1666">
        <v>405</v>
      </c>
      <c r="F1666">
        <v>405</v>
      </c>
      <c r="G1666" t="s">
        <v>3138</v>
      </c>
      <c r="H1666">
        <v>0</v>
      </c>
      <c r="K1666" s="30">
        <v>45937.708333333336</v>
      </c>
      <c r="L1666" s="30">
        <v>46127.333333333336</v>
      </c>
    </row>
    <row r="1667" spans="1:12" x14ac:dyDescent="0.25">
      <c r="A1667" t="s">
        <v>1248</v>
      </c>
      <c r="B1667">
        <v>369576</v>
      </c>
      <c r="C1667">
        <v>352318</v>
      </c>
      <c r="D1667">
        <v>119854</v>
      </c>
      <c r="E1667">
        <v>405</v>
      </c>
      <c r="F1667">
        <v>405</v>
      </c>
      <c r="G1667" t="s">
        <v>3138</v>
      </c>
      <c r="H1667">
        <v>0</v>
      </c>
      <c r="K1667" s="30">
        <v>45818.708333333336</v>
      </c>
      <c r="L1667" s="30">
        <v>46069.691666666666</v>
      </c>
    </row>
    <row r="1668" spans="1:12" x14ac:dyDescent="0.25">
      <c r="A1668" t="s">
        <v>1248</v>
      </c>
      <c r="B1668">
        <v>369577</v>
      </c>
      <c r="C1668">
        <v>119879</v>
      </c>
      <c r="D1668">
        <v>352324</v>
      </c>
      <c r="E1668">
        <v>405</v>
      </c>
      <c r="F1668">
        <v>405</v>
      </c>
      <c r="G1668" t="s">
        <v>3138</v>
      </c>
      <c r="H1668">
        <v>0</v>
      </c>
      <c r="K1668" s="30">
        <v>45854.6</v>
      </c>
      <c r="L1668" s="30">
        <v>46104.333333333336</v>
      </c>
    </row>
    <row r="1669" spans="1:12" x14ac:dyDescent="0.25">
      <c r="A1669" t="s">
        <v>1248</v>
      </c>
      <c r="B1669">
        <v>369578</v>
      </c>
      <c r="C1669">
        <v>119904</v>
      </c>
      <c r="D1669">
        <v>119879</v>
      </c>
      <c r="E1669">
        <v>405</v>
      </c>
      <c r="F1669">
        <v>405</v>
      </c>
      <c r="G1669" t="s">
        <v>3138</v>
      </c>
      <c r="H1669">
        <v>0</v>
      </c>
      <c r="K1669" s="30">
        <v>45931.708333333336</v>
      </c>
      <c r="L1669" s="30">
        <v>46108.333333333336</v>
      </c>
    </row>
    <row r="1670" spans="1:12" x14ac:dyDescent="0.25">
      <c r="A1670" t="s">
        <v>1248</v>
      </c>
      <c r="B1670">
        <v>369579</v>
      </c>
      <c r="C1670">
        <v>352325</v>
      </c>
      <c r="D1670">
        <v>119853</v>
      </c>
      <c r="E1670">
        <v>405</v>
      </c>
      <c r="F1670">
        <v>405</v>
      </c>
      <c r="G1670" t="s">
        <v>3138</v>
      </c>
      <c r="H1670">
        <v>0</v>
      </c>
      <c r="K1670" s="30">
        <v>45813.708333333336</v>
      </c>
      <c r="L1670" s="30">
        <v>46051.691666666666</v>
      </c>
    </row>
    <row r="1671" spans="1:12" x14ac:dyDescent="0.25">
      <c r="A1671" t="s">
        <v>1248</v>
      </c>
      <c r="B1671">
        <v>369580</v>
      </c>
      <c r="C1671">
        <v>119878</v>
      </c>
      <c r="D1671">
        <v>352331</v>
      </c>
      <c r="E1671">
        <v>405</v>
      </c>
      <c r="F1671">
        <v>405</v>
      </c>
      <c r="G1671" t="s">
        <v>3138</v>
      </c>
      <c r="H1671">
        <v>0</v>
      </c>
      <c r="K1671" s="30">
        <v>45852.64166666667</v>
      </c>
      <c r="L1671" s="30">
        <v>46086.333333333336</v>
      </c>
    </row>
    <row r="1672" spans="1:12" x14ac:dyDescent="0.25">
      <c r="A1672" t="s">
        <v>1248</v>
      </c>
      <c r="B1672">
        <v>369581</v>
      </c>
      <c r="C1672">
        <v>119903</v>
      </c>
      <c r="D1672">
        <v>119878</v>
      </c>
      <c r="E1672">
        <v>405</v>
      </c>
      <c r="F1672">
        <v>405</v>
      </c>
      <c r="G1672" t="s">
        <v>3138</v>
      </c>
      <c r="H1672">
        <v>0</v>
      </c>
      <c r="K1672" s="30">
        <v>45925.708333333336</v>
      </c>
      <c r="L1672" s="30">
        <v>46092.333333333336</v>
      </c>
    </row>
    <row r="1673" spans="1:12" x14ac:dyDescent="0.25">
      <c r="A1673" t="s">
        <v>1248</v>
      </c>
      <c r="B1673">
        <v>369582</v>
      </c>
      <c r="C1673">
        <v>352332</v>
      </c>
      <c r="D1673">
        <v>119852</v>
      </c>
      <c r="E1673">
        <v>405</v>
      </c>
      <c r="F1673">
        <v>405</v>
      </c>
      <c r="G1673" t="s">
        <v>3138</v>
      </c>
      <c r="H1673">
        <v>0</v>
      </c>
      <c r="K1673" s="30">
        <v>45810.708333333336</v>
      </c>
      <c r="L1673" s="30">
        <v>46035.691666666666</v>
      </c>
    </row>
    <row r="1674" spans="1:12" x14ac:dyDescent="0.25">
      <c r="A1674" t="s">
        <v>1248</v>
      </c>
      <c r="B1674">
        <v>369583</v>
      </c>
      <c r="C1674">
        <v>119877</v>
      </c>
      <c r="D1674">
        <v>352338</v>
      </c>
      <c r="E1674">
        <v>405</v>
      </c>
      <c r="F1674">
        <v>405</v>
      </c>
      <c r="G1674" t="s">
        <v>3138</v>
      </c>
      <c r="H1674">
        <v>0</v>
      </c>
      <c r="K1674" s="30">
        <v>45848.683333333334</v>
      </c>
      <c r="L1674" s="30">
        <v>46070.333333333336</v>
      </c>
    </row>
    <row r="1675" spans="1:12" x14ac:dyDescent="0.25">
      <c r="A1675" t="s">
        <v>1248</v>
      </c>
      <c r="B1675">
        <v>369584</v>
      </c>
      <c r="C1675">
        <v>119902</v>
      </c>
      <c r="D1675">
        <v>119877</v>
      </c>
      <c r="E1675">
        <v>405</v>
      </c>
      <c r="F1675">
        <v>405</v>
      </c>
      <c r="G1675" t="s">
        <v>3138</v>
      </c>
      <c r="H1675">
        <v>0</v>
      </c>
      <c r="K1675" s="30">
        <v>45919.708333333336</v>
      </c>
      <c r="L1675" s="30">
        <v>46076.333333333336</v>
      </c>
    </row>
    <row r="1676" spans="1:12" x14ac:dyDescent="0.25">
      <c r="A1676" t="s">
        <v>1248</v>
      </c>
      <c r="B1676">
        <v>369585</v>
      </c>
      <c r="C1676">
        <v>352339</v>
      </c>
      <c r="D1676">
        <v>119851</v>
      </c>
      <c r="E1676">
        <v>405</v>
      </c>
      <c r="F1676">
        <v>405</v>
      </c>
      <c r="G1676" t="s">
        <v>3138</v>
      </c>
      <c r="H1676">
        <v>0</v>
      </c>
      <c r="K1676" s="30">
        <v>45805.708333333336</v>
      </c>
      <c r="L1676" s="30">
        <v>46016.65</v>
      </c>
    </row>
    <row r="1677" spans="1:12" x14ac:dyDescent="0.25">
      <c r="A1677" t="s">
        <v>1248</v>
      </c>
      <c r="B1677">
        <v>369586</v>
      </c>
      <c r="C1677">
        <v>119876</v>
      </c>
      <c r="D1677">
        <v>352345</v>
      </c>
      <c r="E1677">
        <v>405</v>
      </c>
      <c r="F1677">
        <v>405</v>
      </c>
      <c r="G1677" t="s">
        <v>3138</v>
      </c>
      <c r="H1677">
        <v>0</v>
      </c>
      <c r="K1677" s="30">
        <v>45847.39166666667</v>
      </c>
      <c r="L1677" s="30">
        <v>46052.333333333336</v>
      </c>
    </row>
    <row r="1678" spans="1:12" x14ac:dyDescent="0.25">
      <c r="A1678" t="s">
        <v>1248</v>
      </c>
      <c r="B1678">
        <v>369587</v>
      </c>
      <c r="C1678">
        <v>119901</v>
      </c>
      <c r="D1678">
        <v>119876</v>
      </c>
      <c r="E1678">
        <v>405</v>
      </c>
      <c r="F1678">
        <v>405</v>
      </c>
      <c r="G1678" t="s">
        <v>3138</v>
      </c>
      <c r="H1678">
        <v>0</v>
      </c>
      <c r="K1678" s="30">
        <v>45915.708333333336</v>
      </c>
      <c r="L1678" s="30">
        <v>46058.333333333336</v>
      </c>
    </row>
    <row r="1679" spans="1:12" x14ac:dyDescent="0.25">
      <c r="A1679" t="s">
        <v>1248</v>
      </c>
      <c r="B1679">
        <v>369588</v>
      </c>
      <c r="C1679">
        <v>352352</v>
      </c>
      <c r="D1679">
        <v>119850</v>
      </c>
      <c r="E1679">
        <v>405</v>
      </c>
      <c r="F1679">
        <v>405</v>
      </c>
      <c r="G1679" t="s">
        <v>3138</v>
      </c>
      <c r="H1679">
        <v>0</v>
      </c>
      <c r="K1679" s="30">
        <v>45800.708333333336</v>
      </c>
      <c r="L1679" s="30">
        <v>45999.60833333333</v>
      </c>
    </row>
    <row r="1680" spans="1:12" x14ac:dyDescent="0.25">
      <c r="A1680" t="s">
        <v>1248</v>
      </c>
      <c r="B1680">
        <v>369590</v>
      </c>
      <c r="C1680">
        <v>119900</v>
      </c>
      <c r="D1680">
        <v>119875</v>
      </c>
      <c r="E1680">
        <v>405</v>
      </c>
      <c r="F1680">
        <v>405</v>
      </c>
      <c r="G1680" t="s">
        <v>3138</v>
      </c>
      <c r="H1680">
        <v>0</v>
      </c>
      <c r="K1680" s="30">
        <v>45909.708333333336</v>
      </c>
      <c r="L1680" s="30">
        <v>46042.333333333336</v>
      </c>
    </row>
    <row r="1681" spans="1:49" x14ac:dyDescent="0.25">
      <c r="A1681" t="s">
        <v>1248</v>
      </c>
      <c r="B1681">
        <v>369591</v>
      </c>
      <c r="C1681">
        <v>119875</v>
      </c>
      <c r="D1681">
        <v>352346</v>
      </c>
      <c r="E1681">
        <v>405</v>
      </c>
      <c r="F1681">
        <v>405</v>
      </c>
      <c r="G1681" t="s">
        <v>3138</v>
      </c>
      <c r="H1681">
        <v>0</v>
      </c>
      <c r="K1681" s="30">
        <v>45841.433333333334</v>
      </c>
      <c r="L1681" s="30">
        <v>46036.333333333336</v>
      </c>
    </row>
    <row r="1682" spans="1:49" x14ac:dyDescent="0.25">
      <c r="A1682" t="s">
        <v>1248</v>
      </c>
      <c r="B1682">
        <v>369592</v>
      </c>
      <c r="C1682">
        <v>352359</v>
      </c>
      <c r="D1682">
        <v>119849</v>
      </c>
      <c r="E1682">
        <v>405</v>
      </c>
      <c r="F1682">
        <v>405</v>
      </c>
      <c r="G1682" t="s">
        <v>3138</v>
      </c>
      <c r="H1682">
        <v>0</v>
      </c>
      <c r="K1682" s="30">
        <v>45797.708333333336</v>
      </c>
      <c r="L1682" s="30">
        <v>45993.60833333333</v>
      </c>
    </row>
    <row r="1683" spans="1:49" x14ac:dyDescent="0.25">
      <c r="A1683" t="s">
        <v>1248</v>
      </c>
      <c r="B1683">
        <v>369593</v>
      </c>
      <c r="C1683">
        <v>119874</v>
      </c>
      <c r="D1683">
        <v>352353</v>
      </c>
      <c r="E1683">
        <v>405</v>
      </c>
      <c r="F1683">
        <v>405</v>
      </c>
      <c r="G1683" t="s">
        <v>3138</v>
      </c>
      <c r="H1683">
        <v>0</v>
      </c>
      <c r="K1683" s="30">
        <v>45839.433333333334</v>
      </c>
      <c r="L1683" s="30">
        <v>46030.333333333336</v>
      </c>
    </row>
    <row r="1684" spans="1:49" x14ac:dyDescent="0.25">
      <c r="A1684" t="s">
        <v>1248</v>
      </c>
      <c r="B1684">
        <v>369594</v>
      </c>
      <c r="C1684">
        <v>352360</v>
      </c>
      <c r="D1684">
        <v>119848</v>
      </c>
      <c r="E1684">
        <v>405</v>
      </c>
      <c r="F1684">
        <v>405</v>
      </c>
      <c r="G1684" t="s">
        <v>3138</v>
      </c>
      <c r="H1684">
        <v>0</v>
      </c>
      <c r="K1684" s="30">
        <v>45792.708333333336</v>
      </c>
      <c r="L1684" s="30">
        <v>45859.60833333333</v>
      </c>
    </row>
    <row r="1685" spans="1:49" x14ac:dyDescent="0.25">
      <c r="A1685" t="s">
        <v>1248</v>
      </c>
      <c r="B1685">
        <v>369595</v>
      </c>
      <c r="C1685">
        <v>119873</v>
      </c>
      <c r="D1685">
        <v>352366</v>
      </c>
      <c r="E1685">
        <v>405</v>
      </c>
      <c r="F1685">
        <v>405</v>
      </c>
      <c r="G1685" t="s">
        <v>3138</v>
      </c>
      <c r="H1685">
        <v>0</v>
      </c>
      <c r="K1685" s="30">
        <v>45835.433333333334</v>
      </c>
      <c r="L1685" s="30">
        <v>45894.333333333336</v>
      </c>
    </row>
    <row r="1686" spans="1:49" x14ac:dyDescent="0.25">
      <c r="A1686" t="s">
        <v>1248</v>
      </c>
      <c r="B1686">
        <v>369596</v>
      </c>
      <c r="C1686">
        <v>352045</v>
      </c>
      <c r="D1686">
        <v>119945</v>
      </c>
      <c r="E1686">
        <v>405</v>
      </c>
      <c r="F1686">
        <v>405</v>
      </c>
      <c r="G1686" t="s">
        <v>3138</v>
      </c>
      <c r="H1686">
        <v>0</v>
      </c>
      <c r="K1686" s="30">
        <v>45789.708333333336</v>
      </c>
      <c r="L1686" s="30">
        <v>45855.60833333333</v>
      </c>
    </row>
    <row r="1687" spans="1:49" x14ac:dyDescent="0.25">
      <c r="A1687" t="s">
        <v>1248</v>
      </c>
      <c r="B1687">
        <v>369597</v>
      </c>
      <c r="C1687">
        <v>119987</v>
      </c>
      <c r="D1687">
        <v>352051</v>
      </c>
      <c r="E1687">
        <v>405</v>
      </c>
      <c r="F1687">
        <v>405</v>
      </c>
      <c r="G1687" t="s">
        <v>3138</v>
      </c>
      <c r="H1687">
        <v>0</v>
      </c>
      <c r="K1687" s="30">
        <v>45820.625</v>
      </c>
      <c r="L1687" s="30">
        <v>45888.333333333336</v>
      </c>
    </row>
    <row r="1688" spans="1:49" x14ac:dyDescent="0.25">
      <c r="A1688" t="s">
        <v>1248</v>
      </c>
      <c r="B1688">
        <v>369598</v>
      </c>
      <c r="C1688">
        <v>352052</v>
      </c>
      <c r="D1688">
        <v>119944</v>
      </c>
      <c r="E1688">
        <v>405</v>
      </c>
      <c r="F1688">
        <v>405</v>
      </c>
      <c r="G1688" t="s">
        <v>3138</v>
      </c>
      <c r="H1688">
        <v>0</v>
      </c>
      <c r="K1688" s="30">
        <v>45784.708333333336</v>
      </c>
      <c r="L1688" s="30">
        <v>45853.65</v>
      </c>
    </row>
    <row r="1689" spans="1:49" x14ac:dyDescent="0.25">
      <c r="A1689" t="s">
        <v>1248</v>
      </c>
      <c r="B1689">
        <v>369599</v>
      </c>
      <c r="C1689">
        <v>119986</v>
      </c>
      <c r="D1689">
        <v>352058</v>
      </c>
      <c r="E1689">
        <v>405</v>
      </c>
      <c r="F1689">
        <v>405</v>
      </c>
      <c r="G1689" t="s">
        <v>3138</v>
      </c>
      <c r="H1689">
        <v>0</v>
      </c>
      <c r="K1689" s="30">
        <v>45817.708333333336</v>
      </c>
      <c r="L1689" s="30">
        <v>45882.333333333336</v>
      </c>
    </row>
    <row r="1690" spans="1:49" x14ac:dyDescent="0.25">
      <c r="A1690" t="s">
        <v>1248</v>
      </c>
      <c r="B1690">
        <v>369600</v>
      </c>
      <c r="C1690">
        <v>352059</v>
      </c>
      <c r="D1690">
        <v>119943</v>
      </c>
      <c r="E1690">
        <v>405</v>
      </c>
      <c r="F1690">
        <v>405</v>
      </c>
      <c r="G1690" t="s">
        <v>3138</v>
      </c>
      <c r="H1690">
        <v>0</v>
      </c>
      <c r="K1690" s="30">
        <v>45779.708333333336</v>
      </c>
      <c r="L1690" s="30">
        <v>45849.666666666664</v>
      </c>
    </row>
    <row r="1691" spans="1:49" x14ac:dyDescent="0.25">
      <c r="A1691" t="s">
        <v>1248</v>
      </c>
      <c r="B1691">
        <v>369601</v>
      </c>
      <c r="C1691">
        <v>119985</v>
      </c>
      <c r="D1691">
        <v>352065</v>
      </c>
      <c r="E1691">
        <v>405</v>
      </c>
      <c r="F1691">
        <v>405</v>
      </c>
      <c r="G1691" t="s">
        <v>3138</v>
      </c>
      <c r="H1691">
        <v>0</v>
      </c>
      <c r="K1691" s="30">
        <v>45814.375</v>
      </c>
      <c r="L1691" s="30">
        <v>45876.333333333336</v>
      </c>
    </row>
    <row r="1692" spans="1:49" x14ac:dyDescent="0.25">
      <c r="A1692" t="s">
        <v>1258</v>
      </c>
      <c r="B1692" t="s">
        <v>3137</v>
      </c>
    </row>
    <row r="1693" spans="1:49" x14ac:dyDescent="0.25">
      <c r="A1693" t="s">
        <v>1256</v>
      </c>
      <c r="B1693" t="s">
        <v>3136</v>
      </c>
      <c r="C1693" t="s">
        <v>3135</v>
      </c>
      <c r="D1693" t="s">
        <v>1253</v>
      </c>
      <c r="E1693" t="s">
        <v>3134</v>
      </c>
      <c r="F1693" t="s">
        <v>3133</v>
      </c>
      <c r="G1693" t="s">
        <v>3132</v>
      </c>
      <c r="H1693" t="s">
        <v>3131</v>
      </c>
      <c r="I1693" t="s">
        <v>3130</v>
      </c>
      <c r="J1693" t="s">
        <v>3129</v>
      </c>
      <c r="K1693" t="s">
        <v>3128</v>
      </c>
      <c r="L1693" t="s">
        <v>3127</v>
      </c>
      <c r="M1693" t="s">
        <v>3126</v>
      </c>
      <c r="N1693" t="s">
        <v>3125</v>
      </c>
      <c r="O1693" t="s">
        <v>3124</v>
      </c>
      <c r="P1693" t="s">
        <v>3123</v>
      </c>
      <c r="Q1693" t="s">
        <v>3122</v>
      </c>
      <c r="R1693" t="s">
        <v>3121</v>
      </c>
      <c r="S1693" t="s">
        <v>3120</v>
      </c>
      <c r="T1693" t="s">
        <v>3119</v>
      </c>
      <c r="U1693" t="s">
        <v>3118</v>
      </c>
      <c r="V1693" t="s">
        <v>3117</v>
      </c>
      <c r="W1693" t="s">
        <v>3116</v>
      </c>
      <c r="X1693" t="s">
        <v>3115</v>
      </c>
      <c r="Y1693" t="s">
        <v>3114</v>
      </c>
      <c r="Z1693" t="s">
        <v>3113</v>
      </c>
      <c r="AA1693" t="s">
        <v>3112</v>
      </c>
      <c r="AB1693" t="s">
        <v>3111</v>
      </c>
      <c r="AC1693" t="s">
        <v>3110</v>
      </c>
      <c r="AD1693" t="s">
        <v>3109</v>
      </c>
      <c r="AE1693" t="s">
        <v>3108</v>
      </c>
      <c r="AF1693" t="s">
        <v>3107</v>
      </c>
      <c r="AG1693" t="s">
        <v>3106</v>
      </c>
      <c r="AH1693" t="s">
        <v>3105</v>
      </c>
      <c r="AI1693" t="s">
        <v>3104</v>
      </c>
      <c r="AJ1693" t="s">
        <v>3103</v>
      </c>
      <c r="AK1693" t="s">
        <v>3102</v>
      </c>
      <c r="AL1693" t="s">
        <v>3101</v>
      </c>
      <c r="AM1693" t="s">
        <v>3100</v>
      </c>
      <c r="AN1693" t="s">
        <v>3099</v>
      </c>
      <c r="AO1693" t="s">
        <v>3098</v>
      </c>
      <c r="AP1693" t="s">
        <v>3097</v>
      </c>
      <c r="AQ1693" t="s">
        <v>3096</v>
      </c>
      <c r="AR1693" t="s">
        <v>3095</v>
      </c>
      <c r="AS1693" t="s">
        <v>3094</v>
      </c>
      <c r="AT1693" t="s">
        <v>3093</v>
      </c>
      <c r="AU1693" t="s">
        <v>3092</v>
      </c>
      <c r="AV1693" t="s">
        <v>3091</v>
      </c>
      <c r="AW1693" t="s">
        <v>3090</v>
      </c>
    </row>
    <row r="1694" spans="1:49" x14ac:dyDescent="0.25">
      <c r="A1694" t="s">
        <v>1248</v>
      </c>
      <c r="B1694">
        <v>167201</v>
      </c>
      <c r="C1694">
        <v>119794</v>
      </c>
      <c r="D1694">
        <v>405</v>
      </c>
      <c r="E1694" t="s">
        <v>1265</v>
      </c>
      <c r="G1694">
        <v>745</v>
      </c>
      <c r="H1694">
        <v>1498</v>
      </c>
      <c r="K1694">
        <v>1807</v>
      </c>
      <c r="L1694">
        <v>1807</v>
      </c>
      <c r="M1694" s="29">
        <v>225875</v>
      </c>
      <c r="N1694">
        <v>0</v>
      </c>
      <c r="O1694" s="29">
        <v>225875</v>
      </c>
      <c r="P1694">
        <v>0</v>
      </c>
      <c r="Q1694">
        <v>0</v>
      </c>
      <c r="R1694">
        <v>0</v>
      </c>
      <c r="S1694">
        <v>0</v>
      </c>
      <c r="T1694" s="29">
        <v>60000</v>
      </c>
      <c r="U1694" s="29">
        <v>108420000</v>
      </c>
      <c r="V1694" t="s">
        <v>1262</v>
      </c>
      <c r="W1694" t="s">
        <v>1262</v>
      </c>
      <c r="X1694" s="29">
        <v>108420000</v>
      </c>
      <c r="AA1694" s="30">
        <v>46153.333333333336</v>
      </c>
      <c r="AB1694" s="30">
        <v>46293.708333333336</v>
      </c>
      <c r="AC1694" s="30">
        <v>46153.333333333336</v>
      </c>
      <c r="AD1694" s="30">
        <v>46293.708333333336</v>
      </c>
      <c r="AE1694" s="30">
        <v>46374.333333333336</v>
      </c>
      <c r="AF1694" s="30">
        <v>46519.708333333336</v>
      </c>
      <c r="AG1694" t="s">
        <v>1266</v>
      </c>
      <c r="AK1694" t="s">
        <v>1265</v>
      </c>
      <c r="AL1694" t="s">
        <v>3089</v>
      </c>
      <c r="AM1694" t="s">
        <v>1263</v>
      </c>
      <c r="AN1694" t="s">
        <v>1262</v>
      </c>
      <c r="AO1694">
        <v>0</v>
      </c>
      <c r="AQ1694" t="s">
        <v>1261</v>
      </c>
      <c r="AR1694" t="s">
        <v>1260</v>
      </c>
      <c r="AS1694" t="s">
        <v>2716</v>
      </c>
      <c r="AT1694" s="30">
        <v>45979.672222222223</v>
      </c>
    </row>
    <row r="1695" spans="1:49" x14ac:dyDescent="0.25">
      <c r="A1695" t="s">
        <v>1248</v>
      </c>
      <c r="B1695">
        <v>170213</v>
      </c>
      <c r="C1695">
        <v>229301</v>
      </c>
      <c r="D1695">
        <v>405</v>
      </c>
      <c r="E1695" t="s">
        <v>1265</v>
      </c>
      <c r="G1695">
        <v>745</v>
      </c>
      <c r="H1695">
        <v>1498</v>
      </c>
      <c r="K1695" t="s">
        <v>3088</v>
      </c>
      <c r="L1695" t="s">
        <v>3088</v>
      </c>
      <c r="M1695" s="29">
        <v>6600825</v>
      </c>
      <c r="N1695">
        <v>0</v>
      </c>
      <c r="O1695" s="29">
        <v>6600825</v>
      </c>
      <c r="P1695">
        <v>0</v>
      </c>
      <c r="Q1695">
        <v>0</v>
      </c>
      <c r="R1695">
        <v>0</v>
      </c>
      <c r="S1695">
        <v>0</v>
      </c>
      <c r="T1695" s="29">
        <v>60000</v>
      </c>
      <c r="U1695" s="29">
        <v>316839600</v>
      </c>
      <c r="V1695" t="s">
        <v>1262</v>
      </c>
      <c r="W1695" t="s">
        <v>1262</v>
      </c>
      <c r="X1695" s="29">
        <v>316839600</v>
      </c>
      <c r="AA1695" s="30">
        <v>45797.333333333336</v>
      </c>
      <c r="AB1695" s="30">
        <v>45936.708333333336</v>
      </c>
      <c r="AC1695" s="30">
        <v>45797.333333333336</v>
      </c>
      <c r="AD1695" s="30">
        <v>45936.708333333336</v>
      </c>
      <c r="AE1695" s="30">
        <v>46016.333333333336</v>
      </c>
      <c r="AF1695" s="30">
        <v>46161.708333333336</v>
      </c>
      <c r="AG1695" t="s">
        <v>1266</v>
      </c>
      <c r="AK1695" t="s">
        <v>1265</v>
      </c>
      <c r="AL1695" t="s">
        <v>3087</v>
      </c>
      <c r="AM1695" t="s">
        <v>1263</v>
      </c>
      <c r="AN1695" t="s">
        <v>1262</v>
      </c>
      <c r="AO1695">
        <v>0</v>
      </c>
      <c r="AQ1695" t="s">
        <v>1261</v>
      </c>
      <c r="AR1695" t="s">
        <v>1260</v>
      </c>
      <c r="AS1695" t="s">
        <v>2716</v>
      </c>
      <c r="AT1695" s="30">
        <v>45983.82708333333</v>
      </c>
    </row>
    <row r="1696" spans="1:49" x14ac:dyDescent="0.25">
      <c r="A1696" t="s">
        <v>1248</v>
      </c>
      <c r="B1696">
        <v>170220</v>
      </c>
      <c r="C1696">
        <v>119794</v>
      </c>
      <c r="D1696">
        <v>405</v>
      </c>
      <c r="E1696" t="s">
        <v>1266</v>
      </c>
      <c r="G1696">
        <v>745</v>
      </c>
      <c r="H1696">
        <v>1671</v>
      </c>
      <c r="K1696" t="s">
        <v>3086</v>
      </c>
      <c r="L1696" t="s">
        <v>3086</v>
      </c>
      <c r="M1696" s="29">
        <v>489609375</v>
      </c>
      <c r="N1696">
        <v>0</v>
      </c>
      <c r="O1696" s="29">
        <v>489609375</v>
      </c>
      <c r="P1696">
        <v>0</v>
      </c>
      <c r="Q1696">
        <v>0</v>
      </c>
      <c r="R1696">
        <v>0</v>
      </c>
      <c r="T1696" t="s">
        <v>1262</v>
      </c>
      <c r="U1696" t="s">
        <v>1262</v>
      </c>
      <c r="V1696" t="s">
        <v>1262</v>
      </c>
      <c r="W1696" t="s">
        <v>1262</v>
      </c>
      <c r="X1696" t="s">
        <v>1262</v>
      </c>
      <c r="AA1696" s="30">
        <v>46153.333333333336</v>
      </c>
      <c r="AB1696" s="30">
        <v>46293.708333333336</v>
      </c>
      <c r="AC1696" s="30">
        <v>46153.333333333336</v>
      </c>
      <c r="AD1696" s="30">
        <v>46293.708333333336</v>
      </c>
      <c r="AE1696" s="30">
        <v>46374.333333333336</v>
      </c>
      <c r="AF1696" s="30">
        <v>46519.708333333336</v>
      </c>
      <c r="AG1696" t="s">
        <v>1266</v>
      </c>
      <c r="AK1696" t="s">
        <v>1265</v>
      </c>
      <c r="AL1696" t="s">
        <v>3085</v>
      </c>
      <c r="AM1696" t="s">
        <v>1263</v>
      </c>
      <c r="AN1696" t="s">
        <v>1262</v>
      </c>
      <c r="AO1696">
        <v>0</v>
      </c>
      <c r="AQ1696" t="s">
        <v>1261</v>
      </c>
      <c r="AR1696" t="s">
        <v>1260</v>
      </c>
      <c r="AS1696" t="s">
        <v>2716</v>
      </c>
      <c r="AT1696" s="30">
        <v>45985.413194444445</v>
      </c>
    </row>
    <row r="1697" spans="1:46" x14ac:dyDescent="0.25">
      <c r="A1697" t="s">
        <v>1248</v>
      </c>
      <c r="B1697">
        <v>170221</v>
      </c>
      <c r="C1697">
        <v>119794</v>
      </c>
      <c r="D1697">
        <v>405</v>
      </c>
      <c r="E1697" t="s">
        <v>1266</v>
      </c>
      <c r="G1697">
        <v>745</v>
      </c>
      <c r="H1697">
        <v>1673</v>
      </c>
      <c r="K1697" s="29">
        <v>142587037</v>
      </c>
      <c r="L1697" s="29">
        <v>142587037</v>
      </c>
      <c r="M1697" s="29">
        <v>178233796</v>
      </c>
      <c r="N1697">
        <v>0</v>
      </c>
      <c r="O1697" s="29">
        <v>178233796</v>
      </c>
      <c r="P1697">
        <v>0</v>
      </c>
      <c r="Q1697">
        <v>0</v>
      </c>
      <c r="R1697">
        <v>0</v>
      </c>
      <c r="T1697" s="29">
        <v>108000</v>
      </c>
      <c r="U1697" s="29">
        <v>405517533</v>
      </c>
      <c r="V1697" t="s">
        <v>1262</v>
      </c>
      <c r="W1697" t="s">
        <v>1262</v>
      </c>
      <c r="X1697" s="29">
        <v>405517533</v>
      </c>
      <c r="AA1697" s="30">
        <v>46153.333333333336</v>
      </c>
      <c r="AB1697" s="30">
        <v>46293.708333333336</v>
      </c>
      <c r="AC1697" s="30">
        <v>46153.333333333336</v>
      </c>
      <c r="AD1697" s="30">
        <v>46293.708333333336</v>
      </c>
      <c r="AE1697" s="30">
        <v>46374.333333333336</v>
      </c>
      <c r="AF1697" s="30">
        <v>46519.708333333336</v>
      </c>
      <c r="AG1697" t="s">
        <v>1266</v>
      </c>
      <c r="AK1697" t="s">
        <v>1265</v>
      </c>
      <c r="AL1697" t="s">
        <v>3084</v>
      </c>
      <c r="AM1697" t="s">
        <v>1263</v>
      </c>
      <c r="AN1697" t="s">
        <v>1262</v>
      </c>
      <c r="AO1697">
        <v>0</v>
      </c>
      <c r="AQ1697" t="s">
        <v>1261</v>
      </c>
      <c r="AR1697" t="s">
        <v>1260</v>
      </c>
      <c r="AS1697" t="s">
        <v>2716</v>
      </c>
      <c r="AT1697" s="30">
        <v>45985.413888888892</v>
      </c>
    </row>
    <row r="1698" spans="1:46" x14ac:dyDescent="0.25">
      <c r="A1698" t="s">
        <v>1248</v>
      </c>
      <c r="B1698">
        <v>170222</v>
      </c>
      <c r="C1698">
        <v>119794</v>
      </c>
      <c r="D1698">
        <v>405</v>
      </c>
      <c r="E1698" t="s">
        <v>1266</v>
      </c>
      <c r="G1698">
        <v>745</v>
      </c>
      <c r="H1698">
        <v>1805</v>
      </c>
      <c r="K1698">
        <v>2146</v>
      </c>
      <c r="L1698">
        <v>2146</v>
      </c>
      <c r="M1698" s="29">
        <v>26825</v>
      </c>
      <c r="N1698">
        <v>0</v>
      </c>
      <c r="O1698" s="29">
        <v>26825</v>
      </c>
      <c r="P1698">
        <v>0</v>
      </c>
      <c r="Q1698">
        <v>0</v>
      </c>
      <c r="R1698">
        <v>0</v>
      </c>
      <c r="T1698" s="29">
        <v>10000</v>
      </c>
      <c r="U1698" s="29">
        <v>21460000</v>
      </c>
      <c r="V1698" t="s">
        <v>1262</v>
      </c>
      <c r="W1698" t="s">
        <v>1262</v>
      </c>
      <c r="X1698" s="29">
        <v>21460000</v>
      </c>
      <c r="AA1698" s="30">
        <v>46153.333333333336</v>
      </c>
      <c r="AB1698" s="30">
        <v>46293.708333333336</v>
      </c>
      <c r="AC1698" s="30">
        <v>46153.333333333336</v>
      </c>
      <c r="AD1698" s="30">
        <v>46293.708333333336</v>
      </c>
      <c r="AE1698" s="30">
        <v>46374.333333333336</v>
      </c>
      <c r="AF1698" s="30">
        <v>46519.708333333336</v>
      </c>
      <c r="AG1698" t="s">
        <v>1266</v>
      </c>
      <c r="AK1698" t="s">
        <v>1265</v>
      </c>
      <c r="AL1698" t="s">
        <v>3083</v>
      </c>
      <c r="AM1698" t="s">
        <v>1263</v>
      </c>
      <c r="AN1698" t="s">
        <v>1262</v>
      </c>
      <c r="AO1698">
        <v>0</v>
      </c>
      <c r="AQ1698" t="s">
        <v>1261</v>
      </c>
      <c r="AR1698" t="s">
        <v>1260</v>
      </c>
      <c r="AS1698" t="s">
        <v>2716</v>
      </c>
      <c r="AT1698" s="30">
        <v>45985.413888888892</v>
      </c>
    </row>
    <row r="1699" spans="1:46" x14ac:dyDescent="0.25">
      <c r="A1699" t="s">
        <v>1248</v>
      </c>
      <c r="B1699">
        <v>170223</v>
      </c>
      <c r="C1699">
        <v>119794</v>
      </c>
      <c r="D1699">
        <v>405</v>
      </c>
      <c r="E1699" t="s">
        <v>1265</v>
      </c>
      <c r="G1699">
        <v>745</v>
      </c>
      <c r="H1699">
        <v>1807</v>
      </c>
      <c r="K1699">
        <v>190</v>
      </c>
      <c r="L1699">
        <v>190</v>
      </c>
      <c r="M1699" t="s">
        <v>3064</v>
      </c>
      <c r="N1699">
        <v>0</v>
      </c>
      <c r="O1699" t="s">
        <v>3064</v>
      </c>
      <c r="P1699">
        <v>0</v>
      </c>
      <c r="Q1699">
        <v>0</v>
      </c>
      <c r="R1699">
        <v>0</v>
      </c>
      <c r="T1699" s="29">
        <v>123505</v>
      </c>
      <c r="U1699" s="29">
        <v>23465950</v>
      </c>
      <c r="V1699" t="s">
        <v>1262</v>
      </c>
      <c r="W1699" t="s">
        <v>1262</v>
      </c>
      <c r="X1699" s="29">
        <v>23465950</v>
      </c>
      <c r="AA1699" s="30">
        <v>46153.333333333336</v>
      </c>
      <c r="AB1699" s="30">
        <v>46293.708333333336</v>
      </c>
      <c r="AC1699" s="30">
        <v>46153.333333333336</v>
      </c>
      <c r="AD1699" s="30">
        <v>46293.708333333336</v>
      </c>
      <c r="AE1699" s="30">
        <v>46374.333333333336</v>
      </c>
      <c r="AF1699" s="30">
        <v>46519.708333333336</v>
      </c>
      <c r="AG1699" t="s">
        <v>1266</v>
      </c>
      <c r="AK1699" t="s">
        <v>1265</v>
      </c>
      <c r="AL1699" t="s">
        <v>3082</v>
      </c>
      <c r="AM1699" t="s">
        <v>1263</v>
      </c>
      <c r="AN1699" t="s">
        <v>1262</v>
      </c>
      <c r="AO1699">
        <v>0</v>
      </c>
      <c r="AQ1699" t="s">
        <v>1261</v>
      </c>
      <c r="AR1699" t="s">
        <v>1260</v>
      </c>
      <c r="AS1699" t="s">
        <v>2716</v>
      </c>
      <c r="AT1699" s="30">
        <v>45985.413888888892</v>
      </c>
    </row>
    <row r="1700" spans="1:46" x14ac:dyDescent="0.25">
      <c r="A1700" t="s">
        <v>1248</v>
      </c>
      <c r="B1700">
        <v>170224</v>
      </c>
      <c r="C1700">
        <v>119794</v>
      </c>
      <c r="D1700">
        <v>405</v>
      </c>
      <c r="E1700" t="s">
        <v>1266</v>
      </c>
      <c r="G1700">
        <v>745</v>
      </c>
      <c r="H1700">
        <v>1809</v>
      </c>
      <c r="K1700">
        <v>68</v>
      </c>
      <c r="L1700">
        <v>68</v>
      </c>
      <c r="M1700" t="s">
        <v>3081</v>
      </c>
      <c r="N1700">
        <v>0</v>
      </c>
      <c r="O1700" t="s">
        <v>3081</v>
      </c>
      <c r="P1700">
        <v>0</v>
      </c>
      <c r="Q1700">
        <v>0</v>
      </c>
      <c r="R1700">
        <v>0</v>
      </c>
      <c r="T1700" s="29">
        <v>1400000</v>
      </c>
      <c r="U1700" s="29">
        <v>95200000</v>
      </c>
      <c r="V1700" t="s">
        <v>1262</v>
      </c>
      <c r="W1700" t="s">
        <v>1262</v>
      </c>
      <c r="X1700" s="29">
        <v>95200000</v>
      </c>
      <c r="AA1700" s="30">
        <v>46153.333333333336</v>
      </c>
      <c r="AB1700" s="30">
        <v>46293.708333333336</v>
      </c>
      <c r="AC1700" s="30">
        <v>46153.333333333336</v>
      </c>
      <c r="AD1700" s="30">
        <v>46293.708333333336</v>
      </c>
      <c r="AE1700" s="30">
        <v>46374.333333333336</v>
      </c>
      <c r="AF1700" s="30">
        <v>46519.708333333336</v>
      </c>
      <c r="AG1700" t="s">
        <v>1266</v>
      </c>
      <c r="AK1700" t="s">
        <v>1265</v>
      </c>
      <c r="AL1700" t="s">
        <v>3080</v>
      </c>
      <c r="AM1700" t="s">
        <v>1263</v>
      </c>
      <c r="AN1700" t="s">
        <v>1262</v>
      </c>
      <c r="AO1700">
        <v>0</v>
      </c>
      <c r="AQ1700" t="s">
        <v>1261</v>
      </c>
      <c r="AR1700" t="s">
        <v>1260</v>
      </c>
      <c r="AS1700" t="s">
        <v>2716</v>
      </c>
      <c r="AT1700" s="30">
        <v>45985.413888888892</v>
      </c>
    </row>
    <row r="1701" spans="1:46" x14ac:dyDescent="0.25">
      <c r="A1701" t="s">
        <v>1248</v>
      </c>
      <c r="B1701">
        <v>170225</v>
      </c>
      <c r="C1701">
        <v>119794</v>
      </c>
      <c r="D1701">
        <v>405</v>
      </c>
      <c r="E1701" t="s">
        <v>1266</v>
      </c>
      <c r="G1701">
        <v>745</v>
      </c>
      <c r="H1701">
        <v>1811</v>
      </c>
      <c r="K1701" s="29">
        <v>84940016</v>
      </c>
      <c r="L1701" s="29">
        <v>84940016</v>
      </c>
      <c r="M1701" t="s">
        <v>3059</v>
      </c>
      <c r="N1701">
        <v>0</v>
      </c>
      <c r="O1701" t="s">
        <v>3059</v>
      </c>
      <c r="P1701">
        <v>0</v>
      </c>
      <c r="Q1701">
        <v>0</v>
      </c>
      <c r="R1701">
        <v>0</v>
      </c>
      <c r="T1701" s="29">
        <v>238400</v>
      </c>
      <c r="U1701" s="29">
        <v>20249700</v>
      </c>
      <c r="V1701" t="s">
        <v>1262</v>
      </c>
      <c r="W1701" t="s">
        <v>1262</v>
      </c>
      <c r="X1701" s="29">
        <v>20249700</v>
      </c>
      <c r="AA1701" s="30">
        <v>46153.333333333336</v>
      </c>
      <c r="AB1701" s="30">
        <v>46293.708333333336</v>
      </c>
      <c r="AC1701" s="30">
        <v>46153.333333333336</v>
      </c>
      <c r="AD1701" s="30">
        <v>46293.708333333336</v>
      </c>
      <c r="AE1701" s="30">
        <v>46374.333333333336</v>
      </c>
      <c r="AF1701" s="30">
        <v>46519.708333333336</v>
      </c>
      <c r="AG1701" t="s">
        <v>1266</v>
      </c>
      <c r="AK1701" t="s">
        <v>1265</v>
      </c>
      <c r="AL1701" t="s">
        <v>3079</v>
      </c>
      <c r="AM1701" t="s">
        <v>1263</v>
      </c>
      <c r="AN1701" t="s">
        <v>1262</v>
      </c>
      <c r="AO1701">
        <v>0</v>
      </c>
      <c r="AQ1701" t="s">
        <v>1261</v>
      </c>
      <c r="AR1701" t="s">
        <v>1260</v>
      </c>
      <c r="AS1701" t="s">
        <v>2716</v>
      </c>
      <c r="AT1701" s="30">
        <v>45985.414583333331</v>
      </c>
    </row>
    <row r="1702" spans="1:46" x14ac:dyDescent="0.25">
      <c r="A1702" t="s">
        <v>1248</v>
      </c>
      <c r="B1702">
        <v>170226</v>
      </c>
      <c r="C1702">
        <v>119794</v>
      </c>
      <c r="D1702">
        <v>405</v>
      </c>
      <c r="E1702" t="s">
        <v>1266</v>
      </c>
      <c r="G1702">
        <v>745</v>
      </c>
      <c r="H1702">
        <v>1816</v>
      </c>
      <c r="K1702" t="s">
        <v>3057</v>
      </c>
      <c r="L1702" t="s">
        <v>3057</v>
      </c>
      <c r="M1702" t="s">
        <v>3056</v>
      </c>
      <c r="N1702">
        <v>0</v>
      </c>
      <c r="O1702" t="s">
        <v>3056</v>
      </c>
      <c r="P1702">
        <v>0</v>
      </c>
      <c r="Q1702">
        <v>0</v>
      </c>
      <c r="R1702">
        <v>0</v>
      </c>
      <c r="T1702" s="29">
        <v>60000</v>
      </c>
      <c r="U1702" s="29">
        <v>19334400</v>
      </c>
      <c r="V1702" t="s">
        <v>1262</v>
      </c>
      <c r="W1702" t="s">
        <v>1262</v>
      </c>
      <c r="X1702" s="29">
        <v>19334400</v>
      </c>
      <c r="AA1702" s="30">
        <v>46153.333333333336</v>
      </c>
      <c r="AB1702" s="30">
        <v>46293.708333333336</v>
      </c>
      <c r="AC1702" s="30">
        <v>46153.333333333336</v>
      </c>
      <c r="AD1702" s="30">
        <v>46293.708333333336</v>
      </c>
      <c r="AE1702" s="30">
        <v>46374.333333333336</v>
      </c>
      <c r="AF1702" s="30">
        <v>46519.708333333336</v>
      </c>
      <c r="AG1702" t="s">
        <v>1266</v>
      </c>
      <c r="AK1702" t="s">
        <v>1265</v>
      </c>
      <c r="AL1702" t="s">
        <v>3078</v>
      </c>
      <c r="AM1702" t="s">
        <v>1263</v>
      </c>
      <c r="AN1702" t="s">
        <v>1262</v>
      </c>
      <c r="AO1702">
        <v>0</v>
      </c>
      <c r="AQ1702" t="s">
        <v>1261</v>
      </c>
      <c r="AR1702" t="s">
        <v>1260</v>
      </c>
      <c r="AS1702" t="s">
        <v>2716</v>
      </c>
      <c r="AT1702" s="30">
        <v>45985.414583333331</v>
      </c>
    </row>
    <row r="1703" spans="1:46" x14ac:dyDescent="0.25">
      <c r="A1703" t="s">
        <v>1248</v>
      </c>
      <c r="B1703">
        <v>170227</v>
      </c>
      <c r="C1703">
        <v>119794</v>
      </c>
      <c r="D1703">
        <v>405</v>
      </c>
      <c r="E1703" t="s">
        <v>1266</v>
      </c>
      <c r="G1703">
        <v>745</v>
      </c>
      <c r="H1703">
        <v>1819</v>
      </c>
      <c r="K1703" t="s">
        <v>3054</v>
      </c>
      <c r="L1703" t="s">
        <v>3054</v>
      </c>
      <c r="M1703" t="s">
        <v>3053</v>
      </c>
      <c r="N1703">
        <v>0</v>
      </c>
      <c r="O1703" t="s">
        <v>3053</v>
      </c>
      <c r="P1703">
        <v>0</v>
      </c>
      <c r="Q1703">
        <v>0</v>
      </c>
      <c r="R1703">
        <v>0</v>
      </c>
      <c r="T1703" s="29">
        <v>1350000</v>
      </c>
      <c r="U1703" s="29">
        <v>82431000</v>
      </c>
      <c r="V1703" t="s">
        <v>1262</v>
      </c>
      <c r="W1703" t="s">
        <v>1262</v>
      </c>
      <c r="X1703" s="29">
        <v>82431000</v>
      </c>
      <c r="AA1703" s="30">
        <v>46153.333333333336</v>
      </c>
      <c r="AB1703" s="30">
        <v>46293.708333333336</v>
      </c>
      <c r="AC1703" s="30">
        <v>46153.333333333336</v>
      </c>
      <c r="AD1703" s="30">
        <v>46293.708333333336</v>
      </c>
      <c r="AE1703" s="30">
        <v>46374.333333333336</v>
      </c>
      <c r="AF1703" s="30">
        <v>46519.708333333336</v>
      </c>
      <c r="AG1703" t="s">
        <v>1266</v>
      </c>
      <c r="AK1703" t="s">
        <v>1265</v>
      </c>
      <c r="AL1703" t="s">
        <v>3077</v>
      </c>
      <c r="AM1703" t="s">
        <v>1263</v>
      </c>
      <c r="AN1703" t="s">
        <v>1262</v>
      </c>
      <c r="AO1703">
        <v>0</v>
      </c>
      <c r="AQ1703" t="s">
        <v>1261</v>
      </c>
      <c r="AR1703" t="s">
        <v>1260</v>
      </c>
      <c r="AS1703" t="s">
        <v>2716</v>
      </c>
      <c r="AT1703" s="30">
        <v>45985.414583333331</v>
      </c>
    </row>
    <row r="1704" spans="1:46" x14ac:dyDescent="0.25">
      <c r="A1704" t="s">
        <v>1248</v>
      </c>
      <c r="B1704">
        <v>170228</v>
      </c>
      <c r="C1704">
        <v>119794</v>
      </c>
      <c r="D1704">
        <v>405</v>
      </c>
      <c r="E1704" t="s">
        <v>1266</v>
      </c>
      <c r="G1704">
        <v>745</v>
      </c>
      <c r="H1704">
        <v>1821</v>
      </c>
      <c r="K1704" t="s">
        <v>3051</v>
      </c>
      <c r="L1704" t="s">
        <v>3051</v>
      </c>
      <c r="M1704" t="s">
        <v>3050</v>
      </c>
      <c r="N1704">
        <v>0</v>
      </c>
      <c r="O1704" t="s">
        <v>3050</v>
      </c>
      <c r="P1704">
        <v>0</v>
      </c>
      <c r="Q1704">
        <v>0</v>
      </c>
      <c r="R1704">
        <v>0</v>
      </c>
      <c r="T1704" s="29">
        <v>1670000</v>
      </c>
      <c r="U1704" s="29">
        <v>372794100</v>
      </c>
      <c r="V1704" t="s">
        <v>1262</v>
      </c>
      <c r="W1704" t="s">
        <v>1262</v>
      </c>
      <c r="X1704" s="29">
        <v>372794100</v>
      </c>
      <c r="AA1704" s="30">
        <v>46153.333333333336</v>
      </c>
      <c r="AB1704" s="30">
        <v>46293.708333333336</v>
      </c>
      <c r="AC1704" s="30">
        <v>46153.333333333336</v>
      </c>
      <c r="AD1704" s="30">
        <v>46293.708333333336</v>
      </c>
      <c r="AE1704" s="30">
        <v>46374.333333333336</v>
      </c>
      <c r="AF1704" s="30">
        <v>46519.708333333336</v>
      </c>
      <c r="AG1704" t="s">
        <v>1266</v>
      </c>
      <c r="AK1704" t="s">
        <v>1265</v>
      </c>
      <c r="AL1704" t="s">
        <v>3076</v>
      </c>
      <c r="AM1704" t="s">
        <v>1263</v>
      </c>
      <c r="AN1704" t="s">
        <v>1262</v>
      </c>
      <c r="AO1704">
        <v>0</v>
      </c>
      <c r="AQ1704" t="s">
        <v>1261</v>
      </c>
      <c r="AR1704" t="s">
        <v>1260</v>
      </c>
      <c r="AS1704" t="s">
        <v>2716</v>
      </c>
      <c r="AT1704" s="30">
        <v>45985.414583333331</v>
      </c>
    </row>
    <row r="1705" spans="1:46" x14ac:dyDescent="0.25">
      <c r="A1705" t="s">
        <v>1248</v>
      </c>
      <c r="B1705">
        <v>170229</v>
      </c>
      <c r="C1705">
        <v>119794</v>
      </c>
      <c r="D1705">
        <v>405</v>
      </c>
      <c r="E1705" t="s">
        <v>1266</v>
      </c>
      <c r="G1705">
        <v>745</v>
      </c>
      <c r="H1705">
        <v>1822</v>
      </c>
      <c r="K1705" t="s">
        <v>3048</v>
      </c>
      <c r="L1705" t="s">
        <v>3048</v>
      </c>
      <c r="M1705" t="s">
        <v>3047</v>
      </c>
      <c r="N1705">
        <v>0</v>
      </c>
      <c r="O1705" t="s">
        <v>3047</v>
      </c>
      <c r="P1705">
        <v>0</v>
      </c>
      <c r="Q1705">
        <v>0</v>
      </c>
      <c r="R1705">
        <v>0</v>
      </c>
      <c r="T1705" s="29">
        <v>1630000</v>
      </c>
      <c r="U1705" s="29">
        <v>352389700</v>
      </c>
      <c r="V1705" t="s">
        <v>1262</v>
      </c>
      <c r="W1705" t="s">
        <v>1262</v>
      </c>
      <c r="X1705" s="29">
        <v>352389700</v>
      </c>
      <c r="AA1705" s="30">
        <v>46153.333333333336</v>
      </c>
      <c r="AB1705" s="30">
        <v>46293.708333333336</v>
      </c>
      <c r="AC1705" s="30">
        <v>46153.333333333336</v>
      </c>
      <c r="AD1705" s="30">
        <v>46293.708333333336</v>
      </c>
      <c r="AE1705" s="30">
        <v>46374.333333333336</v>
      </c>
      <c r="AF1705" s="30">
        <v>46519.708333333336</v>
      </c>
      <c r="AG1705" t="s">
        <v>1266</v>
      </c>
      <c r="AK1705" t="s">
        <v>1265</v>
      </c>
      <c r="AL1705" t="s">
        <v>3075</v>
      </c>
      <c r="AM1705" t="s">
        <v>1263</v>
      </c>
      <c r="AN1705" t="s">
        <v>1262</v>
      </c>
      <c r="AO1705">
        <v>0</v>
      </c>
      <c r="AQ1705" t="s">
        <v>1261</v>
      </c>
      <c r="AR1705" t="s">
        <v>1260</v>
      </c>
      <c r="AS1705" t="s">
        <v>2716</v>
      </c>
      <c r="AT1705" s="30">
        <v>45985.415277777778</v>
      </c>
    </row>
    <row r="1706" spans="1:46" x14ac:dyDescent="0.25">
      <c r="A1706" t="s">
        <v>1248</v>
      </c>
      <c r="B1706">
        <v>170232</v>
      </c>
      <c r="C1706">
        <v>119794</v>
      </c>
      <c r="D1706">
        <v>405</v>
      </c>
      <c r="E1706" t="s">
        <v>1265</v>
      </c>
      <c r="G1706">
        <v>745</v>
      </c>
      <c r="H1706">
        <v>1832</v>
      </c>
      <c r="K1706">
        <v>88250</v>
      </c>
      <c r="L1706">
        <v>88250</v>
      </c>
      <c r="M1706" s="29">
        <v>1103125</v>
      </c>
      <c r="N1706">
        <v>0</v>
      </c>
      <c r="O1706" s="29">
        <v>1103125</v>
      </c>
      <c r="P1706">
        <v>0</v>
      </c>
      <c r="Q1706">
        <v>0</v>
      </c>
      <c r="R1706">
        <v>0</v>
      </c>
      <c r="T1706" s="29">
        <v>11200</v>
      </c>
      <c r="U1706" s="29">
        <v>1641449999</v>
      </c>
      <c r="V1706" t="s">
        <v>1262</v>
      </c>
      <c r="W1706" t="s">
        <v>1262</v>
      </c>
      <c r="X1706" s="29">
        <v>1641449999</v>
      </c>
      <c r="AA1706" s="30">
        <v>46153.333333333336</v>
      </c>
      <c r="AB1706" s="30">
        <v>46293.708333333336</v>
      </c>
      <c r="AC1706" s="30">
        <v>46153.333333333336</v>
      </c>
      <c r="AD1706" s="30">
        <v>46293.708333333336</v>
      </c>
      <c r="AE1706" s="30">
        <v>46374.333333333336</v>
      </c>
      <c r="AF1706" s="30">
        <v>46519.708333333336</v>
      </c>
      <c r="AG1706" t="s">
        <v>1266</v>
      </c>
      <c r="AK1706" t="s">
        <v>1265</v>
      </c>
      <c r="AL1706" t="s">
        <v>3074</v>
      </c>
      <c r="AM1706" t="s">
        <v>1263</v>
      </c>
      <c r="AN1706" t="s">
        <v>1262</v>
      </c>
      <c r="AO1706">
        <v>0</v>
      </c>
      <c r="AQ1706" t="s">
        <v>1261</v>
      </c>
      <c r="AR1706" t="s">
        <v>1260</v>
      </c>
      <c r="AS1706" t="s">
        <v>2716</v>
      </c>
      <c r="AT1706" s="30">
        <v>45985.415277777778</v>
      </c>
    </row>
    <row r="1707" spans="1:46" x14ac:dyDescent="0.25">
      <c r="A1707" t="s">
        <v>1248</v>
      </c>
      <c r="B1707">
        <v>170233</v>
      </c>
      <c r="C1707">
        <v>119794</v>
      </c>
      <c r="D1707">
        <v>405</v>
      </c>
      <c r="E1707" t="s">
        <v>1266</v>
      </c>
      <c r="G1707">
        <v>745</v>
      </c>
      <c r="H1707">
        <v>1867</v>
      </c>
      <c r="K1707" t="s">
        <v>3073</v>
      </c>
      <c r="L1707" t="s">
        <v>3073</v>
      </c>
      <c r="M1707" t="s">
        <v>3072</v>
      </c>
      <c r="N1707">
        <v>0</v>
      </c>
      <c r="O1707" t="s">
        <v>3072</v>
      </c>
      <c r="P1707">
        <v>0</v>
      </c>
      <c r="Q1707">
        <v>0</v>
      </c>
      <c r="R1707">
        <v>0</v>
      </c>
      <c r="T1707" s="29">
        <v>205000</v>
      </c>
      <c r="U1707" s="29">
        <v>78137800</v>
      </c>
      <c r="V1707" t="s">
        <v>1262</v>
      </c>
      <c r="W1707" t="s">
        <v>1262</v>
      </c>
      <c r="X1707" s="29">
        <v>78137800</v>
      </c>
      <c r="AA1707" s="30">
        <v>46153.333333333336</v>
      </c>
      <c r="AB1707" s="30">
        <v>46293.708333333336</v>
      </c>
      <c r="AC1707" s="30">
        <v>46153.333333333336</v>
      </c>
      <c r="AD1707" s="30">
        <v>46293.708333333336</v>
      </c>
      <c r="AE1707" s="30">
        <v>46374.333333333336</v>
      </c>
      <c r="AF1707" s="30">
        <v>46519.708333333336</v>
      </c>
      <c r="AG1707" t="s">
        <v>1266</v>
      </c>
      <c r="AK1707" t="s">
        <v>1265</v>
      </c>
      <c r="AL1707" t="s">
        <v>3071</v>
      </c>
      <c r="AM1707" t="s">
        <v>1263</v>
      </c>
      <c r="AN1707" t="s">
        <v>1262</v>
      </c>
      <c r="AO1707">
        <v>0</v>
      </c>
      <c r="AQ1707" t="s">
        <v>1261</v>
      </c>
      <c r="AR1707" t="s">
        <v>1260</v>
      </c>
      <c r="AS1707" t="s">
        <v>2716</v>
      </c>
      <c r="AT1707" s="30">
        <v>45985.415277777778</v>
      </c>
    </row>
    <row r="1708" spans="1:46" x14ac:dyDescent="0.25">
      <c r="A1708" t="s">
        <v>1248</v>
      </c>
      <c r="B1708">
        <v>170234</v>
      </c>
      <c r="C1708">
        <v>119794</v>
      </c>
      <c r="D1708">
        <v>405</v>
      </c>
      <c r="E1708" t="s">
        <v>1266</v>
      </c>
      <c r="G1708">
        <v>745</v>
      </c>
      <c r="H1708">
        <v>1873</v>
      </c>
      <c r="K1708" s="29">
        <v>3133500001</v>
      </c>
      <c r="L1708" s="29">
        <v>3133500001</v>
      </c>
      <c r="M1708" s="29">
        <v>3916875</v>
      </c>
      <c r="N1708">
        <v>0</v>
      </c>
      <c r="O1708" s="29">
        <v>3916875</v>
      </c>
      <c r="P1708">
        <v>0</v>
      </c>
      <c r="Q1708">
        <v>0</v>
      </c>
      <c r="R1708">
        <v>0</v>
      </c>
      <c r="T1708" s="29">
        <v>80000</v>
      </c>
      <c r="U1708" s="29">
        <v>250680000</v>
      </c>
      <c r="V1708" t="s">
        <v>1262</v>
      </c>
      <c r="W1708" t="s">
        <v>1262</v>
      </c>
      <c r="X1708" s="29">
        <v>250680000</v>
      </c>
      <c r="AA1708" s="30">
        <v>46153.333333333336</v>
      </c>
      <c r="AB1708" s="30">
        <v>46293.708333333336</v>
      </c>
      <c r="AC1708" s="30">
        <v>46153.333333333336</v>
      </c>
      <c r="AD1708" s="30">
        <v>46293.708333333336</v>
      </c>
      <c r="AE1708" s="30">
        <v>46374.333333333336</v>
      </c>
      <c r="AF1708" s="30">
        <v>46519.708333333336</v>
      </c>
      <c r="AG1708" t="s">
        <v>1266</v>
      </c>
      <c r="AK1708" t="s">
        <v>1265</v>
      </c>
      <c r="AL1708" t="s">
        <v>3070</v>
      </c>
      <c r="AM1708" t="s">
        <v>1263</v>
      </c>
      <c r="AN1708" t="s">
        <v>1262</v>
      </c>
      <c r="AO1708">
        <v>0</v>
      </c>
      <c r="AQ1708" t="s">
        <v>1261</v>
      </c>
      <c r="AR1708" t="s">
        <v>1260</v>
      </c>
      <c r="AS1708" t="s">
        <v>2716</v>
      </c>
      <c r="AT1708" s="30">
        <v>45985.415972222225</v>
      </c>
    </row>
    <row r="1709" spans="1:46" x14ac:dyDescent="0.25">
      <c r="A1709" t="s">
        <v>1248</v>
      </c>
      <c r="B1709">
        <v>170235</v>
      </c>
      <c r="C1709">
        <v>119794</v>
      </c>
      <c r="D1709">
        <v>405</v>
      </c>
      <c r="E1709" t="s">
        <v>1266</v>
      </c>
      <c r="G1709">
        <v>745</v>
      </c>
      <c r="H1709">
        <v>1879</v>
      </c>
      <c r="K1709">
        <v>80</v>
      </c>
      <c r="L1709">
        <v>80</v>
      </c>
      <c r="M1709" t="s">
        <v>3043</v>
      </c>
      <c r="N1709">
        <v>0</v>
      </c>
      <c r="O1709" t="s">
        <v>3043</v>
      </c>
      <c r="P1709">
        <v>0</v>
      </c>
      <c r="Q1709">
        <v>0</v>
      </c>
      <c r="R1709">
        <v>0</v>
      </c>
      <c r="T1709" s="29">
        <v>2167200</v>
      </c>
      <c r="U1709" s="29">
        <v>173376000</v>
      </c>
      <c r="V1709" t="s">
        <v>1262</v>
      </c>
      <c r="W1709" t="s">
        <v>1262</v>
      </c>
      <c r="X1709" s="29">
        <v>173376000</v>
      </c>
      <c r="AA1709" s="30">
        <v>46153.333333333336</v>
      </c>
      <c r="AB1709" s="30">
        <v>46293.708333333336</v>
      </c>
      <c r="AC1709" s="30">
        <v>46153.333333333336</v>
      </c>
      <c r="AD1709" s="30">
        <v>46293.708333333336</v>
      </c>
      <c r="AE1709" s="30">
        <v>46374.333333333336</v>
      </c>
      <c r="AF1709" s="30">
        <v>46519.708333333336</v>
      </c>
      <c r="AG1709" t="s">
        <v>1266</v>
      </c>
      <c r="AK1709" t="s">
        <v>1265</v>
      </c>
      <c r="AL1709" t="s">
        <v>3069</v>
      </c>
      <c r="AM1709" t="s">
        <v>1263</v>
      </c>
      <c r="AN1709" t="s">
        <v>1262</v>
      </c>
      <c r="AO1709">
        <v>0</v>
      </c>
      <c r="AQ1709" t="s">
        <v>1261</v>
      </c>
      <c r="AR1709" t="s">
        <v>1260</v>
      </c>
      <c r="AS1709" t="s">
        <v>2716</v>
      </c>
      <c r="AT1709" s="30">
        <v>45985.415972222225</v>
      </c>
    </row>
    <row r="1710" spans="1:46" x14ac:dyDescent="0.25">
      <c r="A1710" t="s">
        <v>1248</v>
      </c>
      <c r="B1710">
        <v>170236</v>
      </c>
      <c r="C1710">
        <v>229303</v>
      </c>
      <c r="D1710">
        <v>405</v>
      </c>
      <c r="E1710" t="s">
        <v>1265</v>
      </c>
      <c r="G1710">
        <v>745</v>
      </c>
      <c r="H1710">
        <v>1498</v>
      </c>
      <c r="K1710">
        <v>1807</v>
      </c>
      <c r="L1710">
        <v>1807</v>
      </c>
      <c r="M1710" s="29">
        <v>225875</v>
      </c>
      <c r="N1710">
        <v>0</v>
      </c>
      <c r="O1710" s="29">
        <v>225875</v>
      </c>
      <c r="P1710">
        <v>0</v>
      </c>
      <c r="Q1710">
        <v>0</v>
      </c>
      <c r="R1710">
        <v>0</v>
      </c>
      <c r="S1710">
        <v>0</v>
      </c>
      <c r="T1710" s="29">
        <v>60000</v>
      </c>
      <c r="U1710" s="29">
        <v>124198200</v>
      </c>
      <c r="V1710" t="s">
        <v>1262</v>
      </c>
      <c r="W1710" t="s">
        <v>1262</v>
      </c>
      <c r="X1710" s="29">
        <v>124198200</v>
      </c>
      <c r="AA1710" s="30">
        <v>46007.333333333336</v>
      </c>
      <c r="AB1710" s="30">
        <v>46150.708333333336</v>
      </c>
      <c r="AC1710" s="30">
        <v>46007.333333333336</v>
      </c>
      <c r="AD1710" s="30">
        <v>46150.708333333336</v>
      </c>
      <c r="AE1710" s="30">
        <v>46233.333333333336</v>
      </c>
      <c r="AF1710" s="30">
        <v>46373.708333333336</v>
      </c>
      <c r="AG1710" t="s">
        <v>1266</v>
      </c>
      <c r="AK1710" t="s">
        <v>1265</v>
      </c>
      <c r="AL1710" t="s">
        <v>3068</v>
      </c>
      <c r="AM1710" t="s">
        <v>1263</v>
      </c>
      <c r="AN1710" t="s">
        <v>1262</v>
      </c>
      <c r="AO1710">
        <v>0</v>
      </c>
      <c r="AQ1710" t="s">
        <v>1261</v>
      </c>
      <c r="AR1710" t="s">
        <v>1260</v>
      </c>
      <c r="AS1710" t="s">
        <v>2716</v>
      </c>
      <c r="AT1710" s="30">
        <v>45985.431250000001</v>
      </c>
    </row>
    <row r="1711" spans="1:46" x14ac:dyDescent="0.25">
      <c r="A1711" t="s">
        <v>1248</v>
      </c>
      <c r="B1711">
        <v>170237</v>
      </c>
      <c r="C1711">
        <v>229303</v>
      </c>
      <c r="D1711">
        <v>405</v>
      </c>
      <c r="E1711" t="s">
        <v>1266</v>
      </c>
      <c r="G1711">
        <v>745</v>
      </c>
      <c r="H1711">
        <v>1671</v>
      </c>
      <c r="K1711">
        <v>41604</v>
      </c>
      <c r="L1711">
        <v>41604</v>
      </c>
      <c r="M1711" s="29">
        <v>52005</v>
      </c>
      <c r="N1711">
        <v>0</v>
      </c>
      <c r="O1711" s="29">
        <v>52005</v>
      </c>
      <c r="P1711">
        <v>0</v>
      </c>
      <c r="Q1711">
        <v>0</v>
      </c>
      <c r="R1711">
        <v>0</v>
      </c>
      <c r="T1711" t="s">
        <v>1262</v>
      </c>
      <c r="U1711" t="s">
        <v>1262</v>
      </c>
      <c r="V1711" t="s">
        <v>1262</v>
      </c>
      <c r="W1711" t="s">
        <v>1262</v>
      </c>
      <c r="X1711" t="s">
        <v>1262</v>
      </c>
      <c r="AA1711" s="30">
        <v>46007.333333333336</v>
      </c>
      <c r="AB1711" s="30">
        <v>46150.708333333336</v>
      </c>
      <c r="AC1711" s="30">
        <v>46007.333333333336</v>
      </c>
      <c r="AD1711" s="30">
        <v>46150.708333333336</v>
      </c>
      <c r="AE1711" s="30">
        <v>46233.333333333336</v>
      </c>
      <c r="AF1711" s="30">
        <v>46373.708333333336</v>
      </c>
      <c r="AG1711" t="s">
        <v>1266</v>
      </c>
      <c r="AK1711" t="s">
        <v>1265</v>
      </c>
      <c r="AL1711" t="s">
        <v>3067</v>
      </c>
      <c r="AM1711" t="s">
        <v>1263</v>
      </c>
      <c r="AN1711" t="s">
        <v>1262</v>
      </c>
      <c r="AO1711">
        <v>0</v>
      </c>
      <c r="AQ1711" t="s">
        <v>1261</v>
      </c>
      <c r="AR1711" t="s">
        <v>1260</v>
      </c>
      <c r="AS1711" t="s">
        <v>2716</v>
      </c>
      <c r="AT1711" s="30">
        <v>45985.431250000001</v>
      </c>
    </row>
    <row r="1712" spans="1:46" x14ac:dyDescent="0.25">
      <c r="A1712" t="s">
        <v>1248</v>
      </c>
      <c r="B1712">
        <v>170238</v>
      </c>
      <c r="C1712">
        <v>229303</v>
      </c>
      <c r="D1712">
        <v>405</v>
      </c>
      <c r="E1712" t="s">
        <v>1266</v>
      </c>
      <c r="G1712">
        <v>745</v>
      </c>
      <c r="H1712">
        <v>1673</v>
      </c>
      <c r="K1712" s="29">
        <v>1523279629</v>
      </c>
      <c r="L1712" s="29">
        <v>1523279629</v>
      </c>
      <c r="M1712" s="29">
        <v>190409953</v>
      </c>
      <c r="N1712">
        <v>0</v>
      </c>
      <c r="O1712" s="29">
        <v>190409953</v>
      </c>
      <c r="P1712">
        <v>0</v>
      </c>
      <c r="Q1712">
        <v>0</v>
      </c>
      <c r="R1712">
        <v>0</v>
      </c>
      <c r="T1712" s="29">
        <v>108000</v>
      </c>
      <c r="U1712" s="29">
        <v>433220726</v>
      </c>
      <c r="V1712" t="s">
        <v>1262</v>
      </c>
      <c r="W1712" t="s">
        <v>1262</v>
      </c>
      <c r="X1712" s="29">
        <v>433220726</v>
      </c>
      <c r="AA1712" s="30">
        <v>46007.333333333336</v>
      </c>
      <c r="AB1712" s="30">
        <v>46150.708333333336</v>
      </c>
      <c r="AC1712" s="30">
        <v>46007.333333333336</v>
      </c>
      <c r="AD1712" s="30">
        <v>46150.708333333336</v>
      </c>
      <c r="AE1712" s="30">
        <v>46233.333333333336</v>
      </c>
      <c r="AF1712" s="30">
        <v>46373.708333333336</v>
      </c>
      <c r="AG1712" t="s">
        <v>1266</v>
      </c>
      <c r="AK1712" t="s">
        <v>1265</v>
      </c>
      <c r="AL1712" t="s">
        <v>3066</v>
      </c>
      <c r="AM1712" t="s">
        <v>1263</v>
      </c>
      <c r="AN1712" t="s">
        <v>1262</v>
      </c>
      <c r="AO1712">
        <v>0</v>
      </c>
      <c r="AQ1712" t="s">
        <v>1261</v>
      </c>
      <c r="AR1712" t="s">
        <v>1260</v>
      </c>
      <c r="AS1712" t="s">
        <v>2716</v>
      </c>
      <c r="AT1712" s="30">
        <v>45985.431250000001</v>
      </c>
    </row>
    <row r="1713" spans="1:46" x14ac:dyDescent="0.25">
      <c r="A1713" t="s">
        <v>1248</v>
      </c>
      <c r="B1713">
        <v>170239</v>
      </c>
      <c r="C1713">
        <v>229303</v>
      </c>
      <c r="D1713">
        <v>405</v>
      </c>
      <c r="E1713" t="s">
        <v>1265</v>
      </c>
      <c r="G1713">
        <v>745</v>
      </c>
      <c r="H1713">
        <v>1805</v>
      </c>
      <c r="K1713">
        <v>2086</v>
      </c>
      <c r="L1713">
        <v>2086</v>
      </c>
      <c r="M1713" s="29">
        <v>26075</v>
      </c>
      <c r="N1713">
        <v>0</v>
      </c>
      <c r="O1713" s="29">
        <v>26075</v>
      </c>
      <c r="P1713">
        <v>0</v>
      </c>
      <c r="Q1713">
        <v>0</v>
      </c>
      <c r="R1713">
        <v>0</v>
      </c>
      <c r="T1713" s="29">
        <v>10000</v>
      </c>
      <c r="U1713" s="29">
        <v>20860000</v>
      </c>
      <c r="V1713" t="s">
        <v>1262</v>
      </c>
      <c r="W1713" t="s">
        <v>1262</v>
      </c>
      <c r="X1713" s="29">
        <v>20860000</v>
      </c>
      <c r="AA1713" s="30">
        <v>46007.333333333336</v>
      </c>
      <c r="AB1713" s="30">
        <v>46150.708333333336</v>
      </c>
      <c r="AC1713" s="30">
        <v>46007.333333333336</v>
      </c>
      <c r="AD1713" s="30">
        <v>46150.708333333336</v>
      </c>
      <c r="AE1713" s="30">
        <v>46233.333333333336</v>
      </c>
      <c r="AF1713" s="30">
        <v>46373.708333333336</v>
      </c>
      <c r="AG1713" t="s">
        <v>1266</v>
      </c>
      <c r="AK1713" t="s">
        <v>1265</v>
      </c>
      <c r="AL1713" t="s">
        <v>3065</v>
      </c>
      <c r="AM1713" t="s">
        <v>1263</v>
      </c>
      <c r="AN1713" t="s">
        <v>1262</v>
      </c>
      <c r="AO1713">
        <v>0</v>
      </c>
      <c r="AQ1713" t="s">
        <v>1261</v>
      </c>
      <c r="AR1713" t="s">
        <v>1260</v>
      </c>
      <c r="AS1713" t="s">
        <v>2716</v>
      </c>
      <c r="AT1713" s="30">
        <v>45985.431250000001</v>
      </c>
    </row>
    <row r="1714" spans="1:46" x14ac:dyDescent="0.25">
      <c r="A1714" t="s">
        <v>1248</v>
      </c>
      <c r="B1714">
        <v>170240</v>
      </c>
      <c r="C1714">
        <v>229303</v>
      </c>
      <c r="D1714">
        <v>405</v>
      </c>
      <c r="E1714" t="s">
        <v>1265</v>
      </c>
      <c r="G1714">
        <v>745</v>
      </c>
      <c r="H1714">
        <v>1807</v>
      </c>
      <c r="K1714">
        <v>190</v>
      </c>
      <c r="L1714">
        <v>190</v>
      </c>
      <c r="M1714" t="s">
        <v>3064</v>
      </c>
      <c r="N1714">
        <v>0</v>
      </c>
      <c r="O1714" t="s">
        <v>3064</v>
      </c>
      <c r="P1714">
        <v>0</v>
      </c>
      <c r="Q1714">
        <v>0</v>
      </c>
      <c r="R1714">
        <v>0</v>
      </c>
      <c r="T1714" s="29">
        <v>123505</v>
      </c>
      <c r="U1714" s="29">
        <v>23465950</v>
      </c>
      <c r="V1714" t="s">
        <v>1262</v>
      </c>
      <c r="W1714" t="s">
        <v>1262</v>
      </c>
      <c r="X1714" s="29">
        <v>23465950</v>
      </c>
      <c r="AA1714" s="30">
        <v>46007.333333333336</v>
      </c>
      <c r="AB1714" s="30">
        <v>46150.708333333336</v>
      </c>
      <c r="AC1714" s="30">
        <v>46007.333333333336</v>
      </c>
      <c r="AD1714" s="30">
        <v>46150.708333333336</v>
      </c>
      <c r="AE1714" s="30">
        <v>46233.333333333336</v>
      </c>
      <c r="AF1714" s="30">
        <v>46373.708333333336</v>
      </c>
      <c r="AG1714" t="s">
        <v>1266</v>
      </c>
      <c r="AK1714" t="s">
        <v>1265</v>
      </c>
      <c r="AL1714" t="s">
        <v>3063</v>
      </c>
      <c r="AM1714" t="s">
        <v>1263</v>
      </c>
      <c r="AN1714" t="s">
        <v>1262</v>
      </c>
      <c r="AO1714">
        <v>0</v>
      </c>
      <c r="AQ1714" t="s">
        <v>1261</v>
      </c>
      <c r="AR1714" t="s">
        <v>1260</v>
      </c>
      <c r="AS1714" t="s">
        <v>2716</v>
      </c>
      <c r="AT1714" s="30">
        <v>45985.431250000001</v>
      </c>
    </row>
    <row r="1715" spans="1:46" x14ac:dyDescent="0.25">
      <c r="A1715" t="s">
        <v>1248</v>
      </c>
      <c r="B1715">
        <v>170241</v>
      </c>
      <c r="C1715">
        <v>229303</v>
      </c>
      <c r="D1715">
        <v>405</v>
      </c>
      <c r="E1715" t="s">
        <v>1266</v>
      </c>
      <c r="G1715">
        <v>745</v>
      </c>
      <c r="H1715">
        <v>1809</v>
      </c>
      <c r="K1715" t="s">
        <v>3062</v>
      </c>
      <c r="L1715" t="s">
        <v>3062</v>
      </c>
      <c r="M1715" t="s">
        <v>3061</v>
      </c>
      <c r="N1715">
        <v>0</v>
      </c>
      <c r="O1715" t="s">
        <v>3061</v>
      </c>
      <c r="P1715">
        <v>0</v>
      </c>
      <c r="Q1715">
        <v>0</v>
      </c>
      <c r="R1715">
        <v>0</v>
      </c>
      <c r="T1715" s="29">
        <v>1400000</v>
      </c>
      <c r="U1715" s="29">
        <v>94528000</v>
      </c>
      <c r="V1715" t="s">
        <v>1262</v>
      </c>
      <c r="W1715" t="s">
        <v>1262</v>
      </c>
      <c r="X1715" s="29">
        <v>94528000</v>
      </c>
      <c r="AA1715" s="30">
        <v>46007.333333333336</v>
      </c>
      <c r="AB1715" s="30">
        <v>46150.708333333336</v>
      </c>
      <c r="AC1715" s="30">
        <v>46007.333333333336</v>
      </c>
      <c r="AD1715" s="30">
        <v>46150.708333333336</v>
      </c>
      <c r="AE1715" s="30">
        <v>46233.333333333336</v>
      </c>
      <c r="AF1715" s="30">
        <v>46373.708333333336</v>
      </c>
      <c r="AG1715" t="s">
        <v>1266</v>
      </c>
      <c r="AK1715" t="s">
        <v>1265</v>
      </c>
      <c r="AL1715" t="s">
        <v>3060</v>
      </c>
      <c r="AM1715" t="s">
        <v>1263</v>
      </c>
      <c r="AN1715" t="s">
        <v>1262</v>
      </c>
      <c r="AO1715">
        <v>0</v>
      </c>
      <c r="AQ1715" t="s">
        <v>1261</v>
      </c>
      <c r="AR1715" t="s">
        <v>1260</v>
      </c>
      <c r="AS1715" t="s">
        <v>2716</v>
      </c>
      <c r="AT1715" s="30">
        <v>45985.431250000001</v>
      </c>
    </row>
    <row r="1716" spans="1:46" x14ac:dyDescent="0.25">
      <c r="A1716" t="s">
        <v>1248</v>
      </c>
      <c r="B1716">
        <v>170242</v>
      </c>
      <c r="C1716">
        <v>229303</v>
      </c>
      <c r="D1716">
        <v>405</v>
      </c>
      <c r="E1716" t="s">
        <v>1266</v>
      </c>
      <c r="G1716">
        <v>745</v>
      </c>
      <c r="H1716">
        <v>1811</v>
      </c>
      <c r="K1716" s="29">
        <v>84940016</v>
      </c>
      <c r="L1716" s="29">
        <v>84940016</v>
      </c>
      <c r="M1716" t="s">
        <v>3059</v>
      </c>
      <c r="N1716">
        <v>0</v>
      </c>
      <c r="O1716" t="s">
        <v>3059</v>
      </c>
      <c r="P1716">
        <v>0</v>
      </c>
      <c r="Q1716">
        <v>0</v>
      </c>
      <c r="R1716">
        <v>0</v>
      </c>
      <c r="T1716" s="29">
        <v>238400</v>
      </c>
      <c r="U1716" s="29">
        <v>20249700</v>
      </c>
      <c r="V1716" t="s">
        <v>1262</v>
      </c>
      <c r="W1716" t="s">
        <v>1262</v>
      </c>
      <c r="X1716" s="29">
        <v>20249700</v>
      </c>
      <c r="AA1716" s="30">
        <v>46007.333333333336</v>
      </c>
      <c r="AB1716" s="30">
        <v>46150.708333333336</v>
      </c>
      <c r="AC1716" s="30">
        <v>46007.333333333336</v>
      </c>
      <c r="AD1716" s="30">
        <v>46150.708333333336</v>
      </c>
      <c r="AE1716" s="30">
        <v>46233.333333333336</v>
      </c>
      <c r="AF1716" s="30">
        <v>46373.708333333336</v>
      </c>
      <c r="AG1716" t="s">
        <v>1266</v>
      </c>
      <c r="AK1716" t="s">
        <v>1265</v>
      </c>
      <c r="AL1716" t="s">
        <v>3058</v>
      </c>
      <c r="AM1716" t="s">
        <v>1263</v>
      </c>
      <c r="AN1716" t="s">
        <v>1262</v>
      </c>
      <c r="AO1716">
        <v>0</v>
      </c>
      <c r="AQ1716" t="s">
        <v>1261</v>
      </c>
      <c r="AR1716" t="s">
        <v>1260</v>
      </c>
      <c r="AS1716" t="s">
        <v>2716</v>
      </c>
      <c r="AT1716" s="30">
        <v>45985.431250000001</v>
      </c>
    </row>
    <row r="1717" spans="1:46" x14ac:dyDescent="0.25">
      <c r="A1717" t="s">
        <v>1248</v>
      </c>
      <c r="B1717">
        <v>170243</v>
      </c>
      <c r="C1717">
        <v>229303</v>
      </c>
      <c r="D1717">
        <v>405</v>
      </c>
      <c r="E1717" t="s">
        <v>1266</v>
      </c>
      <c r="G1717">
        <v>745</v>
      </c>
      <c r="H1717">
        <v>1816</v>
      </c>
      <c r="K1717" t="s">
        <v>3057</v>
      </c>
      <c r="L1717" t="s">
        <v>3057</v>
      </c>
      <c r="M1717" t="s">
        <v>3056</v>
      </c>
      <c r="N1717">
        <v>0</v>
      </c>
      <c r="O1717" t="s">
        <v>3056</v>
      </c>
      <c r="P1717">
        <v>0</v>
      </c>
      <c r="Q1717">
        <v>0</v>
      </c>
      <c r="R1717">
        <v>0</v>
      </c>
      <c r="T1717" s="29">
        <v>60000</v>
      </c>
      <c r="U1717" s="29">
        <v>19334400</v>
      </c>
      <c r="V1717" t="s">
        <v>1262</v>
      </c>
      <c r="W1717" t="s">
        <v>1262</v>
      </c>
      <c r="X1717" s="29">
        <v>19334400</v>
      </c>
      <c r="AA1717" s="30">
        <v>46007.333333333336</v>
      </c>
      <c r="AB1717" s="30">
        <v>46150.708333333336</v>
      </c>
      <c r="AC1717" s="30">
        <v>46007.333333333336</v>
      </c>
      <c r="AD1717" s="30">
        <v>46150.708333333336</v>
      </c>
      <c r="AE1717" s="30">
        <v>46233.333333333336</v>
      </c>
      <c r="AF1717" s="30">
        <v>46373.708333333336</v>
      </c>
      <c r="AG1717" t="s">
        <v>1266</v>
      </c>
      <c r="AK1717" t="s">
        <v>1265</v>
      </c>
      <c r="AL1717" t="s">
        <v>3055</v>
      </c>
      <c r="AM1717" t="s">
        <v>1263</v>
      </c>
      <c r="AN1717" t="s">
        <v>1262</v>
      </c>
      <c r="AO1717">
        <v>0</v>
      </c>
      <c r="AQ1717" t="s">
        <v>1261</v>
      </c>
      <c r="AR1717" t="s">
        <v>1260</v>
      </c>
      <c r="AS1717" t="s">
        <v>2716</v>
      </c>
      <c r="AT1717" s="30">
        <v>45985.431250000001</v>
      </c>
    </row>
    <row r="1718" spans="1:46" x14ac:dyDescent="0.25">
      <c r="A1718" t="s">
        <v>1248</v>
      </c>
      <c r="B1718">
        <v>170244</v>
      </c>
      <c r="C1718">
        <v>229303</v>
      </c>
      <c r="D1718">
        <v>405</v>
      </c>
      <c r="E1718" t="s">
        <v>1266</v>
      </c>
      <c r="G1718">
        <v>745</v>
      </c>
      <c r="H1718">
        <v>1819</v>
      </c>
      <c r="K1718" t="s">
        <v>3054</v>
      </c>
      <c r="L1718" t="s">
        <v>3054</v>
      </c>
      <c r="M1718" t="s">
        <v>3053</v>
      </c>
      <c r="N1718">
        <v>0</v>
      </c>
      <c r="O1718" t="s">
        <v>3053</v>
      </c>
      <c r="P1718">
        <v>0</v>
      </c>
      <c r="Q1718">
        <v>0</v>
      </c>
      <c r="R1718">
        <v>0</v>
      </c>
      <c r="T1718" s="29">
        <v>1350000</v>
      </c>
      <c r="U1718" s="29">
        <v>82431000</v>
      </c>
      <c r="V1718" t="s">
        <v>1262</v>
      </c>
      <c r="W1718" t="s">
        <v>1262</v>
      </c>
      <c r="X1718" s="29">
        <v>82431000</v>
      </c>
      <c r="AA1718" s="30">
        <v>46007.333333333336</v>
      </c>
      <c r="AB1718" s="30">
        <v>46150.708333333336</v>
      </c>
      <c r="AC1718" s="30">
        <v>46007.333333333336</v>
      </c>
      <c r="AD1718" s="30">
        <v>46150.708333333336</v>
      </c>
      <c r="AE1718" s="30">
        <v>46233.333333333336</v>
      </c>
      <c r="AF1718" s="30">
        <v>46373.708333333336</v>
      </c>
      <c r="AG1718" t="s">
        <v>1266</v>
      </c>
      <c r="AK1718" t="s">
        <v>1265</v>
      </c>
      <c r="AL1718" t="s">
        <v>3052</v>
      </c>
      <c r="AM1718" t="s">
        <v>1263</v>
      </c>
      <c r="AN1718" t="s">
        <v>1262</v>
      </c>
      <c r="AO1718">
        <v>0</v>
      </c>
      <c r="AQ1718" t="s">
        <v>1261</v>
      </c>
      <c r="AR1718" t="s">
        <v>1260</v>
      </c>
      <c r="AS1718" t="s">
        <v>2716</v>
      </c>
      <c r="AT1718" s="30">
        <v>45985.431250000001</v>
      </c>
    </row>
    <row r="1719" spans="1:46" x14ac:dyDescent="0.25">
      <c r="A1719" t="s">
        <v>1248</v>
      </c>
      <c r="B1719">
        <v>170245</v>
      </c>
      <c r="C1719">
        <v>229303</v>
      </c>
      <c r="D1719">
        <v>405</v>
      </c>
      <c r="E1719" t="s">
        <v>1266</v>
      </c>
      <c r="G1719">
        <v>745</v>
      </c>
      <c r="H1719">
        <v>1821</v>
      </c>
      <c r="K1719" t="s">
        <v>3051</v>
      </c>
      <c r="L1719" t="s">
        <v>3051</v>
      </c>
      <c r="M1719" t="s">
        <v>3050</v>
      </c>
      <c r="N1719">
        <v>0</v>
      </c>
      <c r="O1719" t="s">
        <v>3050</v>
      </c>
      <c r="P1719">
        <v>0</v>
      </c>
      <c r="Q1719">
        <v>0</v>
      </c>
      <c r="R1719">
        <v>0</v>
      </c>
      <c r="T1719" s="29">
        <v>1670000</v>
      </c>
      <c r="U1719" s="29">
        <v>372794100</v>
      </c>
      <c r="V1719" t="s">
        <v>1262</v>
      </c>
      <c r="W1719" t="s">
        <v>1262</v>
      </c>
      <c r="X1719" s="29">
        <v>372794100</v>
      </c>
      <c r="AA1719" s="30">
        <v>46007.333333333336</v>
      </c>
      <c r="AB1719" s="30">
        <v>46150.708333333336</v>
      </c>
      <c r="AC1719" s="30">
        <v>46007.333333333336</v>
      </c>
      <c r="AD1719" s="30">
        <v>46150.708333333336</v>
      </c>
      <c r="AE1719" s="30">
        <v>46233.333333333336</v>
      </c>
      <c r="AF1719" s="30">
        <v>46373.708333333336</v>
      </c>
      <c r="AG1719" t="s">
        <v>1266</v>
      </c>
      <c r="AK1719" t="s">
        <v>1265</v>
      </c>
      <c r="AL1719" t="s">
        <v>3049</v>
      </c>
      <c r="AM1719" t="s">
        <v>1263</v>
      </c>
      <c r="AN1719" t="s">
        <v>1262</v>
      </c>
      <c r="AO1719">
        <v>0</v>
      </c>
      <c r="AQ1719" t="s">
        <v>1261</v>
      </c>
      <c r="AR1719" t="s">
        <v>1260</v>
      </c>
      <c r="AS1719" t="s">
        <v>2716</v>
      </c>
      <c r="AT1719" s="30">
        <v>45985.431250000001</v>
      </c>
    </row>
    <row r="1720" spans="1:46" x14ac:dyDescent="0.25">
      <c r="A1720" t="s">
        <v>1248</v>
      </c>
      <c r="B1720">
        <v>170246</v>
      </c>
      <c r="C1720">
        <v>229303</v>
      </c>
      <c r="D1720">
        <v>405</v>
      </c>
      <c r="E1720" t="s">
        <v>1266</v>
      </c>
      <c r="G1720">
        <v>745</v>
      </c>
      <c r="H1720">
        <v>1822</v>
      </c>
      <c r="K1720" t="s">
        <v>3048</v>
      </c>
      <c r="L1720" t="s">
        <v>3048</v>
      </c>
      <c r="M1720" t="s">
        <v>3047</v>
      </c>
      <c r="N1720">
        <v>0</v>
      </c>
      <c r="O1720" t="s">
        <v>3047</v>
      </c>
      <c r="P1720">
        <v>0</v>
      </c>
      <c r="Q1720">
        <v>0</v>
      </c>
      <c r="R1720">
        <v>0</v>
      </c>
      <c r="T1720" s="29">
        <v>1630000</v>
      </c>
      <c r="U1720" s="29">
        <v>352389700</v>
      </c>
      <c r="V1720" t="s">
        <v>1262</v>
      </c>
      <c r="W1720" t="s">
        <v>1262</v>
      </c>
      <c r="X1720" s="29">
        <v>352389700</v>
      </c>
      <c r="AA1720" s="30">
        <v>46007.333333333336</v>
      </c>
      <c r="AB1720" s="30">
        <v>46150.708333333336</v>
      </c>
      <c r="AC1720" s="30">
        <v>46007.333333333336</v>
      </c>
      <c r="AD1720" s="30">
        <v>46150.708333333336</v>
      </c>
      <c r="AE1720" s="30">
        <v>46233.333333333336</v>
      </c>
      <c r="AF1720" s="30">
        <v>46373.708333333336</v>
      </c>
      <c r="AG1720" t="s">
        <v>1266</v>
      </c>
      <c r="AK1720" t="s">
        <v>1265</v>
      </c>
      <c r="AL1720" t="s">
        <v>3046</v>
      </c>
      <c r="AM1720" t="s">
        <v>1263</v>
      </c>
      <c r="AN1720" t="s">
        <v>1262</v>
      </c>
      <c r="AO1720">
        <v>0</v>
      </c>
      <c r="AQ1720" t="s">
        <v>1261</v>
      </c>
      <c r="AR1720" t="s">
        <v>1260</v>
      </c>
      <c r="AS1720" t="s">
        <v>2716</v>
      </c>
      <c r="AT1720" s="30">
        <v>45985.431250000001</v>
      </c>
    </row>
    <row r="1721" spans="1:46" x14ac:dyDescent="0.25">
      <c r="A1721" t="s">
        <v>1248</v>
      </c>
      <c r="B1721">
        <v>170249</v>
      </c>
      <c r="C1721">
        <v>229303</v>
      </c>
      <c r="D1721">
        <v>405</v>
      </c>
      <c r="E1721" t="s">
        <v>1265</v>
      </c>
      <c r="G1721">
        <v>745</v>
      </c>
      <c r="H1721">
        <v>1832</v>
      </c>
      <c r="K1721">
        <v>88198</v>
      </c>
      <c r="L1721">
        <v>88198</v>
      </c>
      <c r="M1721" s="29">
        <v>1102475</v>
      </c>
      <c r="N1721">
        <v>0</v>
      </c>
      <c r="O1721" s="29">
        <v>1102475</v>
      </c>
      <c r="P1721">
        <v>0</v>
      </c>
      <c r="Q1721">
        <v>0</v>
      </c>
      <c r="R1721">
        <v>0</v>
      </c>
      <c r="T1721" s="29">
        <v>11200</v>
      </c>
      <c r="U1721" s="29">
        <v>1640482799</v>
      </c>
      <c r="V1721" t="s">
        <v>1262</v>
      </c>
      <c r="W1721" t="s">
        <v>1262</v>
      </c>
      <c r="X1721" s="29">
        <v>1640482799</v>
      </c>
      <c r="AA1721" s="30">
        <v>46007.333333333336</v>
      </c>
      <c r="AB1721" s="30">
        <v>46150.708333333336</v>
      </c>
      <c r="AC1721" s="30">
        <v>46007.333333333336</v>
      </c>
      <c r="AD1721" s="30">
        <v>46150.708333333336</v>
      </c>
      <c r="AE1721" s="30">
        <v>46233.333333333336</v>
      </c>
      <c r="AF1721" s="30">
        <v>46373.708333333336</v>
      </c>
      <c r="AG1721" t="s">
        <v>1266</v>
      </c>
      <c r="AK1721" t="s">
        <v>1265</v>
      </c>
      <c r="AL1721" t="s">
        <v>3045</v>
      </c>
      <c r="AM1721" t="s">
        <v>1263</v>
      </c>
      <c r="AN1721" t="s">
        <v>1262</v>
      </c>
      <c r="AO1721">
        <v>0</v>
      </c>
      <c r="AQ1721" t="s">
        <v>1261</v>
      </c>
      <c r="AR1721" t="s">
        <v>1260</v>
      </c>
      <c r="AS1721" t="s">
        <v>2716</v>
      </c>
      <c r="AT1721" s="30">
        <v>45985.431250000001</v>
      </c>
    </row>
    <row r="1722" spans="1:46" x14ac:dyDescent="0.25">
      <c r="A1722" t="s">
        <v>1248</v>
      </c>
      <c r="B1722">
        <v>170251</v>
      </c>
      <c r="C1722">
        <v>229303</v>
      </c>
      <c r="D1722">
        <v>405</v>
      </c>
      <c r="E1722" t="s">
        <v>1266</v>
      </c>
      <c r="G1722">
        <v>745</v>
      </c>
      <c r="H1722">
        <v>1873</v>
      </c>
      <c r="K1722" s="29">
        <v>3328320001</v>
      </c>
      <c r="L1722" s="29">
        <v>3328320001</v>
      </c>
      <c r="M1722" s="29">
        <v>41604</v>
      </c>
      <c r="N1722">
        <v>0</v>
      </c>
      <c r="O1722" s="29">
        <v>41604</v>
      </c>
      <c r="P1722">
        <v>0</v>
      </c>
      <c r="Q1722">
        <v>0</v>
      </c>
      <c r="R1722">
        <v>0</v>
      </c>
      <c r="T1722" s="29">
        <v>80000</v>
      </c>
      <c r="U1722" s="29">
        <v>266265600</v>
      </c>
      <c r="V1722" t="s">
        <v>1262</v>
      </c>
      <c r="W1722" t="s">
        <v>1262</v>
      </c>
      <c r="X1722" s="29">
        <v>266265600</v>
      </c>
      <c r="AA1722" s="30">
        <v>46007.333333333336</v>
      </c>
      <c r="AB1722" s="30">
        <v>46150.708333333336</v>
      </c>
      <c r="AC1722" s="30">
        <v>46007.333333333336</v>
      </c>
      <c r="AD1722" s="30">
        <v>46150.708333333336</v>
      </c>
      <c r="AE1722" s="30">
        <v>46233.333333333336</v>
      </c>
      <c r="AF1722" s="30">
        <v>46373.708333333336</v>
      </c>
      <c r="AG1722" t="s">
        <v>1266</v>
      </c>
      <c r="AK1722" t="s">
        <v>1265</v>
      </c>
      <c r="AL1722" t="s">
        <v>3044</v>
      </c>
      <c r="AM1722" t="s">
        <v>1263</v>
      </c>
      <c r="AN1722" t="s">
        <v>1262</v>
      </c>
      <c r="AO1722">
        <v>0</v>
      </c>
      <c r="AQ1722" t="s">
        <v>1261</v>
      </c>
      <c r="AR1722" t="s">
        <v>1260</v>
      </c>
      <c r="AS1722" t="s">
        <v>2716</v>
      </c>
      <c r="AT1722" s="30">
        <v>45985.431250000001</v>
      </c>
    </row>
    <row r="1723" spans="1:46" x14ac:dyDescent="0.25">
      <c r="A1723" t="s">
        <v>1248</v>
      </c>
      <c r="B1723">
        <v>170252</v>
      </c>
      <c r="C1723">
        <v>229303</v>
      </c>
      <c r="D1723">
        <v>405</v>
      </c>
      <c r="E1723" t="s">
        <v>1266</v>
      </c>
      <c r="G1723">
        <v>745</v>
      </c>
      <c r="H1723">
        <v>1879</v>
      </c>
      <c r="K1723">
        <v>80</v>
      </c>
      <c r="L1723">
        <v>80</v>
      </c>
      <c r="M1723" t="s">
        <v>3043</v>
      </c>
      <c r="N1723">
        <v>0</v>
      </c>
      <c r="O1723" t="s">
        <v>3043</v>
      </c>
      <c r="P1723">
        <v>0</v>
      </c>
      <c r="Q1723">
        <v>0</v>
      </c>
      <c r="R1723">
        <v>0</v>
      </c>
      <c r="T1723" s="29">
        <v>2167200</v>
      </c>
      <c r="U1723" s="29">
        <v>173376000</v>
      </c>
      <c r="V1723" t="s">
        <v>1262</v>
      </c>
      <c r="W1723" t="s">
        <v>1262</v>
      </c>
      <c r="X1723" s="29">
        <v>173376000</v>
      </c>
      <c r="AA1723" s="30">
        <v>46007.333333333336</v>
      </c>
      <c r="AB1723" s="30">
        <v>46150.708333333336</v>
      </c>
      <c r="AC1723" s="30">
        <v>46007.333333333336</v>
      </c>
      <c r="AD1723" s="30">
        <v>46150.708333333336</v>
      </c>
      <c r="AE1723" s="30">
        <v>46233.333333333336</v>
      </c>
      <c r="AF1723" s="30">
        <v>46373.708333333336</v>
      </c>
      <c r="AG1723" t="s">
        <v>1266</v>
      </c>
      <c r="AK1723" t="s">
        <v>1265</v>
      </c>
      <c r="AL1723" t="s">
        <v>3042</v>
      </c>
      <c r="AM1723" t="s">
        <v>1263</v>
      </c>
      <c r="AN1723" t="s">
        <v>1262</v>
      </c>
      <c r="AO1723">
        <v>0</v>
      </c>
      <c r="AQ1723" t="s">
        <v>1261</v>
      </c>
      <c r="AR1723" t="s">
        <v>1260</v>
      </c>
      <c r="AS1723" t="s">
        <v>2716</v>
      </c>
      <c r="AT1723" s="30">
        <v>45985.431250000001</v>
      </c>
    </row>
    <row r="1724" spans="1:46" x14ac:dyDescent="0.25">
      <c r="A1724" t="s">
        <v>1248</v>
      </c>
      <c r="B1724">
        <v>170253</v>
      </c>
      <c r="C1724">
        <v>229303</v>
      </c>
      <c r="D1724">
        <v>405</v>
      </c>
      <c r="E1724" t="s">
        <v>1266</v>
      </c>
      <c r="G1724">
        <v>745</v>
      </c>
      <c r="H1724">
        <v>1827</v>
      </c>
      <c r="K1724" s="29">
        <v>13077992</v>
      </c>
      <c r="L1724" s="29">
        <v>13077992</v>
      </c>
      <c r="M1724" t="s">
        <v>2720</v>
      </c>
      <c r="N1724">
        <v>0</v>
      </c>
      <c r="O1724" t="s">
        <v>2720</v>
      </c>
      <c r="P1724">
        <v>0</v>
      </c>
      <c r="Q1724">
        <v>0</v>
      </c>
      <c r="R1724">
        <v>0</v>
      </c>
      <c r="T1724" s="29">
        <v>207200</v>
      </c>
      <c r="U1724" s="29">
        <v>30641735</v>
      </c>
      <c r="V1724" t="s">
        <v>1262</v>
      </c>
      <c r="W1724" t="s">
        <v>1262</v>
      </c>
      <c r="X1724" s="29">
        <v>30641735</v>
      </c>
      <c r="AA1724" s="30">
        <v>46007.333333333336</v>
      </c>
      <c r="AB1724" s="30">
        <v>46150.708333333336</v>
      </c>
      <c r="AC1724" s="30">
        <v>46007.333333333336</v>
      </c>
      <c r="AD1724" s="30">
        <v>46150.708333333336</v>
      </c>
      <c r="AE1724" s="30">
        <v>46233.333333333336</v>
      </c>
      <c r="AF1724" s="30">
        <v>46373.708333333336</v>
      </c>
      <c r="AG1724" t="s">
        <v>1266</v>
      </c>
      <c r="AK1724" t="s">
        <v>1265</v>
      </c>
      <c r="AL1724" t="s">
        <v>3041</v>
      </c>
      <c r="AM1724" t="s">
        <v>1263</v>
      </c>
      <c r="AN1724" t="s">
        <v>1262</v>
      </c>
      <c r="AO1724">
        <v>0</v>
      </c>
      <c r="AQ1724" t="s">
        <v>1261</v>
      </c>
      <c r="AR1724" t="s">
        <v>1260</v>
      </c>
      <c r="AS1724" t="s">
        <v>2716</v>
      </c>
      <c r="AT1724" s="30">
        <v>45985.440972222219</v>
      </c>
    </row>
    <row r="1725" spans="1:46" x14ac:dyDescent="0.25">
      <c r="A1725" t="s">
        <v>1248</v>
      </c>
      <c r="B1725">
        <v>170254</v>
      </c>
      <c r="C1725">
        <v>229304</v>
      </c>
      <c r="D1725">
        <v>405</v>
      </c>
      <c r="E1725" t="s">
        <v>1266</v>
      </c>
      <c r="G1725">
        <v>745</v>
      </c>
      <c r="H1725">
        <v>1498</v>
      </c>
      <c r="K1725" t="s">
        <v>3040</v>
      </c>
      <c r="L1725" t="s">
        <v>3040</v>
      </c>
      <c r="M1725" t="s">
        <v>3039</v>
      </c>
      <c r="N1725">
        <v>0</v>
      </c>
      <c r="O1725" t="s">
        <v>3039</v>
      </c>
      <c r="P1725">
        <v>0</v>
      </c>
      <c r="Q1725">
        <v>0</v>
      </c>
      <c r="R1725">
        <v>0</v>
      </c>
      <c r="S1725">
        <v>0</v>
      </c>
      <c r="T1725" s="29">
        <v>60000</v>
      </c>
      <c r="U1725" s="29">
        <v>20452200</v>
      </c>
      <c r="V1725" t="s">
        <v>1262</v>
      </c>
      <c r="W1725" t="s">
        <v>1262</v>
      </c>
      <c r="X1725" s="29">
        <v>20452200</v>
      </c>
      <c r="AA1725" s="30">
        <v>45937.333333333336</v>
      </c>
      <c r="AB1725" s="30">
        <v>46006.708333333336</v>
      </c>
      <c r="AC1725" s="30">
        <v>45937.333333333336</v>
      </c>
      <c r="AD1725" s="30">
        <v>46006.708333333336</v>
      </c>
      <c r="AE1725" s="30">
        <v>46162.333333333336</v>
      </c>
      <c r="AF1725" s="30">
        <v>46232.708333333336</v>
      </c>
      <c r="AG1725" t="s">
        <v>1266</v>
      </c>
      <c r="AK1725" t="s">
        <v>1265</v>
      </c>
      <c r="AL1725" t="e">
        <f>+tm+W3A3sEGwB9U3uoVaog</f>
        <v>#NAME?</v>
      </c>
      <c r="AM1725" t="s">
        <v>1263</v>
      </c>
      <c r="AN1725" t="s">
        <v>1262</v>
      </c>
      <c r="AO1725">
        <v>0</v>
      </c>
      <c r="AQ1725" t="s">
        <v>1261</v>
      </c>
      <c r="AR1725" t="s">
        <v>1260</v>
      </c>
      <c r="AS1725" t="s">
        <v>2716</v>
      </c>
      <c r="AT1725" s="30">
        <v>45985.477083333331</v>
      </c>
    </row>
    <row r="1726" spans="1:46" x14ac:dyDescent="0.25">
      <c r="A1726" t="s">
        <v>1248</v>
      </c>
      <c r="B1726">
        <v>170255</v>
      </c>
      <c r="C1726">
        <v>229304</v>
      </c>
      <c r="D1726">
        <v>405</v>
      </c>
      <c r="E1726" t="s">
        <v>1266</v>
      </c>
      <c r="G1726">
        <v>745</v>
      </c>
      <c r="H1726">
        <v>1671</v>
      </c>
      <c r="K1726" t="s">
        <v>3038</v>
      </c>
      <c r="L1726" t="s">
        <v>3038</v>
      </c>
      <c r="M1726" s="29">
        <v>13441875</v>
      </c>
      <c r="N1726">
        <v>0</v>
      </c>
      <c r="O1726" s="29">
        <v>13441875</v>
      </c>
      <c r="P1726">
        <v>0</v>
      </c>
      <c r="Q1726">
        <v>0</v>
      </c>
      <c r="R1726">
        <v>0</v>
      </c>
      <c r="T1726" t="s">
        <v>1262</v>
      </c>
      <c r="U1726" t="s">
        <v>1262</v>
      </c>
      <c r="V1726" t="s">
        <v>1262</v>
      </c>
      <c r="W1726" t="s">
        <v>1262</v>
      </c>
      <c r="X1726" t="s">
        <v>1262</v>
      </c>
      <c r="AA1726" s="30">
        <v>45937.333333333336</v>
      </c>
      <c r="AB1726" s="30">
        <v>46006.708333333336</v>
      </c>
      <c r="AC1726" s="30">
        <v>45937.333333333336</v>
      </c>
      <c r="AD1726" s="30">
        <v>46006.708333333336</v>
      </c>
      <c r="AE1726" s="30">
        <v>46162.333333333336</v>
      </c>
      <c r="AF1726" s="30">
        <v>46232.708333333336</v>
      </c>
      <c r="AG1726" t="s">
        <v>1266</v>
      </c>
      <c r="AK1726" t="s">
        <v>1265</v>
      </c>
      <c r="AL1726" t="s">
        <v>3037</v>
      </c>
      <c r="AM1726" t="s">
        <v>1263</v>
      </c>
      <c r="AN1726" t="s">
        <v>1262</v>
      </c>
      <c r="AO1726">
        <v>0</v>
      </c>
      <c r="AQ1726" t="s">
        <v>1261</v>
      </c>
      <c r="AR1726" t="s">
        <v>1260</v>
      </c>
      <c r="AS1726" t="s">
        <v>2716</v>
      </c>
      <c r="AT1726" s="30">
        <v>45985.477083333331</v>
      </c>
    </row>
    <row r="1727" spans="1:46" x14ac:dyDescent="0.25">
      <c r="A1727" t="s">
        <v>1248</v>
      </c>
      <c r="B1727">
        <v>170256</v>
      </c>
      <c r="C1727">
        <v>229304</v>
      </c>
      <c r="D1727">
        <v>405</v>
      </c>
      <c r="E1727" t="s">
        <v>1266</v>
      </c>
      <c r="G1727">
        <v>745</v>
      </c>
      <c r="H1727">
        <v>1673</v>
      </c>
      <c r="K1727" t="s">
        <v>3035</v>
      </c>
      <c r="L1727" t="s">
        <v>3035</v>
      </c>
      <c r="M1727" t="s">
        <v>3034</v>
      </c>
      <c r="N1727">
        <v>0</v>
      </c>
      <c r="O1727" t="s">
        <v>3034</v>
      </c>
      <c r="P1727">
        <v>0</v>
      </c>
      <c r="Q1727">
        <v>0</v>
      </c>
      <c r="R1727">
        <v>0</v>
      </c>
      <c r="T1727" s="29">
        <v>108000</v>
      </c>
      <c r="U1727" s="29">
        <v>14685840</v>
      </c>
      <c r="V1727" t="s">
        <v>1262</v>
      </c>
      <c r="W1727" t="s">
        <v>1262</v>
      </c>
      <c r="X1727" s="29">
        <v>14685840</v>
      </c>
      <c r="AA1727" s="30">
        <v>45937.333333333336</v>
      </c>
      <c r="AB1727" s="30">
        <v>46006.708333333336</v>
      </c>
      <c r="AC1727" s="30">
        <v>45937.333333333336</v>
      </c>
      <c r="AD1727" s="30">
        <v>46006.708333333336</v>
      </c>
      <c r="AE1727" s="30">
        <v>46162.333333333336</v>
      </c>
      <c r="AF1727" s="30">
        <v>46232.708333333336</v>
      </c>
      <c r="AG1727" t="s">
        <v>1266</v>
      </c>
      <c r="AK1727" t="s">
        <v>1265</v>
      </c>
      <c r="AL1727" t="s">
        <v>3036</v>
      </c>
      <c r="AM1727" t="s">
        <v>1263</v>
      </c>
      <c r="AN1727" t="s">
        <v>1262</v>
      </c>
      <c r="AO1727">
        <v>0</v>
      </c>
      <c r="AQ1727" t="s">
        <v>1261</v>
      </c>
      <c r="AR1727" t="s">
        <v>1260</v>
      </c>
      <c r="AS1727" t="s">
        <v>2716</v>
      </c>
      <c r="AT1727" s="30">
        <v>45985.477083333331</v>
      </c>
    </row>
    <row r="1728" spans="1:46" x14ac:dyDescent="0.25">
      <c r="A1728" t="s">
        <v>1248</v>
      </c>
      <c r="B1728">
        <v>170257</v>
      </c>
      <c r="C1728">
        <v>229304</v>
      </c>
      <c r="D1728">
        <v>405</v>
      </c>
      <c r="E1728" t="s">
        <v>1265</v>
      </c>
      <c r="G1728">
        <v>745</v>
      </c>
      <c r="H1728">
        <v>1805</v>
      </c>
      <c r="K1728" t="s">
        <v>3035</v>
      </c>
      <c r="L1728" t="s">
        <v>3035</v>
      </c>
      <c r="M1728" t="s">
        <v>3034</v>
      </c>
      <c r="N1728">
        <v>0</v>
      </c>
      <c r="O1728" t="s">
        <v>3034</v>
      </c>
      <c r="P1728">
        <v>0</v>
      </c>
      <c r="Q1728">
        <v>0</v>
      </c>
      <c r="R1728">
        <v>0</v>
      </c>
      <c r="T1728" s="29">
        <v>10000</v>
      </c>
      <c r="U1728" s="29">
        <v>3399500</v>
      </c>
      <c r="V1728" t="s">
        <v>1262</v>
      </c>
      <c r="W1728" t="s">
        <v>1262</v>
      </c>
      <c r="X1728" s="29">
        <v>3399500</v>
      </c>
      <c r="AA1728" s="30">
        <v>45937.333333333336</v>
      </c>
      <c r="AB1728" s="30">
        <v>46006.708333333336</v>
      </c>
      <c r="AC1728" s="30">
        <v>45937.333333333336</v>
      </c>
      <c r="AD1728" s="30">
        <v>46006.708333333336</v>
      </c>
      <c r="AE1728" s="30">
        <v>46162.333333333336</v>
      </c>
      <c r="AF1728" s="30">
        <v>46232.708333333336</v>
      </c>
      <c r="AG1728" t="s">
        <v>1266</v>
      </c>
      <c r="AK1728" t="s">
        <v>1265</v>
      </c>
      <c r="AL1728" t="s">
        <v>3033</v>
      </c>
      <c r="AM1728" t="s">
        <v>1263</v>
      </c>
      <c r="AN1728" t="s">
        <v>1262</v>
      </c>
      <c r="AO1728">
        <v>0</v>
      </c>
      <c r="AQ1728" t="s">
        <v>1261</v>
      </c>
      <c r="AR1728" t="s">
        <v>1260</v>
      </c>
      <c r="AS1728" t="s">
        <v>2716</v>
      </c>
      <c r="AT1728" s="30">
        <v>45985.477083333331</v>
      </c>
    </row>
    <row r="1729" spans="1:46" x14ac:dyDescent="0.25">
      <c r="A1729" t="s">
        <v>1248</v>
      </c>
      <c r="B1729">
        <v>170261</v>
      </c>
      <c r="C1729">
        <v>229304</v>
      </c>
      <c r="D1729">
        <v>405</v>
      </c>
      <c r="E1729" t="s">
        <v>1266</v>
      </c>
      <c r="G1729">
        <v>745</v>
      </c>
      <c r="H1729">
        <v>1816</v>
      </c>
      <c r="K1729" t="s">
        <v>3032</v>
      </c>
      <c r="L1729" t="s">
        <v>3032</v>
      </c>
      <c r="M1729" t="s">
        <v>3031</v>
      </c>
      <c r="N1729">
        <v>0</v>
      </c>
      <c r="O1729" t="s">
        <v>3031</v>
      </c>
      <c r="P1729">
        <v>0</v>
      </c>
      <c r="Q1729">
        <v>0</v>
      </c>
      <c r="R1729">
        <v>0</v>
      </c>
      <c r="T1729" s="29">
        <v>60000</v>
      </c>
      <c r="U1729" s="29">
        <v>610800</v>
      </c>
      <c r="V1729" t="s">
        <v>1262</v>
      </c>
      <c r="W1729" t="s">
        <v>1262</v>
      </c>
      <c r="X1729" s="29">
        <v>610800</v>
      </c>
      <c r="AA1729" s="30">
        <v>45937.333333333336</v>
      </c>
      <c r="AB1729" s="30">
        <v>46006.708333333336</v>
      </c>
      <c r="AC1729" s="30">
        <v>45937.333333333336</v>
      </c>
      <c r="AD1729" s="30">
        <v>46006.708333333336</v>
      </c>
      <c r="AE1729" s="30">
        <v>46162.333333333336</v>
      </c>
      <c r="AF1729" s="30">
        <v>46232.708333333336</v>
      </c>
      <c r="AG1729" t="s">
        <v>1266</v>
      </c>
      <c r="AK1729" t="s">
        <v>1265</v>
      </c>
      <c r="AL1729" t="s">
        <v>3030</v>
      </c>
      <c r="AM1729" t="s">
        <v>1263</v>
      </c>
      <c r="AN1729" t="s">
        <v>1262</v>
      </c>
      <c r="AO1729">
        <v>0</v>
      </c>
      <c r="AQ1729" t="s">
        <v>1261</v>
      </c>
      <c r="AR1729" t="s">
        <v>1260</v>
      </c>
      <c r="AS1729" t="s">
        <v>2716</v>
      </c>
      <c r="AT1729" s="30">
        <v>45985.477083333331</v>
      </c>
    </row>
    <row r="1730" spans="1:46" x14ac:dyDescent="0.25">
      <c r="A1730" t="s">
        <v>1248</v>
      </c>
      <c r="B1730">
        <v>170265</v>
      </c>
      <c r="C1730">
        <v>229304</v>
      </c>
      <c r="D1730">
        <v>405</v>
      </c>
      <c r="E1730" t="s">
        <v>1266</v>
      </c>
      <c r="G1730">
        <v>745</v>
      </c>
      <c r="H1730">
        <v>1827</v>
      </c>
      <c r="K1730" t="s">
        <v>3029</v>
      </c>
      <c r="L1730" t="s">
        <v>3029</v>
      </c>
      <c r="M1730" t="s">
        <v>3028</v>
      </c>
      <c r="N1730">
        <v>0</v>
      </c>
      <c r="O1730" t="s">
        <v>3028</v>
      </c>
      <c r="P1730">
        <v>0</v>
      </c>
      <c r="Q1730">
        <v>0</v>
      </c>
      <c r="R1730">
        <v>0</v>
      </c>
      <c r="T1730" s="29">
        <v>207200</v>
      </c>
      <c r="U1730" s="29">
        <v>9856504</v>
      </c>
      <c r="V1730" t="s">
        <v>1262</v>
      </c>
      <c r="W1730" t="s">
        <v>1262</v>
      </c>
      <c r="X1730" s="29">
        <v>9856504</v>
      </c>
      <c r="AA1730" s="30">
        <v>45937.333333333336</v>
      </c>
      <c r="AB1730" s="30">
        <v>46006.708333333336</v>
      </c>
      <c r="AC1730" s="30">
        <v>45937.333333333336</v>
      </c>
      <c r="AD1730" s="30">
        <v>46006.708333333336</v>
      </c>
      <c r="AE1730" s="30">
        <v>46162.333333333336</v>
      </c>
      <c r="AF1730" s="30">
        <v>46232.708333333336</v>
      </c>
      <c r="AG1730" t="s">
        <v>1266</v>
      </c>
      <c r="AK1730" t="s">
        <v>1265</v>
      </c>
      <c r="AL1730" t="s">
        <v>3027</v>
      </c>
      <c r="AM1730" t="s">
        <v>1263</v>
      </c>
      <c r="AN1730" t="s">
        <v>1262</v>
      </c>
      <c r="AO1730">
        <v>0</v>
      </c>
      <c r="AQ1730" t="s">
        <v>1261</v>
      </c>
      <c r="AR1730" t="s">
        <v>1260</v>
      </c>
      <c r="AS1730" t="s">
        <v>2716</v>
      </c>
      <c r="AT1730" s="30">
        <v>45985.477083333331</v>
      </c>
    </row>
    <row r="1731" spans="1:46" x14ac:dyDescent="0.25">
      <c r="A1731" t="s">
        <v>1248</v>
      </c>
      <c r="B1731">
        <v>170266</v>
      </c>
      <c r="C1731">
        <v>229304</v>
      </c>
      <c r="D1731">
        <v>405</v>
      </c>
      <c r="E1731" t="s">
        <v>1266</v>
      </c>
      <c r="G1731">
        <v>745</v>
      </c>
      <c r="H1731">
        <v>1832</v>
      </c>
      <c r="K1731" t="s">
        <v>3026</v>
      </c>
      <c r="L1731" t="s">
        <v>3026</v>
      </c>
      <c r="M1731" t="s">
        <v>3025</v>
      </c>
      <c r="N1731">
        <v>0</v>
      </c>
      <c r="O1731" t="s">
        <v>3025</v>
      </c>
      <c r="P1731">
        <v>0</v>
      </c>
      <c r="Q1731">
        <v>0</v>
      </c>
      <c r="R1731">
        <v>0</v>
      </c>
      <c r="T1731" s="29">
        <v>11200</v>
      </c>
      <c r="U1731" s="29">
        <v>3419136</v>
      </c>
      <c r="V1731" t="s">
        <v>1262</v>
      </c>
      <c r="W1731" t="s">
        <v>1262</v>
      </c>
      <c r="X1731" s="29">
        <v>3419136</v>
      </c>
      <c r="AA1731" s="30">
        <v>45937.333333333336</v>
      </c>
      <c r="AB1731" s="30">
        <v>46006.708333333336</v>
      </c>
      <c r="AC1731" s="30">
        <v>45937.333333333336</v>
      </c>
      <c r="AD1731" s="30">
        <v>46006.708333333336</v>
      </c>
      <c r="AE1731" s="30">
        <v>46162.333333333336</v>
      </c>
      <c r="AF1731" s="30">
        <v>46232.708333333336</v>
      </c>
      <c r="AG1731" t="s">
        <v>1266</v>
      </c>
      <c r="AK1731" t="s">
        <v>1265</v>
      </c>
      <c r="AL1731" t="s">
        <v>3024</v>
      </c>
      <c r="AM1731" t="s">
        <v>1263</v>
      </c>
      <c r="AN1731" t="s">
        <v>1262</v>
      </c>
      <c r="AO1731">
        <v>0</v>
      </c>
      <c r="AQ1731" t="s">
        <v>1261</v>
      </c>
      <c r="AR1731" t="s">
        <v>1260</v>
      </c>
      <c r="AS1731" t="s">
        <v>2716</v>
      </c>
      <c r="AT1731" s="30">
        <v>45985.477083333331</v>
      </c>
    </row>
    <row r="1732" spans="1:46" x14ac:dyDescent="0.25">
      <c r="A1732" t="s">
        <v>1248</v>
      </c>
      <c r="B1732">
        <v>170267</v>
      </c>
      <c r="C1732">
        <v>229304</v>
      </c>
      <c r="D1732">
        <v>405</v>
      </c>
      <c r="E1732" t="s">
        <v>1266</v>
      </c>
      <c r="G1732">
        <v>745</v>
      </c>
      <c r="H1732">
        <v>1873</v>
      </c>
      <c r="K1732" t="s">
        <v>3023</v>
      </c>
      <c r="L1732" t="s">
        <v>3023</v>
      </c>
      <c r="M1732" s="29">
        <v>107535</v>
      </c>
      <c r="N1732">
        <v>0</v>
      </c>
      <c r="O1732" s="29">
        <v>107535</v>
      </c>
      <c r="P1732">
        <v>0</v>
      </c>
      <c r="Q1732">
        <v>0</v>
      </c>
      <c r="R1732">
        <v>0</v>
      </c>
      <c r="T1732" s="29">
        <v>80000</v>
      </c>
      <c r="U1732" s="29">
        <v>34411200</v>
      </c>
      <c r="V1732" t="s">
        <v>1262</v>
      </c>
      <c r="W1732" t="s">
        <v>1262</v>
      </c>
      <c r="X1732" s="29">
        <v>34411200</v>
      </c>
      <c r="AA1732" s="30">
        <v>45937.333333333336</v>
      </c>
      <c r="AB1732" s="30">
        <v>46006.708333333336</v>
      </c>
      <c r="AC1732" s="30">
        <v>45937.333333333336</v>
      </c>
      <c r="AD1732" s="30">
        <v>46006.708333333336</v>
      </c>
      <c r="AE1732" s="30">
        <v>46162.333333333336</v>
      </c>
      <c r="AF1732" s="30">
        <v>46232.708333333336</v>
      </c>
      <c r="AG1732" t="s">
        <v>1266</v>
      </c>
      <c r="AK1732" t="s">
        <v>1265</v>
      </c>
      <c r="AL1732" t="s">
        <v>3022</v>
      </c>
      <c r="AM1732" t="s">
        <v>1263</v>
      </c>
      <c r="AN1732" t="s">
        <v>1262</v>
      </c>
      <c r="AO1732">
        <v>0</v>
      </c>
      <c r="AQ1732" t="s">
        <v>1261</v>
      </c>
      <c r="AR1732" t="s">
        <v>1260</v>
      </c>
      <c r="AS1732" t="s">
        <v>2716</v>
      </c>
      <c r="AT1732" s="30">
        <v>45985.477083333331</v>
      </c>
    </row>
    <row r="1733" spans="1:46" x14ac:dyDescent="0.25">
      <c r="A1733" t="s">
        <v>1248</v>
      </c>
      <c r="B1733">
        <v>170272</v>
      </c>
      <c r="C1733">
        <v>229304</v>
      </c>
      <c r="D1733">
        <v>405</v>
      </c>
      <c r="E1733" t="s">
        <v>1266</v>
      </c>
      <c r="G1733">
        <v>745</v>
      </c>
      <c r="H1733">
        <v>1820</v>
      </c>
      <c r="K1733" t="s">
        <v>3021</v>
      </c>
      <c r="L1733" t="s">
        <v>3021</v>
      </c>
      <c r="M1733" t="s">
        <v>3020</v>
      </c>
      <c r="N1733">
        <v>0</v>
      </c>
      <c r="O1733" t="s">
        <v>3020</v>
      </c>
      <c r="P1733">
        <v>0</v>
      </c>
      <c r="Q1733">
        <v>0</v>
      </c>
      <c r="R1733">
        <v>0</v>
      </c>
      <c r="T1733" s="29">
        <v>1500000</v>
      </c>
      <c r="U1733" s="29">
        <v>72750000</v>
      </c>
      <c r="V1733" t="s">
        <v>1262</v>
      </c>
      <c r="W1733" t="s">
        <v>1262</v>
      </c>
      <c r="X1733" s="29">
        <v>72750000</v>
      </c>
      <c r="AA1733" s="30">
        <v>45937.333333333336</v>
      </c>
      <c r="AB1733" s="30">
        <v>46006.708333333336</v>
      </c>
      <c r="AC1733" s="30">
        <v>45937.333333333336</v>
      </c>
      <c r="AD1733" s="30">
        <v>46006.708333333336</v>
      </c>
      <c r="AE1733" s="30">
        <v>46162.333333333336</v>
      </c>
      <c r="AF1733" s="30">
        <v>46232.708333333336</v>
      </c>
      <c r="AG1733" t="s">
        <v>1266</v>
      </c>
      <c r="AK1733" t="s">
        <v>1265</v>
      </c>
      <c r="AL1733" t="s">
        <v>3019</v>
      </c>
      <c r="AM1733" t="s">
        <v>1263</v>
      </c>
      <c r="AN1733" t="s">
        <v>1262</v>
      </c>
      <c r="AO1733">
        <v>0</v>
      </c>
      <c r="AQ1733" t="s">
        <v>1261</v>
      </c>
      <c r="AR1733" t="s">
        <v>1260</v>
      </c>
      <c r="AS1733" t="s">
        <v>2716</v>
      </c>
      <c r="AT1733" s="30">
        <v>45985.481944444444</v>
      </c>
    </row>
    <row r="1734" spans="1:46" x14ac:dyDescent="0.25">
      <c r="A1734" t="s">
        <v>1248</v>
      </c>
      <c r="B1734">
        <v>170273</v>
      </c>
      <c r="C1734">
        <v>229304</v>
      </c>
      <c r="D1734">
        <v>405</v>
      </c>
      <c r="E1734" t="s">
        <v>1266</v>
      </c>
      <c r="G1734">
        <v>745</v>
      </c>
      <c r="H1734">
        <v>1833</v>
      </c>
      <c r="K1734" t="s">
        <v>3018</v>
      </c>
      <c r="L1734" t="s">
        <v>3018</v>
      </c>
      <c r="M1734" s="29">
        <v>537375</v>
      </c>
      <c r="N1734">
        <v>0</v>
      </c>
      <c r="O1734" s="29">
        <v>537375</v>
      </c>
      <c r="P1734">
        <v>0</v>
      </c>
      <c r="Q1734">
        <v>0</v>
      </c>
      <c r="R1734">
        <v>0</v>
      </c>
      <c r="T1734" s="29">
        <v>10300</v>
      </c>
      <c r="U1734" s="29">
        <v>22139850</v>
      </c>
      <c r="V1734" t="s">
        <v>1262</v>
      </c>
      <c r="W1734" t="s">
        <v>1262</v>
      </c>
      <c r="X1734" s="29">
        <v>22139850</v>
      </c>
      <c r="AA1734" s="30">
        <v>45937.333333333336</v>
      </c>
      <c r="AB1734" s="30">
        <v>46006.708333333336</v>
      </c>
      <c r="AC1734" s="30">
        <v>45937.333333333336</v>
      </c>
      <c r="AD1734" s="30">
        <v>46006.708333333336</v>
      </c>
      <c r="AE1734" s="30">
        <v>46162.333333333336</v>
      </c>
      <c r="AF1734" s="30">
        <v>46232.708333333336</v>
      </c>
      <c r="AG1734" t="s">
        <v>1266</v>
      </c>
      <c r="AK1734" t="s">
        <v>1265</v>
      </c>
      <c r="AL1734" t="s">
        <v>3017</v>
      </c>
      <c r="AM1734" t="s">
        <v>1263</v>
      </c>
      <c r="AN1734" t="s">
        <v>1262</v>
      </c>
      <c r="AO1734">
        <v>0</v>
      </c>
      <c r="AQ1734" t="s">
        <v>1261</v>
      </c>
      <c r="AR1734" t="s">
        <v>1260</v>
      </c>
      <c r="AS1734" t="s">
        <v>2716</v>
      </c>
      <c r="AT1734" s="30">
        <v>45985.482638888891</v>
      </c>
    </row>
    <row r="1735" spans="1:46" x14ac:dyDescent="0.25">
      <c r="A1735" t="s">
        <v>1248</v>
      </c>
      <c r="B1735">
        <v>170274</v>
      </c>
      <c r="C1735">
        <v>229304</v>
      </c>
      <c r="D1735">
        <v>405</v>
      </c>
      <c r="E1735" t="s">
        <v>1266</v>
      </c>
      <c r="G1735">
        <v>745</v>
      </c>
      <c r="H1735">
        <v>1865</v>
      </c>
      <c r="K1735" t="s">
        <v>3016</v>
      </c>
      <c r="L1735" t="s">
        <v>3016</v>
      </c>
      <c r="M1735" t="s">
        <v>3015</v>
      </c>
      <c r="N1735">
        <v>0</v>
      </c>
      <c r="O1735" t="s">
        <v>3015</v>
      </c>
      <c r="P1735">
        <v>0</v>
      </c>
      <c r="Q1735">
        <v>0</v>
      </c>
      <c r="R1735">
        <v>0</v>
      </c>
      <c r="T1735" s="29">
        <v>388000</v>
      </c>
      <c r="U1735" s="29">
        <v>26810800</v>
      </c>
      <c r="V1735" t="s">
        <v>1262</v>
      </c>
      <c r="W1735" t="s">
        <v>1262</v>
      </c>
      <c r="X1735" s="29">
        <v>26810800</v>
      </c>
      <c r="AA1735" s="30">
        <v>45937.333333333336</v>
      </c>
      <c r="AB1735" s="30">
        <v>46006.708333333336</v>
      </c>
      <c r="AC1735" s="30">
        <v>45937.333333333336</v>
      </c>
      <c r="AD1735" s="30">
        <v>46006.708333333336</v>
      </c>
      <c r="AE1735" s="30">
        <v>46162.333333333336</v>
      </c>
      <c r="AF1735" s="30">
        <v>46232.708333333336</v>
      </c>
      <c r="AG1735" t="s">
        <v>1266</v>
      </c>
      <c r="AK1735" t="s">
        <v>1265</v>
      </c>
      <c r="AL1735" t="s">
        <v>3014</v>
      </c>
      <c r="AM1735" t="s">
        <v>1263</v>
      </c>
      <c r="AN1735" t="s">
        <v>1262</v>
      </c>
      <c r="AO1735">
        <v>0</v>
      </c>
      <c r="AQ1735" t="s">
        <v>1261</v>
      </c>
      <c r="AR1735" t="s">
        <v>1260</v>
      </c>
      <c r="AS1735" t="s">
        <v>2716</v>
      </c>
      <c r="AT1735" s="30">
        <v>45985.482638888891</v>
      </c>
    </row>
    <row r="1736" spans="1:46" x14ac:dyDescent="0.25">
      <c r="A1736" t="s">
        <v>1248</v>
      </c>
      <c r="B1736">
        <v>170275</v>
      </c>
      <c r="C1736">
        <v>229304</v>
      </c>
      <c r="D1736">
        <v>405</v>
      </c>
      <c r="E1736" t="s">
        <v>1265</v>
      </c>
      <c r="G1736">
        <v>745</v>
      </c>
      <c r="H1736">
        <v>1889</v>
      </c>
      <c r="K1736" t="s">
        <v>3013</v>
      </c>
      <c r="L1736" t="s">
        <v>3013</v>
      </c>
      <c r="M1736" s="29">
        <v>11397</v>
      </c>
      <c r="N1736">
        <v>0</v>
      </c>
      <c r="O1736" s="29">
        <v>11397</v>
      </c>
      <c r="P1736">
        <v>0</v>
      </c>
      <c r="Q1736">
        <v>0</v>
      </c>
      <c r="R1736">
        <v>0</v>
      </c>
      <c r="T1736" s="29">
        <v>30900</v>
      </c>
      <c r="U1736" s="29">
        <v>140866900</v>
      </c>
      <c r="V1736" t="s">
        <v>1262</v>
      </c>
      <c r="W1736" t="s">
        <v>1262</v>
      </c>
      <c r="X1736" s="29">
        <v>140866900</v>
      </c>
      <c r="AA1736" s="30">
        <v>45937.333333333336</v>
      </c>
      <c r="AB1736" s="30">
        <v>46006.708333333336</v>
      </c>
      <c r="AC1736" s="30">
        <v>45937.333333333336</v>
      </c>
      <c r="AD1736" s="30">
        <v>46006.708333333336</v>
      </c>
      <c r="AE1736" s="30">
        <v>46162.333333333336</v>
      </c>
      <c r="AF1736" s="30">
        <v>46232.708333333336</v>
      </c>
      <c r="AG1736" t="s">
        <v>1266</v>
      </c>
      <c r="AK1736" t="s">
        <v>1265</v>
      </c>
      <c r="AL1736" t="s">
        <v>3012</v>
      </c>
      <c r="AM1736" t="s">
        <v>1263</v>
      </c>
      <c r="AN1736" t="s">
        <v>1262</v>
      </c>
      <c r="AO1736">
        <v>0</v>
      </c>
      <c r="AQ1736" t="s">
        <v>1261</v>
      </c>
      <c r="AR1736" t="s">
        <v>1260</v>
      </c>
      <c r="AS1736" t="s">
        <v>2716</v>
      </c>
      <c r="AT1736" s="30">
        <v>45985.48333333333</v>
      </c>
    </row>
    <row r="1737" spans="1:46" x14ac:dyDescent="0.25">
      <c r="A1737" t="s">
        <v>1248</v>
      </c>
      <c r="B1737">
        <v>170276</v>
      </c>
      <c r="C1737">
        <v>229305</v>
      </c>
      <c r="D1737">
        <v>405</v>
      </c>
      <c r="E1737" t="s">
        <v>1265</v>
      </c>
      <c r="G1737">
        <v>745</v>
      </c>
      <c r="H1737">
        <v>1498</v>
      </c>
      <c r="K1737" t="s">
        <v>3011</v>
      </c>
      <c r="L1737" t="s">
        <v>3011</v>
      </c>
      <c r="M1737" s="29">
        <v>805215</v>
      </c>
      <c r="N1737">
        <v>0</v>
      </c>
      <c r="O1737" s="29">
        <v>805215</v>
      </c>
      <c r="P1737">
        <v>0</v>
      </c>
      <c r="Q1737">
        <v>0</v>
      </c>
      <c r="R1737">
        <v>0</v>
      </c>
      <c r="S1737">
        <v>0</v>
      </c>
      <c r="T1737" s="29">
        <v>60000</v>
      </c>
      <c r="U1737" s="29">
        <v>483129000</v>
      </c>
      <c r="V1737" t="s">
        <v>1262</v>
      </c>
      <c r="W1737" t="s">
        <v>1262</v>
      </c>
      <c r="X1737" s="29">
        <v>483129000</v>
      </c>
      <c r="AA1737" s="30">
        <v>45622.333333333336</v>
      </c>
      <c r="AB1737" s="30">
        <v>45796.708333333336</v>
      </c>
      <c r="AC1737" s="30">
        <v>45622.333333333336</v>
      </c>
      <c r="AD1737" s="30">
        <v>45796.708333333336</v>
      </c>
      <c r="AE1737" s="30">
        <v>45841.333333333336</v>
      </c>
      <c r="AF1737" s="30">
        <v>46015.708333333336</v>
      </c>
      <c r="AG1737" t="s">
        <v>1266</v>
      </c>
      <c r="AK1737" t="s">
        <v>1265</v>
      </c>
      <c r="AL1737" t="s">
        <v>3010</v>
      </c>
      <c r="AM1737" t="s">
        <v>1263</v>
      </c>
      <c r="AN1737" t="s">
        <v>1262</v>
      </c>
      <c r="AO1737">
        <v>0</v>
      </c>
      <c r="AQ1737" t="s">
        <v>1261</v>
      </c>
      <c r="AR1737" t="s">
        <v>1260</v>
      </c>
      <c r="AS1737" t="s">
        <v>2716</v>
      </c>
      <c r="AT1737" s="30">
        <v>45985.488888888889</v>
      </c>
    </row>
    <row r="1738" spans="1:46" x14ac:dyDescent="0.25">
      <c r="A1738" t="s">
        <v>1248</v>
      </c>
      <c r="B1738">
        <v>170277</v>
      </c>
      <c r="C1738">
        <v>229305</v>
      </c>
      <c r="D1738">
        <v>405</v>
      </c>
      <c r="E1738" t="s">
        <v>1266</v>
      </c>
      <c r="G1738">
        <v>745</v>
      </c>
      <c r="H1738">
        <v>1671</v>
      </c>
      <c r="K1738">
        <v>145063</v>
      </c>
      <c r="L1738">
        <v>145063</v>
      </c>
      <c r="M1738" s="29">
        <v>145063</v>
      </c>
      <c r="N1738">
        <v>0</v>
      </c>
      <c r="O1738" s="29">
        <v>145063</v>
      </c>
      <c r="P1738">
        <v>0</v>
      </c>
      <c r="Q1738">
        <v>0</v>
      </c>
      <c r="R1738">
        <v>0</v>
      </c>
      <c r="T1738" t="s">
        <v>1262</v>
      </c>
      <c r="U1738" t="s">
        <v>1262</v>
      </c>
      <c r="V1738" t="s">
        <v>1262</v>
      </c>
      <c r="W1738" t="s">
        <v>1262</v>
      </c>
      <c r="X1738" t="s">
        <v>1262</v>
      </c>
      <c r="AA1738" s="30">
        <v>45622.333333333336</v>
      </c>
      <c r="AB1738" s="30">
        <v>45796.708333333336</v>
      </c>
      <c r="AC1738" s="30">
        <v>45622.333333333336</v>
      </c>
      <c r="AD1738" s="30">
        <v>45796.708333333336</v>
      </c>
      <c r="AE1738" s="30">
        <v>45841.333333333336</v>
      </c>
      <c r="AF1738" s="30">
        <v>46015.708333333336</v>
      </c>
      <c r="AG1738" t="s">
        <v>1266</v>
      </c>
      <c r="AK1738" t="s">
        <v>1265</v>
      </c>
      <c r="AL1738" t="s">
        <v>3009</v>
      </c>
      <c r="AM1738" t="s">
        <v>1263</v>
      </c>
      <c r="AN1738" t="s">
        <v>1262</v>
      </c>
      <c r="AO1738">
        <v>0</v>
      </c>
      <c r="AQ1738" t="s">
        <v>1261</v>
      </c>
      <c r="AR1738" t="s">
        <v>1260</v>
      </c>
      <c r="AS1738" t="s">
        <v>2716</v>
      </c>
      <c r="AT1738" s="30">
        <v>45985.488888888889</v>
      </c>
    </row>
    <row r="1739" spans="1:46" x14ac:dyDescent="0.25">
      <c r="A1739" t="s">
        <v>1248</v>
      </c>
      <c r="B1739">
        <v>170279</v>
      </c>
      <c r="C1739">
        <v>229305</v>
      </c>
      <c r="D1739">
        <v>405</v>
      </c>
      <c r="E1739" t="s">
        <v>1265</v>
      </c>
      <c r="G1739">
        <v>745</v>
      </c>
      <c r="H1739">
        <v>1805</v>
      </c>
      <c r="K1739" t="s">
        <v>3008</v>
      </c>
      <c r="L1739" t="s">
        <v>3008</v>
      </c>
      <c r="M1739" s="29">
        <v>662933</v>
      </c>
      <c r="N1739">
        <v>0</v>
      </c>
      <c r="O1739" s="29">
        <v>662933</v>
      </c>
      <c r="P1739">
        <v>0</v>
      </c>
      <c r="Q1739">
        <v>0</v>
      </c>
      <c r="R1739">
        <v>0</v>
      </c>
      <c r="T1739" s="29">
        <v>10000</v>
      </c>
      <c r="U1739" s="29">
        <v>165733300</v>
      </c>
      <c r="V1739" t="s">
        <v>1262</v>
      </c>
      <c r="W1739" t="s">
        <v>1262</v>
      </c>
      <c r="X1739" s="29">
        <v>165733300</v>
      </c>
      <c r="AA1739" s="30">
        <v>45622.333333333336</v>
      </c>
      <c r="AB1739" s="30">
        <v>45796.708333333336</v>
      </c>
      <c r="AC1739" s="30">
        <v>45622.333333333336</v>
      </c>
      <c r="AD1739" s="30">
        <v>45796.708333333336</v>
      </c>
      <c r="AE1739" s="30">
        <v>45841.333333333336</v>
      </c>
      <c r="AF1739" s="30">
        <v>46015.708333333336</v>
      </c>
      <c r="AG1739" t="s">
        <v>1266</v>
      </c>
      <c r="AK1739" t="s">
        <v>1265</v>
      </c>
      <c r="AL1739" t="s">
        <v>3007</v>
      </c>
      <c r="AM1739" t="s">
        <v>1263</v>
      </c>
      <c r="AN1739" t="s">
        <v>1262</v>
      </c>
      <c r="AO1739">
        <v>0</v>
      </c>
      <c r="AQ1739" t="s">
        <v>1261</v>
      </c>
      <c r="AR1739" t="s">
        <v>1260</v>
      </c>
      <c r="AS1739" t="s">
        <v>2716</v>
      </c>
      <c r="AT1739" s="30">
        <v>45985.488888888889</v>
      </c>
    </row>
    <row r="1740" spans="1:46" x14ac:dyDescent="0.25">
      <c r="A1740" t="s">
        <v>1248</v>
      </c>
      <c r="B1740">
        <v>170282</v>
      </c>
      <c r="C1740">
        <v>229305</v>
      </c>
      <c r="D1740">
        <v>405</v>
      </c>
      <c r="E1740" t="s">
        <v>1266</v>
      </c>
      <c r="G1740">
        <v>745</v>
      </c>
      <c r="H1740">
        <v>1811</v>
      </c>
      <c r="K1740" s="29">
        <v>393929949</v>
      </c>
      <c r="L1740" s="29">
        <v>393929949</v>
      </c>
      <c r="M1740" t="s">
        <v>2994</v>
      </c>
      <c r="N1740">
        <v>0</v>
      </c>
      <c r="O1740" t="s">
        <v>2994</v>
      </c>
      <c r="P1740">
        <v>0</v>
      </c>
      <c r="Q1740">
        <v>0</v>
      </c>
      <c r="R1740">
        <v>0</v>
      </c>
      <c r="T1740" s="29">
        <v>238400</v>
      </c>
      <c r="U1740" s="29">
        <v>93912900</v>
      </c>
      <c r="V1740" t="s">
        <v>1262</v>
      </c>
      <c r="W1740" t="s">
        <v>1262</v>
      </c>
      <c r="X1740" s="29">
        <v>93912900</v>
      </c>
      <c r="AA1740" s="30">
        <v>45622.333333333336</v>
      </c>
      <c r="AB1740" s="30">
        <v>45796.708333333336</v>
      </c>
      <c r="AC1740" s="30">
        <v>45622.333333333336</v>
      </c>
      <c r="AD1740" s="30">
        <v>45796.708333333336</v>
      </c>
      <c r="AE1740" s="30">
        <v>45841.333333333336</v>
      </c>
      <c r="AF1740" s="30">
        <v>46015.708333333336</v>
      </c>
      <c r="AG1740" t="s">
        <v>1266</v>
      </c>
      <c r="AK1740" t="s">
        <v>1265</v>
      </c>
      <c r="AL1740" t="s">
        <v>3006</v>
      </c>
      <c r="AM1740" t="s">
        <v>1263</v>
      </c>
      <c r="AN1740" t="s">
        <v>1262</v>
      </c>
      <c r="AO1740">
        <v>0</v>
      </c>
      <c r="AQ1740" t="s">
        <v>1261</v>
      </c>
      <c r="AR1740" t="s">
        <v>1260</v>
      </c>
      <c r="AS1740" t="s">
        <v>2716</v>
      </c>
      <c r="AT1740" s="30">
        <v>45985.488888888889</v>
      </c>
    </row>
    <row r="1741" spans="1:46" x14ac:dyDescent="0.25">
      <c r="A1741" t="s">
        <v>1248</v>
      </c>
      <c r="B1741">
        <v>170283</v>
      </c>
      <c r="C1741">
        <v>229305</v>
      </c>
      <c r="D1741">
        <v>405</v>
      </c>
      <c r="E1741" t="s">
        <v>1266</v>
      </c>
      <c r="G1741">
        <v>745</v>
      </c>
      <c r="H1741">
        <v>1816</v>
      </c>
      <c r="K1741" t="s">
        <v>3005</v>
      </c>
      <c r="L1741" t="s">
        <v>3005</v>
      </c>
      <c r="M1741" t="s">
        <v>3004</v>
      </c>
      <c r="N1741">
        <v>0</v>
      </c>
      <c r="O1741" t="s">
        <v>3004</v>
      </c>
      <c r="P1741">
        <v>0</v>
      </c>
      <c r="Q1741">
        <v>0</v>
      </c>
      <c r="R1741">
        <v>0</v>
      </c>
      <c r="T1741" s="29">
        <v>60000</v>
      </c>
      <c r="U1741" s="29">
        <v>4521600</v>
      </c>
      <c r="V1741" t="s">
        <v>1262</v>
      </c>
      <c r="W1741" t="s">
        <v>1262</v>
      </c>
      <c r="X1741" s="29">
        <v>4521600</v>
      </c>
      <c r="AA1741" s="30">
        <v>45622.333333333336</v>
      </c>
      <c r="AB1741" s="30">
        <v>45796.708333333336</v>
      </c>
      <c r="AC1741" s="30">
        <v>45622.333333333336</v>
      </c>
      <c r="AD1741" s="30">
        <v>45796.708333333336</v>
      </c>
      <c r="AE1741" s="30">
        <v>45841.333333333336</v>
      </c>
      <c r="AF1741" s="30">
        <v>46015.708333333336</v>
      </c>
      <c r="AG1741" t="s">
        <v>1266</v>
      </c>
      <c r="AK1741" t="s">
        <v>1265</v>
      </c>
      <c r="AL1741" t="s">
        <v>3003</v>
      </c>
      <c r="AM1741" t="s">
        <v>1263</v>
      </c>
      <c r="AN1741" t="s">
        <v>1262</v>
      </c>
      <c r="AO1741">
        <v>0</v>
      </c>
      <c r="AQ1741" t="s">
        <v>1261</v>
      </c>
      <c r="AR1741" t="s">
        <v>1260</v>
      </c>
      <c r="AS1741" t="s">
        <v>2716</v>
      </c>
      <c r="AT1741" s="30">
        <v>45985.488888888889</v>
      </c>
    </row>
    <row r="1742" spans="1:46" x14ac:dyDescent="0.25">
      <c r="A1742" t="s">
        <v>1248</v>
      </c>
      <c r="B1742">
        <v>170287</v>
      </c>
      <c r="C1742">
        <v>229305</v>
      </c>
      <c r="D1742">
        <v>405</v>
      </c>
      <c r="E1742" t="s">
        <v>1266</v>
      </c>
      <c r="G1742">
        <v>745</v>
      </c>
      <c r="H1742">
        <v>1827</v>
      </c>
      <c r="K1742" s="29">
        <v>290589768</v>
      </c>
      <c r="L1742" s="29">
        <v>290589768</v>
      </c>
      <c r="M1742" t="s">
        <v>3002</v>
      </c>
      <c r="N1742">
        <v>0</v>
      </c>
      <c r="O1742" t="s">
        <v>3002</v>
      </c>
      <c r="P1742">
        <v>0</v>
      </c>
      <c r="Q1742">
        <v>0</v>
      </c>
      <c r="R1742">
        <v>0</v>
      </c>
      <c r="T1742" s="29">
        <v>207200</v>
      </c>
      <c r="U1742" s="29">
        <v>60210200</v>
      </c>
      <c r="V1742" t="s">
        <v>1262</v>
      </c>
      <c r="W1742" t="s">
        <v>1262</v>
      </c>
      <c r="X1742" s="29">
        <v>60210200</v>
      </c>
      <c r="AA1742" s="30">
        <v>45622.333333333336</v>
      </c>
      <c r="AB1742" s="30">
        <v>45796.708333333336</v>
      </c>
      <c r="AC1742" s="30">
        <v>45622.333333333336</v>
      </c>
      <c r="AD1742" s="30">
        <v>45796.708333333336</v>
      </c>
      <c r="AE1742" s="30">
        <v>45841.333333333336</v>
      </c>
      <c r="AF1742" s="30">
        <v>46015.708333333336</v>
      </c>
      <c r="AG1742" t="s">
        <v>1266</v>
      </c>
      <c r="AK1742" t="s">
        <v>1265</v>
      </c>
      <c r="AL1742" t="s">
        <v>3001</v>
      </c>
      <c r="AM1742" t="s">
        <v>1263</v>
      </c>
      <c r="AN1742" t="s">
        <v>1262</v>
      </c>
      <c r="AO1742">
        <v>0</v>
      </c>
      <c r="AQ1742" t="s">
        <v>1261</v>
      </c>
      <c r="AR1742" t="s">
        <v>1260</v>
      </c>
      <c r="AS1742" t="s">
        <v>2716</v>
      </c>
      <c r="AT1742" s="30">
        <v>45985.488888888889</v>
      </c>
    </row>
    <row r="1743" spans="1:46" x14ac:dyDescent="0.25">
      <c r="A1743" t="s">
        <v>1248</v>
      </c>
      <c r="B1743">
        <v>170289</v>
      </c>
      <c r="C1743">
        <v>229305</v>
      </c>
      <c r="D1743">
        <v>405</v>
      </c>
      <c r="E1743" t="s">
        <v>1265</v>
      </c>
      <c r="G1743">
        <v>745</v>
      </c>
      <c r="H1743">
        <v>1832</v>
      </c>
      <c r="K1743" t="s">
        <v>3000</v>
      </c>
      <c r="L1743" t="s">
        <v>3000</v>
      </c>
      <c r="M1743" s="29">
        <v>22608</v>
      </c>
      <c r="N1743">
        <v>0</v>
      </c>
      <c r="O1743" s="29">
        <v>22608</v>
      </c>
      <c r="P1743">
        <v>0</v>
      </c>
      <c r="Q1743">
        <v>0</v>
      </c>
      <c r="R1743">
        <v>0</v>
      </c>
      <c r="T1743" s="29">
        <v>11200</v>
      </c>
      <c r="U1743" s="29">
        <v>25321000</v>
      </c>
      <c r="V1743" t="s">
        <v>1262</v>
      </c>
      <c r="W1743" t="s">
        <v>1262</v>
      </c>
      <c r="X1743" s="29">
        <v>25321000</v>
      </c>
      <c r="AA1743" s="30">
        <v>45622.333333333336</v>
      </c>
      <c r="AB1743" s="30">
        <v>45796.708333333336</v>
      </c>
      <c r="AC1743" s="30">
        <v>45622.333333333336</v>
      </c>
      <c r="AD1743" s="30">
        <v>45796.708333333336</v>
      </c>
      <c r="AE1743" s="30">
        <v>45841.333333333336</v>
      </c>
      <c r="AF1743" s="30">
        <v>46015.708333333336</v>
      </c>
      <c r="AG1743" t="s">
        <v>1266</v>
      </c>
      <c r="AK1743" t="s">
        <v>1265</v>
      </c>
      <c r="AL1743" t="s">
        <v>2999</v>
      </c>
      <c r="AM1743" t="s">
        <v>1263</v>
      </c>
      <c r="AN1743" t="s">
        <v>1262</v>
      </c>
      <c r="AO1743">
        <v>0</v>
      </c>
      <c r="AQ1743" t="s">
        <v>1261</v>
      </c>
      <c r="AR1743" t="s">
        <v>1260</v>
      </c>
      <c r="AS1743" t="s">
        <v>2716</v>
      </c>
      <c r="AT1743" s="30">
        <v>45985.488888888889</v>
      </c>
    </row>
    <row r="1744" spans="1:46" x14ac:dyDescent="0.25">
      <c r="A1744" t="s">
        <v>1248</v>
      </c>
      <c r="B1744">
        <v>170290</v>
      </c>
      <c r="C1744">
        <v>229305</v>
      </c>
      <c r="D1744">
        <v>405</v>
      </c>
      <c r="E1744" t="s">
        <v>1266</v>
      </c>
      <c r="G1744">
        <v>745</v>
      </c>
      <c r="H1744">
        <v>1867</v>
      </c>
      <c r="K1744" s="29">
        <v>984830243</v>
      </c>
      <c r="L1744" s="29">
        <v>984830243</v>
      </c>
      <c r="M1744" t="s">
        <v>2998</v>
      </c>
      <c r="N1744">
        <v>0</v>
      </c>
      <c r="O1744" t="s">
        <v>2998</v>
      </c>
      <c r="P1744">
        <v>0</v>
      </c>
      <c r="Q1744">
        <v>0</v>
      </c>
      <c r="R1744">
        <v>0</v>
      </c>
      <c r="T1744" s="29">
        <v>205000</v>
      </c>
      <c r="U1744" s="29">
        <v>201890200</v>
      </c>
      <c r="V1744" t="s">
        <v>1262</v>
      </c>
      <c r="W1744" t="s">
        <v>1262</v>
      </c>
      <c r="X1744" s="29">
        <v>201890200</v>
      </c>
      <c r="AA1744" s="30">
        <v>45622.333333333336</v>
      </c>
      <c r="AB1744" s="30">
        <v>45796.708333333336</v>
      </c>
      <c r="AC1744" s="30">
        <v>45622.333333333336</v>
      </c>
      <c r="AD1744" s="30">
        <v>45796.708333333336</v>
      </c>
      <c r="AE1744" s="30">
        <v>45841.333333333336</v>
      </c>
      <c r="AF1744" s="30">
        <v>46015.708333333336</v>
      </c>
      <c r="AG1744" t="s">
        <v>1266</v>
      </c>
      <c r="AK1744" t="s">
        <v>1265</v>
      </c>
      <c r="AL1744" t="s">
        <v>2997</v>
      </c>
      <c r="AM1744" t="s">
        <v>1263</v>
      </c>
      <c r="AN1744" t="s">
        <v>1262</v>
      </c>
      <c r="AO1744">
        <v>0</v>
      </c>
      <c r="AQ1744" t="s">
        <v>1261</v>
      </c>
      <c r="AR1744" t="s">
        <v>1260</v>
      </c>
      <c r="AS1744" t="s">
        <v>2716</v>
      </c>
      <c r="AT1744" s="30">
        <v>45985.488888888889</v>
      </c>
    </row>
    <row r="1745" spans="1:46" x14ac:dyDescent="0.25">
      <c r="A1745" t="s">
        <v>1248</v>
      </c>
      <c r="B1745">
        <v>170291</v>
      </c>
      <c r="C1745">
        <v>229305</v>
      </c>
      <c r="D1745">
        <v>405</v>
      </c>
      <c r="E1745" t="s">
        <v>1266</v>
      </c>
      <c r="G1745">
        <v>745</v>
      </c>
      <c r="H1745">
        <v>1873</v>
      </c>
      <c r="K1745" s="29">
        <v>11605020005</v>
      </c>
      <c r="L1745" s="29">
        <v>11605020005</v>
      </c>
      <c r="M1745" s="29">
        <v>1160502</v>
      </c>
      <c r="N1745">
        <v>0</v>
      </c>
      <c r="O1745" s="29">
        <v>1160502</v>
      </c>
      <c r="P1745">
        <v>0</v>
      </c>
      <c r="Q1745">
        <v>0</v>
      </c>
      <c r="R1745">
        <v>0</v>
      </c>
      <c r="T1745" s="29">
        <v>80000</v>
      </c>
      <c r="U1745" s="29">
        <v>928401600</v>
      </c>
      <c r="V1745" t="s">
        <v>1262</v>
      </c>
      <c r="W1745" t="s">
        <v>1262</v>
      </c>
      <c r="X1745" s="29">
        <v>928401600</v>
      </c>
      <c r="AA1745" s="30">
        <v>45622.333333333336</v>
      </c>
      <c r="AB1745" s="30">
        <v>45796.708333333336</v>
      </c>
      <c r="AC1745" s="30">
        <v>45622.333333333336</v>
      </c>
      <c r="AD1745" s="30">
        <v>45796.708333333336</v>
      </c>
      <c r="AE1745" s="30">
        <v>45841.333333333336</v>
      </c>
      <c r="AF1745" s="30">
        <v>46015.708333333336</v>
      </c>
      <c r="AG1745" t="s">
        <v>1266</v>
      </c>
      <c r="AK1745" t="s">
        <v>1265</v>
      </c>
      <c r="AL1745" t="s">
        <v>2996</v>
      </c>
      <c r="AM1745" t="s">
        <v>1263</v>
      </c>
      <c r="AN1745" t="s">
        <v>1262</v>
      </c>
      <c r="AO1745">
        <v>0</v>
      </c>
      <c r="AQ1745" t="s">
        <v>1261</v>
      </c>
      <c r="AR1745" t="s">
        <v>1260</v>
      </c>
      <c r="AS1745" t="s">
        <v>2716</v>
      </c>
      <c r="AT1745" s="30">
        <v>45985.488888888889</v>
      </c>
    </row>
    <row r="1746" spans="1:46" x14ac:dyDescent="0.25">
      <c r="A1746" t="s">
        <v>1248</v>
      </c>
      <c r="B1746">
        <v>170293</v>
      </c>
      <c r="C1746">
        <v>229305</v>
      </c>
      <c r="D1746">
        <v>405</v>
      </c>
      <c r="E1746" t="s">
        <v>1266</v>
      </c>
      <c r="G1746">
        <v>745</v>
      </c>
      <c r="H1746">
        <v>1820</v>
      </c>
      <c r="K1746" t="s">
        <v>2995</v>
      </c>
      <c r="L1746" t="s">
        <v>2995</v>
      </c>
      <c r="M1746" t="s">
        <v>2994</v>
      </c>
      <c r="N1746">
        <v>0</v>
      </c>
      <c r="O1746" t="s">
        <v>2994</v>
      </c>
      <c r="P1746">
        <v>0</v>
      </c>
      <c r="Q1746">
        <v>0</v>
      </c>
      <c r="R1746">
        <v>0</v>
      </c>
      <c r="T1746" s="29">
        <v>1500000</v>
      </c>
      <c r="U1746" s="29">
        <v>590895000</v>
      </c>
      <c r="V1746" t="s">
        <v>1262</v>
      </c>
      <c r="W1746" t="s">
        <v>1262</v>
      </c>
      <c r="X1746" s="29">
        <v>590895000</v>
      </c>
      <c r="AA1746" s="30">
        <v>45622.333333333336</v>
      </c>
      <c r="AB1746" s="30">
        <v>45796.708333333336</v>
      </c>
      <c r="AC1746" s="30">
        <v>45622.333333333336</v>
      </c>
      <c r="AD1746" s="30">
        <v>45796.708333333336</v>
      </c>
      <c r="AE1746" s="30">
        <v>45841.333333333336</v>
      </c>
      <c r="AF1746" s="30">
        <v>46015.708333333336</v>
      </c>
      <c r="AG1746" t="s">
        <v>1266</v>
      </c>
      <c r="AK1746" t="s">
        <v>1265</v>
      </c>
      <c r="AL1746" t="s">
        <v>2993</v>
      </c>
      <c r="AM1746" t="s">
        <v>1263</v>
      </c>
      <c r="AN1746" t="s">
        <v>1262</v>
      </c>
      <c r="AO1746">
        <v>0</v>
      </c>
      <c r="AQ1746" t="s">
        <v>1261</v>
      </c>
      <c r="AR1746" t="s">
        <v>1260</v>
      </c>
      <c r="AS1746" t="s">
        <v>2716</v>
      </c>
      <c r="AT1746" s="30">
        <v>45985.490972222222</v>
      </c>
    </row>
    <row r="1747" spans="1:46" x14ac:dyDescent="0.25">
      <c r="A1747" t="s">
        <v>1248</v>
      </c>
      <c r="B1747">
        <v>170294</v>
      </c>
      <c r="C1747">
        <v>229305</v>
      </c>
      <c r="D1747">
        <v>405</v>
      </c>
      <c r="E1747" t="s">
        <v>1265</v>
      </c>
      <c r="G1747">
        <v>745</v>
      </c>
      <c r="H1747">
        <v>1833</v>
      </c>
      <c r="K1747" t="s">
        <v>2992</v>
      </c>
      <c r="L1747" t="s">
        <v>2992</v>
      </c>
      <c r="M1747" s="29">
        <v>877111</v>
      </c>
      <c r="N1747">
        <v>0</v>
      </c>
      <c r="O1747" s="29">
        <v>877111</v>
      </c>
      <c r="P1747">
        <v>0</v>
      </c>
      <c r="Q1747">
        <v>0</v>
      </c>
      <c r="R1747">
        <v>0</v>
      </c>
      <c r="T1747" s="29">
        <v>10300</v>
      </c>
      <c r="U1747" s="29">
        <v>90342400</v>
      </c>
      <c r="V1747" t="s">
        <v>1262</v>
      </c>
      <c r="W1747" t="s">
        <v>1262</v>
      </c>
      <c r="X1747" s="29">
        <v>90342400</v>
      </c>
      <c r="AA1747" s="30">
        <v>45622.333333333336</v>
      </c>
      <c r="AB1747" s="30">
        <v>45796.708333333336</v>
      </c>
      <c r="AC1747" s="30">
        <v>45622.333333333336</v>
      </c>
      <c r="AD1747" s="30">
        <v>45796.708333333336</v>
      </c>
      <c r="AE1747" s="30">
        <v>45841.333333333336</v>
      </c>
      <c r="AF1747" s="30">
        <v>46015.708333333336</v>
      </c>
      <c r="AG1747" t="s">
        <v>1266</v>
      </c>
      <c r="AK1747" t="s">
        <v>1265</v>
      </c>
      <c r="AL1747" t="s">
        <v>2991</v>
      </c>
      <c r="AM1747" t="s">
        <v>1263</v>
      </c>
      <c r="AN1747" t="s">
        <v>1262</v>
      </c>
      <c r="AO1747">
        <v>0</v>
      </c>
      <c r="AQ1747" t="s">
        <v>1261</v>
      </c>
      <c r="AR1747" t="s">
        <v>1260</v>
      </c>
      <c r="AS1747" t="s">
        <v>2716</v>
      </c>
      <c r="AT1747" s="30">
        <v>45985.490972222222</v>
      </c>
    </row>
    <row r="1748" spans="1:46" x14ac:dyDescent="0.25">
      <c r="A1748" t="s">
        <v>1248</v>
      </c>
      <c r="B1748">
        <v>170295</v>
      </c>
      <c r="C1748">
        <v>229305</v>
      </c>
      <c r="D1748">
        <v>405</v>
      </c>
      <c r="E1748" t="s">
        <v>1266</v>
      </c>
      <c r="G1748">
        <v>745</v>
      </c>
      <c r="H1748">
        <v>1859</v>
      </c>
      <c r="K1748" s="29">
        <v>93513597938</v>
      </c>
      <c r="L1748" s="29">
        <v>93513597938</v>
      </c>
      <c r="M1748" s="29">
        <v>935136</v>
      </c>
      <c r="N1748">
        <v>0</v>
      </c>
      <c r="O1748" s="29">
        <v>935136</v>
      </c>
      <c r="P1748">
        <v>0</v>
      </c>
      <c r="Q1748">
        <v>0</v>
      </c>
      <c r="R1748">
        <v>0</v>
      </c>
      <c r="T1748" t="s">
        <v>2962</v>
      </c>
      <c r="U1748" s="29">
        <v>907081900</v>
      </c>
      <c r="V1748" t="s">
        <v>1262</v>
      </c>
      <c r="W1748" t="s">
        <v>1262</v>
      </c>
      <c r="X1748" s="29">
        <v>907081900</v>
      </c>
      <c r="AA1748" s="30">
        <v>45622.333333333336</v>
      </c>
      <c r="AB1748" s="30">
        <v>45796.708333333336</v>
      </c>
      <c r="AC1748" s="30">
        <v>45622.333333333336</v>
      </c>
      <c r="AD1748" s="30">
        <v>45796.708333333336</v>
      </c>
      <c r="AE1748" s="30">
        <v>45841.333333333336</v>
      </c>
      <c r="AF1748" s="30">
        <v>46015.708333333336</v>
      </c>
      <c r="AG1748" t="s">
        <v>1266</v>
      </c>
      <c r="AK1748" t="s">
        <v>1265</v>
      </c>
      <c r="AL1748" t="s">
        <v>2990</v>
      </c>
      <c r="AM1748" t="s">
        <v>1263</v>
      </c>
      <c r="AN1748" t="s">
        <v>1262</v>
      </c>
      <c r="AO1748">
        <v>0</v>
      </c>
      <c r="AQ1748" t="s">
        <v>1261</v>
      </c>
      <c r="AR1748" t="s">
        <v>1260</v>
      </c>
      <c r="AS1748" t="s">
        <v>2716</v>
      </c>
      <c r="AT1748" s="30">
        <v>45985.491666666669</v>
      </c>
    </row>
    <row r="1749" spans="1:46" x14ac:dyDescent="0.25">
      <c r="A1749" t="s">
        <v>1248</v>
      </c>
      <c r="B1749">
        <v>170296</v>
      </c>
      <c r="C1749">
        <v>229305</v>
      </c>
      <c r="D1749">
        <v>405</v>
      </c>
      <c r="E1749" t="s">
        <v>1266</v>
      </c>
      <c r="G1749">
        <v>745</v>
      </c>
      <c r="H1749">
        <v>1865</v>
      </c>
      <c r="K1749" t="s">
        <v>2989</v>
      </c>
      <c r="L1749" t="s">
        <v>2989</v>
      </c>
      <c r="M1749" t="s">
        <v>2988</v>
      </c>
      <c r="N1749">
        <v>0</v>
      </c>
      <c r="O1749" t="s">
        <v>2988</v>
      </c>
      <c r="P1749">
        <v>0</v>
      </c>
      <c r="Q1749">
        <v>0</v>
      </c>
      <c r="R1749">
        <v>0</v>
      </c>
      <c r="T1749" s="29">
        <v>388000</v>
      </c>
      <c r="U1749" s="29">
        <v>339422400</v>
      </c>
      <c r="V1749" t="s">
        <v>1262</v>
      </c>
      <c r="W1749" t="s">
        <v>1262</v>
      </c>
      <c r="X1749" s="29">
        <v>339422400</v>
      </c>
      <c r="AA1749" s="30">
        <v>45622.333333333336</v>
      </c>
      <c r="AB1749" s="30">
        <v>45796.708333333336</v>
      </c>
      <c r="AC1749" s="30">
        <v>45622.333333333336</v>
      </c>
      <c r="AD1749" s="30">
        <v>45796.708333333336</v>
      </c>
      <c r="AE1749" s="30">
        <v>45841.333333333336</v>
      </c>
      <c r="AF1749" s="30">
        <v>46015.708333333336</v>
      </c>
      <c r="AG1749" t="s">
        <v>1266</v>
      </c>
      <c r="AK1749" t="s">
        <v>1265</v>
      </c>
      <c r="AL1749" t="s">
        <v>2987</v>
      </c>
      <c r="AM1749" t="s">
        <v>1263</v>
      </c>
      <c r="AN1749" t="s">
        <v>1262</v>
      </c>
      <c r="AO1749">
        <v>0</v>
      </c>
      <c r="AQ1749" t="s">
        <v>1261</v>
      </c>
      <c r="AR1749" t="s">
        <v>1260</v>
      </c>
      <c r="AS1749" t="s">
        <v>2716</v>
      </c>
      <c r="AT1749" s="30">
        <v>45985.491666666669</v>
      </c>
    </row>
    <row r="1750" spans="1:46" x14ac:dyDescent="0.25">
      <c r="A1750" t="s">
        <v>1248</v>
      </c>
      <c r="B1750">
        <v>170297</v>
      </c>
      <c r="C1750">
        <v>229305</v>
      </c>
      <c r="D1750">
        <v>405</v>
      </c>
      <c r="E1750" t="s">
        <v>1266</v>
      </c>
      <c r="G1750">
        <v>745</v>
      </c>
      <c r="H1750">
        <v>1871</v>
      </c>
      <c r="K1750" t="s">
        <v>2986</v>
      </c>
      <c r="L1750" t="s">
        <v>2986</v>
      </c>
      <c r="M1750" t="s">
        <v>2985</v>
      </c>
      <c r="N1750">
        <v>0</v>
      </c>
      <c r="O1750" t="s">
        <v>2985</v>
      </c>
      <c r="P1750">
        <v>0</v>
      </c>
      <c r="Q1750">
        <v>0</v>
      </c>
      <c r="R1750">
        <v>0</v>
      </c>
      <c r="T1750" s="29">
        <v>100000</v>
      </c>
      <c r="U1750" s="29">
        <v>9351000</v>
      </c>
      <c r="V1750" t="s">
        <v>1262</v>
      </c>
      <c r="W1750" t="s">
        <v>1262</v>
      </c>
      <c r="X1750" s="29">
        <v>9351000</v>
      </c>
      <c r="AA1750" s="30">
        <v>45622.333333333336</v>
      </c>
      <c r="AB1750" s="30">
        <v>45796.708333333336</v>
      </c>
      <c r="AC1750" s="30">
        <v>45622.333333333336</v>
      </c>
      <c r="AD1750" s="30">
        <v>45796.708333333336</v>
      </c>
      <c r="AE1750" s="30">
        <v>45841.333333333336</v>
      </c>
      <c r="AF1750" s="30">
        <v>46015.708333333336</v>
      </c>
      <c r="AG1750" t="s">
        <v>1266</v>
      </c>
      <c r="AK1750" t="s">
        <v>1265</v>
      </c>
      <c r="AL1750" t="s">
        <v>2984</v>
      </c>
      <c r="AM1750" t="s">
        <v>1263</v>
      </c>
      <c r="AN1750" t="s">
        <v>1262</v>
      </c>
      <c r="AO1750">
        <v>0</v>
      </c>
      <c r="AQ1750" t="s">
        <v>1261</v>
      </c>
      <c r="AR1750" t="s">
        <v>1260</v>
      </c>
      <c r="AS1750" t="s">
        <v>2716</v>
      </c>
      <c r="AT1750" s="30">
        <v>45985.492361111108</v>
      </c>
    </row>
    <row r="1751" spans="1:46" x14ac:dyDescent="0.25">
      <c r="A1751" t="s">
        <v>1248</v>
      </c>
      <c r="B1751">
        <v>170298</v>
      </c>
      <c r="C1751">
        <v>229305</v>
      </c>
      <c r="D1751">
        <v>405</v>
      </c>
      <c r="E1751" t="s">
        <v>1265</v>
      </c>
      <c r="G1751">
        <v>745</v>
      </c>
      <c r="H1751">
        <v>1889</v>
      </c>
      <c r="K1751" t="s">
        <v>2983</v>
      </c>
      <c r="L1751" t="s">
        <v>2983</v>
      </c>
      <c r="M1751" s="29">
        <v>935136</v>
      </c>
      <c r="N1751">
        <v>0</v>
      </c>
      <c r="O1751" s="29">
        <v>935136</v>
      </c>
      <c r="P1751">
        <v>0</v>
      </c>
      <c r="Q1751">
        <v>0</v>
      </c>
      <c r="R1751">
        <v>0</v>
      </c>
      <c r="T1751" s="29">
        <v>30900</v>
      </c>
      <c r="U1751" s="29">
        <v>2889570200</v>
      </c>
      <c r="V1751" t="s">
        <v>1262</v>
      </c>
      <c r="W1751" t="s">
        <v>1262</v>
      </c>
      <c r="X1751" s="29">
        <v>2889570200</v>
      </c>
      <c r="AA1751" s="30">
        <v>45622.333333333336</v>
      </c>
      <c r="AB1751" s="30">
        <v>45796.708333333336</v>
      </c>
      <c r="AC1751" s="30">
        <v>45622.333333333336</v>
      </c>
      <c r="AD1751" s="30">
        <v>45796.708333333336</v>
      </c>
      <c r="AE1751" s="30">
        <v>45841.333333333336</v>
      </c>
      <c r="AF1751" s="30">
        <v>46015.708333333336</v>
      </c>
      <c r="AG1751" t="s">
        <v>1266</v>
      </c>
      <c r="AK1751" t="s">
        <v>1265</v>
      </c>
      <c r="AL1751" t="s">
        <v>2982</v>
      </c>
      <c r="AM1751" t="s">
        <v>1263</v>
      </c>
      <c r="AN1751" t="s">
        <v>1262</v>
      </c>
      <c r="AO1751">
        <v>0</v>
      </c>
      <c r="AQ1751" t="s">
        <v>1261</v>
      </c>
      <c r="AR1751" t="s">
        <v>1260</v>
      </c>
      <c r="AS1751" t="s">
        <v>2716</v>
      </c>
      <c r="AT1751" s="30">
        <v>45985.493055555555</v>
      </c>
    </row>
    <row r="1752" spans="1:46" x14ac:dyDescent="0.25">
      <c r="A1752" t="s">
        <v>1248</v>
      </c>
      <c r="B1752">
        <v>170299</v>
      </c>
      <c r="C1752">
        <v>229305</v>
      </c>
      <c r="D1752">
        <v>405</v>
      </c>
      <c r="E1752" t="s">
        <v>1266</v>
      </c>
      <c r="G1752">
        <v>746</v>
      </c>
      <c r="H1752">
        <v>1906</v>
      </c>
      <c r="K1752" s="29">
        <v>4304330222</v>
      </c>
      <c r="L1752" s="29">
        <v>4304330222</v>
      </c>
      <c r="M1752" s="29">
        <v>430433</v>
      </c>
      <c r="N1752">
        <v>0</v>
      </c>
      <c r="O1752" s="29">
        <v>430433</v>
      </c>
      <c r="P1752">
        <v>0</v>
      </c>
      <c r="Q1752">
        <v>0</v>
      </c>
      <c r="R1752">
        <v>0</v>
      </c>
      <c r="T1752" s="29">
        <v>225000</v>
      </c>
      <c r="U1752" s="29">
        <v>968474300</v>
      </c>
      <c r="V1752" t="s">
        <v>1262</v>
      </c>
      <c r="W1752" t="s">
        <v>1262</v>
      </c>
      <c r="X1752" s="29">
        <v>968474300</v>
      </c>
      <c r="AA1752" s="30">
        <v>45622.333333333336</v>
      </c>
      <c r="AB1752" s="30">
        <v>45796.708333333336</v>
      </c>
      <c r="AC1752" s="30">
        <v>45622.333333333336</v>
      </c>
      <c r="AD1752" s="30">
        <v>45796.708333333336</v>
      </c>
      <c r="AE1752" s="30">
        <v>45841.333333333336</v>
      </c>
      <c r="AF1752" s="30">
        <v>46015.708333333336</v>
      </c>
      <c r="AG1752" t="s">
        <v>1266</v>
      </c>
      <c r="AK1752" t="s">
        <v>1265</v>
      </c>
      <c r="AL1752" t="s">
        <v>2981</v>
      </c>
      <c r="AM1752" t="s">
        <v>1263</v>
      </c>
      <c r="AN1752" t="s">
        <v>1262</v>
      </c>
      <c r="AO1752">
        <v>0</v>
      </c>
      <c r="AQ1752" t="s">
        <v>1261</v>
      </c>
      <c r="AR1752" t="s">
        <v>1260</v>
      </c>
      <c r="AS1752" t="s">
        <v>2716</v>
      </c>
      <c r="AT1752" s="30">
        <v>45985.531944444447</v>
      </c>
    </row>
    <row r="1753" spans="1:46" x14ac:dyDescent="0.25">
      <c r="A1753" t="s">
        <v>1248</v>
      </c>
      <c r="B1753">
        <v>170351</v>
      </c>
      <c r="C1753">
        <v>229301</v>
      </c>
      <c r="D1753">
        <v>405</v>
      </c>
      <c r="E1753" t="s">
        <v>1266</v>
      </c>
      <c r="G1753">
        <v>745</v>
      </c>
      <c r="H1753">
        <v>1906</v>
      </c>
      <c r="K1753" t="s">
        <v>2980</v>
      </c>
      <c r="L1753" t="s">
        <v>2980</v>
      </c>
      <c r="M1753" s="29">
        <v>2599925</v>
      </c>
      <c r="N1753">
        <v>0</v>
      </c>
      <c r="O1753" s="29">
        <v>2599925</v>
      </c>
      <c r="P1753">
        <v>0</v>
      </c>
      <c r="Q1753">
        <v>0</v>
      </c>
      <c r="R1753">
        <v>0</v>
      </c>
      <c r="T1753" s="29">
        <v>225000</v>
      </c>
      <c r="U1753" s="29">
        <v>467986500</v>
      </c>
      <c r="V1753" t="s">
        <v>1262</v>
      </c>
      <c r="W1753" t="s">
        <v>1262</v>
      </c>
      <c r="X1753" s="29">
        <v>467986500</v>
      </c>
      <c r="AA1753" s="30">
        <v>45797.333333333336</v>
      </c>
      <c r="AB1753" s="30">
        <v>45936.708333333336</v>
      </c>
      <c r="AC1753" s="30">
        <v>45797.333333333336</v>
      </c>
      <c r="AD1753" s="30">
        <v>45936.708333333336</v>
      </c>
      <c r="AE1753" s="30">
        <v>46016.333333333336</v>
      </c>
      <c r="AF1753" s="30">
        <v>46161.708333333336</v>
      </c>
      <c r="AG1753" t="s">
        <v>1266</v>
      </c>
      <c r="AK1753" t="s">
        <v>1265</v>
      </c>
      <c r="AL1753" t="s">
        <v>2979</v>
      </c>
      <c r="AM1753" t="s">
        <v>1263</v>
      </c>
      <c r="AN1753" t="s">
        <v>1262</v>
      </c>
      <c r="AO1753">
        <v>0</v>
      </c>
      <c r="AQ1753" t="s">
        <v>1261</v>
      </c>
      <c r="AR1753" t="s">
        <v>1260</v>
      </c>
      <c r="AS1753" t="s">
        <v>2716</v>
      </c>
      <c r="AT1753" s="30">
        <v>45985.642361111109</v>
      </c>
    </row>
    <row r="1754" spans="1:46" x14ac:dyDescent="0.25">
      <c r="A1754" t="s">
        <v>1248</v>
      </c>
      <c r="B1754">
        <v>170402</v>
      </c>
      <c r="C1754">
        <v>229301</v>
      </c>
      <c r="D1754">
        <v>405</v>
      </c>
      <c r="E1754" t="s">
        <v>1266</v>
      </c>
      <c r="G1754">
        <v>745</v>
      </c>
      <c r="H1754">
        <v>1671</v>
      </c>
      <c r="K1754">
        <v>51016</v>
      </c>
      <c r="L1754">
        <v>51016</v>
      </c>
      <c r="M1754" t="s">
        <v>2978</v>
      </c>
      <c r="N1754">
        <v>0</v>
      </c>
      <c r="O1754" t="s">
        <v>2978</v>
      </c>
      <c r="P1754">
        <v>0</v>
      </c>
      <c r="Q1754">
        <v>0</v>
      </c>
      <c r="R1754">
        <v>0</v>
      </c>
      <c r="T1754" t="s">
        <v>1262</v>
      </c>
      <c r="U1754" t="s">
        <v>1262</v>
      </c>
      <c r="V1754" t="s">
        <v>1262</v>
      </c>
      <c r="W1754" t="s">
        <v>1262</v>
      </c>
      <c r="X1754" t="s">
        <v>1262</v>
      </c>
      <c r="AA1754" s="30">
        <v>45797.333333333336</v>
      </c>
      <c r="AB1754" s="30">
        <v>45936.708333333336</v>
      </c>
      <c r="AC1754" s="30">
        <v>45797.333333333336</v>
      </c>
      <c r="AD1754" s="30">
        <v>45936.708333333336</v>
      </c>
      <c r="AE1754" s="30">
        <v>46016.333333333336</v>
      </c>
      <c r="AF1754" s="30">
        <v>46161.708333333336</v>
      </c>
      <c r="AG1754" t="s">
        <v>1266</v>
      </c>
      <c r="AK1754" t="s">
        <v>1265</v>
      </c>
      <c r="AL1754" t="s">
        <v>2977</v>
      </c>
      <c r="AM1754" t="s">
        <v>1263</v>
      </c>
      <c r="AN1754" t="s">
        <v>1262</v>
      </c>
      <c r="AO1754">
        <v>0</v>
      </c>
      <c r="AQ1754" t="s">
        <v>1261</v>
      </c>
      <c r="AR1754" t="s">
        <v>1260</v>
      </c>
      <c r="AS1754" t="s">
        <v>2716</v>
      </c>
      <c r="AT1754" s="30">
        <v>45985.652083333334</v>
      </c>
    </row>
    <row r="1755" spans="1:46" x14ac:dyDescent="0.25">
      <c r="A1755" t="s">
        <v>1248</v>
      </c>
      <c r="B1755">
        <v>170403</v>
      </c>
      <c r="C1755">
        <v>229301</v>
      </c>
      <c r="D1755">
        <v>405</v>
      </c>
      <c r="E1755" t="s">
        <v>1265</v>
      </c>
      <c r="G1755">
        <v>745</v>
      </c>
      <c r="H1755">
        <v>1805</v>
      </c>
      <c r="K1755" s="29">
        <v>3542440009</v>
      </c>
      <c r="L1755" s="29">
        <v>3542440009</v>
      </c>
      <c r="M1755" s="29">
        <v>442805001</v>
      </c>
      <c r="N1755">
        <v>0</v>
      </c>
      <c r="O1755" s="29">
        <v>442805001</v>
      </c>
      <c r="P1755">
        <v>0</v>
      </c>
      <c r="Q1755">
        <v>0</v>
      </c>
      <c r="R1755">
        <v>0</v>
      </c>
      <c r="T1755" s="29">
        <v>10000</v>
      </c>
      <c r="U1755" s="29">
        <v>88560000</v>
      </c>
      <c r="V1755" t="s">
        <v>1262</v>
      </c>
      <c r="W1755" t="s">
        <v>1262</v>
      </c>
      <c r="X1755" s="29">
        <v>88560000</v>
      </c>
      <c r="AA1755" s="30">
        <v>45797.333333333336</v>
      </c>
      <c r="AB1755" s="30">
        <v>45936.708333333336</v>
      </c>
      <c r="AC1755" s="30">
        <v>45797.333333333336</v>
      </c>
      <c r="AD1755" s="30">
        <v>45936.708333333336</v>
      </c>
      <c r="AE1755" s="30">
        <v>46016.333333333336</v>
      </c>
      <c r="AF1755" s="30">
        <v>46161.708333333336</v>
      </c>
      <c r="AG1755" t="s">
        <v>1266</v>
      </c>
      <c r="AK1755" t="s">
        <v>1265</v>
      </c>
      <c r="AL1755" t="s">
        <v>2976</v>
      </c>
      <c r="AM1755" t="s">
        <v>1263</v>
      </c>
      <c r="AN1755" t="s">
        <v>1262</v>
      </c>
      <c r="AO1755">
        <v>0</v>
      </c>
      <c r="AQ1755" t="s">
        <v>1261</v>
      </c>
      <c r="AR1755" t="s">
        <v>1260</v>
      </c>
      <c r="AS1755" t="s">
        <v>2716</v>
      </c>
      <c r="AT1755" s="30">
        <v>45985.652083333334</v>
      </c>
    </row>
    <row r="1756" spans="1:46" x14ac:dyDescent="0.25">
      <c r="A1756" t="s">
        <v>1248</v>
      </c>
      <c r="B1756">
        <v>170404</v>
      </c>
      <c r="C1756">
        <v>229301</v>
      </c>
      <c r="D1756">
        <v>405</v>
      </c>
      <c r="E1756" t="s">
        <v>1266</v>
      </c>
      <c r="G1756">
        <v>745</v>
      </c>
      <c r="H1756">
        <v>1811</v>
      </c>
      <c r="K1756" s="29">
        <v>133440016</v>
      </c>
      <c r="L1756" s="29">
        <v>133440016</v>
      </c>
      <c r="M1756" t="s">
        <v>2975</v>
      </c>
      <c r="N1756">
        <v>0</v>
      </c>
      <c r="O1756" t="s">
        <v>2975</v>
      </c>
      <c r="P1756">
        <v>0</v>
      </c>
      <c r="Q1756">
        <v>0</v>
      </c>
      <c r="R1756">
        <v>0</v>
      </c>
      <c r="T1756" s="29">
        <v>238400</v>
      </c>
      <c r="U1756" s="29">
        <v>31812100</v>
      </c>
      <c r="V1756" t="s">
        <v>1262</v>
      </c>
      <c r="W1756" t="s">
        <v>1262</v>
      </c>
      <c r="X1756" s="29">
        <v>31812100</v>
      </c>
      <c r="AA1756" s="30">
        <v>45797.333333333336</v>
      </c>
      <c r="AB1756" s="30">
        <v>45936.708333333336</v>
      </c>
      <c r="AC1756" s="30">
        <v>45797.333333333336</v>
      </c>
      <c r="AD1756" s="30">
        <v>45936.708333333336</v>
      </c>
      <c r="AE1756" s="30">
        <v>46016.333333333336</v>
      </c>
      <c r="AF1756" s="30">
        <v>46161.708333333336</v>
      </c>
      <c r="AG1756" t="s">
        <v>1266</v>
      </c>
      <c r="AK1756" t="s">
        <v>1265</v>
      </c>
      <c r="AL1756" t="s">
        <v>2974</v>
      </c>
      <c r="AM1756" t="s">
        <v>1263</v>
      </c>
      <c r="AN1756" t="s">
        <v>1262</v>
      </c>
      <c r="AO1756">
        <v>0</v>
      </c>
      <c r="AQ1756" t="s">
        <v>1261</v>
      </c>
      <c r="AR1756" t="s">
        <v>1260</v>
      </c>
      <c r="AS1756" t="s">
        <v>2716</v>
      </c>
      <c r="AT1756" s="30">
        <v>45985.652083333334</v>
      </c>
    </row>
    <row r="1757" spans="1:46" x14ac:dyDescent="0.25">
      <c r="A1757" t="s">
        <v>1248</v>
      </c>
      <c r="B1757">
        <v>170405</v>
      </c>
      <c r="C1757">
        <v>229301</v>
      </c>
      <c r="D1757">
        <v>405</v>
      </c>
      <c r="E1757" t="s">
        <v>1266</v>
      </c>
      <c r="G1757">
        <v>745</v>
      </c>
      <c r="H1757">
        <v>1816</v>
      </c>
      <c r="K1757" t="s">
        <v>2973</v>
      </c>
      <c r="L1757" t="s">
        <v>2973</v>
      </c>
      <c r="M1757" t="s">
        <v>2972</v>
      </c>
      <c r="N1757">
        <v>0</v>
      </c>
      <c r="O1757" t="s">
        <v>2972</v>
      </c>
      <c r="P1757">
        <v>0</v>
      </c>
      <c r="Q1757">
        <v>0</v>
      </c>
      <c r="R1757">
        <v>0</v>
      </c>
      <c r="T1757" s="29">
        <v>60000</v>
      </c>
      <c r="U1757" s="29">
        <v>468000</v>
      </c>
      <c r="V1757" t="s">
        <v>1262</v>
      </c>
      <c r="W1757" t="s">
        <v>1262</v>
      </c>
      <c r="X1757" s="29">
        <v>468000</v>
      </c>
      <c r="AA1757" s="30">
        <v>45797.333333333336</v>
      </c>
      <c r="AB1757" s="30">
        <v>45936.708333333336</v>
      </c>
      <c r="AC1757" s="30">
        <v>45797.333333333336</v>
      </c>
      <c r="AD1757" s="30">
        <v>45936.708333333336</v>
      </c>
      <c r="AE1757" s="30">
        <v>46016.333333333336</v>
      </c>
      <c r="AF1757" s="30">
        <v>46161.708333333336</v>
      </c>
      <c r="AG1757" t="s">
        <v>1266</v>
      </c>
      <c r="AK1757" t="s">
        <v>1265</v>
      </c>
      <c r="AL1757" t="s">
        <v>2971</v>
      </c>
      <c r="AM1757" t="s">
        <v>1263</v>
      </c>
      <c r="AN1757" t="s">
        <v>1262</v>
      </c>
      <c r="AO1757">
        <v>0</v>
      </c>
      <c r="AQ1757" t="s">
        <v>1261</v>
      </c>
      <c r="AR1757" t="s">
        <v>1260</v>
      </c>
      <c r="AS1757" t="s">
        <v>2716</v>
      </c>
      <c r="AT1757" s="30">
        <v>45985.652083333334</v>
      </c>
    </row>
    <row r="1758" spans="1:46" x14ac:dyDescent="0.25">
      <c r="A1758" t="s">
        <v>1248</v>
      </c>
      <c r="B1758">
        <v>170406</v>
      </c>
      <c r="C1758">
        <v>229301</v>
      </c>
      <c r="D1758">
        <v>405</v>
      </c>
      <c r="E1758" t="s">
        <v>1266</v>
      </c>
      <c r="G1758">
        <v>745</v>
      </c>
      <c r="H1758">
        <v>1820</v>
      </c>
      <c r="K1758" t="s">
        <v>2970</v>
      </c>
      <c r="L1758" t="s">
        <v>2970</v>
      </c>
      <c r="M1758" t="s">
        <v>2969</v>
      </c>
      <c r="N1758">
        <v>0</v>
      </c>
      <c r="O1758" t="s">
        <v>2969</v>
      </c>
      <c r="P1758">
        <v>0</v>
      </c>
      <c r="Q1758">
        <v>0</v>
      </c>
      <c r="R1758">
        <v>0</v>
      </c>
      <c r="T1758" s="29">
        <v>1500000</v>
      </c>
      <c r="U1758" s="29">
        <v>200160000</v>
      </c>
      <c r="V1758" t="s">
        <v>1262</v>
      </c>
      <c r="W1758" t="s">
        <v>1262</v>
      </c>
      <c r="X1758" s="29">
        <v>200160000</v>
      </c>
      <c r="AA1758" s="30">
        <v>45797.333333333336</v>
      </c>
      <c r="AB1758" s="30">
        <v>45936.708333333336</v>
      </c>
      <c r="AC1758" s="30">
        <v>45797.333333333336</v>
      </c>
      <c r="AD1758" s="30">
        <v>45936.708333333336</v>
      </c>
      <c r="AE1758" s="30">
        <v>46016.333333333336</v>
      </c>
      <c r="AF1758" s="30">
        <v>46161.708333333336</v>
      </c>
      <c r="AG1758" t="s">
        <v>1266</v>
      </c>
      <c r="AK1758" t="s">
        <v>1265</v>
      </c>
      <c r="AL1758" t="s">
        <v>2968</v>
      </c>
      <c r="AM1758" t="s">
        <v>1263</v>
      </c>
      <c r="AN1758" t="s">
        <v>1262</v>
      </c>
      <c r="AO1758">
        <v>0</v>
      </c>
      <c r="AQ1758" t="s">
        <v>1261</v>
      </c>
      <c r="AR1758" t="s">
        <v>1260</v>
      </c>
      <c r="AS1758" t="s">
        <v>2716</v>
      </c>
      <c r="AT1758" s="30">
        <v>45985.652083333334</v>
      </c>
    </row>
    <row r="1759" spans="1:46" x14ac:dyDescent="0.25">
      <c r="A1759" t="s">
        <v>1248</v>
      </c>
      <c r="B1759">
        <v>170407</v>
      </c>
      <c r="C1759">
        <v>229301</v>
      </c>
      <c r="D1759">
        <v>405</v>
      </c>
      <c r="E1759" t="s">
        <v>1266</v>
      </c>
      <c r="G1759">
        <v>745</v>
      </c>
      <c r="H1759">
        <v>1827</v>
      </c>
      <c r="K1759" s="29">
        <v>55379826</v>
      </c>
      <c r="L1759" s="29">
        <v>55379826</v>
      </c>
      <c r="M1759" t="s">
        <v>2967</v>
      </c>
      <c r="N1759">
        <v>0</v>
      </c>
      <c r="O1759" t="s">
        <v>2967</v>
      </c>
      <c r="P1759">
        <v>0</v>
      </c>
      <c r="Q1759">
        <v>0</v>
      </c>
      <c r="R1759">
        <v>0</v>
      </c>
      <c r="T1759" s="29">
        <v>207200</v>
      </c>
      <c r="U1759" s="29">
        <v>11474700</v>
      </c>
      <c r="V1759" t="s">
        <v>1262</v>
      </c>
      <c r="W1759" t="s">
        <v>1262</v>
      </c>
      <c r="X1759" s="29">
        <v>11474700</v>
      </c>
      <c r="AA1759" s="30">
        <v>45797.333333333336</v>
      </c>
      <c r="AB1759" s="30">
        <v>45936.708333333336</v>
      </c>
      <c r="AC1759" s="30">
        <v>45797.333333333336</v>
      </c>
      <c r="AD1759" s="30">
        <v>45936.708333333336</v>
      </c>
      <c r="AE1759" s="30">
        <v>46016.333333333336</v>
      </c>
      <c r="AF1759" s="30">
        <v>46161.708333333336</v>
      </c>
      <c r="AG1759" t="s">
        <v>1266</v>
      </c>
      <c r="AK1759" t="s">
        <v>1265</v>
      </c>
      <c r="AL1759" t="s">
        <v>2966</v>
      </c>
      <c r="AM1759" t="s">
        <v>1263</v>
      </c>
      <c r="AN1759" t="s">
        <v>1262</v>
      </c>
      <c r="AO1759">
        <v>0</v>
      </c>
      <c r="AQ1759" t="s">
        <v>1261</v>
      </c>
      <c r="AR1759" t="s">
        <v>1260</v>
      </c>
      <c r="AS1759" t="s">
        <v>2716</v>
      </c>
      <c r="AT1759" s="30">
        <v>45985.652083333334</v>
      </c>
    </row>
    <row r="1760" spans="1:46" x14ac:dyDescent="0.25">
      <c r="A1760" t="s">
        <v>1248</v>
      </c>
      <c r="B1760">
        <v>170408</v>
      </c>
      <c r="C1760">
        <v>229301</v>
      </c>
      <c r="D1760">
        <v>405</v>
      </c>
      <c r="E1760" t="s">
        <v>1266</v>
      </c>
      <c r="G1760">
        <v>745</v>
      </c>
      <c r="H1760">
        <v>1832</v>
      </c>
      <c r="K1760">
        <v>234</v>
      </c>
      <c r="L1760">
        <v>234</v>
      </c>
      <c r="M1760" t="s">
        <v>2965</v>
      </c>
      <c r="N1760">
        <v>0</v>
      </c>
      <c r="O1760" t="s">
        <v>2965</v>
      </c>
      <c r="P1760">
        <v>0</v>
      </c>
      <c r="Q1760">
        <v>0</v>
      </c>
      <c r="R1760">
        <v>0</v>
      </c>
      <c r="T1760" s="29">
        <v>11200</v>
      </c>
      <c r="U1760" s="29">
        <v>2620800</v>
      </c>
      <c r="V1760" t="s">
        <v>1262</v>
      </c>
      <c r="W1760" t="s">
        <v>1262</v>
      </c>
      <c r="X1760" s="29">
        <v>2620800</v>
      </c>
      <c r="AA1760" s="30">
        <v>45797.333333333336</v>
      </c>
      <c r="AB1760" s="30">
        <v>45936.708333333336</v>
      </c>
      <c r="AC1760" s="30">
        <v>45797.333333333336</v>
      </c>
      <c r="AD1760" s="30">
        <v>45936.708333333336</v>
      </c>
      <c r="AE1760" s="30">
        <v>46016.333333333336</v>
      </c>
      <c r="AF1760" s="30">
        <v>46161.708333333336</v>
      </c>
      <c r="AG1760" t="s">
        <v>1266</v>
      </c>
      <c r="AK1760" t="s">
        <v>1265</v>
      </c>
      <c r="AL1760" t="s">
        <v>2964</v>
      </c>
      <c r="AM1760" t="s">
        <v>1263</v>
      </c>
      <c r="AN1760" t="s">
        <v>1262</v>
      </c>
      <c r="AO1760">
        <v>0</v>
      </c>
      <c r="AQ1760" t="s">
        <v>1261</v>
      </c>
      <c r="AR1760" t="s">
        <v>1260</v>
      </c>
      <c r="AS1760" t="s">
        <v>2716</v>
      </c>
      <c r="AT1760" s="30">
        <v>45985.652083333334</v>
      </c>
    </row>
    <row r="1761" spans="1:46" x14ac:dyDescent="0.25">
      <c r="A1761" t="s">
        <v>1248</v>
      </c>
      <c r="B1761">
        <v>170409</v>
      </c>
      <c r="C1761">
        <v>229301</v>
      </c>
      <c r="D1761">
        <v>405</v>
      </c>
      <c r="E1761" t="s">
        <v>1266</v>
      </c>
      <c r="G1761">
        <v>745</v>
      </c>
      <c r="H1761">
        <v>1833</v>
      </c>
      <c r="K1761" s="29">
        <v>7433184473</v>
      </c>
      <c r="L1761" s="29">
        <v>7433184473</v>
      </c>
      <c r="M1761" s="29">
        <v>929148059</v>
      </c>
      <c r="N1761">
        <v>0</v>
      </c>
      <c r="O1761" s="29">
        <v>929148059</v>
      </c>
      <c r="P1761">
        <v>0</v>
      </c>
      <c r="Q1761">
        <v>0</v>
      </c>
      <c r="R1761">
        <v>0</v>
      </c>
      <c r="T1761" s="29">
        <v>10300</v>
      </c>
      <c r="U1761" s="29">
        <v>76561800</v>
      </c>
      <c r="V1761" t="s">
        <v>1262</v>
      </c>
      <c r="W1761" t="s">
        <v>1262</v>
      </c>
      <c r="X1761" s="29">
        <v>76561800</v>
      </c>
      <c r="AA1761" s="30">
        <v>45797.333333333336</v>
      </c>
      <c r="AB1761" s="30">
        <v>45936.708333333336</v>
      </c>
      <c r="AC1761" s="30">
        <v>45797.333333333336</v>
      </c>
      <c r="AD1761" s="30">
        <v>45936.708333333336</v>
      </c>
      <c r="AE1761" s="30">
        <v>46016.333333333336</v>
      </c>
      <c r="AF1761" s="30">
        <v>46161.708333333336</v>
      </c>
      <c r="AG1761" t="s">
        <v>1266</v>
      </c>
      <c r="AK1761" t="s">
        <v>1265</v>
      </c>
      <c r="AL1761" t="s">
        <v>2963</v>
      </c>
      <c r="AM1761" t="s">
        <v>1263</v>
      </c>
      <c r="AN1761" t="s">
        <v>1262</v>
      </c>
      <c r="AO1761">
        <v>0</v>
      </c>
      <c r="AQ1761" t="s">
        <v>1261</v>
      </c>
      <c r="AR1761" t="s">
        <v>1260</v>
      </c>
      <c r="AS1761" t="s">
        <v>2716</v>
      </c>
      <c r="AT1761" s="30">
        <v>45985.652083333334</v>
      </c>
    </row>
    <row r="1762" spans="1:46" x14ac:dyDescent="0.25">
      <c r="A1762" t="s">
        <v>1248</v>
      </c>
      <c r="B1762">
        <v>170410</v>
      </c>
      <c r="C1762">
        <v>229301</v>
      </c>
      <c r="D1762">
        <v>405</v>
      </c>
      <c r="E1762" t="s">
        <v>1266</v>
      </c>
      <c r="G1762">
        <v>745</v>
      </c>
      <c r="H1762">
        <v>1859</v>
      </c>
      <c r="K1762">
        <v>16286</v>
      </c>
      <c r="L1762">
        <v>16286</v>
      </c>
      <c r="M1762" s="29">
        <v>203575</v>
      </c>
      <c r="N1762">
        <v>0</v>
      </c>
      <c r="O1762" s="29">
        <v>203575</v>
      </c>
      <c r="P1762">
        <v>0</v>
      </c>
      <c r="Q1762">
        <v>0</v>
      </c>
      <c r="R1762">
        <v>0</v>
      </c>
      <c r="T1762" t="s">
        <v>2962</v>
      </c>
      <c r="U1762" s="29">
        <v>157974200</v>
      </c>
      <c r="V1762" t="s">
        <v>1262</v>
      </c>
      <c r="W1762" t="s">
        <v>1262</v>
      </c>
      <c r="X1762" s="29">
        <v>157974200</v>
      </c>
      <c r="AA1762" s="30">
        <v>45797.333333333336</v>
      </c>
      <c r="AB1762" s="30">
        <v>45936.708333333336</v>
      </c>
      <c r="AC1762" s="30">
        <v>45797.333333333336</v>
      </c>
      <c r="AD1762" s="30">
        <v>45936.708333333336</v>
      </c>
      <c r="AE1762" s="30">
        <v>46016.333333333336</v>
      </c>
      <c r="AF1762" s="30">
        <v>46161.708333333336</v>
      </c>
      <c r="AG1762" t="s">
        <v>1266</v>
      </c>
      <c r="AK1762" t="s">
        <v>1265</v>
      </c>
      <c r="AL1762" t="s">
        <v>2961</v>
      </c>
      <c r="AM1762" t="s">
        <v>1263</v>
      </c>
      <c r="AN1762" t="s">
        <v>1262</v>
      </c>
      <c r="AO1762">
        <v>0</v>
      </c>
      <c r="AQ1762" t="s">
        <v>1261</v>
      </c>
      <c r="AR1762" t="s">
        <v>1260</v>
      </c>
      <c r="AS1762" t="s">
        <v>2716</v>
      </c>
      <c r="AT1762" s="30">
        <v>45985.652083333334</v>
      </c>
    </row>
    <row r="1763" spans="1:46" x14ac:dyDescent="0.25">
      <c r="A1763" t="s">
        <v>1248</v>
      </c>
      <c r="B1763">
        <v>170411</v>
      </c>
      <c r="C1763">
        <v>229301</v>
      </c>
      <c r="D1763">
        <v>405</v>
      </c>
      <c r="E1763" t="s">
        <v>1266</v>
      </c>
      <c r="G1763">
        <v>745</v>
      </c>
      <c r="H1763">
        <v>1865</v>
      </c>
      <c r="K1763" s="29">
        <v>514070103</v>
      </c>
      <c r="L1763" s="29">
        <v>514070103</v>
      </c>
      <c r="M1763" t="s">
        <v>2960</v>
      </c>
      <c r="N1763">
        <v>0</v>
      </c>
      <c r="O1763" t="s">
        <v>2960</v>
      </c>
      <c r="P1763">
        <v>0</v>
      </c>
      <c r="Q1763">
        <v>0</v>
      </c>
      <c r="R1763">
        <v>0</v>
      </c>
      <c r="T1763" s="29">
        <v>388000</v>
      </c>
      <c r="U1763" s="29">
        <v>199459200</v>
      </c>
      <c r="V1763" t="s">
        <v>1262</v>
      </c>
      <c r="W1763" t="s">
        <v>1262</v>
      </c>
      <c r="X1763" s="29">
        <v>199459200</v>
      </c>
      <c r="AA1763" s="30">
        <v>45797.333333333336</v>
      </c>
      <c r="AB1763" s="30">
        <v>45936.708333333336</v>
      </c>
      <c r="AC1763" s="30">
        <v>45797.333333333336</v>
      </c>
      <c r="AD1763" s="30">
        <v>45936.708333333336</v>
      </c>
      <c r="AE1763" s="30">
        <v>46016.333333333336</v>
      </c>
      <c r="AF1763" s="30">
        <v>46161.708333333336</v>
      </c>
      <c r="AG1763" t="s">
        <v>1266</v>
      </c>
      <c r="AK1763" t="s">
        <v>1265</v>
      </c>
      <c r="AL1763" t="e">
        <f>+xcuU3d5RUCGDf5WjmZ1Aw</f>
        <v>#NAME?</v>
      </c>
      <c r="AM1763" t="s">
        <v>1263</v>
      </c>
      <c r="AN1763" t="s">
        <v>1262</v>
      </c>
      <c r="AO1763">
        <v>0</v>
      </c>
      <c r="AQ1763" t="s">
        <v>1261</v>
      </c>
      <c r="AR1763" t="s">
        <v>1260</v>
      </c>
      <c r="AS1763" t="s">
        <v>2716</v>
      </c>
      <c r="AT1763" s="30">
        <v>45985.652083333334</v>
      </c>
    </row>
    <row r="1764" spans="1:46" x14ac:dyDescent="0.25">
      <c r="A1764" t="s">
        <v>1248</v>
      </c>
      <c r="B1764">
        <v>170412</v>
      </c>
      <c r="C1764">
        <v>229301</v>
      </c>
      <c r="D1764">
        <v>405</v>
      </c>
      <c r="E1764" t="s">
        <v>1266</v>
      </c>
      <c r="G1764">
        <v>745</v>
      </c>
      <c r="H1764">
        <v>1867</v>
      </c>
      <c r="K1764" t="s">
        <v>2959</v>
      </c>
      <c r="L1764" t="s">
        <v>2959</v>
      </c>
      <c r="M1764" t="s">
        <v>2958</v>
      </c>
      <c r="N1764">
        <v>0</v>
      </c>
      <c r="O1764" t="s">
        <v>2958</v>
      </c>
      <c r="P1764">
        <v>0</v>
      </c>
      <c r="Q1764">
        <v>0</v>
      </c>
      <c r="R1764">
        <v>0</v>
      </c>
      <c r="T1764" s="29">
        <v>205000</v>
      </c>
      <c r="U1764" s="29">
        <v>68388000</v>
      </c>
      <c r="V1764" t="s">
        <v>1262</v>
      </c>
      <c r="W1764" t="s">
        <v>1262</v>
      </c>
      <c r="X1764" s="29">
        <v>68388000</v>
      </c>
      <c r="AA1764" s="30">
        <v>45797.333333333336</v>
      </c>
      <c r="AB1764" s="30">
        <v>45936.708333333336</v>
      </c>
      <c r="AC1764" s="30">
        <v>45797.333333333336</v>
      </c>
      <c r="AD1764" s="30">
        <v>45936.708333333336</v>
      </c>
      <c r="AE1764" s="30">
        <v>46016.333333333336</v>
      </c>
      <c r="AF1764" s="30">
        <v>46161.708333333336</v>
      </c>
      <c r="AG1764" t="s">
        <v>1266</v>
      </c>
      <c r="AK1764" t="s">
        <v>1265</v>
      </c>
      <c r="AL1764" t="s">
        <v>2957</v>
      </c>
      <c r="AM1764" t="s">
        <v>1263</v>
      </c>
      <c r="AN1764" t="s">
        <v>1262</v>
      </c>
      <c r="AO1764">
        <v>0</v>
      </c>
      <c r="AQ1764" t="s">
        <v>1261</v>
      </c>
      <c r="AR1764" t="s">
        <v>1260</v>
      </c>
      <c r="AS1764" t="s">
        <v>2716</v>
      </c>
      <c r="AT1764" s="30">
        <v>45985.652083333334</v>
      </c>
    </row>
    <row r="1765" spans="1:46" x14ac:dyDescent="0.25">
      <c r="A1765" t="s">
        <v>1248</v>
      </c>
      <c r="B1765">
        <v>170413</v>
      </c>
      <c r="C1765">
        <v>229301</v>
      </c>
      <c r="D1765">
        <v>405</v>
      </c>
      <c r="E1765" t="s">
        <v>1266</v>
      </c>
      <c r="G1765">
        <v>745</v>
      </c>
      <c r="H1765">
        <v>1871</v>
      </c>
      <c r="K1765" t="s">
        <v>2956</v>
      </c>
      <c r="L1765" t="s">
        <v>2956</v>
      </c>
      <c r="M1765" t="s">
        <v>2955</v>
      </c>
      <c r="N1765">
        <v>0</v>
      </c>
      <c r="O1765" t="s">
        <v>2955</v>
      </c>
      <c r="P1765">
        <v>0</v>
      </c>
      <c r="Q1765">
        <v>0</v>
      </c>
      <c r="R1765">
        <v>0</v>
      </c>
      <c r="T1765" s="29">
        <v>100000</v>
      </c>
      <c r="U1765" s="29">
        <v>1629000</v>
      </c>
      <c r="V1765" t="s">
        <v>1262</v>
      </c>
      <c r="W1765" t="s">
        <v>1262</v>
      </c>
      <c r="X1765" s="29">
        <v>1629000</v>
      </c>
      <c r="AA1765" s="30">
        <v>45797.333333333336</v>
      </c>
      <c r="AB1765" s="30">
        <v>45936.708333333336</v>
      </c>
      <c r="AC1765" s="30">
        <v>45797.333333333336</v>
      </c>
      <c r="AD1765" s="30">
        <v>45936.708333333336</v>
      </c>
      <c r="AE1765" s="30">
        <v>46016.333333333336</v>
      </c>
      <c r="AF1765" s="30">
        <v>46161.708333333336</v>
      </c>
      <c r="AG1765" t="s">
        <v>1266</v>
      </c>
      <c r="AK1765" t="s">
        <v>1265</v>
      </c>
      <c r="AL1765" t="s">
        <v>2954</v>
      </c>
      <c r="AM1765" t="s">
        <v>1263</v>
      </c>
      <c r="AN1765" t="s">
        <v>1262</v>
      </c>
      <c r="AO1765">
        <v>0</v>
      </c>
      <c r="AQ1765" t="s">
        <v>1261</v>
      </c>
      <c r="AR1765" t="s">
        <v>1260</v>
      </c>
      <c r="AS1765" t="s">
        <v>2716</v>
      </c>
      <c r="AT1765" s="30">
        <v>45985.652083333334</v>
      </c>
    </row>
    <row r="1766" spans="1:46" x14ac:dyDescent="0.25">
      <c r="A1766" t="s">
        <v>1248</v>
      </c>
      <c r="B1766">
        <v>170414</v>
      </c>
      <c r="C1766">
        <v>229301</v>
      </c>
      <c r="D1766">
        <v>405</v>
      </c>
      <c r="E1766" t="s">
        <v>1266</v>
      </c>
      <c r="G1766">
        <v>745</v>
      </c>
      <c r="H1766">
        <v>1873</v>
      </c>
      <c r="K1766" t="s">
        <v>2953</v>
      </c>
      <c r="L1766" t="s">
        <v>2953</v>
      </c>
      <c r="M1766" s="29">
        <v>51016</v>
      </c>
      <c r="N1766">
        <v>0</v>
      </c>
      <c r="O1766" s="29">
        <v>51016</v>
      </c>
      <c r="P1766">
        <v>0</v>
      </c>
      <c r="Q1766">
        <v>0</v>
      </c>
      <c r="R1766">
        <v>0</v>
      </c>
      <c r="T1766" s="29">
        <v>80000</v>
      </c>
      <c r="U1766" s="29">
        <v>326502400</v>
      </c>
      <c r="V1766" t="s">
        <v>1262</v>
      </c>
      <c r="W1766" t="s">
        <v>1262</v>
      </c>
      <c r="X1766" s="29">
        <v>326502400</v>
      </c>
      <c r="AA1766" s="30">
        <v>45797.333333333336</v>
      </c>
      <c r="AB1766" s="30">
        <v>45936.708333333336</v>
      </c>
      <c r="AC1766" s="30">
        <v>45797.333333333336</v>
      </c>
      <c r="AD1766" s="30">
        <v>45936.708333333336</v>
      </c>
      <c r="AE1766" s="30">
        <v>46016.333333333336</v>
      </c>
      <c r="AF1766" s="30">
        <v>46161.708333333336</v>
      </c>
      <c r="AG1766" t="s">
        <v>1266</v>
      </c>
      <c r="AK1766" t="s">
        <v>1265</v>
      </c>
      <c r="AL1766" t="s">
        <v>2952</v>
      </c>
      <c r="AM1766" t="s">
        <v>1263</v>
      </c>
      <c r="AN1766" t="s">
        <v>1262</v>
      </c>
      <c r="AO1766">
        <v>0</v>
      </c>
      <c r="AQ1766" t="s">
        <v>1261</v>
      </c>
      <c r="AR1766" t="s">
        <v>1260</v>
      </c>
      <c r="AS1766" t="s">
        <v>2716</v>
      </c>
      <c r="AT1766" s="30">
        <v>45985.652083333334</v>
      </c>
    </row>
    <row r="1767" spans="1:46" x14ac:dyDescent="0.25">
      <c r="A1767" t="s">
        <v>1248</v>
      </c>
      <c r="B1767">
        <v>170415</v>
      </c>
      <c r="C1767">
        <v>229301</v>
      </c>
      <c r="D1767">
        <v>405</v>
      </c>
      <c r="E1767" t="s">
        <v>1266</v>
      </c>
      <c r="G1767">
        <v>745</v>
      </c>
      <c r="H1767">
        <v>1889</v>
      </c>
      <c r="K1767" s="29">
        <v>16286000015</v>
      </c>
      <c r="L1767" s="29">
        <v>16286000015</v>
      </c>
      <c r="M1767" s="29">
        <v>2035750001</v>
      </c>
      <c r="N1767">
        <v>0</v>
      </c>
      <c r="O1767" s="29">
        <v>2035750001</v>
      </c>
      <c r="P1767">
        <v>0</v>
      </c>
      <c r="Q1767">
        <v>0</v>
      </c>
      <c r="R1767">
        <v>0</v>
      </c>
      <c r="T1767" s="29">
        <v>30900</v>
      </c>
      <c r="U1767" s="29">
        <v>503237400</v>
      </c>
      <c r="V1767" t="s">
        <v>1262</v>
      </c>
      <c r="W1767" t="s">
        <v>1262</v>
      </c>
      <c r="X1767" s="29">
        <v>503237400</v>
      </c>
      <c r="AA1767" s="30">
        <v>45797.333333333336</v>
      </c>
      <c r="AB1767" s="30">
        <v>45936.708333333336</v>
      </c>
      <c r="AC1767" s="30">
        <v>45797.333333333336</v>
      </c>
      <c r="AD1767" s="30">
        <v>45936.708333333336</v>
      </c>
      <c r="AE1767" s="30">
        <v>46016.333333333336</v>
      </c>
      <c r="AF1767" s="30">
        <v>46161.708333333336</v>
      </c>
      <c r="AG1767" t="s">
        <v>1266</v>
      </c>
      <c r="AK1767" t="s">
        <v>1265</v>
      </c>
      <c r="AL1767" t="s">
        <v>2951</v>
      </c>
      <c r="AM1767" t="s">
        <v>1263</v>
      </c>
      <c r="AN1767" t="s">
        <v>1262</v>
      </c>
      <c r="AO1767">
        <v>0</v>
      </c>
      <c r="AQ1767" t="s">
        <v>1261</v>
      </c>
      <c r="AR1767" t="s">
        <v>1260</v>
      </c>
      <c r="AS1767" t="s">
        <v>2716</v>
      </c>
      <c r="AT1767" s="30">
        <v>45985.652083333334</v>
      </c>
    </row>
    <row r="1768" spans="1:46" x14ac:dyDescent="0.25">
      <c r="A1768" t="s">
        <v>1248</v>
      </c>
      <c r="B1768">
        <v>170417</v>
      </c>
      <c r="C1768">
        <v>229302</v>
      </c>
      <c r="D1768">
        <v>405</v>
      </c>
      <c r="E1768" t="s">
        <v>1266</v>
      </c>
      <c r="G1768">
        <v>745</v>
      </c>
      <c r="H1768">
        <v>1498</v>
      </c>
      <c r="K1768" t="s">
        <v>2950</v>
      </c>
      <c r="L1768" t="s">
        <v>2950</v>
      </c>
      <c r="M1768" s="29">
        <v>2778825</v>
      </c>
      <c r="N1768">
        <v>0</v>
      </c>
      <c r="O1768" s="29">
        <v>2778825</v>
      </c>
      <c r="P1768">
        <v>0</v>
      </c>
      <c r="Q1768">
        <v>0</v>
      </c>
      <c r="R1768">
        <v>0</v>
      </c>
      <c r="S1768">
        <v>0</v>
      </c>
      <c r="T1768" s="29">
        <v>60000</v>
      </c>
      <c r="U1768" s="29">
        <v>66691800</v>
      </c>
      <c r="V1768" t="s">
        <v>1262</v>
      </c>
      <c r="W1768" t="s">
        <v>1262</v>
      </c>
      <c r="X1768" s="29">
        <v>66691800</v>
      </c>
      <c r="AA1768" s="30">
        <v>45616.333333333336</v>
      </c>
      <c r="AB1768" s="30">
        <v>45685.708333333336</v>
      </c>
      <c r="AC1768" s="30">
        <v>45616.333333333336</v>
      </c>
      <c r="AD1768" s="30">
        <v>45685.708333333336</v>
      </c>
      <c r="AE1768" s="30">
        <v>45687.333333333336</v>
      </c>
      <c r="AF1768" s="30">
        <v>45756.708333333336</v>
      </c>
      <c r="AG1768" t="s">
        <v>1266</v>
      </c>
      <c r="AK1768" t="s">
        <v>1265</v>
      </c>
      <c r="AL1768" t="s">
        <v>2949</v>
      </c>
      <c r="AM1768" t="s">
        <v>1263</v>
      </c>
      <c r="AN1768" t="s">
        <v>1262</v>
      </c>
      <c r="AO1768">
        <v>0</v>
      </c>
      <c r="AQ1768" t="s">
        <v>1261</v>
      </c>
      <c r="AR1768" t="s">
        <v>1260</v>
      </c>
      <c r="AS1768" t="s">
        <v>2716</v>
      </c>
      <c r="AT1768" s="30">
        <v>45985.705555555556</v>
      </c>
    </row>
    <row r="1769" spans="1:46" x14ac:dyDescent="0.25">
      <c r="A1769" t="s">
        <v>1248</v>
      </c>
      <c r="B1769">
        <v>170423</v>
      </c>
      <c r="C1769">
        <v>119793</v>
      </c>
      <c r="D1769">
        <v>405</v>
      </c>
      <c r="E1769" t="s">
        <v>1266</v>
      </c>
      <c r="G1769">
        <v>745</v>
      </c>
      <c r="H1769">
        <v>1498</v>
      </c>
      <c r="K1769" s="29">
        <v>12662000005</v>
      </c>
      <c r="L1769" s="29">
        <v>12662000005</v>
      </c>
      <c r="M1769" s="29">
        <v>4522142857</v>
      </c>
      <c r="N1769">
        <v>0</v>
      </c>
      <c r="O1769" s="29">
        <v>4522142857</v>
      </c>
      <c r="P1769">
        <v>0</v>
      </c>
      <c r="Q1769">
        <v>0</v>
      </c>
      <c r="R1769">
        <v>0</v>
      </c>
      <c r="S1769">
        <v>0</v>
      </c>
      <c r="T1769" s="29">
        <v>60000</v>
      </c>
      <c r="U1769" s="29">
        <v>759720000</v>
      </c>
      <c r="V1769" t="s">
        <v>1262</v>
      </c>
      <c r="W1769" t="s">
        <v>1262</v>
      </c>
      <c r="X1769" s="29">
        <v>759720000</v>
      </c>
      <c r="AA1769" s="30">
        <v>45650.333333333336</v>
      </c>
      <c r="AB1769" s="30">
        <v>45698.708333333336</v>
      </c>
      <c r="AC1769" s="30">
        <v>45650.333333333336</v>
      </c>
      <c r="AD1769" s="30">
        <v>45698.708333333336</v>
      </c>
      <c r="AE1769" s="30">
        <v>46345.333333333336</v>
      </c>
      <c r="AF1769" s="30">
        <v>46399.708333333336</v>
      </c>
      <c r="AG1769" t="s">
        <v>1266</v>
      </c>
      <c r="AK1769" t="s">
        <v>1265</v>
      </c>
      <c r="AL1769" t="s">
        <v>2948</v>
      </c>
      <c r="AM1769" t="s">
        <v>1263</v>
      </c>
      <c r="AN1769" t="s">
        <v>1262</v>
      </c>
      <c r="AO1769">
        <v>0</v>
      </c>
      <c r="AQ1769" t="s">
        <v>1261</v>
      </c>
      <c r="AR1769" t="s">
        <v>1260</v>
      </c>
      <c r="AS1769" t="s">
        <v>2716</v>
      </c>
      <c r="AT1769" s="30">
        <v>45985.726388888892</v>
      </c>
    </row>
    <row r="1770" spans="1:46" x14ac:dyDescent="0.25">
      <c r="A1770" t="s">
        <v>1248</v>
      </c>
      <c r="B1770">
        <v>170424</v>
      </c>
      <c r="C1770">
        <v>119793</v>
      </c>
      <c r="D1770">
        <v>405</v>
      </c>
      <c r="E1770" t="s">
        <v>1266</v>
      </c>
      <c r="G1770">
        <v>745</v>
      </c>
      <c r="H1770">
        <v>1808</v>
      </c>
      <c r="K1770">
        <v>12662</v>
      </c>
      <c r="L1770">
        <v>12662</v>
      </c>
      <c r="M1770" s="29">
        <v>4522142857</v>
      </c>
      <c r="N1770">
        <v>0</v>
      </c>
      <c r="O1770" s="29">
        <v>4522142857</v>
      </c>
      <c r="P1770">
        <v>0</v>
      </c>
      <c r="Q1770">
        <v>0</v>
      </c>
      <c r="R1770">
        <v>0</v>
      </c>
      <c r="T1770" s="29">
        <v>83700</v>
      </c>
      <c r="U1770" s="29">
        <v>1059809400</v>
      </c>
      <c r="V1770" t="s">
        <v>1262</v>
      </c>
      <c r="W1770" t="s">
        <v>1262</v>
      </c>
      <c r="X1770" s="29">
        <v>1059809400</v>
      </c>
      <c r="AA1770" s="30">
        <v>45650.333333333336</v>
      </c>
      <c r="AB1770" s="30">
        <v>45698.708333333336</v>
      </c>
      <c r="AC1770" s="30">
        <v>45650.333333333336</v>
      </c>
      <c r="AD1770" s="30">
        <v>45698.708333333336</v>
      </c>
      <c r="AE1770" s="30">
        <v>46345.333333333336</v>
      </c>
      <c r="AF1770" s="30">
        <v>46399.708333333336</v>
      </c>
      <c r="AG1770" t="s">
        <v>1266</v>
      </c>
      <c r="AK1770" t="s">
        <v>1265</v>
      </c>
      <c r="AL1770" t="s">
        <v>2947</v>
      </c>
      <c r="AM1770" t="s">
        <v>1263</v>
      </c>
      <c r="AN1770" t="s">
        <v>1262</v>
      </c>
      <c r="AO1770">
        <v>0</v>
      </c>
      <c r="AQ1770" t="s">
        <v>1261</v>
      </c>
      <c r="AR1770" t="s">
        <v>1260</v>
      </c>
      <c r="AS1770" t="s">
        <v>2716</v>
      </c>
      <c r="AT1770" s="30">
        <v>45985.727083333331</v>
      </c>
    </row>
    <row r="1771" spans="1:46" x14ac:dyDescent="0.25">
      <c r="A1771" t="s">
        <v>1248</v>
      </c>
      <c r="B1771">
        <v>170425</v>
      </c>
      <c r="C1771">
        <v>119793</v>
      </c>
      <c r="D1771">
        <v>405</v>
      </c>
      <c r="E1771" t="s">
        <v>1266</v>
      </c>
      <c r="G1771">
        <v>745</v>
      </c>
      <c r="H1771">
        <v>1861</v>
      </c>
      <c r="K1771">
        <v>12662</v>
      </c>
      <c r="L1771">
        <v>12662</v>
      </c>
      <c r="M1771" s="29">
        <v>4522142857</v>
      </c>
      <c r="N1771">
        <v>0</v>
      </c>
      <c r="O1771" s="29">
        <v>4522142857</v>
      </c>
      <c r="P1771">
        <v>0</v>
      </c>
      <c r="Q1771">
        <v>0</v>
      </c>
      <c r="R1771">
        <v>0</v>
      </c>
      <c r="T1771" s="29">
        <v>275000</v>
      </c>
      <c r="U1771" s="29">
        <v>3482050000</v>
      </c>
      <c r="V1771" t="s">
        <v>1262</v>
      </c>
      <c r="W1771" t="s">
        <v>1262</v>
      </c>
      <c r="X1771" s="29">
        <v>3482050000</v>
      </c>
      <c r="AA1771" s="30">
        <v>45650.333333333336</v>
      </c>
      <c r="AB1771" s="30">
        <v>45698.708333333336</v>
      </c>
      <c r="AC1771" s="30">
        <v>45650.333333333336</v>
      </c>
      <c r="AD1771" s="30">
        <v>45698.708333333336</v>
      </c>
      <c r="AE1771" s="30">
        <v>46345.333333333336</v>
      </c>
      <c r="AF1771" s="30">
        <v>46399.708333333336</v>
      </c>
      <c r="AG1771" t="s">
        <v>1266</v>
      </c>
      <c r="AK1771" t="s">
        <v>1265</v>
      </c>
      <c r="AL1771" t="s">
        <v>2946</v>
      </c>
      <c r="AM1771" t="s">
        <v>1263</v>
      </c>
      <c r="AN1771" t="s">
        <v>1262</v>
      </c>
      <c r="AO1771">
        <v>0</v>
      </c>
      <c r="AQ1771" t="s">
        <v>1261</v>
      </c>
      <c r="AR1771" t="s">
        <v>1260</v>
      </c>
      <c r="AS1771" t="s">
        <v>2716</v>
      </c>
      <c r="AT1771" s="30">
        <v>45985.727083333331</v>
      </c>
    </row>
    <row r="1772" spans="1:46" x14ac:dyDescent="0.25">
      <c r="A1772" t="s">
        <v>1248</v>
      </c>
      <c r="B1772">
        <v>170426</v>
      </c>
      <c r="C1772">
        <v>119793</v>
      </c>
      <c r="D1772">
        <v>405</v>
      </c>
      <c r="E1772" t="s">
        <v>1266</v>
      </c>
      <c r="G1772">
        <v>745</v>
      </c>
      <c r="H1772">
        <v>1866</v>
      </c>
      <c r="K1772">
        <v>31655</v>
      </c>
      <c r="L1772">
        <v>31655</v>
      </c>
      <c r="M1772" s="29">
        <v>11305357142</v>
      </c>
      <c r="N1772">
        <v>0</v>
      </c>
      <c r="O1772" s="29">
        <v>11305357142</v>
      </c>
      <c r="P1772">
        <v>0</v>
      </c>
      <c r="Q1772">
        <v>0</v>
      </c>
      <c r="R1772">
        <v>0</v>
      </c>
      <c r="T1772" s="29">
        <v>27600</v>
      </c>
      <c r="U1772" s="29">
        <v>873678000</v>
      </c>
      <c r="V1772" t="s">
        <v>1262</v>
      </c>
      <c r="W1772" t="s">
        <v>1262</v>
      </c>
      <c r="X1772" s="29">
        <v>873678000</v>
      </c>
      <c r="AA1772" s="30">
        <v>45650.333333333336</v>
      </c>
      <c r="AB1772" s="30">
        <v>45698.708333333336</v>
      </c>
      <c r="AC1772" s="30">
        <v>45650.333333333336</v>
      </c>
      <c r="AD1772" s="30">
        <v>45698.708333333336</v>
      </c>
      <c r="AE1772" s="30">
        <v>46345.333333333336</v>
      </c>
      <c r="AF1772" s="30">
        <v>46399.708333333336</v>
      </c>
      <c r="AG1772" t="s">
        <v>1266</v>
      </c>
      <c r="AK1772" t="s">
        <v>1265</v>
      </c>
      <c r="AL1772" t="s">
        <v>2945</v>
      </c>
      <c r="AM1772" t="s">
        <v>1263</v>
      </c>
      <c r="AN1772" t="s">
        <v>1262</v>
      </c>
      <c r="AO1772">
        <v>0</v>
      </c>
      <c r="AQ1772" t="s">
        <v>1261</v>
      </c>
      <c r="AR1772" t="s">
        <v>1260</v>
      </c>
      <c r="AS1772" t="s">
        <v>2716</v>
      </c>
      <c r="AT1772" s="30">
        <v>45985.727083333331</v>
      </c>
    </row>
    <row r="1773" spans="1:46" x14ac:dyDescent="0.25">
      <c r="A1773" t="s">
        <v>1248</v>
      </c>
      <c r="B1773">
        <v>170427</v>
      </c>
      <c r="C1773">
        <v>119793</v>
      </c>
      <c r="D1773">
        <v>405</v>
      </c>
      <c r="E1773" t="s">
        <v>1266</v>
      </c>
      <c r="G1773">
        <v>745</v>
      </c>
      <c r="H1773">
        <v>1870</v>
      </c>
      <c r="K1773" s="29">
        <v>16460600008</v>
      </c>
      <c r="L1773" s="29">
        <v>16460600008</v>
      </c>
      <c r="M1773" s="29">
        <v>5878785717</v>
      </c>
      <c r="N1773">
        <v>0</v>
      </c>
      <c r="O1773" s="29">
        <v>5878785717</v>
      </c>
      <c r="P1773">
        <v>0</v>
      </c>
      <c r="Q1773">
        <v>0</v>
      </c>
      <c r="R1773">
        <v>0</v>
      </c>
      <c r="T1773" s="29">
        <v>100000</v>
      </c>
      <c r="U1773" s="29">
        <v>1646060000</v>
      </c>
      <c r="V1773" t="s">
        <v>1262</v>
      </c>
      <c r="W1773" t="s">
        <v>1262</v>
      </c>
      <c r="X1773" s="29">
        <v>1646060000</v>
      </c>
      <c r="AA1773" s="30">
        <v>45650.333333333336</v>
      </c>
      <c r="AB1773" s="30">
        <v>45698.708333333336</v>
      </c>
      <c r="AC1773" s="30">
        <v>45650.333333333336</v>
      </c>
      <c r="AD1773" s="30">
        <v>45698.708333333336</v>
      </c>
      <c r="AE1773" s="30">
        <v>46345.333333333336</v>
      </c>
      <c r="AF1773" s="30">
        <v>46399.708333333336</v>
      </c>
      <c r="AG1773" t="s">
        <v>1266</v>
      </c>
      <c r="AK1773" t="s">
        <v>1265</v>
      </c>
      <c r="AL1773" t="s">
        <v>2944</v>
      </c>
      <c r="AM1773" t="s">
        <v>1263</v>
      </c>
      <c r="AN1773" t="s">
        <v>1262</v>
      </c>
      <c r="AO1773">
        <v>0</v>
      </c>
      <c r="AQ1773" t="s">
        <v>1261</v>
      </c>
      <c r="AR1773" t="s">
        <v>1260</v>
      </c>
      <c r="AS1773" t="s">
        <v>2716</v>
      </c>
      <c r="AT1773" s="30">
        <v>45985.727083333331</v>
      </c>
    </row>
    <row r="1774" spans="1:46" x14ac:dyDescent="0.25">
      <c r="A1774" t="s">
        <v>1248</v>
      </c>
      <c r="B1774">
        <v>170428</v>
      </c>
      <c r="C1774">
        <v>119793</v>
      </c>
      <c r="D1774">
        <v>405</v>
      </c>
      <c r="E1774" t="s">
        <v>1266</v>
      </c>
      <c r="G1774">
        <v>745</v>
      </c>
      <c r="H1774">
        <v>1873</v>
      </c>
      <c r="K1774">
        <v>25324</v>
      </c>
      <c r="L1774">
        <v>25324</v>
      </c>
      <c r="M1774" s="29">
        <v>9044285714</v>
      </c>
      <c r="N1774">
        <v>0</v>
      </c>
      <c r="O1774" s="29">
        <v>9044285714</v>
      </c>
      <c r="P1774">
        <v>0</v>
      </c>
      <c r="Q1774">
        <v>0</v>
      </c>
      <c r="R1774">
        <v>0</v>
      </c>
      <c r="T1774" s="29">
        <v>80000</v>
      </c>
      <c r="U1774" s="29">
        <v>2025919999</v>
      </c>
      <c r="V1774" t="s">
        <v>1262</v>
      </c>
      <c r="W1774" t="s">
        <v>1262</v>
      </c>
      <c r="X1774" s="29">
        <v>2025919999</v>
      </c>
      <c r="AA1774" s="30">
        <v>45650.333333333336</v>
      </c>
      <c r="AB1774" s="30">
        <v>45698.708333333336</v>
      </c>
      <c r="AC1774" s="30">
        <v>45650.333333333336</v>
      </c>
      <c r="AD1774" s="30">
        <v>45698.708333333336</v>
      </c>
      <c r="AE1774" s="30">
        <v>46345.333333333336</v>
      </c>
      <c r="AF1774" s="30">
        <v>46399.708333333336</v>
      </c>
      <c r="AG1774" t="s">
        <v>1266</v>
      </c>
      <c r="AK1774" t="s">
        <v>1265</v>
      </c>
      <c r="AL1774" t="s">
        <v>2943</v>
      </c>
      <c r="AM1774" t="s">
        <v>1263</v>
      </c>
      <c r="AN1774" t="s">
        <v>1262</v>
      </c>
      <c r="AO1774">
        <v>0</v>
      </c>
      <c r="AQ1774" t="s">
        <v>1261</v>
      </c>
      <c r="AR1774" t="s">
        <v>1260</v>
      </c>
      <c r="AS1774" t="s">
        <v>2716</v>
      </c>
      <c r="AT1774" s="30">
        <v>45985.727083333331</v>
      </c>
    </row>
    <row r="1775" spans="1:46" x14ac:dyDescent="0.25">
      <c r="A1775" t="s">
        <v>1248</v>
      </c>
      <c r="B1775">
        <v>170429</v>
      </c>
      <c r="C1775">
        <v>229302</v>
      </c>
      <c r="D1775">
        <v>405</v>
      </c>
      <c r="E1775" t="s">
        <v>1266</v>
      </c>
      <c r="G1775">
        <v>745</v>
      </c>
      <c r="H1775">
        <v>1671</v>
      </c>
      <c r="K1775" t="s">
        <v>2942</v>
      </c>
      <c r="L1775" t="s">
        <v>2942</v>
      </c>
      <c r="M1775" s="29">
        <v>69470625</v>
      </c>
      <c r="N1775">
        <v>0</v>
      </c>
      <c r="O1775" s="29">
        <v>69470625</v>
      </c>
      <c r="P1775">
        <v>0</v>
      </c>
      <c r="Q1775">
        <v>0</v>
      </c>
      <c r="R1775">
        <v>0</v>
      </c>
      <c r="T1775" t="s">
        <v>1262</v>
      </c>
      <c r="U1775" t="s">
        <v>1262</v>
      </c>
      <c r="V1775" t="s">
        <v>1262</v>
      </c>
      <c r="W1775" t="s">
        <v>1262</v>
      </c>
      <c r="X1775" t="s">
        <v>1262</v>
      </c>
      <c r="AA1775" s="30">
        <v>45616.333333333336</v>
      </c>
      <c r="AB1775" s="30">
        <v>45685.708333333336</v>
      </c>
      <c r="AC1775" s="30">
        <v>45616.333333333336</v>
      </c>
      <c r="AD1775" s="30">
        <v>45685.708333333336</v>
      </c>
      <c r="AE1775" s="30">
        <v>45687.333333333336</v>
      </c>
      <c r="AF1775" s="30">
        <v>45756.708333333336</v>
      </c>
      <c r="AG1775" t="s">
        <v>1266</v>
      </c>
      <c r="AK1775" t="s">
        <v>1265</v>
      </c>
      <c r="AL1775" t="s">
        <v>2941</v>
      </c>
      <c r="AM1775" t="s">
        <v>1263</v>
      </c>
      <c r="AN1775" t="s">
        <v>1262</v>
      </c>
      <c r="AO1775">
        <v>0</v>
      </c>
      <c r="AQ1775" t="s">
        <v>1261</v>
      </c>
      <c r="AR1775" t="s">
        <v>1260</v>
      </c>
      <c r="AS1775" t="s">
        <v>2716</v>
      </c>
      <c r="AT1775" s="30">
        <v>45985.729166666664</v>
      </c>
    </row>
    <row r="1776" spans="1:46" x14ac:dyDescent="0.25">
      <c r="A1776" t="s">
        <v>1248</v>
      </c>
      <c r="B1776">
        <v>170431</v>
      </c>
      <c r="C1776">
        <v>229302</v>
      </c>
      <c r="D1776">
        <v>405</v>
      </c>
      <c r="E1776" t="s">
        <v>1266</v>
      </c>
      <c r="G1776">
        <v>745</v>
      </c>
      <c r="H1776">
        <v>1906</v>
      </c>
      <c r="K1776" t="s">
        <v>2940</v>
      </c>
      <c r="L1776" t="s">
        <v>2940</v>
      </c>
      <c r="M1776" s="29">
        <v>14435325</v>
      </c>
      <c r="N1776">
        <v>0</v>
      </c>
      <c r="O1776" s="29">
        <v>14435325</v>
      </c>
      <c r="P1776">
        <v>0</v>
      </c>
      <c r="Q1776">
        <v>0</v>
      </c>
      <c r="R1776">
        <v>0</v>
      </c>
      <c r="T1776" s="29">
        <v>225000</v>
      </c>
      <c r="U1776" s="29">
        <v>1299179250</v>
      </c>
      <c r="V1776" t="s">
        <v>1262</v>
      </c>
      <c r="W1776" t="s">
        <v>1262</v>
      </c>
      <c r="X1776" s="29">
        <v>1299179250</v>
      </c>
      <c r="AA1776" s="30">
        <v>45616.333333333336</v>
      </c>
      <c r="AB1776" s="30">
        <v>45685.708333333336</v>
      </c>
      <c r="AC1776" s="30">
        <v>45616.333333333336</v>
      </c>
      <c r="AD1776" s="30">
        <v>45685.708333333336</v>
      </c>
      <c r="AE1776" s="30">
        <v>45687.333333333336</v>
      </c>
      <c r="AF1776" s="30">
        <v>45756.708333333336</v>
      </c>
      <c r="AG1776" t="s">
        <v>1266</v>
      </c>
      <c r="AK1776" t="s">
        <v>1265</v>
      </c>
      <c r="AL1776" t="s">
        <v>2939</v>
      </c>
      <c r="AM1776" t="s">
        <v>1263</v>
      </c>
      <c r="AN1776" t="s">
        <v>1262</v>
      </c>
      <c r="AO1776">
        <v>0</v>
      </c>
      <c r="AQ1776" t="s">
        <v>1261</v>
      </c>
      <c r="AR1776" t="s">
        <v>1260</v>
      </c>
      <c r="AS1776" t="s">
        <v>2716</v>
      </c>
      <c r="AT1776" s="30">
        <v>45985.729861111111</v>
      </c>
    </row>
    <row r="1777" spans="1:46" x14ac:dyDescent="0.25">
      <c r="A1777" t="s">
        <v>1248</v>
      </c>
      <c r="B1777">
        <v>170432</v>
      </c>
      <c r="C1777">
        <v>229302</v>
      </c>
      <c r="D1777">
        <v>405</v>
      </c>
      <c r="E1777" t="s">
        <v>1266</v>
      </c>
      <c r="G1777">
        <v>745</v>
      </c>
      <c r="H1777">
        <v>1804</v>
      </c>
      <c r="K1777" t="s">
        <v>2936</v>
      </c>
      <c r="L1777" t="s">
        <v>2936</v>
      </c>
      <c r="M1777" t="s">
        <v>2935</v>
      </c>
      <c r="N1777">
        <v>0</v>
      </c>
      <c r="O1777" t="s">
        <v>2935</v>
      </c>
      <c r="P1777">
        <v>0</v>
      </c>
      <c r="Q1777">
        <v>0</v>
      </c>
      <c r="R1777">
        <v>0</v>
      </c>
      <c r="T1777" s="29">
        <v>220000</v>
      </c>
      <c r="U1777" s="29">
        <v>83391000</v>
      </c>
      <c r="V1777" t="s">
        <v>1262</v>
      </c>
      <c r="W1777" t="s">
        <v>1262</v>
      </c>
      <c r="X1777" s="29">
        <v>83391000</v>
      </c>
      <c r="AA1777" s="30">
        <v>45616.333333333336</v>
      </c>
      <c r="AB1777" s="30">
        <v>45685.708333333336</v>
      </c>
      <c r="AC1777" s="30">
        <v>45616.333333333336</v>
      </c>
      <c r="AD1777" s="30">
        <v>45685.708333333336</v>
      </c>
      <c r="AE1777" s="30">
        <v>45687.333333333336</v>
      </c>
      <c r="AF1777" s="30">
        <v>45756.708333333336</v>
      </c>
      <c r="AG1777" t="s">
        <v>1266</v>
      </c>
      <c r="AK1777" t="s">
        <v>1265</v>
      </c>
      <c r="AL1777" t="s">
        <v>2938</v>
      </c>
      <c r="AM1777" t="s">
        <v>1263</v>
      </c>
      <c r="AN1777" t="s">
        <v>1262</v>
      </c>
      <c r="AO1777">
        <v>0</v>
      </c>
      <c r="AQ1777" t="s">
        <v>1261</v>
      </c>
      <c r="AR1777" t="s">
        <v>1260</v>
      </c>
      <c r="AS1777" t="s">
        <v>2716</v>
      </c>
      <c r="AT1777" s="30">
        <v>45985.729861111111</v>
      </c>
    </row>
    <row r="1778" spans="1:46" x14ac:dyDescent="0.25">
      <c r="A1778" t="s">
        <v>1248</v>
      </c>
      <c r="B1778">
        <v>170433</v>
      </c>
      <c r="C1778">
        <v>229302</v>
      </c>
      <c r="D1778">
        <v>405</v>
      </c>
      <c r="E1778" t="s">
        <v>1265</v>
      </c>
      <c r="G1778">
        <v>745</v>
      </c>
      <c r="H1778">
        <v>1805</v>
      </c>
      <c r="K1778" s="29">
        <v>5774130015</v>
      </c>
      <c r="L1778" s="29">
        <v>5774130015</v>
      </c>
      <c r="M1778" s="29">
        <v>14435325</v>
      </c>
      <c r="N1778">
        <v>0</v>
      </c>
      <c r="O1778" s="29">
        <v>14435325</v>
      </c>
      <c r="P1778">
        <v>0</v>
      </c>
      <c r="Q1778">
        <v>0</v>
      </c>
      <c r="R1778">
        <v>0</v>
      </c>
      <c r="T1778" s="29">
        <v>10000</v>
      </c>
      <c r="U1778" s="29">
        <v>144353300</v>
      </c>
      <c r="V1778" t="s">
        <v>1262</v>
      </c>
      <c r="W1778" t="s">
        <v>1262</v>
      </c>
      <c r="X1778" s="29">
        <v>144353300</v>
      </c>
      <c r="AA1778" s="30">
        <v>45616.333333333336</v>
      </c>
      <c r="AB1778" s="30">
        <v>45685.708333333336</v>
      </c>
      <c r="AC1778" s="30">
        <v>45616.333333333336</v>
      </c>
      <c r="AD1778" s="30">
        <v>45685.708333333336</v>
      </c>
      <c r="AE1778" s="30">
        <v>45687.333333333336</v>
      </c>
      <c r="AF1778" s="30">
        <v>45756.708333333336</v>
      </c>
      <c r="AG1778" t="s">
        <v>1266</v>
      </c>
      <c r="AK1778" t="s">
        <v>1265</v>
      </c>
      <c r="AL1778" t="s">
        <v>2937</v>
      </c>
      <c r="AM1778" t="s">
        <v>1263</v>
      </c>
      <c r="AN1778" t="s">
        <v>1262</v>
      </c>
      <c r="AO1778">
        <v>0</v>
      </c>
      <c r="AQ1778" t="s">
        <v>1261</v>
      </c>
      <c r="AR1778" t="s">
        <v>1260</v>
      </c>
      <c r="AS1778" t="s">
        <v>2716</v>
      </c>
      <c r="AT1778" s="30">
        <v>45985.730555555558</v>
      </c>
    </row>
    <row r="1779" spans="1:46" x14ac:dyDescent="0.25">
      <c r="A1779" t="s">
        <v>1248</v>
      </c>
      <c r="B1779">
        <v>170434</v>
      </c>
      <c r="C1779">
        <v>229302</v>
      </c>
      <c r="D1779">
        <v>405</v>
      </c>
      <c r="E1779" t="s">
        <v>1266</v>
      </c>
      <c r="G1779">
        <v>745</v>
      </c>
      <c r="H1779">
        <v>1806</v>
      </c>
      <c r="K1779" t="s">
        <v>2936</v>
      </c>
      <c r="L1779" t="s">
        <v>2936</v>
      </c>
      <c r="M1779" t="s">
        <v>2935</v>
      </c>
      <c r="N1779">
        <v>0</v>
      </c>
      <c r="O1779" t="s">
        <v>2935</v>
      </c>
      <c r="P1779">
        <v>0</v>
      </c>
      <c r="Q1779">
        <v>0</v>
      </c>
      <c r="R1779">
        <v>0</v>
      </c>
      <c r="T1779" t="s">
        <v>1557</v>
      </c>
      <c r="U1779" s="29">
        <v>3146115</v>
      </c>
      <c r="V1779" t="s">
        <v>1262</v>
      </c>
      <c r="W1779" t="s">
        <v>1262</v>
      </c>
      <c r="X1779" s="29">
        <v>3146115</v>
      </c>
      <c r="AA1779" s="30">
        <v>45616.333333333336</v>
      </c>
      <c r="AB1779" s="30">
        <v>45685.708333333336</v>
      </c>
      <c r="AC1779" s="30">
        <v>45616.333333333336</v>
      </c>
      <c r="AD1779" s="30">
        <v>45685.708333333336</v>
      </c>
      <c r="AE1779" s="30">
        <v>45687.333333333336</v>
      </c>
      <c r="AF1779" s="30">
        <v>45756.708333333336</v>
      </c>
      <c r="AG1779" t="s">
        <v>1266</v>
      </c>
      <c r="AK1779" t="s">
        <v>1265</v>
      </c>
      <c r="AL1779" t="e">
        <f>+Kx/Tp/pQUKvqUjmd9/fKA</f>
        <v>#NAME?</v>
      </c>
      <c r="AM1779" t="s">
        <v>1263</v>
      </c>
      <c r="AN1779" t="s">
        <v>1262</v>
      </c>
      <c r="AO1779">
        <v>0</v>
      </c>
      <c r="AQ1779" t="s">
        <v>1261</v>
      </c>
      <c r="AR1779" t="s">
        <v>1260</v>
      </c>
      <c r="AS1779" t="s">
        <v>2716</v>
      </c>
      <c r="AT1779" s="30">
        <v>45985.730555555558</v>
      </c>
    </row>
    <row r="1780" spans="1:46" x14ac:dyDescent="0.25">
      <c r="A1780" t="s">
        <v>1248</v>
      </c>
      <c r="B1780">
        <v>170435</v>
      </c>
      <c r="C1780">
        <v>229302</v>
      </c>
      <c r="D1780">
        <v>405</v>
      </c>
      <c r="E1780" t="s">
        <v>1266</v>
      </c>
      <c r="G1780">
        <v>745</v>
      </c>
      <c r="H1780">
        <v>1861</v>
      </c>
      <c r="K1780" t="s">
        <v>2934</v>
      </c>
      <c r="L1780" t="s">
        <v>2934</v>
      </c>
      <c r="M1780" s="29">
        <v>5539975</v>
      </c>
      <c r="N1780">
        <v>0</v>
      </c>
      <c r="O1780" s="29">
        <v>5539975</v>
      </c>
      <c r="P1780">
        <v>0</v>
      </c>
      <c r="Q1780">
        <v>0</v>
      </c>
      <c r="R1780">
        <v>0</v>
      </c>
      <c r="T1780" s="29">
        <v>275000</v>
      </c>
      <c r="U1780" s="29">
        <v>609397250</v>
      </c>
      <c r="V1780" t="s">
        <v>1262</v>
      </c>
      <c r="W1780" t="s">
        <v>1262</v>
      </c>
      <c r="X1780" s="29">
        <v>609397250</v>
      </c>
      <c r="AA1780" s="30">
        <v>45616.333333333336</v>
      </c>
      <c r="AB1780" s="30">
        <v>45685.708333333336</v>
      </c>
      <c r="AC1780" s="30">
        <v>45616.333333333336</v>
      </c>
      <c r="AD1780" s="30">
        <v>45685.708333333336</v>
      </c>
      <c r="AE1780" s="30">
        <v>45687.333333333336</v>
      </c>
      <c r="AF1780" s="30">
        <v>45756.708333333336</v>
      </c>
      <c r="AG1780" t="s">
        <v>1266</v>
      </c>
      <c r="AK1780" t="s">
        <v>1265</v>
      </c>
      <c r="AL1780" t="s">
        <v>2933</v>
      </c>
      <c r="AM1780" t="s">
        <v>1263</v>
      </c>
      <c r="AN1780" t="s">
        <v>1262</v>
      </c>
      <c r="AO1780">
        <v>0</v>
      </c>
      <c r="AQ1780" t="s">
        <v>1261</v>
      </c>
      <c r="AR1780" t="s">
        <v>1260</v>
      </c>
      <c r="AS1780" t="s">
        <v>2716</v>
      </c>
      <c r="AT1780" s="30">
        <v>45985.730555555558</v>
      </c>
    </row>
    <row r="1781" spans="1:46" x14ac:dyDescent="0.25">
      <c r="A1781" t="s">
        <v>1248</v>
      </c>
      <c r="B1781">
        <v>170436</v>
      </c>
      <c r="C1781">
        <v>229302</v>
      </c>
      <c r="D1781">
        <v>405</v>
      </c>
      <c r="E1781" t="s">
        <v>1266</v>
      </c>
      <c r="G1781">
        <v>745</v>
      </c>
      <c r="H1781">
        <v>1873</v>
      </c>
      <c r="K1781" t="s">
        <v>2932</v>
      </c>
      <c r="L1781" t="s">
        <v>2932</v>
      </c>
      <c r="M1781" s="29">
        <v>555765</v>
      </c>
      <c r="N1781">
        <v>0</v>
      </c>
      <c r="O1781" s="29">
        <v>555765</v>
      </c>
      <c r="P1781">
        <v>0</v>
      </c>
      <c r="Q1781">
        <v>0</v>
      </c>
      <c r="R1781">
        <v>0</v>
      </c>
      <c r="T1781" s="29">
        <v>80000</v>
      </c>
      <c r="U1781" s="29">
        <v>177844800</v>
      </c>
      <c r="V1781" t="s">
        <v>1262</v>
      </c>
      <c r="W1781" t="s">
        <v>1262</v>
      </c>
      <c r="X1781" s="29">
        <v>177844800</v>
      </c>
      <c r="AA1781" s="30">
        <v>45616.333333333336</v>
      </c>
      <c r="AB1781" s="30">
        <v>45685.708333333336</v>
      </c>
      <c r="AC1781" s="30">
        <v>45616.333333333336</v>
      </c>
      <c r="AD1781" s="30">
        <v>45685.708333333336</v>
      </c>
      <c r="AE1781" s="30">
        <v>45687.333333333336</v>
      </c>
      <c r="AF1781" s="30">
        <v>45756.708333333336</v>
      </c>
      <c r="AG1781" t="s">
        <v>1266</v>
      </c>
      <c r="AK1781" t="s">
        <v>1265</v>
      </c>
      <c r="AL1781" t="s">
        <v>2931</v>
      </c>
      <c r="AM1781" t="s">
        <v>1263</v>
      </c>
      <c r="AN1781" t="s">
        <v>1262</v>
      </c>
      <c r="AO1781">
        <v>0</v>
      </c>
      <c r="AQ1781" t="s">
        <v>1261</v>
      </c>
      <c r="AR1781" t="s">
        <v>1260</v>
      </c>
      <c r="AS1781" t="s">
        <v>2716</v>
      </c>
      <c r="AT1781" s="30">
        <v>45985.730555555558</v>
      </c>
    </row>
    <row r="1782" spans="1:46" x14ac:dyDescent="0.25">
      <c r="A1782" t="s">
        <v>1248</v>
      </c>
      <c r="B1782">
        <v>170438</v>
      </c>
      <c r="C1782">
        <v>229302</v>
      </c>
      <c r="D1782">
        <v>405</v>
      </c>
      <c r="E1782" t="s">
        <v>1266</v>
      </c>
      <c r="G1782">
        <v>745</v>
      </c>
      <c r="H1782">
        <v>1908</v>
      </c>
      <c r="K1782" s="29">
        <v>5073040013</v>
      </c>
      <c r="L1782" s="29">
        <v>5073040013</v>
      </c>
      <c r="M1782" s="29">
        <v>126826</v>
      </c>
      <c r="N1782">
        <v>0</v>
      </c>
      <c r="O1782" s="29">
        <v>126826</v>
      </c>
      <c r="P1782">
        <v>0</v>
      </c>
      <c r="Q1782">
        <v>0</v>
      </c>
      <c r="R1782">
        <v>0</v>
      </c>
      <c r="T1782" s="29">
        <v>25000</v>
      </c>
      <c r="U1782" s="29">
        <v>126826000</v>
      </c>
      <c r="V1782" t="s">
        <v>1262</v>
      </c>
      <c r="W1782" t="s">
        <v>1262</v>
      </c>
      <c r="X1782" s="29">
        <v>126826000</v>
      </c>
      <c r="AA1782" s="30">
        <v>45616.333333333336</v>
      </c>
      <c r="AB1782" s="30">
        <v>45685.708333333336</v>
      </c>
      <c r="AC1782" s="30">
        <v>45616.333333333336</v>
      </c>
      <c r="AD1782" s="30">
        <v>45685.708333333336</v>
      </c>
      <c r="AE1782" s="30">
        <v>45687.333333333336</v>
      </c>
      <c r="AF1782" s="30">
        <v>45756.708333333336</v>
      </c>
      <c r="AG1782" t="s">
        <v>1266</v>
      </c>
      <c r="AK1782" t="s">
        <v>1265</v>
      </c>
      <c r="AL1782" t="s">
        <v>2930</v>
      </c>
      <c r="AM1782" t="s">
        <v>1263</v>
      </c>
      <c r="AN1782" t="s">
        <v>1262</v>
      </c>
      <c r="AO1782">
        <v>0</v>
      </c>
      <c r="AQ1782" t="s">
        <v>1261</v>
      </c>
      <c r="AR1782" t="s">
        <v>1260</v>
      </c>
      <c r="AS1782" t="s">
        <v>2716</v>
      </c>
      <c r="AT1782" s="30">
        <v>45985.736805555556</v>
      </c>
    </row>
    <row r="1783" spans="1:46" x14ac:dyDescent="0.25">
      <c r="A1783" t="s">
        <v>1248</v>
      </c>
      <c r="B1783">
        <v>170439</v>
      </c>
      <c r="C1783">
        <v>119818</v>
      </c>
      <c r="D1783">
        <v>405</v>
      </c>
      <c r="E1783" t="s">
        <v>1266</v>
      </c>
      <c r="G1783">
        <v>745</v>
      </c>
      <c r="H1783">
        <v>1804</v>
      </c>
      <c r="K1783" t="s">
        <v>2929</v>
      </c>
      <c r="L1783" t="s">
        <v>2929</v>
      </c>
      <c r="M1783" s="29">
        <v>12341625</v>
      </c>
      <c r="N1783">
        <v>0</v>
      </c>
      <c r="O1783" s="29">
        <v>12341625</v>
      </c>
      <c r="P1783">
        <v>0</v>
      </c>
      <c r="Q1783">
        <v>0</v>
      </c>
      <c r="R1783">
        <v>0</v>
      </c>
      <c r="T1783" s="29">
        <v>220000</v>
      </c>
      <c r="U1783" s="29">
        <v>4344251999</v>
      </c>
      <c r="V1783" t="s">
        <v>1262</v>
      </c>
      <c r="W1783" t="s">
        <v>1262</v>
      </c>
      <c r="X1783" s="29">
        <v>4344251999</v>
      </c>
      <c r="AA1783" s="30">
        <v>46478.333333333336</v>
      </c>
      <c r="AB1783" s="30">
        <v>46505.708333333336</v>
      </c>
      <c r="AC1783" s="30">
        <v>46478.333333333336</v>
      </c>
      <c r="AD1783" s="30">
        <v>46505.708333333336</v>
      </c>
      <c r="AE1783" s="30">
        <v>46485.333333333336</v>
      </c>
      <c r="AF1783" s="30">
        <v>46512.708333333336</v>
      </c>
      <c r="AG1783" t="s">
        <v>1266</v>
      </c>
      <c r="AK1783" t="s">
        <v>1265</v>
      </c>
      <c r="AL1783" t="s">
        <v>2928</v>
      </c>
      <c r="AM1783" t="s">
        <v>1263</v>
      </c>
      <c r="AN1783" t="s">
        <v>1262</v>
      </c>
      <c r="AO1783">
        <v>0</v>
      </c>
      <c r="AQ1783" t="s">
        <v>1261</v>
      </c>
      <c r="AR1783" t="s">
        <v>1260</v>
      </c>
      <c r="AS1783" t="s">
        <v>2716</v>
      </c>
      <c r="AT1783" s="30">
        <v>45986.460416666669</v>
      </c>
    </row>
    <row r="1784" spans="1:46" x14ac:dyDescent="0.25">
      <c r="A1784" t="s">
        <v>1248</v>
      </c>
      <c r="B1784">
        <v>170440</v>
      </c>
      <c r="C1784">
        <v>119818</v>
      </c>
      <c r="D1784">
        <v>405</v>
      </c>
      <c r="E1784" t="s">
        <v>1266</v>
      </c>
      <c r="G1784">
        <v>745</v>
      </c>
      <c r="H1784">
        <v>1874</v>
      </c>
      <c r="K1784" s="29">
        <v>65822000178</v>
      </c>
      <c r="L1784" s="29">
        <v>65822000178</v>
      </c>
      <c r="M1784" s="29">
        <v>4113875</v>
      </c>
      <c r="N1784">
        <v>0</v>
      </c>
      <c r="O1784" s="29">
        <v>4113875</v>
      </c>
      <c r="P1784">
        <v>0</v>
      </c>
      <c r="Q1784">
        <v>0</v>
      </c>
      <c r="R1784">
        <v>0</v>
      </c>
      <c r="T1784" s="29">
        <v>25000</v>
      </c>
      <c r="U1784" s="29">
        <v>1645550000</v>
      </c>
      <c r="V1784" t="s">
        <v>1262</v>
      </c>
      <c r="W1784" t="s">
        <v>1262</v>
      </c>
      <c r="X1784" s="29">
        <v>1645550000</v>
      </c>
      <c r="AA1784" s="30">
        <v>46478.333333333336</v>
      </c>
      <c r="AB1784" s="30">
        <v>46505.708333333336</v>
      </c>
      <c r="AC1784" s="30">
        <v>46478.333333333336</v>
      </c>
      <c r="AD1784" s="30">
        <v>46505.708333333336</v>
      </c>
      <c r="AE1784" s="30">
        <v>46485.333333333336</v>
      </c>
      <c r="AF1784" s="30">
        <v>46512.708333333336</v>
      </c>
      <c r="AG1784" t="s">
        <v>1266</v>
      </c>
      <c r="AK1784" t="s">
        <v>1265</v>
      </c>
      <c r="AL1784" t="s">
        <v>2927</v>
      </c>
      <c r="AM1784" t="s">
        <v>1263</v>
      </c>
      <c r="AN1784" t="s">
        <v>1262</v>
      </c>
      <c r="AO1784">
        <v>0</v>
      </c>
      <c r="AQ1784" t="s">
        <v>1261</v>
      </c>
      <c r="AR1784" t="s">
        <v>1260</v>
      </c>
      <c r="AS1784" t="s">
        <v>2716</v>
      </c>
      <c r="AT1784" s="30">
        <v>45986.462500000001</v>
      </c>
    </row>
    <row r="1785" spans="1:46" x14ac:dyDescent="0.25">
      <c r="A1785" t="s">
        <v>1248</v>
      </c>
      <c r="B1785">
        <v>170441</v>
      </c>
      <c r="C1785">
        <v>119818</v>
      </c>
      <c r="D1785">
        <v>405</v>
      </c>
      <c r="E1785" t="s">
        <v>1266</v>
      </c>
      <c r="G1785">
        <v>745</v>
      </c>
      <c r="H1785">
        <v>1875</v>
      </c>
      <c r="K1785">
        <v>1743</v>
      </c>
      <c r="L1785">
        <v>1743</v>
      </c>
      <c r="M1785" s="29">
        <v>1089375</v>
      </c>
      <c r="N1785">
        <v>0</v>
      </c>
      <c r="O1785" s="29">
        <v>1089375</v>
      </c>
      <c r="P1785">
        <v>0</v>
      </c>
      <c r="Q1785">
        <v>0</v>
      </c>
      <c r="R1785">
        <v>0</v>
      </c>
      <c r="T1785" s="29">
        <v>54600</v>
      </c>
      <c r="U1785" s="29">
        <v>95167800</v>
      </c>
      <c r="V1785" t="s">
        <v>1262</v>
      </c>
      <c r="W1785" t="s">
        <v>1262</v>
      </c>
      <c r="X1785" s="29">
        <v>95167800</v>
      </c>
      <c r="AA1785" s="30">
        <v>46478.333333333336</v>
      </c>
      <c r="AB1785" s="30">
        <v>46505.708333333336</v>
      </c>
      <c r="AC1785" s="30">
        <v>46478.333333333336</v>
      </c>
      <c r="AD1785" s="30">
        <v>46505.708333333336</v>
      </c>
      <c r="AE1785" s="30">
        <v>46485.333333333336</v>
      </c>
      <c r="AF1785" s="30">
        <v>46512.708333333336</v>
      </c>
      <c r="AG1785" t="s">
        <v>1266</v>
      </c>
      <c r="AK1785" t="s">
        <v>1265</v>
      </c>
      <c r="AL1785" t="s">
        <v>2926</v>
      </c>
      <c r="AM1785" t="s">
        <v>1263</v>
      </c>
      <c r="AN1785" t="s">
        <v>1262</v>
      </c>
      <c r="AO1785">
        <v>0</v>
      </c>
      <c r="AQ1785" t="s">
        <v>1261</v>
      </c>
      <c r="AR1785" t="s">
        <v>1260</v>
      </c>
      <c r="AS1785" t="s">
        <v>2716</v>
      </c>
      <c r="AT1785" s="30">
        <v>45986.463194444441</v>
      </c>
    </row>
    <row r="1786" spans="1:46" x14ac:dyDescent="0.25">
      <c r="A1786" t="s">
        <v>1248</v>
      </c>
      <c r="B1786">
        <v>170442</v>
      </c>
      <c r="C1786">
        <v>119818</v>
      </c>
      <c r="D1786">
        <v>405</v>
      </c>
      <c r="E1786" t="s">
        <v>1266</v>
      </c>
      <c r="G1786">
        <v>745</v>
      </c>
      <c r="H1786">
        <v>1876</v>
      </c>
      <c r="K1786">
        <v>138</v>
      </c>
      <c r="L1786">
        <v>138</v>
      </c>
      <c r="M1786" t="s">
        <v>2925</v>
      </c>
      <c r="N1786">
        <v>0</v>
      </c>
      <c r="O1786" t="s">
        <v>2925</v>
      </c>
      <c r="P1786">
        <v>0</v>
      </c>
      <c r="Q1786">
        <v>0</v>
      </c>
      <c r="R1786">
        <v>0</v>
      </c>
      <c r="T1786" s="29">
        <v>54600</v>
      </c>
      <c r="U1786" s="29">
        <v>7534800</v>
      </c>
      <c r="V1786" t="s">
        <v>1262</v>
      </c>
      <c r="W1786" t="s">
        <v>1262</v>
      </c>
      <c r="X1786" s="29">
        <v>7534800</v>
      </c>
      <c r="AA1786" s="30">
        <v>46478.333333333336</v>
      </c>
      <c r="AB1786" s="30">
        <v>46505.708333333336</v>
      </c>
      <c r="AC1786" s="30">
        <v>46478.333333333336</v>
      </c>
      <c r="AD1786" s="30">
        <v>46505.708333333336</v>
      </c>
      <c r="AE1786" s="30">
        <v>46485.333333333336</v>
      </c>
      <c r="AF1786" s="30">
        <v>46512.708333333336</v>
      </c>
      <c r="AG1786" t="s">
        <v>1266</v>
      </c>
      <c r="AK1786" t="s">
        <v>1265</v>
      </c>
      <c r="AL1786" t="s">
        <v>2924</v>
      </c>
      <c r="AM1786" t="s">
        <v>1263</v>
      </c>
      <c r="AN1786" t="s">
        <v>1262</v>
      </c>
      <c r="AO1786">
        <v>0</v>
      </c>
      <c r="AQ1786" t="s">
        <v>1261</v>
      </c>
      <c r="AR1786" t="s">
        <v>1260</v>
      </c>
      <c r="AS1786" t="s">
        <v>2716</v>
      </c>
      <c r="AT1786" s="30">
        <v>45986.463194444441</v>
      </c>
    </row>
    <row r="1787" spans="1:46" x14ac:dyDescent="0.25">
      <c r="A1787" t="s">
        <v>1248</v>
      </c>
      <c r="B1787">
        <v>170443</v>
      </c>
      <c r="C1787">
        <v>119818</v>
      </c>
      <c r="D1787">
        <v>405</v>
      </c>
      <c r="E1787" t="s">
        <v>1266</v>
      </c>
      <c r="G1787">
        <v>745</v>
      </c>
      <c r="H1787">
        <v>1877</v>
      </c>
      <c r="K1787">
        <v>484</v>
      </c>
      <c r="L1787">
        <v>484</v>
      </c>
      <c r="M1787" s="29">
        <v>3025</v>
      </c>
      <c r="N1787">
        <v>0</v>
      </c>
      <c r="O1787" s="29">
        <v>3025</v>
      </c>
      <c r="P1787">
        <v>0</v>
      </c>
      <c r="Q1787">
        <v>0</v>
      </c>
      <c r="R1787">
        <v>0</v>
      </c>
      <c r="T1787" s="29">
        <v>54600</v>
      </c>
      <c r="U1787" s="29">
        <v>26426400</v>
      </c>
      <c r="V1787" t="s">
        <v>1262</v>
      </c>
      <c r="W1787" t="s">
        <v>1262</v>
      </c>
      <c r="X1787" s="29">
        <v>26426400</v>
      </c>
      <c r="AA1787" s="30">
        <v>46478.333333333336</v>
      </c>
      <c r="AB1787" s="30">
        <v>46505.708333333336</v>
      </c>
      <c r="AC1787" s="30">
        <v>46478.333333333336</v>
      </c>
      <c r="AD1787" s="30">
        <v>46505.708333333336</v>
      </c>
      <c r="AE1787" s="30">
        <v>46485.333333333336</v>
      </c>
      <c r="AF1787" s="30">
        <v>46512.708333333336</v>
      </c>
      <c r="AG1787" t="s">
        <v>1266</v>
      </c>
      <c r="AK1787" t="s">
        <v>1265</v>
      </c>
      <c r="AL1787" t="s">
        <v>2923</v>
      </c>
      <c r="AM1787" t="s">
        <v>1263</v>
      </c>
      <c r="AN1787" t="s">
        <v>1262</v>
      </c>
      <c r="AO1787">
        <v>0</v>
      </c>
      <c r="AQ1787" t="s">
        <v>1261</v>
      </c>
      <c r="AR1787" t="s">
        <v>1260</v>
      </c>
      <c r="AS1787" t="s">
        <v>2716</v>
      </c>
      <c r="AT1787" s="30">
        <v>45986.463194444441</v>
      </c>
    </row>
    <row r="1788" spans="1:46" x14ac:dyDescent="0.25">
      <c r="A1788" t="s">
        <v>1248</v>
      </c>
      <c r="B1788">
        <v>170447</v>
      </c>
      <c r="C1788">
        <v>119794</v>
      </c>
      <c r="D1788">
        <v>405</v>
      </c>
      <c r="E1788" t="s">
        <v>1266</v>
      </c>
      <c r="G1788">
        <v>745</v>
      </c>
      <c r="H1788">
        <v>1827</v>
      </c>
      <c r="K1788" s="29">
        <v>628978764</v>
      </c>
      <c r="L1788" s="29">
        <v>628978764</v>
      </c>
      <c r="M1788" t="s">
        <v>2922</v>
      </c>
      <c r="N1788">
        <v>0</v>
      </c>
      <c r="O1788" t="s">
        <v>2922</v>
      </c>
      <c r="P1788">
        <v>0</v>
      </c>
      <c r="Q1788">
        <v>0</v>
      </c>
      <c r="R1788">
        <v>0</v>
      </c>
      <c r="T1788" s="29">
        <v>207200</v>
      </c>
      <c r="U1788" s="29">
        <v>147369724</v>
      </c>
      <c r="V1788" t="s">
        <v>1262</v>
      </c>
      <c r="W1788" t="s">
        <v>1262</v>
      </c>
      <c r="X1788" s="29">
        <v>147369724</v>
      </c>
      <c r="AA1788" s="30">
        <v>46153.333333333336</v>
      </c>
      <c r="AB1788" s="30">
        <v>46293.708333333336</v>
      </c>
      <c r="AC1788" s="30">
        <v>46153.333333333336</v>
      </c>
      <c r="AD1788" s="30">
        <v>46293.708333333336</v>
      </c>
      <c r="AE1788" s="30">
        <v>46374.333333333336</v>
      </c>
      <c r="AF1788" s="30">
        <v>46519.708333333336</v>
      </c>
      <c r="AG1788" t="s">
        <v>1266</v>
      </c>
      <c r="AK1788" t="s">
        <v>1265</v>
      </c>
      <c r="AL1788" t="s">
        <v>2921</v>
      </c>
      <c r="AM1788" t="s">
        <v>1263</v>
      </c>
      <c r="AN1788" t="s">
        <v>1262</v>
      </c>
      <c r="AO1788">
        <v>0</v>
      </c>
      <c r="AQ1788" t="s">
        <v>1261</v>
      </c>
      <c r="AR1788" t="s">
        <v>1260</v>
      </c>
      <c r="AS1788" t="s">
        <v>2716</v>
      </c>
      <c r="AT1788" s="30">
        <v>45987.429166666669</v>
      </c>
    </row>
    <row r="1789" spans="1:46" x14ac:dyDescent="0.25">
      <c r="A1789" t="s">
        <v>1248</v>
      </c>
      <c r="B1789">
        <v>170449</v>
      </c>
      <c r="C1789">
        <v>119923</v>
      </c>
      <c r="D1789">
        <v>405</v>
      </c>
      <c r="E1789" t="s">
        <v>1265</v>
      </c>
      <c r="G1789">
        <v>745</v>
      </c>
      <c r="H1789">
        <v>1878</v>
      </c>
      <c r="K1789" s="29">
        <v>2031065769</v>
      </c>
      <c r="L1789" s="29">
        <v>2031065769</v>
      </c>
      <c r="M1789" s="29">
        <v>1103840091</v>
      </c>
      <c r="N1789">
        <v>0</v>
      </c>
      <c r="O1789" s="29">
        <v>1103840091</v>
      </c>
      <c r="P1789">
        <v>0</v>
      </c>
      <c r="Q1789">
        <v>0</v>
      </c>
      <c r="R1789">
        <v>0</v>
      </c>
      <c r="T1789" s="29">
        <v>59300</v>
      </c>
      <c r="U1789" s="29">
        <v>117879600</v>
      </c>
      <c r="V1789" t="s">
        <v>1262</v>
      </c>
      <c r="W1789" t="s">
        <v>1262</v>
      </c>
      <c r="X1789" s="29">
        <v>117879600</v>
      </c>
      <c r="AA1789" s="30">
        <v>45656.333333333336</v>
      </c>
      <c r="AB1789" s="30">
        <v>45686.708333333336</v>
      </c>
      <c r="AC1789" s="30">
        <v>45656.333333333336</v>
      </c>
      <c r="AD1789" s="30">
        <v>45686.708333333336</v>
      </c>
      <c r="AE1789" s="30">
        <v>45656.333333333336</v>
      </c>
      <c r="AF1789" s="30">
        <v>45686.708333333336</v>
      </c>
      <c r="AG1789" t="s">
        <v>1266</v>
      </c>
      <c r="AK1789" t="s">
        <v>1265</v>
      </c>
      <c r="AL1789" t="s">
        <v>2920</v>
      </c>
      <c r="AM1789" t="s">
        <v>1263</v>
      </c>
      <c r="AN1789" t="s">
        <v>1262</v>
      </c>
      <c r="AO1789">
        <v>0</v>
      </c>
      <c r="AQ1789" t="s">
        <v>1261</v>
      </c>
      <c r="AR1789" t="s">
        <v>1260</v>
      </c>
      <c r="AS1789" t="s">
        <v>2716</v>
      </c>
      <c r="AT1789" s="30">
        <v>45988.495833333334</v>
      </c>
    </row>
    <row r="1790" spans="1:46" x14ac:dyDescent="0.25">
      <c r="A1790" t="s">
        <v>1248</v>
      </c>
      <c r="B1790">
        <v>170450</v>
      </c>
      <c r="C1790">
        <v>119810</v>
      </c>
      <c r="D1790">
        <v>405</v>
      </c>
      <c r="E1790" t="s">
        <v>1265</v>
      </c>
      <c r="G1790">
        <v>745</v>
      </c>
      <c r="H1790">
        <v>1878</v>
      </c>
      <c r="K1790" s="29">
        <v>2417929174</v>
      </c>
      <c r="L1790" s="29">
        <v>2417929174</v>
      </c>
      <c r="M1790" s="29">
        <v>2158865333</v>
      </c>
      <c r="N1790">
        <v>0</v>
      </c>
      <c r="O1790" s="29">
        <v>2158865333</v>
      </c>
      <c r="P1790">
        <v>0</v>
      </c>
      <c r="Q1790">
        <v>0</v>
      </c>
      <c r="R1790">
        <v>0</v>
      </c>
      <c r="T1790" s="29">
        <v>59300</v>
      </c>
      <c r="U1790" s="29">
        <v>145950000</v>
      </c>
      <c r="V1790" t="s">
        <v>1262</v>
      </c>
      <c r="W1790" t="s">
        <v>1262</v>
      </c>
      <c r="X1790" s="29">
        <v>145950000</v>
      </c>
      <c r="AA1790" s="30">
        <v>45687.333333333336</v>
      </c>
      <c r="AB1790" s="30">
        <v>45706.708333333336</v>
      </c>
      <c r="AC1790" s="30">
        <v>45687.333333333336</v>
      </c>
      <c r="AD1790" s="30">
        <v>45706.708333333336</v>
      </c>
      <c r="AE1790" s="30">
        <v>45734.333333333336</v>
      </c>
      <c r="AF1790" s="30">
        <v>45751.708333333336</v>
      </c>
      <c r="AG1790" t="s">
        <v>1266</v>
      </c>
      <c r="AK1790" t="s">
        <v>1265</v>
      </c>
      <c r="AL1790" t="s">
        <v>2919</v>
      </c>
      <c r="AM1790" t="s">
        <v>1263</v>
      </c>
      <c r="AN1790" t="s">
        <v>1262</v>
      </c>
      <c r="AO1790">
        <v>0</v>
      </c>
      <c r="AQ1790" t="s">
        <v>1261</v>
      </c>
      <c r="AR1790" t="s">
        <v>1260</v>
      </c>
      <c r="AS1790" t="s">
        <v>2716</v>
      </c>
      <c r="AT1790" s="30">
        <v>45988.497916666667</v>
      </c>
    </row>
    <row r="1791" spans="1:46" x14ac:dyDescent="0.25">
      <c r="A1791" t="s">
        <v>1248</v>
      </c>
      <c r="B1791">
        <v>170451</v>
      </c>
      <c r="C1791">
        <v>119811</v>
      </c>
      <c r="D1791">
        <v>405</v>
      </c>
      <c r="E1791" t="s">
        <v>1265</v>
      </c>
      <c r="G1791">
        <v>745</v>
      </c>
      <c r="H1791">
        <v>1808</v>
      </c>
      <c r="K1791" s="29">
        <v>1340739545</v>
      </c>
      <c r="L1791" s="29">
        <v>1340739545</v>
      </c>
      <c r="M1791" s="29">
        <v>1675924431</v>
      </c>
      <c r="N1791">
        <v>0</v>
      </c>
      <c r="O1791" s="29">
        <v>1675924431</v>
      </c>
      <c r="P1791">
        <v>0</v>
      </c>
      <c r="Q1791">
        <v>0</v>
      </c>
      <c r="R1791">
        <v>0</v>
      </c>
      <c r="T1791" s="29">
        <v>83700</v>
      </c>
      <c r="U1791" s="29">
        <v>114225500</v>
      </c>
      <c r="V1791" t="s">
        <v>1262</v>
      </c>
      <c r="W1791" t="s">
        <v>1262</v>
      </c>
      <c r="X1791" s="29">
        <v>114225500</v>
      </c>
      <c r="AA1791" s="30">
        <v>45707.333333333336</v>
      </c>
      <c r="AB1791" s="30">
        <v>45720.708333333336</v>
      </c>
      <c r="AC1791" s="30">
        <v>45707.333333333336</v>
      </c>
      <c r="AD1791" s="30">
        <v>45720.708333333336</v>
      </c>
      <c r="AE1791" s="30">
        <v>45754.333333333336</v>
      </c>
      <c r="AF1791" s="30">
        <v>45765.708333333336</v>
      </c>
      <c r="AG1791" t="s">
        <v>1266</v>
      </c>
      <c r="AK1791" t="s">
        <v>1265</v>
      </c>
      <c r="AL1791" t="s">
        <v>2918</v>
      </c>
      <c r="AM1791" t="s">
        <v>1263</v>
      </c>
      <c r="AN1791" t="s">
        <v>1262</v>
      </c>
      <c r="AO1791">
        <v>0</v>
      </c>
      <c r="AQ1791" t="s">
        <v>1261</v>
      </c>
      <c r="AR1791" t="s">
        <v>1260</v>
      </c>
      <c r="AS1791" t="s">
        <v>2716</v>
      </c>
      <c r="AT1791" s="30">
        <v>45988.498611111114</v>
      </c>
    </row>
    <row r="1792" spans="1:46" x14ac:dyDescent="0.25">
      <c r="A1792" t="s">
        <v>1248</v>
      </c>
      <c r="B1792">
        <v>170452</v>
      </c>
      <c r="C1792">
        <v>119924</v>
      </c>
      <c r="D1792">
        <v>405</v>
      </c>
      <c r="E1792" t="s">
        <v>1265</v>
      </c>
      <c r="G1792">
        <v>745</v>
      </c>
      <c r="H1792">
        <v>1808</v>
      </c>
      <c r="K1792" s="29">
        <v>1126221028</v>
      </c>
      <c r="L1792" s="29">
        <v>1126221028</v>
      </c>
      <c r="M1792" s="29">
        <v>1407776285</v>
      </c>
      <c r="N1792">
        <v>0</v>
      </c>
      <c r="O1792" s="29">
        <v>1407776285</v>
      </c>
      <c r="P1792">
        <v>0</v>
      </c>
      <c r="Q1792">
        <v>0</v>
      </c>
      <c r="R1792">
        <v>0</v>
      </c>
      <c r="T1792" s="29">
        <v>83700</v>
      </c>
      <c r="U1792" s="29">
        <v>92259100</v>
      </c>
      <c r="V1792" t="s">
        <v>1262</v>
      </c>
      <c r="W1792" t="s">
        <v>1262</v>
      </c>
      <c r="X1792" s="29">
        <v>92259100</v>
      </c>
      <c r="AA1792" s="30">
        <v>45687.333333333336</v>
      </c>
      <c r="AB1792" s="30">
        <v>45700.708333333336</v>
      </c>
      <c r="AC1792" s="30">
        <v>45687.333333333336</v>
      </c>
      <c r="AD1792" s="30">
        <v>45700.708333333336</v>
      </c>
      <c r="AE1792" s="30">
        <v>45687.333333333336</v>
      </c>
      <c r="AF1792" s="30">
        <v>45700.708333333336</v>
      </c>
      <c r="AG1792" t="s">
        <v>1266</v>
      </c>
      <c r="AK1792" t="s">
        <v>1265</v>
      </c>
      <c r="AL1792" t="s">
        <v>2917</v>
      </c>
      <c r="AM1792" t="s">
        <v>1263</v>
      </c>
      <c r="AN1792" t="s">
        <v>1262</v>
      </c>
      <c r="AO1792">
        <v>0</v>
      </c>
      <c r="AQ1792" t="s">
        <v>1261</v>
      </c>
      <c r="AR1792" t="s">
        <v>1260</v>
      </c>
      <c r="AS1792" t="s">
        <v>2716</v>
      </c>
      <c r="AT1792" s="30">
        <v>45988.498611111114</v>
      </c>
    </row>
    <row r="1793" spans="1:46" x14ac:dyDescent="0.25">
      <c r="A1793" t="s">
        <v>1248</v>
      </c>
      <c r="B1793">
        <v>170455</v>
      </c>
      <c r="C1793">
        <v>120017</v>
      </c>
      <c r="D1793">
        <v>405</v>
      </c>
      <c r="E1793" t="s">
        <v>1265</v>
      </c>
      <c r="G1793">
        <v>745</v>
      </c>
      <c r="H1793">
        <v>1813</v>
      </c>
      <c r="K1793" s="29">
        <v>2188564</v>
      </c>
      <c r="L1793" s="29">
        <v>2188564</v>
      </c>
      <c r="M1793" t="s">
        <v>2916</v>
      </c>
      <c r="N1793">
        <v>0</v>
      </c>
      <c r="O1793" t="s">
        <v>2916</v>
      </c>
      <c r="P1793">
        <v>0</v>
      </c>
      <c r="Q1793">
        <v>0</v>
      </c>
      <c r="R1793">
        <v>0</v>
      </c>
      <c r="T1793" s="29">
        <v>250000</v>
      </c>
      <c r="U1793" s="29">
        <v>53550000</v>
      </c>
      <c r="V1793" t="s">
        <v>1262</v>
      </c>
      <c r="W1793" t="s">
        <v>1262</v>
      </c>
      <c r="X1793" s="29">
        <v>53550000</v>
      </c>
      <c r="AA1793" s="30">
        <v>45687.333333333336</v>
      </c>
      <c r="AB1793" s="30">
        <v>45742.708333333336</v>
      </c>
      <c r="AC1793" s="30">
        <v>45687.333333333336</v>
      </c>
      <c r="AD1793" s="30">
        <v>45742.708333333336</v>
      </c>
      <c r="AE1793" s="30">
        <v>45687.333333333336</v>
      </c>
      <c r="AF1793" s="30">
        <v>45742.708333333336</v>
      </c>
      <c r="AG1793" t="s">
        <v>1266</v>
      </c>
      <c r="AK1793" t="s">
        <v>1265</v>
      </c>
      <c r="AL1793" t="s">
        <v>2915</v>
      </c>
      <c r="AM1793" t="s">
        <v>1263</v>
      </c>
      <c r="AN1793" t="s">
        <v>1262</v>
      </c>
      <c r="AO1793">
        <v>0</v>
      </c>
      <c r="AQ1793" t="s">
        <v>1261</v>
      </c>
      <c r="AR1793" t="s">
        <v>1260</v>
      </c>
      <c r="AS1793" t="s">
        <v>2716</v>
      </c>
      <c r="AT1793" s="30">
        <v>45988.50277777778</v>
      </c>
    </row>
    <row r="1794" spans="1:46" x14ac:dyDescent="0.25">
      <c r="A1794" t="s">
        <v>1248</v>
      </c>
      <c r="B1794">
        <v>170456</v>
      </c>
      <c r="C1794">
        <v>120019</v>
      </c>
      <c r="D1794">
        <v>405</v>
      </c>
      <c r="E1794" t="s">
        <v>1265</v>
      </c>
      <c r="G1794">
        <v>745</v>
      </c>
      <c r="H1794">
        <v>1813</v>
      </c>
      <c r="K1794" s="29">
        <v>260543597</v>
      </c>
      <c r="L1794" s="29">
        <v>260543597</v>
      </c>
      <c r="M1794" t="s">
        <v>2914</v>
      </c>
      <c r="N1794">
        <v>0</v>
      </c>
      <c r="O1794" t="s">
        <v>2914</v>
      </c>
      <c r="P1794">
        <v>0</v>
      </c>
      <c r="Q1794">
        <v>0</v>
      </c>
      <c r="R1794">
        <v>0</v>
      </c>
      <c r="T1794" s="29">
        <v>250000</v>
      </c>
      <c r="U1794" s="29">
        <v>63300000</v>
      </c>
      <c r="V1794" t="s">
        <v>1262</v>
      </c>
      <c r="W1794" t="s">
        <v>1262</v>
      </c>
      <c r="X1794" s="29">
        <v>63300000</v>
      </c>
      <c r="AA1794" s="30">
        <v>45721.333333333336</v>
      </c>
      <c r="AB1794" s="30">
        <v>45765.708333333336</v>
      </c>
      <c r="AC1794" s="30">
        <v>45721.333333333336</v>
      </c>
      <c r="AD1794" s="30">
        <v>45765.708333333336</v>
      </c>
      <c r="AE1794" s="30">
        <v>45768.333333333336</v>
      </c>
      <c r="AF1794" s="30">
        <v>45812.708333333336</v>
      </c>
      <c r="AG1794" t="s">
        <v>1266</v>
      </c>
      <c r="AK1794" t="s">
        <v>1265</v>
      </c>
      <c r="AL1794" t="s">
        <v>2913</v>
      </c>
      <c r="AM1794" t="s">
        <v>1263</v>
      </c>
      <c r="AN1794" t="s">
        <v>1262</v>
      </c>
      <c r="AO1794">
        <v>0</v>
      </c>
      <c r="AQ1794" t="s">
        <v>1261</v>
      </c>
      <c r="AR1794" t="s">
        <v>1260</v>
      </c>
      <c r="AS1794" t="s">
        <v>2716</v>
      </c>
      <c r="AT1794" s="30">
        <v>45988.50277777778</v>
      </c>
    </row>
    <row r="1795" spans="1:46" x14ac:dyDescent="0.25">
      <c r="A1795" t="s">
        <v>1248</v>
      </c>
      <c r="B1795">
        <v>170457</v>
      </c>
      <c r="C1795">
        <v>120017</v>
      </c>
      <c r="D1795">
        <v>405</v>
      </c>
      <c r="E1795" t="s">
        <v>1265</v>
      </c>
      <c r="G1795">
        <v>745</v>
      </c>
      <c r="H1795">
        <v>1814</v>
      </c>
      <c r="K1795" s="29">
        <v>218856561</v>
      </c>
      <c r="L1795" s="29">
        <v>218856561</v>
      </c>
      <c r="M1795" t="s">
        <v>2912</v>
      </c>
      <c r="N1795">
        <v>0</v>
      </c>
      <c r="O1795" t="s">
        <v>2912</v>
      </c>
      <c r="P1795">
        <v>0</v>
      </c>
      <c r="Q1795">
        <v>0</v>
      </c>
      <c r="R1795">
        <v>0</v>
      </c>
      <c r="T1795" s="29">
        <v>714600</v>
      </c>
      <c r="U1795" s="29">
        <v>153070000</v>
      </c>
      <c r="V1795" t="s">
        <v>1262</v>
      </c>
      <c r="W1795" t="s">
        <v>1262</v>
      </c>
      <c r="X1795" s="29">
        <v>153070000</v>
      </c>
      <c r="AA1795" s="30">
        <v>45687.333333333336</v>
      </c>
      <c r="AB1795" s="30">
        <v>45742.708333333336</v>
      </c>
      <c r="AC1795" s="30">
        <v>45687.333333333336</v>
      </c>
      <c r="AD1795" s="30">
        <v>45742.708333333336</v>
      </c>
      <c r="AE1795" s="30">
        <v>45687.333333333336</v>
      </c>
      <c r="AF1795" s="30">
        <v>45742.708333333336</v>
      </c>
      <c r="AG1795" t="s">
        <v>1266</v>
      </c>
      <c r="AK1795" t="s">
        <v>1265</v>
      </c>
      <c r="AL1795" t="s">
        <v>2911</v>
      </c>
      <c r="AM1795" t="s">
        <v>1263</v>
      </c>
      <c r="AN1795" t="s">
        <v>1262</v>
      </c>
      <c r="AO1795">
        <v>0</v>
      </c>
      <c r="AQ1795" t="s">
        <v>1261</v>
      </c>
      <c r="AR1795" t="s">
        <v>1260</v>
      </c>
      <c r="AS1795" t="s">
        <v>2716</v>
      </c>
      <c r="AT1795" s="30">
        <v>45988.50277777778</v>
      </c>
    </row>
    <row r="1796" spans="1:46" x14ac:dyDescent="0.25">
      <c r="A1796" t="s">
        <v>1248</v>
      </c>
      <c r="B1796">
        <v>170458</v>
      </c>
      <c r="C1796">
        <v>120019</v>
      </c>
      <c r="D1796">
        <v>405</v>
      </c>
      <c r="E1796" t="s">
        <v>1265</v>
      </c>
      <c r="G1796">
        <v>745</v>
      </c>
      <c r="H1796">
        <v>1814</v>
      </c>
      <c r="K1796" s="29">
        <v>260543518</v>
      </c>
      <c r="L1796" s="29">
        <v>260543518</v>
      </c>
      <c r="M1796" s="29">
        <v>100003909</v>
      </c>
      <c r="N1796">
        <v>0</v>
      </c>
      <c r="O1796" s="29">
        <v>100003909</v>
      </c>
      <c r="P1796">
        <v>0</v>
      </c>
      <c r="Q1796">
        <v>0</v>
      </c>
      <c r="R1796">
        <v>0</v>
      </c>
      <c r="T1796" s="29">
        <v>714600</v>
      </c>
      <c r="U1796" s="29">
        <v>189510000</v>
      </c>
      <c r="V1796" t="s">
        <v>1262</v>
      </c>
      <c r="W1796" t="s">
        <v>1262</v>
      </c>
      <c r="X1796" s="29">
        <v>189510000</v>
      </c>
      <c r="AA1796" s="30">
        <v>45721.333333333336</v>
      </c>
      <c r="AB1796" s="30">
        <v>45765.563888888886</v>
      </c>
      <c r="AC1796" s="30">
        <v>45721.333333333336</v>
      </c>
      <c r="AD1796" s="30">
        <v>45765.563888888886</v>
      </c>
      <c r="AE1796" s="30">
        <v>45768.477777777778</v>
      </c>
      <c r="AF1796" s="30">
        <v>45812.708333333336</v>
      </c>
      <c r="AG1796" t="s">
        <v>1266</v>
      </c>
      <c r="AK1796" t="s">
        <v>1265</v>
      </c>
      <c r="AL1796" t="s">
        <v>2910</v>
      </c>
      <c r="AM1796" t="s">
        <v>1263</v>
      </c>
      <c r="AN1796" t="s">
        <v>1262</v>
      </c>
      <c r="AO1796">
        <v>0</v>
      </c>
      <c r="AQ1796" t="s">
        <v>1261</v>
      </c>
      <c r="AR1796" t="s">
        <v>1260</v>
      </c>
      <c r="AS1796" t="s">
        <v>2716</v>
      </c>
      <c r="AT1796" s="30">
        <v>45988.50277777778</v>
      </c>
    </row>
    <row r="1797" spans="1:46" x14ac:dyDescent="0.25">
      <c r="A1797" t="s">
        <v>1248</v>
      </c>
      <c r="B1797">
        <v>170460</v>
      </c>
      <c r="C1797">
        <v>119848</v>
      </c>
      <c r="D1797">
        <v>405</v>
      </c>
      <c r="E1797" t="s">
        <v>1266</v>
      </c>
      <c r="G1797">
        <v>745</v>
      </c>
      <c r="H1797">
        <v>1810</v>
      </c>
      <c r="K1797" s="29">
        <v>132723676</v>
      </c>
      <c r="L1797" s="29">
        <v>132723676</v>
      </c>
      <c r="M1797" s="29">
        <v>553015316</v>
      </c>
      <c r="N1797">
        <v>0</v>
      </c>
      <c r="O1797" s="29">
        <v>553015316</v>
      </c>
      <c r="P1797">
        <v>0</v>
      </c>
      <c r="Q1797">
        <v>0</v>
      </c>
      <c r="R1797">
        <v>0</v>
      </c>
      <c r="T1797" s="29">
        <v>1414554</v>
      </c>
      <c r="U1797" s="29">
        <v>187744781</v>
      </c>
      <c r="V1797" t="s">
        <v>1262</v>
      </c>
      <c r="W1797" t="s">
        <v>1262</v>
      </c>
      <c r="X1797" s="29">
        <v>187744781</v>
      </c>
      <c r="AA1797" s="30">
        <v>45790.333333333336</v>
      </c>
      <c r="AB1797" s="30">
        <v>45792.708333333336</v>
      </c>
      <c r="AC1797" s="30">
        <v>45790.333333333336</v>
      </c>
      <c r="AD1797" s="30">
        <v>45792.708333333336</v>
      </c>
      <c r="AE1797" s="30">
        <v>45813.333333333336</v>
      </c>
      <c r="AF1797" s="30">
        <v>45817.708333333336</v>
      </c>
      <c r="AG1797" t="s">
        <v>1266</v>
      </c>
      <c r="AK1797" t="s">
        <v>1265</v>
      </c>
      <c r="AL1797" t="s">
        <v>2909</v>
      </c>
      <c r="AM1797" t="s">
        <v>1263</v>
      </c>
      <c r="AN1797" t="s">
        <v>1262</v>
      </c>
      <c r="AO1797">
        <v>0</v>
      </c>
      <c r="AQ1797" t="s">
        <v>1261</v>
      </c>
      <c r="AR1797" t="s">
        <v>1260</v>
      </c>
      <c r="AS1797" t="s">
        <v>2716</v>
      </c>
      <c r="AT1797" s="30">
        <v>45988.521527777775</v>
      </c>
    </row>
    <row r="1798" spans="1:46" x14ac:dyDescent="0.25">
      <c r="A1798" t="s">
        <v>1248</v>
      </c>
      <c r="B1798">
        <v>170461</v>
      </c>
      <c r="C1798">
        <v>119849</v>
      </c>
      <c r="D1798">
        <v>405</v>
      </c>
      <c r="E1798" t="s">
        <v>1266</v>
      </c>
      <c r="G1798">
        <v>745</v>
      </c>
      <c r="H1798">
        <v>1810</v>
      </c>
      <c r="K1798" s="29">
        <v>132723676</v>
      </c>
      <c r="L1798" s="29">
        <v>132723676</v>
      </c>
      <c r="M1798" s="29">
        <v>553015316</v>
      </c>
      <c r="N1798">
        <v>0</v>
      </c>
      <c r="O1798" s="29">
        <v>553015316</v>
      </c>
      <c r="P1798">
        <v>0</v>
      </c>
      <c r="Q1798">
        <v>0</v>
      </c>
      <c r="R1798">
        <v>0</v>
      </c>
      <c r="T1798" s="29">
        <v>1414554</v>
      </c>
      <c r="U1798" s="29">
        <v>187744781</v>
      </c>
      <c r="V1798" t="s">
        <v>1262</v>
      </c>
      <c r="W1798" t="s">
        <v>1262</v>
      </c>
      <c r="X1798" s="29">
        <v>187744781</v>
      </c>
      <c r="AA1798" s="30">
        <v>45793.333333333336</v>
      </c>
      <c r="AB1798" s="30">
        <v>45797.708333333336</v>
      </c>
      <c r="AC1798" s="30">
        <v>45793.333333333336</v>
      </c>
      <c r="AD1798" s="30">
        <v>45797.708333333336</v>
      </c>
      <c r="AE1798" s="30">
        <v>45849.60833333333</v>
      </c>
      <c r="AF1798" s="30">
        <v>45854.60833333333</v>
      </c>
      <c r="AG1798" t="s">
        <v>1266</v>
      </c>
      <c r="AK1798" t="s">
        <v>1265</v>
      </c>
      <c r="AL1798" t="s">
        <v>2908</v>
      </c>
      <c r="AM1798" t="s">
        <v>1263</v>
      </c>
      <c r="AN1798" t="s">
        <v>1262</v>
      </c>
      <c r="AO1798">
        <v>0</v>
      </c>
      <c r="AQ1798" t="s">
        <v>1261</v>
      </c>
      <c r="AR1798" t="s">
        <v>1260</v>
      </c>
      <c r="AS1798" t="s">
        <v>2716</v>
      </c>
      <c r="AT1798" s="30">
        <v>45988.521527777775</v>
      </c>
    </row>
    <row r="1799" spans="1:46" x14ac:dyDescent="0.25">
      <c r="A1799" t="s">
        <v>1248</v>
      </c>
      <c r="B1799">
        <v>170462</v>
      </c>
      <c r="C1799">
        <v>119850</v>
      </c>
      <c r="D1799">
        <v>405</v>
      </c>
      <c r="E1799" t="s">
        <v>1266</v>
      </c>
      <c r="G1799">
        <v>745</v>
      </c>
      <c r="H1799">
        <v>1810</v>
      </c>
      <c r="K1799" s="29">
        <v>132723676</v>
      </c>
      <c r="L1799" s="29">
        <v>132723676</v>
      </c>
      <c r="M1799" s="29">
        <v>553015316</v>
      </c>
      <c r="N1799">
        <v>0</v>
      </c>
      <c r="O1799" s="29">
        <v>553015316</v>
      </c>
      <c r="P1799">
        <v>0</v>
      </c>
      <c r="Q1799">
        <v>0</v>
      </c>
      <c r="R1799">
        <v>0</v>
      </c>
      <c r="T1799" s="29">
        <v>1414554</v>
      </c>
      <c r="U1799" s="29">
        <v>187744781</v>
      </c>
      <c r="V1799" t="s">
        <v>1262</v>
      </c>
      <c r="W1799" t="s">
        <v>1262</v>
      </c>
      <c r="X1799" s="29">
        <v>187744781</v>
      </c>
      <c r="AA1799" s="30">
        <v>45798.333333333336</v>
      </c>
      <c r="AB1799" s="30">
        <v>45800.708333333336</v>
      </c>
      <c r="AC1799" s="30">
        <v>45798.333333333336</v>
      </c>
      <c r="AD1799" s="30">
        <v>45800.708333333336</v>
      </c>
      <c r="AE1799" s="30">
        <v>45854.60833333333</v>
      </c>
      <c r="AF1799" s="30">
        <v>45859.60833333333</v>
      </c>
      <c r="AG1799" t="s">
        <v>1266</v>
      </c>
      <c r="AK1799" t="s">
        <v>1265</v>
      </c>
      <c r="AL1799" t="s">
        <v>2907</v>
      </c>
      <c r="AM1799" t="s">
        <v>1263</v>
      </c>
      <c r="AN1799" t="s">
        <v>1262</v>
      </c>
      <c r="AO1799">
        <v>0</v>
      </c>
      <c r="AQ1799" t="s">
        <v>1261</v>
      </c>
      <c r="AR1799" t="s">
        <v>1260</v>
      </c>
      <c r="AS1799" t="s">
        <v>2716</v>
      </c>
      <c r="AT1799" s="30">
        <v>45988.521527777775</v>
      </c>
    </row>
    <row r="1800" spans="1:46" x14ac:dyDescent="0.25">
      <c r="A1800" t="s">
        <v>1248</v>
      </c>
      <c r="B1800">
        <v>170463</v>
      </c>
      <c r="C1800">
        <v>119851</v>
      </c>
      <c r="D1800">
        <v>405</v>
      </c>
      <c r="E1800" t="s">
        <v>1266</v>
      </c>
      <c r="G1800">
        <v>745</v>
      </c>
      <c r="H1800">
        <v>1810</v>
      </c>
      <c r="K1800" s="29">
        <v>132723676</v>
      </c>
      <c r="L1800" s="29">
        <v>132723676</v>
      </c>
      <c r="M1800" s="29">
        <v>553015316</v>
      </c>
      <c r="N1800">
        <v>0</v>
      </c>
      <c r="O1800" s="29">
        <v>553015316</v>
      </c>
      <c r="P1800">
        <v>0</v>
      </c>
      <c r="Q1800">
        <v>0</v>
      </c>
      <c r="R1800">
        <v>0</v>
      </c>
      <c r="T1800" s="29">
        <v>1414554</v>
      </c>
      <c r="U1800" s="29">
        <v>187744781</v>
      </c>
      <c r="V1800" t="s">
        <v>1262</v>
      </c>
      <c r="W1800" t="s">
        <v>1262</v>
      </c>
      <c r="X1800" s="29">
        <v>187744781</v>
      </c>
      <c r="AA1800" s="30">
        <v>45803.333333333336</v>
      </c>
      <c r="AB1800" s="30">
        <v>45805.708333333336</v>
      </c>
      <c r="AC1800" s="30">
        <v>45803.333333333336</v>
      </c>
      <c r="AD1800" s="30">
        <v>45805.708333333336</v>
      </c>
      <c r="AE1800" s="30">
        <v>46003.65</v>
      </c>
      <c r="AF1800" s="30">
        <v>46008.65</v>
      </c>
      <c r="AG1800" t="s">
        <v>1266</v>
      </c>
      <c r="AK1800" t="s">
        <v>1265</v>
      </c>
      <c r="AL1800" t="s">
        <v>2906</v>
      </c>
      <c r="AM1800" t="s">
        <v>1263</v>
      </c>
      <c r="AN1800" t="s">
        <v>1262</v>
      </c>
      <c r="AO1800">
        <v>0</v>
      </c>
      <c r="AQ1800" t="s">
        <v>1261</v>
      </c>
      <c r="AR1800" t="s">
        <v>1260</v>
      </c>
      <c r="AS1800" t="s">
        <v>2716</v>
      </c>
      <c r="AT1800" s="30">
        <v>45988.521527777775</v>
      </c>
    </row>
    <row r="1801" spans="1:46" x14ac:dyDescent="0.25">
      <c r="A1801" t="s">
        <v>1248</v>
      </c>
      <c r="B1801">
        <v>170464</v>
      </c>
      <c r="C1801">
        <v>119852</v>
      </c>
      <c r="D1801">
        <v>405</v>
      </c>
      <c r="E1801" t="s">
        <v>1266</v>
      </c>
      <c r="G1801">
        <v>745</v>
      </c>
      <c r="H1801">
        <v>1810</v>
      </c>
      <c r="K1801" s="29">
        <v>132723676</v>
      </c>
      <c r="L1801" s="29">
        <v>132723676</v>
      </c>
      <c r="M1801" s="29">
        <v>553015316</v>
      </c>
      <c r="N1801">
        <v>0</v>
      </c>
      <c r="O1801" s="29">
        <v>553015316</v>
      </c>
      <c r="P1801">
        <v>0</v>
      </c>
      <c r="Q1801">
        <v>0</v>
      </c>
      <c r="R1801">
        <v>0</v>
      </c>
      <c r="T1801" s="29">
        <v>1414554</v>
      </c>
      <c r="U1801" s="29">
        <v>187744781</v>
      </c>
      <c r="V1801" t="s">
        <v>1262</v>
      </c>
      <c r="W1801" t="s">
        <v>1262</v>
      </c>
      <c r="X1801" s="29">
        <v>187744781</v>
      </c>
      <c r="AA1801" s="30">
        <v>45806.333333333336</v>
      </c>
      <c r="AB1801" s="30">
        <v>45810.708333333336</v>
      </c>
      <c r="AC1801" s="30">
        <v>45806.333333333336</v>
      </c>
      <c r="AD1801" s="30">
        <v>45810.708333333336</v>
      </c>
      <c r="AE1801" s="30">
        <v>46008.65</v>
      </c>
      <c r="AF1801" s="30">
        <v>46013.65</v>
      </c>
      <c r="AG1801" t="s">
        <v>1266</v>
      </c>
      <c r="AK1801" t="s">
        <v>1265</v>
      </c>
      <c r="AL1801" t="s">
        <v>2905</v>
      </c>
      <c r="AM1801" t="s">
        <v>1263</v>
      </c>
      <c r="AN1801" t="s">
        <v>1262</v>
      </c>
      <c r="AO1801">
        <v>0</v>
      </c>
      <c r="AQ1801" t="s">
        <v>1261</v>
      </c>
      <c r="AR1801" t="s">
        <v>1260</v>
      </c>
      <c r="AS1801" t="s">
        <v>2716</v>
      </c>
      <c r="AT1801" s="30">
        <v>45988.521527777775</v>
      </c>
    </row>
    <row r="1802" spans="1:46" x14ac:dyDescent="0.25">
      <c r="A1802" t="s">
        <v>1248</v>
      </c>
      <c r="B1802">
        <v>170465</v>
      </c>
      <c r="C1802">
        <v>119853</v>
      </c>
      <c r="D1802">
        <v>405</v>
      </c>
      <c r="E1802" t="s">
        <v>1266</v>
      </c>
      <c r="G1802">
        <v>745</v>
      </c>
      <c r="H1802">
        <v>1810</v>
      </c>
      <c r="K1802" s="29">
        <v>132723676</v>
      </c>
      <c r="L1802" s="29">
        <v>132723676</v>
      </c>
      <c r="M1802" s="29">
        <v>553015316</v>
      </c>
      <c r="N1802">
        <v>0</v>
      </c>
      <c r="O1802" s="29">
        <v>553015316</v>
      </c>
      <c r="P1802">
        <v>0</v>
      </c>
      <c r="Q1802">
        <v>0</v>
      </c>
      <c r="R1802">
        <v>0</v>
      </c>
      <c r="T1802" s="29">
        <v>1414554</v>
      </c>
      <c r="U1802" s="29">
        <v>187744781</v>
      </c>
      <c r="V1802" t="s">
        <v>1262</v>
      </c>
      <c r="W1802" t="s">
        <v>1262</v>
      </c>
      <c r="X1802" s="29">
        <v>187744781</v>
      </c>
      <c r="AA1802" s="30">
        <v>45811.333333333336</v>
      </c>
      <c r="AB1802" s="30">
        <v>45813.708333333336</v>
      </c>
      <c r="AC1802" s="30">
        <v>45811.333333333336</v>
      </c>
      <c r="AD1802" s="30">
        <v>45813.708333333336</v>
      </c>
      <c r="AE1802" s="30">
        <v>46013.65</v>
      </c>
      <c r="AF1802" s="30">
        <v>46016.65</v>
      </c>
      <c r="AG1802" t="s">
        <v>1266</v>
      </c>
      <c r="AK1802" t="s">
        <v>1265</v>
      </c>
      <c r="AL1802" t="s">
        <v>2904</v>
      </c>
      <c r="AM1802" t="s">
        <v>1263</v>
      </c>
      <c r="AN1802" t="s">
        <v>1262</v>
      </c>
      <c r="AO1802">
        <v>0</v>
      </c>
      <c r="AQ1802" t="s">
        <v>1261</v>
      </c>
      <c r="AR1802" t="s">
        <v>1260</v>
      </c>
      <c r="AS1802" t="s">
        <v>2716</v>
      </c>
      <c r="AT1802" s="30">
        <v>45988.521527777775</v>
      </c>
    </row>
    <row r="1803" spans="1:46" x14ac:dyDescent="0.25">
      <c r="A1803" t="s">
        <v>1248</v>
      </c>
      <c r="B1803">
        <v>170466</v>
      </c>
      <c r="C1803">
        <v>119854</v>
      </c>
      <c r="D1803">
        <v>405</v>
      </c>
      <c r="E1803" t="s">
        <v>1266</v>
      </c>
      <c r="G1803">
        <v>745</v>
      </c>
      <c r="H1803">
        <v>1810</v>
      </c>
      <c r="K1803" s="29">
        <v>132723676</v>
      </c>
      <c r="L1803" s="29">
        <v>132723676</v>
      </c>
      <c r="M1803" s="29">
        <v>553015316</v>
      </c>
      <c r="N1803">
        <v>0</v>
      </c>
      <c r="O1803" s="29">
        <v>553015316</v>
      </c>
      <c r="P1803">
        <v>0</v>
      </c>
      <c r="Q1803">
        <v>0</v>
      </c>
      <c r="R1803">
        <v>0</v>
      </c>
      <c r="T1803" s="29">
        <v>1414554</v>
      </c>
      <c r="U1803" s="29">
        <v>187744781</v>
      </c>
      <c r="V1803" t="s">
        <v>1262</v>
      </c>
      <c r="W1803" t="s">
        <v>1262</v>
      </c>
      <c r="X1803" s="29">
        <v>187744781</v>
      </c>
      <c r="AA1803" s="30">
        <v>45814.333333333336</v>
      </c>
      <c r="AB1803" s="30">
        <v>45818.708333333336</v>
      </c>
      <c r="AC1803" s="30">
        <v>45814.333333333336</v>
      </c>
      <c r="AD1803" s="30">
        <v>45818.708333333336</v>
      </c>
      <c r="AE1803" s="30">
        <v>46064.691666666666</v>
      </c>
      <c r="AF1803" s="30">
        <v>46069.691666666666</v>
      </c>
      <c r="AG1803" t="s">
        <v>1266</v>
      </c>
      <c r="AK1803" t="s">
        <v>1265</v>
      </c>
      <c r="AL1803" t="s">
        <v>2903</v>
      </c>
      <c r="AM1803" t="s">
        <v>1263</v>
      </c>
      <c r="AN1803" t="s">
        <v>1262</v>
      </c>
      <c r="AO1803">
        <v>0</v>
      </c>
      <c r="AQ1803" t="s">
        <v>1261</v>
      </c>
      <c r="AR1803" t="s">
        <v>1260</v>
      </c>
      <c r="AS1803" t="s">
        <v>2716</v>
      </c>
      <c r="AT1803" s="30">
        <v>45988.521527777775</v>
      </c>
    </row>
    <row r="1804" spans="1:46" x14ac:dyDescent="0.25">
      <c r="A1804" t="s">
        <v>1248</v>
      </c>
      <c r="B1804">
        <v>170467</v>
      </c>
      <c r="C1804">
        <v>119855</v>
      </c>
      <c r="D1804">
        <v>405</v>
      </c>
      <c r="E1804" t="s">
        <v>1266</v>
      </c>
      <c r="G1804">
        <v>745</v>
      </c>
      <c r="H1804">
        <v>1810</v>
      </c>
      <c r="K1804" s="29">
        <v>132723676</v>
      </c>
      <c r="L1804" s="29">
        <v>132723676</v>
      </c>
      <c r="M1804" s="29">
        <v>553015316</v>
      </c>
      <c r="N1804">
        <v>0</v>
      </c>
      <c r="O1804" s="29">
        <v>553015316</v>
      </c>
      <c r="P1804">
        <v>0</v>
      </c>
      <c r="Q1804">
        <v>0</v>
      </c>
      <c r="R1804">
        <v>0</v>
      </c>
      <c r="T1804" s="29">
        <v>1414554</v>
      </c>
      <c r="U1804" s="29">
        <v>187744781</v>
      </c>
      <c r="V1804" t="s">
        <v>1262</v>
      </c>
      <c r="W1804" t="s">
        <v>1262</v>
      </c>
      <c r="X1804" s="29">
        <v>187744781</v>
      </c>
      <c r="AA1804" s="30">
        <v>45819.333333333336</v>
      </c>
      <c r="AB1804" s="30">
        <v>45821.708333333336</v>
      </c>
      <c r="AC1804" s="30">
        <v>45819.333333333336</v>
      </c>
      <c r="AD1804" s="30">
        <v>45821.708333333336</v>
      </c>
      <c r="AE1804" s="30">
        <v>46080.691666666666</v>
      </c>
      <c r="AF1804" s="30">
        <v>46085.691666666666</v>
      </c>
      <c r="AG1804" t="s">
        <v>1266</v>
      </c>
      <c r="AK1804" t="s">
        <v>1265</v>
      </c>
      <c r="AL1804" t="s">
        <v>2902</v>
      </c>
      <c r="AM1804" t="s">
        <v>1263</v>
      </c>
      <c r="AN1804" t="s">
        <v>1262</v>
      </c>
      <c r="AO1804">
        <v>0</v>
      </c>
      <c r="AQ1804" t="s">
        <v>1261</v>
      </c>
      <c r="AR1804" t="s">
        <v>1260</v>
      </c>
      <c r="AS1804" t="s">
        <v>2716</v>
      </c>
      <c r="AT1804" s="30">
        <v>45988.521527777775</v>
      </c>
    </row>
    <row r="1805" spans="1:46" x14ac:dyDescent="0.25">
      <c r="A1805" t="s">
        <v>1248</v>
      </c>
      <c r="B1805">
        <v>170468</v>
      </c>
      <c r="C1805">
        <v>119856</v>
      </c>
      <c r="D1805">
        <v>405</v>
      </c>
      <c r="E1805" t="s">
        <v>1266</v>
      </c>
      <c r="G1805">
        <v>745</v>
      </c>
      <c r="H1805">
        <v>1810</v>
      </c>
      <c r="K1805" s="29">
        <v>132723676</v>
      </c>
      <c r="L1805" s="29">
        <v>132723676</v>
      </c>
      <c r="M1805" s="29">
        <v>553015316</v>
      </c>
      <c r="N1805">
        <v>0</v>
      </c>
      <c r="O1805" s="29">
        <v>553015316</v>
      </c>
      <c r="P1805">
        <v>0</v>
      </c>
      <c r="Q1805">
        <v>0</v>
      </c>
      <c r="R1805">
        <v>0</v>
      </c>
      <c r="T1805" s="29">
        <v>1414554</v>
      </c>
      <c r="U1805" s="29">
        <v>187744781</v>
      </c>
      <c r="V1805" t="s">
        <v>1262</v>
      </c>
      <c r="W1805" t="s">
        <v>1262</v>
      </c>
      <c r="X1805" s="29">
        <v>187744781</v>
      </c>
      <c r="AA1805" s="30">
        <v>45824.333333333336</v>
      </c>
      <c r="AB1805" s="30">
        <v>45826.708333333336</v>
      </c>
      <c r="AC1805" s="30">
        <v>45824.333333333336</v>
      </c>
      <c r="AD1805" s="30">
        <v>45826.708333333336</v>
      </c>
      <c r="AE1805" s="30">
        <v>46098.691666666666</v>
      </c>
      <c r="AF1805" s="30">
        <v>46101.691666666666</v>
      </c>
      <c r="AG1805" t="s">
        <v>1266</v>
      </c>
      <c r="AK1805" t="s">
        <v>1265</v>
      </c>
      <c r="AL1805" t="s">
        <v>2901</v>
      </c>
      <c r="AM1805" t="s">
        <v>1263</v>
      </c>
      <c r="AN1805" t="s">
        <v>1262</v>
      </c>
      <c r="AO1805">
        <v>0</v>
      </c>
      <c r="AQ1805" t="s">
        <v>1261</v>
      </c>
      <c r="AR1805" t="s">
        <v>1260</v>
      </c>
      <c r="AS1805" t="s">
        <v>2716</v>
      </c>
      <c r="AT1805" s="30">
        <v>45988.521527777775</v>
      </c>
    </row>
    <row r="1806" spans="1:46" x14ac:dyDescent="0.25">
      <c r="A1806" t="s">
        <v>1248</v>
      </c>
      <c r="B1806">
        <v>170469</v>
      </c>
      <c r="C1806">
        <v>119857</v>
      </c>
      <c r="D1806">
        <v>405</v>
      </c>
      <c r="E1806" t="s">
        <v>1266</v>
      </c>
      <c r="G1806">
        <v>745</v>
      </c>
      <c r="H1806">
        <v>1810</v>
      </c>
      <c r="K1806" s="29">
        <v>132723676</v>
      </c>
      <c r="L1806" s="29">
        <v>132723676</v>
      </c>
      <c r="M1806" s="29">
        <v>553015316</v>
      </c>
      <c r="N1806">
        <v>0</v>
      </c>
      <c r="O1806" s="29">
        <v>553015316</v>
      </c>
      <c r="P1806">
        <v>0</v>
      </c>
      <c r="Q1806">
        <v>0</v>
      </c>
      <c r="R1806">
        <v>0</v>
      </c>
      <c r="T1806" s="29">
        <v>1414554</v>
      </c>
      <c r="U1806" s="29">
        <v>187744781</v>
      </c>
      <c r="V1806" t="s">
        <v>1262</v>
      </c>
      <c r="W1806" t="s">
        <v>1262</v>
      </c>
      <c r="X1806" s="29">
        <v>187744781</v>
      </c>
      <c r="AA1806" s="30">
        <v>45827.333333333336</v>
      </c>
      <c r="AB1806" s="30">
        <v>45831.708333333336</v>
      </c>
      <c r="AC1806" s="30">
        <v>45827.333333333336</v>
      </c>
      <c r="AD1806" s="30">
        <v>45831.708333333336</v>
      </c>
      <c r="AE1806" s="30">
        <v>46106.691666666666</v>
      </c>
      <c r="AF1806" s="30">
        <v>46111.691666666666</v>
      </c>
      <c r="AG1806" t="s">
        <v>1266</v>
      </c>
      <c r="AK1806" t="s">
        <v>1265</v>
      </c>
      <c r="AL1806" t="s">
        <v>2900</v>
      </c>
      <c r="AM1806" t="s">
        <v>1263</v>
      </c>
      <c r="AN1806" t="s">
        <v>1262</v>
      </c>
      <c r="AO1806">
        <v>0</v>
      </c>
      <c r="AQ1806" t="s">
        <v>1261</v>
      </c>
      <c r="AR1806" t="s">
        <v>1260</v>
      </c>
      <c r="AS1806" t="s">
        <v>2716</v>
      </c>
      <c r="AT1806" s="30">
        <v>45988.521527777775</v>
      </c>
    </row>
    <row r="1807" spans="1:46" x14ac:dyDescent="0.25">
      <c r="A1807" t="s">
        <v>1248</v>
      </c>
      <c r="B1807">
        <v>170470</v>
      </c>
      <c r="C1807">
        <v>119858</v>
      </c>
      <c r="D1807">
        <v>405</v>
      </c>
      <c r="E1807" t="s">
        <v>1266</v>
      </c>
      <c r="G1807">
        <v>745</v>
      </c>
      <c r="H1807">
        <v>1810</v>
      </c>
      <c r="K1807" s="29">
        <v>132723676</v>
      </c>
      <c r="L1807" s="29">
        <v>132723676</v>
      </c>
      <c r="M1807" s="29">
        <v>553015316</v>
      </c>
      <c r="N1807">
        <v>0</v>
      </c>
      <c r="O1807" s="29">
        <v>553015316</v>
      </c>
      <c r="P1807">
        <v>0</v>
      </c>
      <c r="Q1807">
        <v>0</v>
      </c>
      <c r="R1807">
        <v>0</v>
      </c>
      <c r="T1807" s="29">
        <v>1414554</v>
      </c>
      <c r="U1807" s="29">
        <v>187744781</v>
      </c>
      <c r="V1807" t="s">
        <v>1262</v>
      </c>
      <c r="W1807" t="s">
        <v>1262</v>
      </c>
      <c r="X1807" s="29">
        <v>187744781</v>
      </c>
      <c r="AA1807" s="30">
        <v>45832.333333333336</v>
      </c>
      <c r="AB1807" s="30">
        <v>45834.708333333336</v>
      </c>
      <c r="AC1807" s="30">
        <v>45832.333333333336</v>
      </c>
      <c r="AD1807" s="30">
        <v>45834.708333333336</v>
      </c>
      <c r="AE1807" s="30">
        <v>46111.691666666666</v>
      </c>
      <c r="AF1807" s="30">
        <v>46114.691666666666</v>
      </c>
      <c r="AG1807" t="s">
        <v>1266</v>
      </c>
      <c r="AK1807" t="s">
        <v>1265</v>
      </c>
      <c r="AL1807" t="s">
        <v>2899</v>
      </c>
      <c r="AM1807" t="s">
        <v>1263</v>
      </c>
      <c r="AN1807" t="s">
        <v>1262</v>
      </c>
      <c r="AO1807">
        <v>0</v>
      </c>
      <c r="AQ1807" t="s">
        <v>1261</v>
      </c>
      <c r="AR1807" t="s">
        <v>1260</v>
      </c>
      <c r="AS1807" t="s">
        <v>2716</v>
      </c>
      <c r="AT1807" s="30">
        <v>45988.521527777775</v>
      </c>
    </row>
    <row r="1808" spans="1:46" x14ac:dyDescent="0.25">
      <c r="A1808" t="s">
        <v>1248</v>
      </c>
      <c r="B1808">
        <v>170471</v>
      </c>
      <c r="C1808">
        <v>119859</v>
      </c>
      <c r="D1808">
        <v>405</v>
      </c>
      <c r="E1808" t="s">
        <v>1266</v>
      </c>
      <c r="G1808">
        <v>745</v>
      </c>
      <c r="H1808">
        <v>1810</v>
      </c>
      <c r="K1808" s="29">
        <v>132723676</v>
      </c>
      <c r="L1808" s="29">
        <v>132723676</v>
      </c>
      <c r="M1808" s="29">
        <v>553015316</v>
      </c>
      <c r="N1808">
        <v>0</v>
      </c>
      <c r="O1808" s="29">
        <v>553015316</v>
      </c>
      <c r="P1808">
        <v>0</v>
      </c>
      <c r="Q1808">
        <v>0</v>
      </c>
      <c r="R1808">
        <v>0</v>
      </c>
      <c r="T1808" s="29">
        <v>1414554</v>
      </c>
      <c r="U1808" s="29">
        <v>187744781</v>
      </c>
      <c r="V1808" t="s">
        <v>1262</v>
      </c>
      <c r="W1808" t="s">
        <v>1262</v>
      </c>
      <c r="X1808" s="29">
        <v>187744781</v>
      </c>
      <c r="AA1808" s="30">
        <v>45835.333333333336</v>
      </c>
      <c r="AB1808" s="30">
        <v>45839.708333333336</v>
      </c>
      <c r="AC1808" s="30">
        <v>45835.333333333336</v>
      </c>
      <c r="AD1808" s="30">
        <v>45839.708333333336</v>
      </c>
      <c r="AE1808" s="30">
        <v>46114.691666666666</v>
      </c>
      <c r="AF1808" s="30">
        <v>46120.691666666666</v>
      </c>
      <c r="AG1808" t="s">
        <v>1266</v>
      </c>
      <c r="AK1808" t="s">
        <v>1265</v>
      </c>
      <c r="AL1808" t="s">
        <v>2898</v>
      </c>
      <c r="AM1808" t="s">
        <v>1263</v>
      </c>
      <c r="AN1808" t="s">
        <v>1262</v>
      </c>
      <c r="AO1808">
        <v>0</v>
      </c>
      <c r="AQ1808" t="s">
        <v>1261</v>
      </c>
      <c r="AR1808" t="s">
        <v>1260</v>
      </c>
      <c r="AS1808" t="s">
        <v>2716</v>
      </c>
      <c r="AT1808" s="30">
        <v>45988.521527777775</v>
      </c>
    </row>
    <row r="1809" spans="1:46" x14ac:dyDescent="0.25">
      <c r="A1809" t="s">
        <v>1248</v>
      </c>
      <c r="B1809">
        <v>170472</v>
      </c>
      <c r="C1809">
        <v>119860</v>
      </c>
      <c r="D1809">
        <v>405</v>
      </c>
      <c r="E1809" t="s">
        <v>1266</v>
      </c>
      <c r="G1809">
        <v>745</v>
      </c>
      <c r="H1809">
        <v>1810</v>
      </c>
      <c r="K1809" s="29">
        <v>132723676</v>
      </c>
      <c r="L1809" s="29">
        <v>132723676</v>
      </c>
      <c r="M1809" s="29">
        <v>553015316</v>
      </c>
      <c r="N1809">
        <v>0</v>
      </c>
      <c r="O1809" s="29">
        <v>553015316</v>
      </c>
      <c r="P1809">
        <v>0</v>
      </c>
      <c r="Q1809">
        <v>0</v>
      </c>
      <c r="R1809">
        <v>0</v>
      </c>
      <c r="T1809" s="29">
        <v>1414554</v>
      </c>
      <c r="U1809" s="29">
        <v>187744781</v>
      </c>
      <c r="V1809" t="s">
        <v>1262</v>
      </c>
      <c r="W1809" t="s">
        <v>1262</v>
      </c>
      <c r="X1809" s="29">
        <v>187744781</v>
      </c>
      <c r="AA1809" s="30">
        <v>45840.333333333336</v>
      </c>
      <c r="AB1809" s="30">
        <v>45842.708333333336</v>
      </c>
      <c r="AC1809" s="30">
        <v>45840.333333333336</v>
      </c>
      <c r="AD1809" s="30">
        <v>45842.708333333336</v>
      </c>
      <c r="AE1809" s="30">
        <v>46168.691666666666</v>
      </c>
      <c r="AF1809" s="30">
        <v>46171.691666666666</v>
      </c>
      <c r="AG1809" t="s">
        <v>1266</v>
      </c>
      <c r="AK1809" t="s">
        <v>1265</v>
      </c>
      <c r="AL1809" t="s">
        <v>2897</v>
      </c>
      <c r="AM1809" t="s">
        <v>1263</v>
      </c>
      <c r="AN1809" t="s">
        <v>1262</v>
      </c>
      <c r="AO1809">
        <v>0</v>
      </c>
      <c r="AQ1809" t="s">
        <v>1261</v>
      </c>
      <c r="AR1809" t="s">
        <v>1260</v>
      </c>
      <c r="AS1809" t="s">
        <v>2716</v>
      </c>
      <c r="AT1809" s="30">
        <v>45988.521527777775</v>
      </c>
    </row>
    <row r="1810" spans="1:46" x14ac:dyDescent="0.25">
      <c r="A1810" t="s">
        <v>1248</v>
      </c>
      <c r="B1810">
        <v>170473</v>
      </c>
      <c r="C1810">
        <v>119861</v>
      </c>
      <c r="D1810">
        <v>405</v>
      </c>
      <c r="E1810" t="s">
        <v>1266</v>
      </c>
      <c r="G1810">
        <v>745</v>
      </c>
      <c r="H1810">
        <v>1810</v>
      </c>
      <c r="K1810" s="29">
        <v>132723676</v>
      </c>
      <c r="L1810" s="29">
        <v>132723676</v>
      </c>
      <c r="M1810" s="29">
        <v>553015316</v>
      </c>
      <c r="N1810">
        <v>0</v>
      </c>
      <c r="O1810" s="29">
        <v>553015316</v>
      </c>
      <c r="P1810">
        <v>0</v>
      </c>
      <c r="Q1810">
        <v>0</v>
      </c>
      <c r="R1810">
        <v>0</v>
      </c>
      <c r="T1810" s="29">
        <v>1414554</v>
      </c>
      <c r="U1810" s="29">
        <v>187744781</v>
      </c>
      <c r="V1810" t="s">
        <v>1262</v>
      </c>
      <c r="W1810" t="s">
        <v>1262</v>
      </c>
      <c r="X1810" s="29">
        <v>187744781</v>
      </c>
      <c r="AA1810" s="30">
        <v>45845.333333333336</v>
      </c>
      <c r="AB1810" s="30">
        <v>45847.708333333336</v>
      </c>
      <c r="AC1810" s="30">
        <v>45845.333333333336</v>
      </c>
      <c r="AD1810" s="30">
        <v>45847.708333333336</v>
      </c>
      <c r="AE1810" s="30">
        <v>46185.691666666666</v>
      </c>
      <c r="AF1810" s="30">
        <v>46190.691666666666</v>
      </c>
      <c r="AG1810" t="s">
        <v>1266</v>
      </c>
      <c r="AK1810" t="s">
        <v>1265</v>
      </c>
      <c r="AL1810" t="s">
        <v>2896</v>
      </c>
      <c r="AM1810" t="s">
        <v>1263</v>
      </c>
      <c r="AN1810" t="s">
        <v>1262</v>
      </c>
      <c r="AO1810">
        <v>0</v>
      </c>
      <c r="AQ1810" t="s">
        <v>1261</v>
      </c>
      <c r="AR1810" t="s">
        <v>1260</v>
      </c>
      <c r="AS1810" t="s">
        <v>2716</v>
      </c>
      <c r="AT1810" s="30">
        <v>45988.521527777775</v>
      </c>
    </row>
    <row r="1811" spans="1:46" x14ac:dyDescent="0.25">
      <c r="A1811" t="s">
        <v>1248</v>
      </c>
      <c r="B1811">
        <v>170474</v>
      </c>
      <c r="C1811">
        <v>119862</v>
      </c>
      <c r="D1811">
        <v>405</v>
      </c>
      <c r="E1811" t="s">
        <v>1266</v>
      </c>
      <c r="G1811">
        <v>745</v>
      </c>
      <c r="H1811">
        <v>1810</v>
      </c>
      <c r="K1811" s="29">
        <v>132723676</v>
      </c>
      <c r="L1811" s="29">
        <v>132723676</v>
      </c>
      <c r="M1811" s="29">
        <v>553015316</v>
      </c>
      <c r="N1811">
        <v>0</v>
      </c>
      <c r="O1811" s="29">
        <v>553015316</v>
      </c>
      <c r="P1811">
        <v>0</v>
      </c>
      <c r="Q1811">
        <v>0</v>
      </c>
      <c r="R1811">
        <v>0</v>
      </c>
      <c r="T1811" s="29">
        <v>1414554</v>
      </c>
      <c r="U1811" s="29">
        <v>187744781</v>
      </c>
      <c r="V1811" t="s">
        <v>1262</v>
      </c>
      <c r="W1811" t="s">
        <v>1262</v>
      </c>
      <c r="X1811" s="29">
        <v>187744781</v>
      </c>
      <c r="AA1811" s="30">
        <v>45848.333333333336</v>
      </c>
      <c r="AB1811" s="30">
        <v>45852.708333333336</v>
      </c>
      <c r="AC1811" s="30">
        <v>45848.333333333336</v>
      </c>
      <c r="AD1811" s="30">
        <v>45852.708333333336</v>
      </c>
      <c r="AE1811" s="30">
        <v>46203.691666666666</v>
      </c>
      <c r="AF1811" s="30">
        <v>46206.691666666666</v>
      </c>
      <c r="AG1811" t="s">
        <v>1266</v>
      </c>
      <c r="AK1811" t="s">
        <v>1265</v>
      </c>
      <c r="AL1811" t="s">
        <v>2895</v>
      </c>
      <c r="AM1811" t="s">
        <v>1263</v>
      </c>
      <c r="AN1811" t="s">
        <v>1262</v>
      </c>
      <c r="AO1811">
        <v>0</v>
      </c>
      <c r="AQ1811" t="s">
        <v>1261</v>
      </c>
      <c r="AR1811" t="s">
        <v>1260</v>
      </c>
      <c r="AS1811" t="s">
        <v>2716</v>
      </c>
      <c r="AT1811" s="30">
        <v>45988.521527777775</v>
      </c>
    </row>
    <row r="1812" spans="1:46" x14ac:dyDescent="0.25">
      <c r="A1812" t="s">
        <v>1248</v>
      </c>
      <c r="B1812">
        <v>170475</v>
      </c>
      <c r="C1812">
        <v>119863</v>
      </c>
      <c r="D1812">
        <v>405</v>
      </c>
      <c r="E1812" t="s">
        <v>1266</v>
      </c>
      <c r="G1812">
        <v>745</v>
      </c>
      <c r="H1812">
        <v>1810</v>
      </c>
      <c r="K1812" s="29">
        <v>132723676</v>
      </c>
      <c r="L1812" s="29">
        <v>132723676</v>
      </c>
      <c r="M1812" s="29">
        <v>553015316</v>
      </c>
      <c r="N1812">
        <v>0</v>
      </c>
      <c r="O1812" s="29">
        <v>553015316</v>
      </c>
      <c r="P1812">
        <v>0</v>
      </c>
      <c r="Q1812">
        <v>0</v>
      </c>
      <c r="R1812">
        <v>0</v>
      </c>
      <c r="T1812" s="29">
        <v>1414554</v>
      </c>
      <c r="U1812" s="29">
        <v>187744781</v>
      </c>
      <c r="V1812" t="s">
        <v>1262</v>
      </c>
      <c r="W1812" t="s">
        <v>1262</v>
      </c>
      <c r="X1812" s="29">
        <v>187744781</v>
      </c>
      <c r="AA1812" s="30">
        <v>45853.333333333336</v>
      </c>
      <c r="AB1812" s="30">
        <v>45855.708333333336</v>
      </c>
      <c r="AC1812" s="30">
        <v>45853.333333333336</v>
      </c>
      <c r="AD1812" s="30">
        <v>45855.708333333336</v>
      </c>
      <c r="AE1812" s="30">
        <v>46211.691666666666</v>
      </c>
      <c r="AF1812" s="30">
        <v>46216.691666666666</v>
      </c>
      <c r="AG1812" t="s">
        <v>1266</v>
      </c>
      <c r="AK1812" t="s">
        <v>1265</v>
      </c>
      <c r="AL1812" t="s">
        <v>2894</v>
      </c>
      <c r="AM1812" t="s">
        <v>1263</v>
      </c>
      <c r="AN1812" t="s">
        <v>1262</v>
      </c>
      <c r="AO1812">
        <v>0</v>
      </c>
      <c r="AQ1812" t="s">
        <v>1261</v>
      </c>
      <c r="AR1812" t="s">
        <v>1260</v>
      </c>
      <c r="AS1812" t="s">
        <v>2716</v>
      </c>
      <c r="AT1812" s="30">
        <v>45988.521527777775</v>
      </c>
    </row>
    <row r="1813" spans="1:46" x14ac:dyDescent="0.25">
      <c r="A1813" t="s">
        <v>1248</v>
      </c>
      <c r="B1813">
        <v>170476</v>
      </c>
      <c r="C1813">
        <v>119864</v>
      </c>
      <c r="D1813">
        <v>405</v>
      </c>
      <c r="E1813" t="s">
        <v>1266</v>
      </c>
      <c r="G1813">
        <v>745</v>
      </c>
      <c r="H1813">
        <v>1810</v>
      </c>
      <c r="K1813" s="29">
        <v>132723676</v>
      </c>
      <c r="L1813" s="29">
        <v>132723676</v>
      </c>
      <c r="M1813" s="29">
        <v>553015316</v>
      </c>
      <c r="N1813">
        <v>0</v>
      </c>
      <c r="O1813" s="29">
        <v>553015316</v>
      </c>
      <c r="P1813">
        <v>0</v>
      </c>
      <c r="Q1813">
        <v>0</v>
      </c>
      <c r="R1813">
        <v>0</v>
      </c>
      <c r="T1813" s="29">
        <v>1414554</v>
      </c>
      <c r="U1813" s="29">
        <v>187744781</v>
      </c>
      <c r="V1813" t="s">
        <v>1262</v>
      </c>
      <c r="W1813" t="s">
        <v>1262</v>
      </c>
      <c r="X1813" s="29">
        <v>187744781</v>
      </c>
      <c r="AA1813" s="30">
        <v>45856.333333333336</v>
      </c>
      <c r="AB1813" s="30">
        <v>45860.708333333336</v>
      </c>
      <c r="AC1813" s="30">
        <v>45856.333333333336</v>
      </c>
      <c r="AD1813" s="30">
        <v>45860.708333333336</v>
      </c>
      <c r="AE1813" s="30">
        <v>46216.691666666666</v>
      </c>
      <c r="AF1813" s="30">
        <v>46219.691666666666</v>
      </c>
      <c r="AG1813" t="s">
        <v>1266</v>
      </c>
      <c r="AK1813" t="s">
        <v>1265</v>
      </c>
      <c r="AL1813" t="s">
        <v>2893</v>
      </c>
      <c r="AM1813" t="s">
        <v>1263</v>
      </c>
      <c r="AN1813" t="s">
        <v>1262</v>
      </c>
      <c r="AO1813">
        <v>0</v>
      </c>
      <c r="AQ1813" t="s">
        <v>1261</v>
      </c>
      <c r="AR1813" t="s">
        <v>1260</v>
      </c>
      <c r="AS1813" t="s">
        <v>2716</v>
      </c>
      <c r="AT1813" s="30">
        <v>45988.521527777775</v>
      </c>
    </row>
    <row r="1814" spans="1:46" x14ac:dyDescent="0.25">
      <c r="A1814" t="s">
        <v>1248</v>
      </c>
      <c r="B1814">
        <v>170477</v>
      </c>
      <c r="C1814">
        <v>119865</v>
      </c>
      <c r="D1814">
        <v>405</v>
      </c>
      <c r="E1814" t="s">
        <v>1266</v>
      </c>
      <c r="G1814">
        <v>745</v>
      </c>
      <c r="H1814">
        <v>1810</v>
      </c>
      <c r="K1814" s="29">
        <v>132723676</v>
      </c>
      <c r="L1814" s="29">
        <v>132723676</v>
      </c>
      <c r="M1814" s="29">
        <v>553015316</v>
      </c>
      <c r="N1814">
        <v>0</v>
      </c>
      <c r="O1814" s="29">
        <v>553015316</v>
      </c>
      <c r="P1814">
        <v>0</v>
      </c>
      <c r="Q1814">
        <v>0</v>
      </c>
      <c r="R1814">
        <v>0</v>
      </c>
      <c r="T1814" s="29">
        <v>1414554</v>
      </c>
      <c r="U1814" s="29">
        <v>187744781</v>
      </c>
      <c r="V1814" t="s">
        <v>1262</v>
      </c>
      <c r="W1814" t="s">
        <v>1262</v>
      </c>
      <c r="X1814" s="29">
        <v>187744781</v>
      </c>
      <c r="AA1814" s="30">
        <v>45861.333333333336</v>
      </c>
      <c r="AB1814" s="30">
        <v>45863.708333333336</v>
      </c>
      <c r="AC1814" s="30">
        <v>45861.333333333336</v>
      </c>
      <c r="AD1814" s="30">
        <v>45863.708333333336</v>
      </c>
      <c r="AE1814" s="30">
        <v>46219.691666666666</v>
      </c>
      <c r="AF1814" s="30">
        <v>46224.691666666666</v>
      </c>
      <c r="AG1814" t="s">
        <v>1266</v>
      </c>
      <c r="AK1814" t="s">
        <v>1265</v>
      </c>
      <c r="AL1814" t="s">
        <v>2892</v>
      </c>
      <c r="AM1814" t="s">
        <v>1263</v>
      </c>
      <c r="AN1814" t="s">
        <v>1262</v>
      </c>
      <c r="AO1814">
        <v>0</v>
      </c>
      <c r="AQ1814" t="s">
        <v>1261</v>
      </c>
      <c r="AR1814" t="s">
        <v>1260</v>
      </c>
      <c r="AS1814" t="s">
        <v>2716</v>
      </c>
      <c r="AT1814" s="30">
        <v>45988.521527777775</v>
      </c>
    </row>
    <row r="1815" spans="1:46" x14ac:dyDescent="0.25">
      <c r="A1815" t="s">
        <v>1248</v>
      </c>
      <c r="B1815">
        <v>170478</v>
      </c>
      <c r="C1815">
        <v>119866</v>
      </c>
      <c r="D1815">
        <v>405</v>
      </c>
      <c r="E1815" t="s">
        <v>1266</v>
      </c>
      <c r="G1815">
        <v>745</v>
      </c>
      <c r="H1815">
        <v>1810</v>
      </c>
      <c r="K1815" s="29">
        <v>132723676</v>
      </c>
      <c r="L1815" s="29">
        <v>132723676</v>
      </c>
      <c r="M1815" s="29">
        <v>553015316</v>
      </c>
      <c r="N1815">
        <v>0</v>
      </c>
      <c r="O1815" s="29">
        <v>553015316</v>
      </c>
      <c r="P1815">
        <v>0</v>
      </c>
      <c r="Q1815">
        <v>0</v>
      </c>
      <c r="R1815">
        <v>0</v>
      </c>
      <c r="T1815" s="29">
        <v>1414554</v>
      </c>
      <c r="U1815" s="29">
        <v>187744781</v>
      </c>
      <c r="V1815" t="s">
        <v>1262</v>
      </c>
      <c r="W1815" t="s">
        <v>1262</v>
      </c>
      <c r="X1815" s="29">
        <v>187744781</v>
      </c>
      <c r="AA1815" s="30">
        <v>45866.333333333336</v>
      </c>
      <c r="AB1815" s="30">
        <v>45868.708333333336</v>
      </c>
      <c r="AC1815" s="30">
        <v>45866.333333333336</v>
      </c>
      <c r="AD1815" s="30">
        <v>45868.708333333336</v>
      </c>
      <c r="AE1815" s="30">
        <v>46288.369444444441</v>
      </c>
      <c r="AF1815" s="30">
        <v>46293.369444444441</v>
      </c>
      <c r="AG1815" t="s">
        <v>1266</v>
      </c>
      <c r="AK1815" t="s">
        <v>1265</v>
      </c>
      <c r="AL1815" t="s">
        <v>2891</v>
      </c>
      <c r="AM1815" t="s">
        <v>1263</v>
      </c>
      <c r="AN1815" t="s">
        <v>1262</v>
      </c>
      <c r="AO1815">
        <v>0</v>
      </c>
      <c r="AQ1815" t="s">
        <v>1261</v>
      </c>
      <c r="AR1815" t="s">
        <v>1260</v>
      </c>
      <c r="AS1815" t="s">
        <v>2716</v>
      </c>
      <c r="AT1815" s="30">
        <v>45988.521527777775</v>
      </c>
    </row>
    <row r="1816" spans="1:46" x14ac:dyDescent="0.25">
      <c r="A1816" t="s">
        <v>1248</v>
      </c>
      <c r="B1816">
        <v>170479</v>
      </c>
      <c r="C1816">
        <v>119867</v>
      </c>
      <c r="D1816">
        <v>405</v>
      </c>
      <c r="E1816" t="s">
        <v>1266</v>
      </c>
      <c r="G1816">
        <v>745</v>
      </c>
      <c r="H1816">
        <v>1810</v>
      </c>
      <c r="K1816" s="29">
        <v>132723676</v>
      </c>
      <c r="L1816" s="29">
        <v>132723676</v>
      </c>
      <c r="M1816" s="29">
        <v>553015316</v>
      </c>
      <c r="N1816">
        <v>0</v>
      </c>
      <c r="O1816" s="29">
        <v>553015316</v>
      </c>
      <c r="P1816">
        <v>0</v>
      </c>
      <c r="Q1816">
        <v>0</v>
      </c>
      <c r="R1816">
        <v>0</v>
      </c>
      <c r="T1816" s="29">
        <v>1414554</v>
      </c>
      <c r="U1816" s="29">
        <v>187744781</v>
      </c>
      <c r="V1816" t="s">
        <v>1262</v>
      </c>
      <c r="W1816" t="s">
        <v>1262</v>
      </c>
      <c r="X1816" s="29">
        <v>187744781</v>
      </c>
      <c r="AA1816" s="30">
        <v>45869.333333333336</v>
      </c>
      <c r="AB1816" s="30">
        <v>45873.708333333336</v>
      </c>
      <c r="AC1816" s="30">
        <v>45869.333333333336</v>
      </c>
      <c r="AD1816" s="30">
        <v>45873.708333333336</v>
      </c>
      <c r="AE1816" s="30">
        <v>46293.369444444441</v>
      </c>
      <c r="AF1816" s="30">
        <v>46296.369444444441</v>
      </c>
      <c r="AG1816" t="s">
        <v>1266</v>
      </c>
      <c r="AK1816" t="s">
        <v>1265</v>
      </c>
      <c r="AL1816" t="s">
        <v>2890</v>
      </c>
      <c r="AM1816" t="s">
        <v>1263</v>
      </c>
      <c r="AN1816" t="s">
        <v>1262</v>
      </c>
      <c r="AO1816">
        <v>0</v>
      </c>
      <c r="AQ1816" t="s">
        <v>1261</v>
      </c>
      <c r="AR1816" t="s">
        <v>1260</v>
      </c>
      <c r="AS1816" t="s">
        <v>2716</v>
      </c>
      <c r="AT1816" s="30">
        <v>45988.521527777775</v>
      </c>
    </row>
    <row r="1817" spans="1:46" x14ac:dyDescent="0.25">
      <c r="A1817" t="s">
        <v>1248</v>
      </c>
      <c r="B1817">
        <v>170480</v>
      </c>
      <c r="C1817">
        <v>119868</v>
      </c>
      <c r="D1817">
        <v>405</v>
      </c>
      <c r="E1817" t="s">
        <v>1266</v>
      </c>
      <c r="G1817">
        <v>745</v>
      </c>
      <c r="H1817">
        <v>1810</v>
      </c>
      <c r="K1817" s="29">
        <v>132723676</v>
      </c>
      <c r="L1817" s="29">
        <v>132723676</v>
      </c>
      <c r="M1817" s="29">
        <v>553015316</v>
      </c>
      <c r="N1817">
        <v>0</v>
      </c>
      <c r="O1817" s="29">
        <v>553015316</v>
      </c>
      <c r="P1817">
        <v>0</v>
      </c>
      <c r="Q1817">
        <v>0</v>
      </c>
      <c r="R1817">
        <v>0</v>
      </c>
      <c r="T1817" s="29">
        <v>1414554</v>
      </c>
      <c r="U1817" s="29">
        <v>187744781</v>
      </c>
      <c r="V1817" t="s">
        <v>1262</v>
      </c>
      <c r="W1817" t="s">
        <v>1262</v>
      </c>
      <c r="X1817" s="29">
        <v>187744781</v>
      </c>
      <c r="AA1817" s="30">
        <v>45874.333333333336</v>
      </c>
      <c r="AB1817" s="30">
        <v>45876.708333333336</v>
      </c>
      <c r="AC1817" s="30">
        <v>45874.333333333336</v>
      </c>
      <c r="AD1817" s="30">
        <v>45876.708333333336</v>
      </c>
      <c r="AE1817" s="30">
        <v>46309.369444444441</v>
      </c>
      <c r="AF1817" s="30">
        <v>46314.369444444441</v>
      </c>
      <c r="AG1817" t="s">
        <v>1266</v>
      </c>
      <c r="AK1817" t="s">
        <v>1265</v>
      </c>
      <c r="AL1817" t="s">
        <v>2889</v>
      </c>
      <c r="AM1817" t="s">
        <v>1263</v>
      </c>
      <c r="AN1817" t="s">
        <v>1262</v>
      </c>
      <c r="AO1817">
        <v>0</v>
      </c>
      <c r="AQ1817" t="s">
        <v>1261</v>
      </c>
      <c r="AR1817" t="s">
        <v>1260</v>
      </c>
      <c r="AS1817" t="s">
        <v>2716</v>
      </c>
      <c r="AT1817" s="30">
        <v>45988.521527777775</v>
      </c>
    </row>
    <row r="1818" spans="1:46" x14ac:dyDescent="0.25">
      <c r="A1818" t="s">
        <v>1248</v>
      </c>
      <c r="B1818">
        <v>170481</v>
      </c>
      <c r="C1818">
        <v>119869</v>
      </c>
      <c r="D1818">
        <v>405</v>
      </c>
      <c r="E1818" t="s">
        <v>1266</v>
      </c>
      <c r="G1818">
        <v>745</v>
      </c>
      <c r="H1818">
        <v>1810</v>
      </c>
      <c r="K1818" s="29">
        <v>132723676</v>
      </c>
      <c r="L1818" s="29">
        <v>132723676</v>
      </c>
      <c r="M1818" s="29">
        <v>553015316</v>
      </c>
      <c r="N1818">
        <v>0</v>
      </c>
      <c r="O1818" s="29">
        <v>553015316</v>
      </c>
      <c r="P1818">
        <v>0</v>
      </c>
      <c r="Q1818">
        <v>0</v>
      </c>
      <c r="R1818">
        <v>0</v>
      </c>
      <c r="T1818" s="29">
        <v>1414554</v>
      </c>
      <c r="U1818" s="29">
        <v>187744781</v>
      </c>
      <c r="V1818" t="s">
        <v>1262</v>
      </c>
      <c r="W1818" t="s">
        <v>1262</v>
      </c>
      <c r="X1818" s="29">
        <v>187744781</v>
      </c>
      <c r="AA1818" s="30">
        <v>45877.333333333336</v>
      </c>
      <c r="AB1818" s="30">
        <v>45881.708333333336</v>
      </c>
      <c r="AC1818" s="30">
        <v>45877.333333333336</v>
      </c>
      <c r="AD1818" s="30">
        <v>45881.708333333336</v>
      </c>
      <c r="AE1818" s="30">
        <v>46325.369444444441</v>
      </c>
      <c r="AF1818" s="30">
        <v>46330.369444444441</v>
      </c>
      <c r="AG1818" t="s">
        <v>1266</v>
      </c>
      <c r="AK1818" t="s">
        <v>1265</v>
      </c>
      <c r="AL1818" t="s">
        <v>2888</v>
      </c>
      <c r="AM1818" t="s">
        <v>1263</v>
      </c>
      <c r="AN1818" t="s">
        <v>1262</v>
      </c>
      <c r="AO1818">
        <v>0</v>
      </c>
      <c r="AQ1818" t="s">
        <v>1261</v>
      </c>
      <c r="AR1818" t="s">
        <v>1260</v>
      </c>
      <c r="AS1818" t="s">
        <v>2716</v>
      </c>
      <c r="AT1818" s="30">
        <v>45988.521527777775</v>
      </c>
    </row>
    <row r="1819" spans="1:46" x14ac:dyDescent="0.25">
      <c r="A1819" t="s">
        <v>1248</v>
      </c>
      <c r="B1819">
        <v>170482</v>
      </c>
      <c r="C1819">
        <v>119870</v>
      </c>
      <c r="D1819">
        <v>405</v>
      </c>
      <c r="E1819" t="s">
        <v>1266</v>
      </c>
      <c r="G1819">
        <v>745</v>
      </c>
      <c r="H1819">
        <v>1810</v>
      </c>
      <c r="K1819" s="29">
        <v>132723676</v>
      </c>
      <c r="L1819" s="29">
        <v>132723676</v>
      </c>
      <c r="M1819" s="29">
        <v>553015316</v>
      </c>
      <c r="N1819">
        <v>0</v>
      </c>
      <c r="O1819" s="29">
        <v>553015316</v>
      </c>
      <c r="P1819">
        <v>0</v>
      </c>
      <c r="Q1819">
        <v>0</v>
      </c>
      <c r="R1819">
        <v>0</v>
      </c>
      <c r="T1819" s="29">
        <v>1414554</v>
      </c>
      <c r="U1819" s="29">
        <v>187744781</v>
      </c>
      <c r="V1819" t="s">
        <v>1262</v>
      </c>
      <c r="W1819" t="s">
        <v>1262</v>
      </c>
      <c r="X1819" s="29">
        <v>187744781</v>
      </c>
      <c r="AA1819" s="30">
        <v>45882.333333333336</v>
      </c>
      <c r="AB1819" s="30">
        <v>45884.708333333336</v>
      </c>
      <c r="AC1819" s="30">
        <v>45882.333333333336</v>
      </c>
      <c r="AD1819" s="30">
        <v>45884.708333333336</v>
      </c>
      <c r="AE1819" s="30">
        <v>46343.369444444441</v>
      </c>
      <c r="AF1819" s="30">
        <v>46346.369444444441</v>
      </c>
      <c r="AG1819" t="s">
        <v>1266</v>
      </c>
      <c r="AK1819" t="s">
        <v>1265</v>
      </c>
      <c r="AL1819" t="s">
        <v>2887</v>
      </c>
      <c r="AM1819" t="s">
        <v>1263</v>
      </c>
      <c r="AN1819" t="s">
        <v>1262</v>
      </c>
      <c r="AO1819">
        <v>0</v>
      </c>
      <c r="AQ1819" t="s">
        <v>1261</v>
      </c>
      <c r="AR1819" t="s">
        <v>1260</v>
      </c>
      <c r="AS1819" t="s">
        <v>2716</v>
      </c>
      <c r="AT1819" s="30">
        <v>45988.521527777775</v>
      </c>
    </row>
    <row r="1820" spans="1:46" x14ac:dyDescent="0.25">
      <c r="A1820" t="s">
        <v>1248</v>
      </c>
      <c r="B1820">
        <v>170483</v>
      </c>
      <c r="C1820">
        <v>119871</v>
      </c>
      <c r="D1820">
        <v>405</v>
      </c>
      <c r="E1820" t="s">
        <v>1266</v>
      </c>
      <c r="G1820">
        <v>745</v>
      </c>
      <c r="H1820">
        <v>1810</v>
      </c>
      <c r="K1820" s="29">
        <v>132723676</v>
      </c>
      <c r="L1820" s="29">
        <v>132723676</v>
      </c>
      <c r="M1820" s="29">
        <v>553015316</v>
      </c>
      <c r="N1820">
        <v>0</v>
      </c>
      <c r="O1820" s="29">
        <v>553015316</v>
      </c>
      <c r="P1820">
        <v>0</v>
      </c>
      <c r="Q1820">
        <v>0</v>
      </c>
      <c r="R1820">
        <v>0</v>
      </c>
      <c r="T1820" s="29">
        <v>1414554</v>
      </c>
      <c r="U1820" s="29">
        <v>187744781</v>
      </c>
      <c r="V1820" t="s">
        <v>1262</v>
      </c>
      <c r="W1820" t="s">
        <v>1262</v>
      </c>
      <c r="X1820" s="29">
        <v>187744781</v>
      </c>
      <c r="AA1820" s="30">
        <v>45887.333333333336</v>
      </c>
      <c r="AB1820" s="30">
        <v>45889.708333333336</v>
      </c>
      <c r="AC1820" s="30">
        <v>45887.333333333336</v>
      </c>
      <c r="AD1820" s="30">
        <v>45889.708333333336</v>
      </c>
      <c r="AE1820" s="30">
        <v>46359.369444444441</v>
      </c>
      <c r="AF1820" s="30">
        <v>46365.369444444441</v>
      </c>
      <c r="AG1820" t="s">
        <v>1266</v>
      </c>
      <c r="AK1820" t="s">
        <v>1265</v>
      </c>
      <c r="AL1820" t="s">
        <v>2886</v>
      </c>
      <c r="AM1820" t="s">
        <v>1263</v>
      </c>
      <c r="AN1820" t="s">
        <v>1262</v>
      </c>
      <c r="AO1820">
        <v>0</v>
      </c>
      <c r="AQ1820" t="s">
        <v>1261</v>
      </c>
      <c r="AR1820" t="s">
        <v>1260</v>
      </c>
      <c r="AS1820" t="s">
        <v>2716</v>
      </c>
      <c r="AT1820" s="30">
        <v>45988.521527777775</v>
      </c>
    </row>
    <row r="1821" spans="1:46" x14ac:dyDescent="0.25">
      <c r="A1821" t="s">
        <v>1248</v>
      </c>
      <c r="B1821">
        <v>170484</v>
      </c>
      <c r="C1821">
        <v>119872</v>
      </c>
      <c r="D1821">
        <v>405</v>
      </c>
      <c r="E1821" t="s">
        <v>1266</v>
      </c>
      <c r="G1821">
        <v>745</v>
      </c>
      <c r="H1821">
        <v>1810</v>
      </c>
      <c r="K1821" s="29">
        <v>132723676</v>
      </c>
      <c r="L1821" s="29">
        <v>132723676</v>
      </c>
      <c r="M1821" s="29">
        <v>553015316</v>
      </c>
      <c r="N1821">
        <v>0</v>
      </c>
      <c r="O1821" s="29">
        <v>553015316</v>
      </c>
      <c r="P1821">
        <v>0</v>
      </c>
      <c r="Q1821">
        <v>0</v>
      </c>
      <c r="R1821">
        <v>0</v>
      </c>
      <c r="T1821" s="29">
        <v>1414554</v>
      </c>
      <c r="U1821" s="29">
        <v>187744781</v>
      </c>
      <c r="V1821" t="s">
        <v>1262</v>
      </c>
      <c r="W1821" t="s">
        <v>1262</v>
      </c>
      <c r="X1821" s="29">
        <v>187744781</v>
      </c>
      <c r="AA1821" s="30">
        <v>45890.333333333336</v>
      </c>
      <c r="AB1821" s="30">
        <v>45894.708333333336</v>
      </c>
      <c r="AC1821" s="30">
        <v>45890.333333333336</v>
      </c>
      <c r="AD1821" s="30">
        <v>45894.708333333336</v>
      </c>
      <c r="AE1821" s="30">
        <v>46378.369444444441</v>
      </c>
      <c r="AF1821" s="30">
        <v>46384.369444444441</v>
      </c>
      <c r="AG1821" t="s">
        <v>1266</v>
      </c>
      <c r="AK1821" t="s">
        <v>1265</v>
      </c>
      <c r="AL1821" t="s">
        <v>2885</v>
      </c>
      <c r="AM1821" t="s">
        <v>1263</v>
      </c>
      <c r="AN1821" t="s">
        <v>1262</v>
      </c>
      <c r="AO1821">
        <v>0</v>
      </c>
      <c r="AQ1821" t="s">
        <v>1261</v>
      </c>
      <c r="AR1821" t="s">
        <v>1260</v>
      </c>
      <c r="AS1821" t="s">
        <v>2716</v>
      </c>
      <c r="AT1821" s="30">
        <v>45988.521527777775</v>
      </c>
    </row>
    <row r="1822" spans="1:46" x14ac:dyDescent="0.25">
      <c r="A1822" t="s">
        <v>1248</v>
      </c>
      <c r="B1822">
        <v>170485</v>
      </c>
      <c r="C1822">
        <v>119925</v>
      </c>
      <c r="D1822">
        <v>405</v>
      </c>
      <c r="E1822" t="s">
        <v>1265</v>
      </c>
      <c r="G1822">
        <v>745</v>
      </c>
      <c r="H1822">
        <v>1810</v>
      </c>
      <c r="K1822" s="29">
        <v>132723689</v>
      </c>
      <c r="L1822" s="29">
        <v>132723689</v>
      </c>
      <c r="M1822" s="29">
        <v>55301537</v>
      </c>
      <c r="N1822">
        <v>0</v>
      </c>
      <c r="O1822" s="29">
        <v>55301537</v>
      </c>
      <c r="P1822">
        <v>0</v>
      </c>
      <c r="Q1822">
        <v>0</v>
      </c>
      <c r="R1822">
        <v>0</v>
      </c>
      <c r="T1822" s="29">
        <v>1414554</v>
      </c>
      <c r="U1822" s="29">
        <v>183750000</v>
      </c>
      <c r="V1822" t="s">
        <v>1262</v>
      </c>
      <c r="W1822" t="s">
        <v>1262</v>
      </c>
      <c r="X1822" s="29">
        <v>183750000</v>
      </c>
      <c r="AA1822" s="30">
        <v>45701.333333333336</v>
      </c>
      <c r="AB1822" s="30">
        <v>45705.708333333336</v>
      </c>
      <c r="AC1822" s="30">
        <v>45701.333333333336</v>
      </c>
      <c r="AD1822" s="30">
        <v>45705.708333333336</v>
      </c>
      <c r="AE1822" s="30">
        <v>45701.333333333336</v>
      </c>
      <c r="AF1822" s="30">
        <v>45705.708333333336</v>
      </c>
      <c r="AG1822" t="s">
        <v>1266</v>
      </c>
      <c r="AK1822" t="s">
        <v>1265</v>
      </c>
      <c r="AL1822" t="s">
        <v>2884</v>
      </c>
      <c r="AM1822" t="s">
        <v>1263</v>
      </c>
      <c r="AN1822" t="s">
        <v>1262</v>
      </c>
      <c r="AO1822">
        <v>0</v>
      </c>
      <c r="AQ1822" t="s">
        <v>1261</v>
      </c>
      <c r="AR1822" t="s">
        <v>1260</v>
      </c>
      <c r="AS1822" t="s">
        <v>2716</v>
      </c>
      <c r="AT1822" s="30">
        <v>45988.521527777775</v>
      </c>
    </row>
    <row r="1823" spans="1:46" x14ac:dyDescent="0.25">
      <c r="A1823" t="s">
        <v>1248</v>
      </c>
      <c r="B1823">
        <v>170486</v>
      </c>
      <c r="C1823">
        <v>119926</v>
      </c>
      <c r="D1823">
        <v>405</v>
      </c>
      <c r="E1823" t="s">
        <v>1266</v>
      </c>
      <c r="G1823">
        <v>745</v>
      </c>
      <c r="H1823">
        <v>1810</v>
      </c>
      <c r="K1823" s="29">
        <v>132720296</v>
      </c>
      <c r="L1823" s="29">
        <v>132720296</v>
      </c>
      <c r="M1823" s="29">
        <v>553001233</v>
      </c>
      <c r="N1823">
        <v>0</v>
      </c>
      <c r="O1823" s="29">
        <v>553001233</v>
      </c>
      <c r="P1823">
        <v>0</v>
      </c>
      <c r="Q1823">
        <v>0</v>
      </c>
      <c r="R1823">
        <v>0</v>
      </c>
      <c r="T1823" s="29">
        <v>1414554</v>
      </c>
      <c r="U1823" s="29">
        <v>187740000</v>
      </c>
      <c r="V1823" t="s">
        <v>1262</v>
      </c>
      <c r="W1823" t="s">
        <v>1262</v>
      </c>
      <c r="X1823" s="29">
        <v>187740000</v>
      </c>
      <c r="AA1823" s="30">
        <v>45706.333333333336</v>
      </c>
      <c r="AB1823" s="30">
        <v>45708.708333333336</v>
      </c>
      <c r="AC1823" s="30">
        <v>45706.333333333336</v>
      </c>
      <c r="AD1823" s="30">
        <v>45708.708333333336</v>
      </c>
      <c r="AE1823" s="30">
        <v>45706.333333333336</v>
      </c>
      <c r="AF1823" s="30">
        <v>45708.708333333336</v>
      </c>
      <c r="AG1823" t="s">
        <v>1266</v>
      </c>
      <c r="AK1823" t="s">
        <v>1265</v>
      </c>
      <c r="AL1823" t="s">
        <v>2883</v>
      </c>
      <c r="AM1823" t="s">
        <v>1263</v>
      </c>
      <c r="AN1823" t="s">
        <v>1262</v>
      </c>
      <c r="AO1823">
        <v>0</v>
      </c>
      <c r="AQ1823" t="s">
        <v>1261</v>
      </c>
      <c r="AR1823" t="s">
        <v>1260</v>
      </c>
      <c r="AS1823" t="s">
        <v>2716</v>
      </c>
      <c r="AT1823" s="30">
        <v>45988.521527777775</v>
      </c>
    </row>
    <row r="1824" spans="1:46" x14ac:dyDescent="0.25">
      <c r="A1824" t="s">
        <v>1248</v>
      </c>
      <c r="B1824">
        <v>170487</v>
      </c>
      <c r="C1824">
        <v>119927</v>
      </c>
      <c r="D1824">
        <v>405</v>
      </c>
      <c r="E1824" t="s">
        <v>1266</v>
      </c>
      <c r="G1824">
        <v>745</v>
      </c>
      <c r="H1824">
        <v>1810</v>
      </c>
      <c r="K1824" s="29">
        <v>132720296</v>
      </c>
      <c r="L1824" s="29">
        <v>132720296</v>
      </c>
      <c r="M1824" s="29">
        <v>553001233</v>
      </c>
      <c r="N1824">
        <v>0</v>
      </c>
      <c r="O1824" s="29">
        <v>553001233</v>
      </c>
      <c r="P1824">
        <v>0</v>
      </c>
      <c r="Q1824">
        <v>0</v>
      </c>
      <c r="R1824">
        <v>0</v>
      </c>
      <c r="T1824" s="29">
        <v>1414554</v>
      </c>
      <c r="U1824" s="29">
        <v>187740000</v>
      </c>
      <c r="V1824" t="s">
        <v>1262</v>
      </c>
      <c r="W1824" t="s">
        <v>1262</v>
      </c>
      <c r="X1824" s="29">
        <v>187740000</v>
      </c>
      <c r="AA1824" s="30">
        <v>45709.333333333336</v>
      </c>
      <c r="AB1824" s="30">
        <v>45713.708333333336</v>
      </c>
      <c r="AC1824" s="30">
        <v>45709.333333333336</v>
      </c>
      <c r="AD1824" s="30">
        <v>45713.708333333336</v>
      </c>
      <c r="AE1824" s="30">
        <v>45709.333333333336</v>
      </c>
      <c r="AF1824" s="30">
        <v>45713.708333333336</v>
      </c>
      <c r="AG1824" t="s">
        <v>1266</v>
      </c>
      <c r="AK1824" t="s">
        <v>1265</v>
      </c>
      <c r="AL1824" t="s">
        <v>2882</v>
      </c>
      <c r="AM1824" t="s">
        <v>1263</v>
      </c>
      <c r="AN1824" t="s">
        <v>1262</v>
      </c>
      <c r="AO1824">
        <v>0</v>
      </c>
      <c r="AQ1824" t="s">
        <v>1261</v>
      </c>
      <c r="AR1824" t="s">
        <v>1260</v>
      </c>
      <c r="AS1824" t="s">
        <v>2716</v>
      </c>
      <c r="AT1824" s="30">
        <v>45988.521527777775</v>
      </c>
    </row>
    <row r="1825" spans="1:46" x14ac:dyDescent="0.25">
      <c r="A1825" t="s">
        <v>1248</v>
      </c>
      <c r="B1825">
        <v>170488</v>
      </c>
      <c r="C1825">
        <v>119928</v>
      </c>
      <c r="D1825">
        <v>405</v>
      </c>
      <c r="E1825" t="s">
        <v>1266</v>
      </c>
      <c r="G1825">
        <v>745</v>
      </c>
      <c r="H1825">
        <v>1810</v>
      </c>
      <c r="K1825" s="29">
        <v>132720296</v>
      </c>
      <c r="L1825" s="29">
        <v>132720296</v>
      </c>
      <c r="M1825" s="29">
        <v>553001233</v>
      </c>
      <c r="N1825">
        <v>0</v>
      </c>
      <c r="O1825" s="29">
        <v>553001233</v>
      </c>
      <c r="P1825">
        <v>0</v>
      </c>
      <c r="Q1825">
        <v>0</v>
      </c>
      <c r="R1825">
        <v>0</v>
      </c>
      <c r="T1825" s="29">
        <v>1414554</v>
      </c>
      <c r="U1825" s="29">
        <v>187740000</v>
      </c>
      <c r="V1825" t="s">
        <v>1262</v>
      </c>
      <c r="W1825" t="s">
        <v>1262</v>
      </c>
      <c r="X1825" s="29">
        <v>187740000</v>
      </c>
      <c r="AA1825" s="30">
        <v>45714.333333333336</v>
      </c>
      <c r="AB1825" s="30">
        <v>45716.708333333336</v>
      </c>
      <c r="AC1825" s="30">
        <v>45714.333333333336</v>
      </c>
      <c r="AD1825" s="30">
        <v>45716.708333333336</v>
      </c>
      <c r="AE1825" s="30">
        <v>45714.333333333336</v>
      </c>
      <c r="AF1825" s="30">
        <v>45716.708333333336</v>
      </c>
      <c r="AG1825" t="s">
        <v>1266</v>
      </c>
      <c r="AK1825" t="s">
        <v>1265</v>
      </c>
      <c r="AL1825" t="s">
        <v>2881</v>
      </c>
      <c r="AM1825" t="s">
        <v>1263</v>
      </c>
      <c r="AN1825" t="s">
        <v>1262</v>
      </c>
      <c r="AO1825">
        <v>0</v>
      </c>
      <c r="AQ1825" t="s">
        <v>1261</v>
      </c>
      <c r="AR1825" t="s">
        <v>1260</v>
      </c>
      <c r="AS1825" t="s">
        <v>2716</v>
      </c>
      <c r="AT1825" s="30">
        <v>45988.521527777775</v>
      </c>
    </row>
    <row r="1826" spans="1:46" x14ac:dyDescent="0.25">
      <c r="A1826" t="s">
        <v>1248</v>
      </c>
      <c r="B1826">
        <v>170489</v>
      </c>
      <c r="C1826">
        <v>119929</v>
      </c>
      <c r="D1826">
        <v>405</v>
      </c>
      <c r="E1826" t="s">
        <v>1266</v>
      </c>
      <c r="G1826">
        <v>745</v>
      </c>
      <c r="H1826">
        <v>1810</v>
      </c>
      <c r="K1826" s="29">
        <v>132720296</v>
      </c>
      <c r="L1826" s="29">
        <v>132720296</v>
      </c>
      <c r="M1826" s="29">
        <v>553001233</v>
      </c>
      <c r="N1826">
        <v>0</v>
      </c>
      <c r="O1826" s="29">
        <v>553001233</v>
      </c>
      <c r="P1826">
        <v>0</v>
      </c>
      <c r="Q1826">
        <v>0</v>
      </c>
      <c r="R1826">
        <v>0</v>
      </c>
      <c r="T1826" s="29">
        <v>1414554</v>
      </c>
      <c r="U1826" s="29">
        <v>187740000</v>
      </c>
      <c r="V1826" t="s">
        <v>1262</v>
      </c>
      <c r="W1826" t="s">
        <v>1262</v>
      </c>
      <c r="X1826" s="29">
        <v>187740000</v>
      </c>
      <c r="AA1826" s="30">
        <v>45719.333333333336</v>
      </c>
      <c r="AB1826" s="30">
        <v>45721.708333333336</v>
      </c>
      <c r="AC1826" s="30">
        <v>45719.333333333336</v>
      </c>
      <c r="AD1826" s="30">
        <v>45721.708333333336</v>
      </c>
      <c r="AE1826" s="30">
        <v>45719.333333333336</v>
      </c>
      <c r="AF1826" s="30">
        <v>45721.708333333336</v>
      </c>
      <c r="AG1826" t="s">
        <v>1266</v>
      </c>
      <c r="AK1826" t="s">
        <v>1265</v>
      </c>
      <c r="AL1826" t="s">
        <v>2880</v>
      </c>
      <c r="AM1826" t="s">
        <v>1263</v>
      </c>
      <c r="AN1826" t="s">
        <v>1262</v>
      </c>
      <c r="AO1826">
        <v>0</v>
      </c>
      <c r="AQ1826" t="s">
        <v>1261</v>
      </c>
      <c r="AR1826" t="s">
        <v>1260</v>
      </c>
      <c r="AS1826" t="s">
        <v>2716</v>
      </c>
      <c r="AT1826" s="30">
        <v>45988.521527777775</v>
      </c>
    </row>
    <row r="1827" spans="1:46" x14ac:dyDescent="0.25">
      <c r="A1827" t="s">
        <v>1248</v>
      </c>
      <c r="B1827">
        <v>170490</v>
      </c>
      <c r="C1827">
        <v>119930</v>
      </c>
      <c r="D1827">
        <v>405</v>
      </c>
      <c r="E1827" t="s">
        <v>1266</v>
      </c>
      <c r="G1827">
        <v>745</v>
      </c>
      <c r="H1827">
        <v>1810</v>
      </c>
      <c r="K1827" s="29">
        <v>132720296</v>
      </c>
      <c r="L1827" s="29">
        <v>132720296</v>
      </c>
      <c r="M1827" s="29">
        <v>553001233</v>
      </c>
      <c r="N1827">
        <v>0</v>
      </c>
      <c r="O1827" s="29">
        <v>553001233</v>
      </c>
      <c r="P1827">
        <v>0</v>
      </c>
      <c r="Q1827">
        <v>0</v>
      </c>
      <c r="R1827">
        <v>0</v>
      </c>
      <c r="T1827" s="29">
        <v>1414554</v>
      </c>
      <c r="U1827" s="29">
        <v>187740000</v>
      </c>
      <c r="V1827" t="s">
        <v>1262</v>
      </c>
      <c r="W1827" t="s">
        <v>1262</v>
      </c>
      <c r="X1827" s="29">
        <v>187740000</v>
      </c>
      <c r="AA1827" s="30">
        <v>45722.333333333336</v>
      </c>
      <c r="AB1827" s="30">
        <v>45726.708333333336</v>
      </c>
      <c r="AC1827" s="30">
        <v>45722.333333333336</v>
      </c>
      <c r="AD1827" s="30">
        <v>45726.708333333336</v>
      </c>
      <c r="AE1827" s="30">
        <v>45722.333333333336</v>
      </c>
      <c r="AF1827" s="30">
        <v>45726.708333333336</v>
      </c>
      <c r="AG1827" t="s">
        <v>1266</v>
      </c>
      <c r="AK1827" t="s">
        <v>1265</v>
      </c>
      <c r="AL1827" t="s">
        <v>2879</v>
      </c>
      <c r="AM1827" t="s">
        <v>1263</v>
      </c>
      <c r="AN1827" t="s">
        <v>1262</v>
      </c>
      <c r="AO1827">
        <v>0</v>
      </c>
      <c r="AQ1827" t="s">
        <v>1261</v>
      </c>
      <c r="AR1827" t="s">
        <v>1260</v>
      </c>
      <c r="AS1827" t="s">
        <v>2716</v>
      </c>
      <c r="AT1827" s="30">
        <v>45988.521527777775</v>
      </c>
    </row>
    <row r="1828" spans="1:46" x14ac:dyDescent="0.25">
      <c r="A1828" t="s">
        <v>1248</v>
      </c>
      <c r="B1828">
        <v>170491</v>
      </c>
      <c r="C1828">
        <v>119931</v>
      </c>
      <c r="D1828">
        <v>405</v>
      </c>
      <c r="E1828" t="s">
        <v>1266</v>
      </c>
      <c r="G1828">
        <v>745</v>
      </c>
      <c r="H1828">
        <v>1810</v>
      </c>
      <c r="K1828" s="29">
        <v>132720296</v>
      </c>
      <c r="L1828" s="29">
        <v>132720296</v>
      </c>
      <c r="M1828" s="29">
        <v>553001233</v>
      </c>
      <c r="N1828">
        <v>0</v>
      </c>
      <c r="O1828" s="29">
        <v>553001233</v>
      </c>
      <c r="P1828">
        <v>0</v>
      </c>
      <c r="Q1828">
        <v>0</v>
      </c>
      <c r="R1828">
        <v>0</v>
      </c>
      <c r="T1828" s="29">
        <v>1414554</v>
      </c>
      <c r="U1828" s="29">
        <v>187740000</v>
      </c>
      <c r="V1828" t="s">
        <v>1262</v>
      </c>
      <c r="W1828" t="s">
        <v>1262</v>
      </c>
      <c r="X1828" s="29">
        <v>187740000</v>
      </c>
      <c r="AA1828" s="30">
        <v>45727.333333333336</v>
      </c>
      <c r="AB1828" s="30">
        <v>45729.708333333336</v>
      </c>
      <c r="AC1828" s="30">
        <v>45727.333333333336</v>
      </c>
      <c r="AD1828" s="30">
        <v>45729.708333333336</v>
      </c>
      <c r="AE1828" s="30">
        <v>45727.333333333336</v>
      </c>
      <c r="AF1828" s="30">
        <v>45729.708333333336</v>
      </c>
      <c r="AG1828" t="s">
        <v>1266</v>
      </c>
      <c r="AK1828" t="s">
        <v>1265</v>
      </c>
      <c r="AL1828" t="s">
        <v>2878</v>
      </c>
      <c r="AM1828" t="s">
        <v>1263</v>
      </c>
      <c r="AN1828" t="s">
        <v>1262</v>
      </c>
      <c r="AO1828">
        <v>0</v>
      </c>
      <c r="AQ1828" t="s">
        <v>1261</v>
      </c>
      <c r="AR1828" t="s">
        <v>1260</v>
      </c>
      <c r="AS1828" t="s">
        <v>2716</v>
      </c>
      <c r="AT1828" s="30">
        <v>45988.521527777775</v>
      </c>
    </row>
    <row r="1829" spans="1:46" x14ac:dyDescent="0.25">
      <c r="A1829" t="s">
        <v>1248</v>
      </c>
      <c r="B1829">
        <v>170492</v>
      </c>
      <c r="C1829">
        <v>119932</v>
      </c>
      <c r="D1829">
        <v>405</v>
      </c>
      <c r="E1829" t="s">
        <v>1266</v>
      </c>
      <c r="G1829">
        <v>745</v>
      </c>
      <c r="H1829">
        <v>1810</v>
      </c>
      <c r="K1829" s="29">
        <v>132720296</v>
      </c>
      <c r="L1829" s="29">
        <v>132720296</v>
      </c>
      <c r="M1829" s="29">
        <v>553001233</v>
      </c>
      <c r="N1829">
        <v>0</v>
      </c>
      <c r="O1829" s="29">
        <v>553001233</v>
      </c>
      <c r="P1829">
        <v>0</v>
      </c>
      <c r="Q1829">
        <v>0</v>
      </c>
      <c r="R1829">
        <v>0</v>
      </c>
      <c r="T1829" s="29">
        <v>1414554</v>
      </c>
      <c r="U1829" s="29">
        <v>187740000</v>
      </c>
      <c r="V1829" t="s">
        <v>1262</v>
      </c>
      <c r="W1829" t="s">
        <v>1262</v>
      </c>
      <c r="X1829" s="29">
        <v>187740000</v>
      </c>
      <c r="AA1829" s="30">
        <v>45730.333333333336</v>
      </c>
      <c r="AB1829" s="30">
        <v>45734.708333333336</v>
      </c>
      <c r="AC1829" s="30">
        <v>45730.333333333336</v>
      </c>
      <c r="AD1829" s="30">
        <v>45734.708333333336</v>
      </c>
      <c r="AE1829" s="30">
        <v>45730.333333333336</v>
      </c>
      <c r="AF1829" s="30">
        <v>45734.708333333336</v>
      </c>
      <c r="AG1829" t="s">
        <v>1266</v>
      </c>
      <c r="AK1829" t="s">
        <v>1265</v>
      </c>
      <c r="AL1829" t="s">
        <v>2877</v>
      </c>
      <c r="AM1829" t="s">
        <v>1263</v>
      </c>
      <c r="AN1829" t="s">
        <v>1262</v>
      </c>
      <c r="AO1829">
        <v>0</v>
      </c>
      <c r="AQ1829" t="s">
        <v>1261</v>
      </c>
      <c r="AR1829" t="s">
        <v>1260</v>
      </c>
      <c r="AS1829" t="s">
        <v>2716</v>
      </c>
      <c r="AT1829" s="30">
        <v>45988.521527777775</v>
      </c>
    </row>
    <row r="1830" spans="1:46" x14ac:dyDescent="0.25">
      <c r="A1830" t="s">
        <v>1248</v>
      </c>
      <c r="B1830">
        <v>170493</v>
      </c>
      <c r="C1830">
        <v>119933</v>
      </c>
      <c r="D1830">
        <v>405</v>
      </c>
      <c r="E1830" t="s">
        <v>1266</v>
      </c>
      <c r="G1830">
        <v>745</v>
      </c>
      <c r="H1830">
        <v>1810</v>
      </c>
      <c r="K1830" s="29">
        <v>132720296</v>
      </c>
      <c r="L1830" s="29">
        <v>132720296</v>
      </c>
      <c r="M1830" s="29">
        <v>553001233</v>
      </c>
      <c r="N1830">
        <v>0</v>
      </c>
      <c r="O1830" s="29">
        <v>553001233</v>
      </c>
      <c r="P1830">
        <v>0</v>
      </c>
      <c r="Q1830">
        <v>0</v>
      </c>
      <c r="R1830">
        <v>0</v>
      </c>
      <c r="T1830" s="29">
        <v>1414554</v>
      </c>
      <c r="U1830" s="29">
        <v>187740000</v>
      </c>
      <c r="V1830" t="s">
        <v>1262</v>
      </c>
      <c r="W1830" t="s">
        <v>1262</v>
      </c>
      <c r="X1830" s="29">
        <v>187740000</v>
      </c>
      <c r="AA1830" s="30">
        <v>45735.333333333336</v>
      </c>
      <c r="AB1830" s="30">
        <v>45737.708333333336</v>
      </c>
      <c r="AC1830" s="30">
        <v>45735.333333333336</v>
      </c>
      <c r="AD1830" s="30">
        <v>45737.708333333336</v>
      </c>
      <c r="AE1830" s="30">
        <v>45735.333333333336</v>
      </c>
      <c r="AF1830" s="30">
        <v>45737.708333333336</v>
      </c>
      <c r="AG1830" t="s">
        <v>1266</v>
      </c>
      <c r="AK1830" t="s">
        <v>1265</v>
      </c>
      <c r="AL1830" t="s">
        <v>2876</v>
      </c>
      <c r="AM1830" t="s">
        <v>1263</v>
      </c>
      <c r="AN1830" t="s">
        <v>1262</v>
      </c>
      <c r="AO1830">
        <v>0</v>
      </c>
      <c r="AQ1830" t="s">
        <v>1261</v>
      </c>
      <c r="AR1830" t="s">
        <v>1260</v>
      </c>
      <c r="AS1830" t="s">
        <v>2716</v>
      </c>
      <c r="AT1830" s="30">
        <v>45988.521527777775</v>
      </c>
    </row>
    <row r="1831" spans="1:46" x14ac:dyDescent="0.25">
      <c r="A1831" t="s">
        <v>1248</v>
      </c>
      <c r="B1831">
        <v>170494</v>
      </c>
      <c r="C1831">
        <v>119934</v>
      </c>
      <c r="D1831">
        <v>405</v>
      </c>
      <c r="E1831" t="s">
        <v>1266</v>
      </c>
      <c r="G1831">
        <v>745</v>
      </c>
      <c r="H1831">
        <v>1810</v>
      </c>
      <c r="K1831" s="29">
        <v>132720296</v>
      </c>
      <c r="L1831" s="29">
        <v>132720296</v>
      </c>
      <c r="M1831" s="29">
        <v>553001233</v>
      </c>
      <c r="N1831">
        <v>0</v>
      </c>
      <c r="O1831" s="29">
        <v>553001233</v>
      </c>
      <c r="P1831">
        <v>0</v>
      </c>
      <c r="Q1831">
        <v>0</v>
      </c>
      <c r="R1831">
        <v>0</v>
      </c>
      <c r="T1831" s="29">
        <v>1414554</v>
      </c>
      <c r="U1831" s="29">
        <v>187740000</v>
      </c>
      <c r="V1831" t="s">
        <v>1262</v>
      </c>
      <c r="W1831" t="s">
        <v>1262</v>
      </c>
      <c r="X1831" s="29">
        <v>187740000</v>
      </c>
      <c r="AA1831" s="30">
        <v>45740.333333333336</v>
      </c>
      <c r="AB1831" s="30">
        <v>45742.708333333336</v>
      </c>
      <c r="AC1831" s="30">
        <v>45740.333333333336</v>
      </c>
      <c r="AD1831" s="30">
        <v>45742.708333333336</v>
      </c>
      <c r="AE1831" s="30">
        <v>45740.333333333336</v>
      </c>
      <c r="AF1831" s="30">
        <v>45742.708333333336</v>
      </c>
      <c r="AG1831" t="s">
        <v>1266</v>
      </c>
      <c r="AK1831" t="s">
        <v>1265</v>
      </c>
      <c r="AL1831" t="s">
        <v>2875</v>
      </c>
      <c r="AM1831" t="s">
        <v>1263</v>
      </c>
      <c r="AN1831" t="s">
        <v>1262</v>
      </c>
      <c r="AO1831">
        <v>0</v>
      </c>
      <c r="AQ1831" t="s">
        <v>1261</v>
      </c>
      <c r="AR1831" t="s">
        <v>1260</v>
      </c>
      <c r="AS1831" t="s">
        <v>2716</v>
      </c>
      <c r="AT1831" s="30">
        <v>45988.521527777775</v>
      </c>
    </row>
    <row r="1832" spans="1:46" x14ac:dyDescent="0.25">
      <c r="A1832" t="s">
        <v>1248</v>
      </c>
      <c r="B1832">
        <v>170495</v>
      </c>
      <c r="C1832">
        <v>119935</v>
      </c>
      <c r="D1832">
        <v>405</v>
      </c>
      <c r="E1832" t="s">
        <v>1266</v>
      </c>
      <c r="G1832">
        <v>745</v>
      </c>
      <c r="H1832">
        <v>1810</v>
      </c>
      <c r="K1832" s="29">
        <v>132720296</v>
      </c>
      <c r="L1832" s="29">
        <v>132720296</v>
      </c>
      <c r="M1832" s="29">
        <v>553001233</v>
      </c>
      <c r="N1832">
        <v>0</v>
      </c>
      <c r="O1832" s="29">
        <v>553001233</v>
      </c>
      <c r="P1832">
        <v>0</v>
      </c>
      <c r="Q1832">
        <v>0</v>
      </c>
      <c r="R1832">
        <v>0</v>
      </c>
      <c r="T1832" s="29">
        <v>1414554</v>
      </c>
      <c r="U1832" s="29">
        <v>187740000</v>
      </c>
      <c r="V1832" t="s">
        <v>1262</v>
      </c>
      <c r="W1832" t="s">
        <v>1262</v>
      </c>
      <c r="X1832" s="29">
        <v>187740000</v>
      </c>
      <c r="AA1832" s="30">
        <v>45743.333333333336</v>
      </c>
      <c r="AB1832" s="30">
        <v>45747.708333333336</v>
      </c>
      <c r="AC1832" s="30">
        <v>45743.333333333336</v>
      </c>
      <c r="AD1832" s="30">
        <v>45747.708333333336</v>
      </c>
      <c r="AE1832" s="30">
        <v>45743.333333333336</v>
      </c>
      <c r="AF1832" s="30">
        <v>45747.708333333336</v>
      </c>
      <c r="AG1832" t="s">
        <v>1266</v>
      </c>
      <c r="AK1832" t="s">
        <v>1265</v>
      </c>
      <c r="AL1832" t="s">
        <v>2874</v>
      </c>
      <c r="AM1832" t="s">
        <v>1263</v>
      </c>
      <c r="AN1832" t="s">
        <v>1262</v>
      </c>
      <c r="AO1832">
        <v>0</v>
      </c>
      <c r="AQ1832" t="s">
        <v>1261</v>
      </c>
      <c r="AR1832" t="s">
        <v>1260</v>
      </c>
      <c r="AS1832" t="s">
        <v>2716</v>
      </c>
      <c r="AT1832" s="30">
        <v>45988.521527777775</v>
      </c>
    </row>
    <row r="1833" spans="1:46" x14ac:dyDescent="0.25">
      <c r="A1833" t="s">
        <v>1248</v>
      </c>
      <c r="B1833">
        <v>170496</v>
      </c>
      <c r="C1833">
        <v>119936</v>
      </c>
      <c r="D1833">
        <v>405</v>
      </c>
      <c r="E1833" t="s">
        <v>1266</v>
      </c>
      <c r="G1833">
        <v>745</v>
      </c>
      <c r="H1833">
        <v>1810</v>
      </c>
      <c r="K1833" s="29">
        <v>132720296</v>
      </c>
      <c r="L1833" s="29">
        <v>132720296</v>
      </c>
      <c r="M1833" s="29">
        <v>553001233</v>
      </c>
      <c r="N1833">
        <v>0</v>
      </c>
      <c r="O1833" s="29">
        <v>553001233</v>
      </c>
      <c r="P1833">
        <v>0</v>
      </c>
      <c r="Q1833">
        <v>0</v>
      </c>
      <c r="R1833">
        <v>0</v>
      </c>
      <c r="T1833" s="29">
        <v>1414554</v>
      </c>
      <c r="U1833" s="29">
        <v>187740000</v>
      </c>
      <c r="V1833" t="s">
        <v>1262</v>
      </c>
      <c r="W1833" t="s">
        <v>1262</v>
      </c>
      <c r="X1833" s="29">
        <v>187740000</v>
      </c>
      <c r="AA1833" s="30">
        <v>45748.333333333336</v>
      </c>
      <c r="AB1833" s="30">
        <v>45750.708333333336</v>
      </c>
      <c r="AC1833" s="30">
        <v>45748.333333333336</v>
      </c>
      <c r="AD1833" s="30">
        <v>45750.708333333336</v>
      </c>
      <c r="AE1833" s="30">
        <v>45748.333333333336</v>
      </c>
      <c r="AF1833" s="30">
        <v>45750.708333333336</v>
      </c>
      <c r="AG1833" t="s">
        <v>1266</v>
      </c>
      <c r="AK1833" t="s">
        <v>1265</v>
      </c>
      <c r="AL1833" t="s">
        <v>2873</v>
      </c>
      <c r="AM1833" t="s">
        <v>1263</v>
      </c>
      <c r="AN1833" t="s">
        <v>1262</v>
      </c>
      <c r="AO1833">
        <v>0</v>
      </c>
      <c r="AQ1833" t="s">
        <v>1261</v>
      </c>
      <c r="AR1833" t="s">
        <v>1260</v>
      </c>
      <c r="AS1833" t="s">
        <v>2716</v>
      </c>
      <c r="AT1833" s="30">
        <v>45988.521527777775</v>
      </c>
    </row>
    <row r="1834" spans="1:46" x14ac:dyDescent="0.25">
      <c r="A1834" t="s">
        <v>1248</v>
      </c>
      <c r="B1834">
        <v>170497</v>
      </c>
      <c r="C1834">
        <v>119937</v>
      </c>
      <c r="D1834">
        <v>405</v>
      </c>
      <c r="E1834" t="s">
        <v>1266</v>
      </c>
      <c r="G1834">
        <v>745</v>
      </c>
      <c r="H1834">
        <v>1810</v>
      </c>
      <c r="K1834" s="29">
        <v>132720296</v>
      </c>
      <c r="L1834" s="29">
        <v>132720296</v>
      </c>
      <c r="M1834" s="29">
        <v>553001233</v>
      </c>
      <c r="N1834">
        <v>0</v>
      </c>
      <c r="O1834" s="29">
        <v>553001233</v>
      </c>
      <c r="P1834">
        <v>0</v>
      </c>
      <c r="Q1834">
        <v>0</v>
      </c>
      <c r="R1834">
        <v>0</v>
      </c>
      <c r="T1834" s="29">
        <v>1414554</v>
      </c>
      <c r="U1834" s="29">
        <v>187740000</v>
      </c>
      <c r="V1834" t="s">
        <v>1262</v>
      </c>
      <c r="W1834" t="s">
        <v>1262</v>
      </c>
      <c r="X1834" s="29">
        <v>187740000</v>
      </c>
      <c r="AA1834" s="30">
        <v>45751.333333333336</v>
      </c>
      <c r="AB1834" s="30">
        <v>45755.708333333336</v>
      </c>
      <c r="AC1834" s="30">
        <v>45751.333333333336</v>
      </c>
      <c r="AD1834" s="30">
        <v>45755.708333333336</v>
      </c>
      <c r="AE1834" s="30">
        <v>45751.333333333336</v>
      </c>
      <c r="AF1834" s="30">
        <v>45755.708333333336</v>
      </c>
      <c r="AG1834" t="s">
        <v>1266</v>
      </c>
      <c r="AK1834" t="s">
        <v>1265</v>
      </c>
      <c r="AL1834" t="s">
        <v>2872</v>
      </c>
      <c r="AM1834" t="s">
        <v>1263</v>
      </c>
      <c r="AN1834" t="s">
        <v>1262</v>
      </c>
      <c r="AO1834">
        <v>0</v>
      </c>
      <c r="AQ1834" t="s">
        <v>1261</v>
      </c>
      <c r="AR1834" t="s">
        <v>1260</v>
      </c>
      <c r="AS1834" t="s">
        <v>2716</v>
      </c>
      <c r="AT1834" s="30">
        <v>45988.521527777775</v>
      </c>
    </row>
    <row r="1835" spans="1:46" x14ac:dyDescent="0.25">
      <c r="A1835" t="s">
        <v>1248</v>
      </c>
      <c r="B1835">
        <v>170498</v>
      </c>
      <c r="C1835">
        <v>119938</v>
      </c>
      <c r="D1835">
        <v>405</v>
      </c>
      <c r="E1835" t="s">
        <v>1266</v>
      </c>
      <c r="G1835">
        <v>745</v>
      </c>
      <c r="H1835">
        <v>1810</v>
      </c>
      <c r="K1835" s="29">
        <v>132720296</v>
      </c>
      <c r="L1835" s="29">
        <v>132720296</v>
      </c>
      <c r="M1835" s="29">
        <v>553001233</v>
      </c>
      <c r="N1835">
        <v>0</v>
      </c>
      <c r="O1835" s="29">
        <v>553001233</v>
      </c>
      <c r="P1835">
        <v>0</v>
      </c>
      <c r="Q1835">
        <v>0</v>
      </c>
      <c r="R1835">
        <v>0</v>
      </c>
      <c r="T1835" s="29">
        <v>1414554</v>
      </c>
      <c r="U1835" s="29">
        <v>187740000</v>
      </c>
      <c r="V1835" t="s">
        <v>1262</v>
      </c>
      <c r="W1835" t="s">
        <v>1262</v>
      </c>
      <c r="X1835" s="29">
        <v>187740000</v>
      </c>
      <c r="AA1835" s="30">
        <v>45756.333333333336</v>
      </c>
      <c r="AB1835" s="30">
        <v>45758.708333333336</v>
      </c>
      <c r="AC1835" s="30">
        <v>45756.333333333336</v>
      </c>
      <c r="AD1835" s="30">
        <v>45758.708333333336</v>
      </c>
      <c r="AE1835" s="30">
        <v>45756.333333333336</v>
      </c>
      <c r="AF1835" s="30">
        <v>45758.708333333336</v>
      </c>
      <c r="AG1835" t="s">
        <v>1266</v>
      </c>
      <c r="AK1835" t="s">
        <v>1265</v>
      </c>
      <c r="AL1835" t="s">
        <v>2871</v>
      </c>
      <c r="AM1835" t="s">
        <v>1263</v>
      </c>
      <c r="AN1835" t="s">
        <v>1262</v>
      </c>
      <c r="AO1835">
        <v>0</v>
      </c>
      <c r="AQ1835" t="s">
        <v>1261</v>
      </c>
      <c r="AR1835" t="s">
        <v>1260</v>
      </c>
      <c r="AS1835" t="s">
        <v>2716</v>
      </c>
      <c r="AT1835" s="30">
        <v>45988.521527777775</v>
      </c>
    </row>
    <row r="1836" spans="1:46" x14ac:dyDescent="0.25">
      <c r="A1836" t="s">
        <v>1248</v>
      </c>
      <c r="B1836">
        <v>170499</v>
      </c>
      <c r="C1836">
        <v>119939</v>
      </c>
      <c r="D1836">
        <v>405</v>
      </c>
      <c r="E1836" t="s">
        <v>1266</v>
      </c>
      <c r="G1836">
        <v>745</v>
      </c>
      <c r="H1836">
        <v>1810</v>
      </c>
      <c r="K1836" s="29">
        <v>132720296</v>
      </c>
      <c r="L1836" s="29">
        <v>132720296</v>
      </c>
      <c r="M1836" s="29">
        <v>553001233</v>
      </c>
      <c r="N1836">
        <v>0</v>
      </c>
      <c r="O1836" s="29">
        <v>553001233</v>
      </c>
      <c r="P1836">
        <v>0</v>
      </c>
      <c r="Q1836">
        <v>0</v>
      </c>
      <c r="R1836">
        <v>0</v>
      </c>
      <c r="T1836" s="29">
        <v>1414554</v>
      </c>
      <c r="U1836" s="29">
        <v>187740000</v>
      </c>
      <c r="V1836" t="s">
        <v>1262</v>
      </c>
      <c r="W1836" t="s">
        <v>1262</v>
      </c>
      <c r="X1836" s="29">
        <v>187740000</v>
      </c>
      <c r="AA1836" s="30">
        <v>45761.333333333336</v>
      </c>
      <c r="AB1836" s="30">
        <v>45763.708333333336</v>
      </c>
      <c r="AC1836" s="30">
        <v>45761.333333333336</v>
      </c>
      <c r="AD1836" s="30">
        <v>45763.708333333336</v>
      </c>
      <c r="AE1836" s="30">
        <v>45761.333333333336</v>
      </c>
      <c r="AF1836" s="30">
        <v>45763.708333333336</v>
      </c>
      <c r="AG1836" t="s">
        <v>1266</v>
      </c>
      <c r="AK1836" t="s">
        <v>1265</v>
      </c>
      <c r="AL1836" t="s">
        <v>2870</v>
      </c>
      <c r="AM1836" t="s">
        <v>1263</v>
      </c>
      <c r="AN1836" t="s">
        <v>1262</v>
      </c>
      <c r="AO1836">
        <v>0</v>
      </c>
      <c r="AQ1836" t="s">
        <v>1261</v>
      </c>
      <c r="AR1836" t="s">
        <v>1260</v>
      </c>
      <c r="AS1836" t="s">
        <v>2716</v>
      </c>
      <c r="AT1836" s="30">
        <v>45988.521527777775</v>
      </c>
    </row>
    <row r="1837" spans="1:46" x14ac:dyDescent="0.25">
      <c r="A1837" t="s">
        <v>1248</v>
      </c>
      <c r="B1837">
        <v>170500</v>
      </c>
      <c r="C1837">
        <v>119940</v>
      </c>
      <c r="D1837">
        <v>405</v>
      </c>
      <c r="E1837" t="s">
        <v>1266</v>
      </c>
      <c r="G1837">
        <v>745</v>
      </c>
      <c r="H1837">
        <v>1810</v>
      </c>
      <c r="K1837" s="29">
        <v>132720296</v>
      </c>
      <c r="L1837" s="29">
        <v>132720296</v>
      </c>
      <c r="M1837" s="29">
        <v>553001233</v>
      </c>
      <c r="N1837">
        <v>0</v>
      </c>
      <c r="O1837" s="29">
        <v>553001233</v>
      </c>
      <c r="P1837">
        <v>0</v>
      </c>
      <c r="Q1837">
        <v>0</v>
      </c>
      <c r="R1837">
        <v>0</v>
      </c>
      <c r="T1837" s="29">
        <v>1414554</v>
      </c>
      <c r="U1837" s="29">
        <v>187740000</v>
      </c>
      <c r="V1837" t="s">
        <v>1262</v>
      </c>
      <c r="W1837" t="s">
        <v>1262</v>
      </c>
      <c r="X1837" s="29">
        <v>187740000</v>
      </c>
      <c r="AA1837" s="30">
        <v>45764.333333333336</v>
      </c>
      <c r="AB1837" s="30">
        <v>45768.708333333336</v>
      </c>
      <c r="AC1837" s="30">
        <v>45764.333333333336</v>
      </c>
      <c r="AD1837" s="30">
        <v>45768.708333333336</v>
      </c>
      <c r="AE1837" s="30">
        <v>45764.333333333336</v>
      </c>
      <c r="AF1837" s="30">
        <v>45768.708333333336</v>
      </c>
      <c r="AG1837" t="s">
        <v>1266</v>
      </c>
      <c r="AK1837" t="s">
        <v>1265</v>
      </c>
      <c r="AL1837" t="s">
        <v>2869</v>
      </c>
      <c r="AM1837" t="s">
        <v>1263</v>
      </c>
      <c r="AN1837" t="s">
        <v>1262</v>
      </c>
      <c r="AO1837">
        <v>0</v>
      </c>
      <c r="AQ1837" t="s">
        <v>1261</v>
      </c>
      <c r="AR1837" t="s">
        <v>1260</v>
      </c>
      <c r="AS1837" t="s">
        <v>2716</v>
      </c>
      <c r="AT1837" s="30">
        <v>45988.521527777775</v>
      </c>
    </row>
    <row r="1838" spans="1:46" x14ac:dyDescent="0.25">
      <c r="A1838" t="s">
        <v>1248</v>
      </c>
      <c r="B1838">
        <v>170501</v>
      </c>
      <c r="C1838">
        <v>119941</v>
      </c>
      <c r="D1838">
        <v>405</v>
      </c>
      <c r="E1838" t="s">
        <v>1266</v>
      </c>
      <c r="G1838">
        <v>745</v>
      </c>
      <c r="H1838">
        <v>1810</v>
      </c>
      <c r="K1838" s="29">
        <v>132720296</v>
      </c>
      <c r="L1838" s="29">
        <v>132720296</v>
      </c>
      <c r="M1838" s="29">
        <v>553001233</v>
      </c>
      <c r="N1838">
        <v>0</v>
      </c>
      <c r="O1838" s="29">
        <v>553001233</v>
      </c>
      <c r="P1838">
        <v>0</v>
      </c>
      <c r="Q1838">
        <v>0</v>
      </c>
      <c r="R1838">
        <v>0</v>
      </c>
      <c r="T1838" s="29">
        <v>1414554</v>
      </c>
      <c r="U1838" s="29">
        <v>187740000</v>
      </c>
      <c r="V1838" t="s">
        <v>1262</v>
      </c>
      <c r="W1838" t="s">
        <v>1262</v>
      </c>
      <c r="X1838" s="29">
        <v>187740000</v>
      </c>
      <c r="AA1838" s="30">
        <v>45769.333333333336</v>
      </c>
      <c r="AB1838" s="30">
        <v>45771.708333333336</v>
      </c>
      <c r="AC1838" s="30">
        <v>45769.333333333336</v>
      </c>
      <c r="AD1838" s="30">
        <v>45771.708333333336</v>
      </c>
      <c r="AE1838" s="30">
        <v>45769.333333333336</v>
      </c>
      <c r="AF1838" s="30">
        <v>45771.708333333336</v>
      </c>
      <c r="AG1838" t="s">
        <v>1266</v>
      </c>
      <c r="AK1838" t="s">
        <v>1265</v>
      </c>
      <c r="AL1838" t="s">
        <v>2868</v>
      </c>
      <c r="AM1838" t="s">
        <v>1263</v>
      </c>
      <c r="AN1838" t="s">
        <v>1262</v>
      </c>
      <c r="AO1838">
        <v>0</v>
      </c>
      <c r="AQ1838" t="s">
        <v>1261</v>
      </c>
      <c r="AR1838" t="s">
        <v>1260</v>
      </c>
      <c r="AS1838" t="s">
        <v>2716</v>
      </c>
      <c r="AT1838" s="30">
        <v>45988.521527777775</v>
      </c>
    </row>
    <row r="1839" spans="1:46" x14ac:dyDescent="0.25">
      <c r="A1839" t="s">
        <v>1248</v>
      </c>
      <c r="B1839">
        <v>170502</v>
      </c>
      <c r="C1839">
        <v>119942</v>
      </c>
      <c r="D1839">
        <v>405</v>
      </c>
      <c r="E1839" t="s">
        <v>1266</v>
      </c>
      <c r="G1839">
        <v>745</v>
      </c>
      <c r="H1839">
        <v>1810</v>
      </c>
      <c r="K1839" s="29">
        <v>132720296</v>
      </c>
      <c r="L1839" s="29">
        <v>132720296</v>
      </c>
      <c r="M1839" s="29">
        <v>553001233</v>
      </c>
      <c r="N1839">
        <v>0</v>
      </c>
      <c r="O1839" s="29">
        <v>553001233</v>
      </c>
      <c r="P1839">
        <v>0</v>
      </c>
      <c r="Q1839">
        <v>0</v>
      </c>
      <c r="R1839">
        <v>0</v>
      </c>
      <c r="T1839" s="29">
        <v>1414554</v>
      </c>
      <c r="U1839" s="29">
        <v>187740000</v>
      </c>
      <c r="V1839" t="s">
        <v>1262</v>
      </c>
      <c r="W1839" t="s">
        <v>1262</v>
      </c>
      <c r="X1839" s="29">
        <v>187740000</v>
      </c>
      <c r="AA1839" s="30">
        <v>45772.333333333336</v>
      </c>
      <c r="AB1839" s="30">
        <v>45776.708333333336</v>
      </c>
      <c r="AC1839" s="30">
        <v>45772.333333333336</v>
      </c>
      <c r="AD1839" s="30">
        <v>45776.708333333336</v>
      </c>
      <c r="AE1839" s="30">
        <v>45772.333333333336</v>
      </c>
      <c r="AF1839" s="30">
        <v>45776.708333333336</v>
      </c>
      <c r="AG1839" t="s">
        <v>1266</v>
      </c>
      <c r="AK1839" t="s">
        <v>1265</v>
      </c>
      <c r="AL1839" t="s">
        <v>2867</v>
      </c>
      <c r="AM1839" t="s">
        <v>1263</v>
      </c>
      <c r="AN1839" t="s">
        <v>1262</v>
      </c>
      <c r="AO1839">
        <v>0</v>
      </c>
      <c r="AQ1839" t="s">
        <v>1261</v>
      </c>
      <c r="AR1839" t="s">
        <v>1260</v>
      </c>
      <c r="AS1839" t="s">
        <v>2716</v>
      </c>
      <c r="AT1839" s="30">
        <v>45988.521527777775</v>
      </c>
    </row>
    <row r="1840" spans="1:46" x14ac:dyDescent="0.25">
      <c r="A1840" t="s">
        <v>1248</v>
      </c>
      <c r="B1840">
        <v>170503</v>
      </c>
      <c r="C1840">
        <v>119943</v>
      </c>
      <c r="D1840">
        <v>405</v>
      </c>
      <c r="E1840" t="s">
        <v>1266</v>
      </c>
      <c r="G1840">
        <v>745</v>
      </c>
      <c r="H1840">
        <v>1810</v>
      </c>
      <c r="K1840" s="29">
        <v>132720296</v>
      </c>
      <c r="L1840" s="29">
        <v>132720296</v>
      </c>
      <c r="M1840" s="29">
        <v>553001233</v>
      </c>
      <c r="N1840">
        <v>0</v>
      </c>
      <c r="O1840" s="29">
        <v>553001233</v>
      </c>
      <c r="P1840">
        <v>0</v>
      </c>
      <c r="Q1840">
        <v>0</v>
      </c>
      <c r="R1840">
        <v>0</v>
      </c>
      <c r="T1840" s="29">
        <v>1414554</v>
      </c>
      <c r="U1840" s="29">
        <v>187740000</v>
      </c>
      <c r="V1840" t="s">
        <v>1262</v>
      </c>
      <c r="W1840" t="s">
        <v>1262</v>
      </c>
      <c r="X1840" s="29">
        <v>187740000</v>
      </c>
      <c r="AA1840" s="30">
        <v>45777.333333333336</v>
      </c>
      <c r="AB1840" s="30">
        <v>45779.708333333336</v>
      </c>
      <c r="AC1840" s="30">
        <v>45777.333333333336</v>
      </c>
      <c r="AD1840" s="30">
        <v>45779.708333333336</v>
      </c>
      <c r="AE1840" s="30">
        <v>45777.333333333336</v>
      </c>
      <c r="AF1840" s="30">
        <v>45779.708333333336</v>
      </c>
      <c r="AG1840" t="s">
        <v>1266</v>
      </c>
      <c r="AK1840" t="s">
        <v>1265</v>
      </c>
      <c r="AL1840" t="s">
        <v>2866</v>
      </c>
      <c r="AM1840" t="s">
        <v>1263</v>
      </c>
      <c r="AN1840" t="s">
        <v>1262</v>
      </c>
      <c r="AO1840">
        <v>0</v>
      </c>
      <c r="AQ1840" t="s">
        <v>1261</v>
      </c>
      <c r="AR1840" t="s">
        <v>1260</v>
      </c>
      <c r="AS1840" t="s">
        <v>2716</v>
      </c>
      <c r="AT1840" s="30">
        <v>45988.521527777775</v>
      </c>
    </row>
    <row r="1841" spans="1:46" x14ac:dyDescent="0.25">
      <c r="A1841" t="s">
        <v>1248</v>
      </c>
      <c r="B1841">
        <v>170504</v>
      </c>
      <c r="C1841">
        <v>119944</v>
      </c>
      <c r="D1841">
        <v>405</v>
      </c>
      <c r="E1841" t="s">
        <v>1266</v>
      </c>
      <c r="G1841">
        <v>745</v>
      </c>
      <c r="H1841">
        <v>1810</v>
      </c>
      <c r="K1841" s="29">
        <v>132720296</v>
      </c>
      <c r="L1841" s="29">
        <v>132720296</v>
      </c>
      <c r="M1841" s="29">
        <v>553001233</v>
      </c>
      <c r="N1841">
        <v>0</v>
      </c>
      <c r="O1841" s="29">
        <v>553001233</v>
      </c>
      <c r="P1841">
        <v>0</v>
      </c>
      <c r="Q1841">
        <v>0</v>
      </c>
      <c r="R1841">
        <v>0</v>
      </c>
      <c r="T1841" s="29">
        <v>1414554</v>
      </c>
      <c r="U1841" s="29">
        <v>187740000</v>
      </c>
      <c r="V1841" t="s">
        <v>1262</v>
      </c>
      <c r="W1841" t="s">
        <v>1262</v>
      </c>
      <c r="X1841" s="29">
        <v>187740000</v>
      </c>
      <c r="AA1841" s="30">
        <v>45782.333333333336</v>
      </c>
      <c r="AB1841" s="30">
        <v>45784.708333333336</v>
      </c>
      <c r="AC1841" s="30">
        <v>45782.333333333336</v>
      </c>
      <c r="AD1841" s="30">
        <v>45784.708333333336</v>
      </c>
      <c r="AE1841" s="30">
        <v>45805.333333333336</v>
      </c>
      <c r="AF1841" s="30">
        <v>45807.708333333336</v>
      </c>
      <c r="AG1841" t="s">
        <v>1266</v>
      </c>
      <c r="AK1841" t="s">
        <v>1265</v>
      </c>
      <c r="AL1841" t="s">
        <v>2865</v>
      </c>
      <c r="AM1841" t="s">
        <v>1263</v>
      </c>
      <c r="AN1841" t="s">
        <v>1262</v>
      </c>
      <c r="AO1841">
        <v>0</v>
      </c>
      <c r="AQ1841" t="s">
        <v>1261</v>
      </c>
      <c r="AR1841" t="s">
        <v>1260</v>
      </c>
      <c r="AS1841" t="s">
        <v>2716</v>
      </c>
      <c r="AT1841" s="30">
        <v>45988.521527777775</v>
      </c>
    </row>
    <row r="1842" spans="1:46" x14ac:dyDescent="0.25">
      <c r="A1842" t="s">
        <v>1248</v>
      </c>
      <c r="B1842">
        <v>170505</v>
      </c>
      <c r="C1842">
        <v>119945</v>
      </c>
      <c r="D1842">
        <v>405</v>
      </c>
      <c r="E1842" t="s">
        <v>1266</v>
      </c>
      <c r="G1842">
        <v>745</v>
      </c>
      <c r="H1842">
        <v>1810</v>
      </c>
      <c r="K1842" s="29">
        <v>132720296</v>
      </c>
      <c r="L1842" s="29">
        <v>132720296</v>
      </c>
      <c r="M1842" s="29">
        <v>553001233</v>
      </c>
      <c r="N1842">
        <v>0</v>
      </c>
      <c r="O1842" s="29">
        <v>553001233</v>
      </c>
      <c r="P1842">
        <v>0</v>
      </c>
      <c r="Q1842">
        <v>0</v>
      </c>
      <c r="R1842">
        <v>0</v>
      </c>
      <c r="T1842" s="29">
        <v>1414554</v>
      </c>
      <c r="U1842" s="29">
        <v>187740000</v>
      </c>
      <c r="V1842" t="s">
        <v>1262</v>
      </c>
      <c r="W1842" t="s">
        <v>1262</v>
      </c>
      <c r="X1842" s="29">
        <v>187740000</v>
      </c>
      <c r="AA1842" s="30">
        <v>45785.333333333336</v>
      </c>
      <c r="AB1842" s="30">
        <v>45789.708333333336</v>
      </c>
      <c r="AC1842" s="30">
        <v>45785.333333333336</v>
      </c>
      <c r="AD1842" s="30">
        <v>45789.708333333336</v>
      </c>
      <c r="AE1842" s="30">
        <v>45810.333333333336</v>
      </c>
      <c r="AF1842" s="30">
        <v>45812.708333333336</v>
      </c>
      <c r="AG1842" t="s">
        <v>1266</v>
      </c>
      <c r="AK1842" t="s">
        <v>1265</v>
      </c>
      <c r="AL1842" t="s">
        <v>2864</v>
      </c>
      <c r="AM1842" t="s">
        <v>1263</v>
      </c>
      <c r="AN1842" t="s">
        <v>1262</v>
      </c>
      <c r="AO1842">
        <v>0</v>
      </c>
      <c r="AQ1842" t="s">
        <v>1261</v>
      </c>
      <c r="AR1842" t="s">
        <v>1260</v>
      </c>
      <c r="AS1842" t="s">
        <v>2716</v>
      </c>
      <c r="AT1842" s="30">
        <v>45988.521527777775</v>
      </c>
    </row>
    <row r="1843" spans="1:46" x14ac:dyDescent="0.25">
      <c r="A1843" t="s">
        <v>1248</v>
      </c>
      <c r="B1843">
        <v>170506</v>
      </c>
      <c r="C1843">
        <v>119848</v>
      </c>
      <c r="D1843">
        <v>405</v>
      </c>
      <c r="E1843" t="s">
        <v>1266</v>
      </c>
      <c r="G1843">
        <v>745</v>
      </c>
      <c r="H1843">
        <v>1842</v>
      </c>
      <c r="K1843" s="29">
        <v>3065242</v>
      </c>
      <c r="L1843" s="29">
        <v>3065242</v>
      </c>
      <c r="M1843" t="s">
        <v>2817</v>
      </c>
      <c r="N1843">
        <v>0</v>
      </c>
      <c r="O1843" t="s">
        <v>2817</v>
      </c>
      <c r="P1843">
        <v>0</v>
      </c>
      <c r="Q1843">
        <v>0</v>
      </c>
      <c r="R1843">
        <v>0</v>
      </c>
      <c r="T1843" s="29">
        <v>729045</v>
      </c>
      <c r="U1843" s="29">
        <v>2234699</v>
      </c>
      <c r="V1843" t="s">
        <v>1262</v>
      </c>
      <c r="W1843" t="s">
        <v>1262</v>
      </c>
      <c r="X1843" s="29">
        <v>2234699</v>
      </c>
      <c r="AA1843" s="30">
        <v>45790.333333333336</v>
      </c>
      <c r="AB1843" s="30">
        <v>45792.708333333336</v>
      </c>
      <c r="AC1843" s="30">
        <v>45790.333333333336</v>
      </c>
      <c r="AD1843" s="30">
        <v>45792.708333333336</v>
      </c>
      <c r="AE1843" s="30">
        <v>45813.333333333336</v>
      </c>
      <c r="AF1843" s="30">
        <v>45817.708333333336</v>
      </c>
      <c r="AG1843" t="s">
        <v>1266</v>
      </c>
      <c r="AK1843" t="s">
        <v>1265</v>
      </c>
      <c r="AL1843" t="s">
        <v>2863</v>
      </c>
      <c r="AM1843" t="s">
        <v>1263</v>
      </c>
      <c r="AN1843" t="s">
        <v>1262</v>
      </c>
      <c r="AO1843">
        <v>0</v>
      </c>
      <c r="AQ1843" t="s">
        <v>1261</v>
      </c>
      <c r="AR1843" t="s">
        <v>1260</v>
      </c>
      <c r="AS1843" t="s">
        <v>2716</v>
      </c>
      <c r="AT1843" s="30">
        <v>45988.521527777775</v>
      </c>
    </row>
    <row r="1844" spans="1:46" x14ac:dyDescent="0.25">
      <c r="A1844" t="s">
        <v>1248</v>
      </c>
      <c r="B1844">
        <v>170507</v>
      </c>
      <c r="C1844">
        <v>119849</v>
      </c>
      <c r="D1844">
        <v>405</v>
      </c>
      <c r="E1844" t="s">
        <v>1266</v>
      </c>
      <c r="G1844">
        <v>745</v>
      </c>
      <c r="H1844">
        <v>1842</v>
      </c>
      <c r="K1844" s="29">
        <v>3065242</v>
      </c>
      <c r="L1844" s="29">
        <v>3065242</v>
      </c>
      <c r="M1844" t="s">
        <v>2817</v>
      </c>
      <c r="N1844">
        <v>0</v>
      </c>
      <c r="O1844" t="s">
        <v>2817</v>
      </c>
      <c r="P1844">
        <v>0</v>
      </c>
      <c r="Q1844">
        <v>0</v>
      </c>
      <c r="R1844">
        <v>0</v>
      </c>
      <c r="T1844" s="29">
        <v>729045</v>
      </c>
      <c r="U1844" s="29">
        <v>2234699</v>
      </c>
      <c r="V1844" t="s">
        <v>1262</v>
      </c>
      <c r="W1844" t="s">
        <v>1262</v>
      </c>
      <c r="X1844" s="29">
        <v>2234699</v>
      </c>
      <c r="AA1844" s="30">
        <v>45793.333333333336</v>
      </c>
      <c r="AB1844" s="30">
        <v>45797.708333333336</v>
      </c>
      <c r="AC1844" s="30">
        <v>45793.333333333336</v>
      </c>
      <c r="AD1844" s="30">
        <v>45797.708333333336</v>
      </c>
      <c r="AE1844" s="30">
        <v>45849.60833333333</v>
      </c>
      <c r="AF1844" s="30">
        <v>45854.60833333333</v>
      </c>
      <c r="AG1844" t="s">
        <v>1266</v>
      </c>
      <c r="AK1844" t="s">
        <v>1265</v>
      </c>
      <c r="AL1844" t="s">
        <v>2862</v>
      </c>
      <c r="AM1844" t="s">
        <v>1263</v>
      </c>
      <c r="AN1844" t="s">
        <v>1262</v>
      </c>
      <c r="AO1844">
        <v>0</v>
      </c>
      <c r="AQ1844" t="s">
        <v>1261</v>
      </c>
      <c r="AR1844" t="s">
        <v>1260</v>
      </c>
      <c r="AS1844" t="s">
        <v>2716</v>
      </c>
      <c r="AT1844" s="30">
        <v>45988.521527777775</v>
      </c>
    </row>
    <row r="1845" spans="1:46" x14ac:dyDescent="0.25">
      <c r="A1845" t="s">
        <v>1248</v>
      </c>
      <c r="B1845">
        <v>170508</v>
      </c>
      <c r="C1845">
        <v>119850</v>
      </c>
      <c r="D1845">
        <v>405</v>
      </c>
      <c r="E1845" t="s">
        <v>1266</v>
      </c>
      <c r="G1845">
        <v>745</v>
      </c>
      <c r="H1845">
        <v>1842</v>
      </c>
      <c r="K1845" s="29">
        <v>3065242</v>
      </c>
      <c r="L1845" s="29">
        <v>3065242</v>
      </c>
      <c r="M1845" t="s">
        <v>2817</v>
      </c>
      <c r="N1845">
        <v>0</v>
      </c>
      <c r="O1845" t="s">
        <v>2817</v>
      </c>
      <c r="P1845">
        <v>0</v>
      </c>
      <c r="Q1845">
        <v>0</v>
      </c>
      <c r="R1845">
        <v>0</v>
      </c>
      <c r="T1845" s="29">
        <v>729045</v>
      </c>
      <c r="U1845" s="29">
        <v>2234699</v>
      </c>
      <c r="V1845" t="s">
        <v>1262</v>
      </c>
      <c r="W1845" t="s">
        <v>1262</v>
      </c>
      <c r="X1845" s="29">
        <v>2234699</v>
      </c>
      <c r="AA1845" s="30">
        <v>45798.333333333336</v>
      </c>
      <c r="AB1845" s="30">
        <v>45800.708333333336</v>
      </c>
      <c r="AC1845" s="30">
        <v>45798.333333333336</v>
      </c>
      <c r="AD1845" s="30">
        <v>45800.708333333336</v>
      </c>
      <c r="AE1845" s="30">
        <v>45854.60833333333</v>
      </c>
      <c r="AF1845" s="30">
        <v>45859.60833333333</v>
      </c>
      <c r="AG1845" t="s">
        <v>1266</v>
      </c>
      <c r="AK1845" t="s">
        <v>1265</v>
      </c>
      <c r="AL1845" t="s">
        <v>2861</v>
      </c>
      <c r="AM1845" t="s">
        <v>1263</v>
      </c>
      <c r="AN1845" t="s">
        <v>1262</v>
      </c>
      <c r="AO1845">
        <v>0</v>
      </c>
      <c r="AQ1845" t="s">
        <v>1261</v>
      </c>
      <c r="AR1845" t="s">
        <v>1260</v>
      </c>
      <c r="AS1845" t="s">
        <v>2716</v>
      </c>
      <c r="AT1845" s="30">
        <v>45988.521527777775</v>
      </c>
    </row>
    <row r="1846" spans="1:46" x14ac:dyDescent="0.25">
      <c r="A1846" t="s">
        <v>1248</v>
      </c>
      <c r="B1846">
        <v>170509</v>
      </c>
      <c r="C1846">
        <v>119851</v>
      </c>
      <c r="D1846">
        <v>405</v>
      </c>
      <c r="E1846" t="s">
        <v>1266</v>
      </c>
      <c r="G1846">
        <v>745</v>
      </c>
      <c r="H1846">
        <v>1842</v>
      </c>
      <c r="K1846" s="29">
        <v>3065242</v>
      </c>
      <c r="L1846" s="29">
        <v>3065242</v>
      </c>
      <c r="M1846" t="s">
        <v>2817</v>
      </c>
      <c r="N1846">
        <v>0</v>
      </c>
      <c r="O1846" t="s">
        <v>2817</v>
      </c>
      <c r="P1846">
        <v>0</v>
      </c>
      <c r="Q1846">
        <v>0</v>
      </c>
      <c r="R1846">
        <v>0</v>
      </c>
      <c r="T1846" s="29">
        <v>729045</v>
      </c>
      <c r="U1846" s="29">
        <v>2234699</v>
      </c>
      <c r="V1846" t="s">
        <v>1262</v>
      </c>
      <c r="W1846" t="s">
        <v>1262</v>
      </c>
      <c r="X1846" s="29">
        <v>2234699</v>
      </c>
      <c r="AA1846" s="30">
        <v>45803.333333333336</v>
      </c>
      <c r="AB1846" s="30">
        <v>45805.708333333336</v>
      </c>
      <c r="AC1846" s="30">
        <v>45803.333333333336</v>
      </c>
      <c r="AD1846" s="30">
        <v>45805.708333333336</v>
      </c>
      <c r="AE1846" s="30">
        <v>46003.65</v>
      </c>
      <c r="AF1846" s="30">
        <v>46008.65</v>
      </c>
      <c r="AG1846" t="s">
        <v>1266</v>
      </c>
      <c r="AK1846" t="s">
        <v>1265</v>
      </c>
      <c r="AL1846" t="s">
        <v>2860</v>
      </c>
      <c r="AM1846" t="s">
        <v>1263</v>
      </c>
      <c r="AN1846" t="s">
        <v>1262</v>
      </c>
      <c r="AO1846">
        <v>0</v>
      </c>
      <c r="AQ1846" t="s">
        <v>1261</v>
      </c>
      <c r="AR1846" t="s">
        <v>1260</v>
      </c>
      <c r="AS1846" t="s">
        <v>2716</v>
      </c>
      <c r="AT1846" s="30">
        <v>45988.521527777775</v>
      </c>
    </row>
    <row r="1847" spans="1:46" x14ac:dyDescent="0.25">
      <c r="A1847" t="s">
        <v>1248</v>
      </c>
      <c r="B1847">
        <v>170510</v>
      </c>
      <c r="C1847">
        <v>119852</v>
      </c>
      <c r="D1847">
        <v>405</v>
      </c>
      <c r="E1847" t="s">
        <v>1266</v>
      </c>
      <c r="G1847">
        <v>745</v>
      </c>
      <c r="H1847">
        <v>1842</v>
      </c>
      <c r="K1847" s="29">
        <v>3065242</v>
      </c>
      <c r="L1847" s="29">
        <v>3065242</v>
      </c>
      <c r="M1847" t="s">
        <v>2817</v>
      </c>
      <c r="N1847">
        <v>0</v>
      </c>
      <c r="O1847" t="s">
        <v>2817</v>
      </c>
      <c r="P1847">
        <v>0</v>
      </c>
      <c r="Q1847">
        <v>0</v>
      </c>
      <c r="R1847">
        <v>0</v>
      </c>
      <c r="T1847" s="29">
        <v>729045</v>
      </c>
      <c r="U1847" s="29">
        <v>2234699</v>
      </c>
      <c r="V1847" t="s">
        <v>1262</v>
      </c>
      <c r="W1847" t="s">
        <v>1262</v>
      </c>
      <c r="X1847" s="29">
        <v>2234699</v>
      </c>
      <c r="AA1847" s="30">
        <v>45806.333333333336</v>
      </c>
      <c r="AB1847" s="30">
        <v>45810.708333333336</v>
      </c>
      <c r="AC1847" s="30">
        <v>45806.333333333336</v>
      </c>
      <c r="AD1847" s="30">
        <v>45810.708333333336</v>
      </c>
      <c r="AE1847" s="30">
        <v>46008.65</v>
      </c>
      <c r="AF1847" s="30">
        <v>46013.65</v>
      </c>
      <c r="AG1847" t="s">
        <v>1266</v>
      </c>
      <c r="AK1847" t="s">
        <v>1265</v>
      </c>
      <c r="AL1847" t="s">
        <v>2859</v>
      </c>
      <c r="AM1847" t="s">
        <v>1263</v>
      </c>
      <c r="AN1847" t="s">
        <v>1262</v>
      </c>
      <c r="AO1847">
        <v>0</v>
      </c>
      <c r="AQ1847" t="s">
        <v>1261</v>
      </c>
      <c r="AR1847" t="s">
        <v>1260</v>
      </c>
      <c r="AS1847" t="s">
        <v>2716</v>
      </c>
      <c r="AT1847" s="30">
        <v>45988.521527777775</v>
      </c>
    </row>
    <row r="1848" spans="1:46" x14ac:dyDescent="0.25">
      <c r="A1848" t="s">
        <v>1248</v>
      </c>
      <c r="B1848">
        <v>170511</v>
      </c>
      <c r="C1848">
        <v>119853</v>
      </c>
      <c r="D1848">
        <v>405</v>
      </c>
      <c r="E1848" t="s">
        <v>1266</v>
      </c>
      <c r="G1848">
        <v>745</v>
      </c>
      <c r="H1848">
        <v>1842</v>
      </c>
      <c r="K1848" s="29">
        <v>3065242</v>
      </c>
      <c r="L1848" s="29">
        <v>3065242</v>
      </c>
      <c r="M1848" t="s">
        <v>2817</v>
      </c>
      <c r="N1848">
        <v>0</v>
      </c>
      <c r="O1848" t="s">
        <v>2817</v>
      </c>
      <c r="P1848">
        <v>0</v>
      </c>
      <c r="Q1848">
        <v>0</v>
      </c>
      <c r="R1848">
        <v>0</v>
      </c>
      <c r="T1848" s="29">
        <v>729045</v>
      </c>
      <c r="U1848" s="29">
        <v>2234699</v>
      </c>
      <c r="V1848" t="s">
        <v>1262</v>
      </c>
      <c r="W1848" t="s">
        <v>1262</v>
      </c>
      <c r="X1848" s="29">
        <v>2234699</v>
      </c>
      <c r="AA1848" s="30">
        <v>45811.333333333336</v>
      </c>
      <c r="AB1848" s="30">
        <v>45813.708333333336</v>
      </c>
      <c r="AC1848" s="30">
        <v>45811.333333333336</v>
      </c>
      <c r="AD1848" s="30">
        <v>45813.708333333336</v>
      </c>
      <c r="AE1848" s="30">
        <v>46013.65</v>
      </c>
      <c r="AF1848" s="30">
        <v>46016.65</v>
      </c>
      <c r="AG1848" t="s">
        <v>1266</v>
      </c>
      <c r="AK1848" t="s">
        <v>1265</v>
      </c>
      <c r="AL1848" t="e">
        <f>+ETLME18x0WVtKCmZMVh6g</f>
        <v>#NAME?</v>
      </c>
      <c r="AM1848" t="s">
        <v>1263</v>
      </c>
      <c r="AN1848" t="s">
        <v>1262</v>
      </c>
      <c r="AO1848">
        <v>0</v>
      </c>
      <c r="AQ1848" t="s">
        <v>1261</v>
      </c>
      <c r="AR1848" t="s">
        <v>1260</v>
      </c>
      <c r="AS1848" t="s">
        <v>2716</v>
      </c>
      <c r="AT1848" s="30">
        <v>45988.521527777775</v>
      </c>
    </row>
    <row r="1849" spans="1:46" x14ac:dyDescent="0.25">
      <c r="A1849" t="s">
        <v>1248</v>
      </c>
      <c r="B1849">
        <v>170512</v>
      </c>
      <c r="C1849">
        <v>119854</v>
      </c>
      <c r="D1849">
        <v>405</v>
      </c>
      <c r="E1849" t="s">
        <v>1266</v>
      </c>
      <c r="G1849">
        <v>745</v>
      </c>
      <c r="H1849">
        <v>1842</v>
      </c>
      <c r="K1849" s="29">
        <v>3065242</v>
      </c>
      <c r="L1849" s="29">
        <v>3065242</v>
      </c>
      <c r="M1849" t="s">
        <v>2817</v>
      </c>
      <c r="N1849">
        <v>0</v>
      </c>
      <c r="O1849" t="s">
        <v>2817</v>
      </c>
      <c r="P1849">
        <v>0</v>
      </c>
      <c r="Q1849">
        <v>0</v>
      </c>
      <c r="R1849">
        <v>0</v>
      </c>
      <c r="T1849" s="29">
        <v>729045</v>
      </c>
      <c r="U1849" s="29">
        <v>2234699</v>
      </c>
      <c r="V1849" t="s">
        <v>1262</v>
      </c>
      <c r="W1849" t="s">
        <v>1262</v>
      </c>
      <c r="X1849" s="29">
        <v>2234699</v>
      </c>
      <c r="AA1849" s="30">
        <v>45814.333333333336</v>
      </c>
      <c r="AB1849" s="30">
        <v>45818.708333333336</v>
      </c>
      <c r="AC1849" s="30">
        <v>45814.333333333336</v>
      </c>
      <c r="AD1849" s="30">
        <v>45818.708333333336</v>
      </c>
      <c r="AE1849" s="30">
        <v>46064.691666666666</v>
      </c>
      <c r="AF1849" s="30">
        <v>46069.691666666666</v>
      </c>
      <c r="AG1849" t="s">
        <v>1266</v>
      </c>
      <c r="AK1849" t="s">
        <v>1265</v>
      </c>
      <c r="AL1849" t="s">
        <v>2858</v>
      </c>
      <c r="AM1849" t="s">
        <v>1263</v>
      </c>
      <c r="AN1849" t="s">
        <v>1262</v>
      </c>
      <c r="AO1849">
        <v>0</v>
      </c>
      <c r="AQ1849" t="s">
        <v>1261</v>
      </c>
      <c r="AR1849" t="s">
        <v>1260</v>
      </c>
      <c r="AS1849" t="s">
        <v>2716</v>
      </c>
      <c r="AT1849" s="30">
        <v>45988.521527777775</v>
      </c>
    </row>
    <row r="1850" spans="1:46" x14ac:dyDescent="0.25">
      <c r="A1850" t="s">
        <v>1248</v>
      </c>
      <c r="B1850">
        <v>170513</v>
      </c>
      <c r="C1850">
        <v>119855</v>
      </c>
      <c r="D1850">
        <v>405</v>
      </c>
      <c r="E1850" t="s">
        <v>1266</v>
      </c>
      <c r="G1850">
        <v>745</v>
      </c>
      <c r="H1850">
        <v>1842</v>
      </c>
      <c r="K1850" s="29">
        <v>3065242</v>
      </c>
      <c r="L1850" s="29">
        <v>3065242</v>
      </c>
      <c r="M1850" t="s">
        <v>2817</v>
      </c>
      <c r="N1850">
        <v>0</v>
      </c>
      <c r="O1850" t="s">
        <v>2817</v>
      </c>
      <c r="P1850">
        <v>0</v>
      </c>
      <c r="Q1850">
        <v>0</v>
      </c>
      <c r="R1850">
        <v>0</v>
      </c>
      <c r="T1850" s="29">
        <v>729045</v>
      </c>
      <c r="U1850" s="29">
        <v>2234699</v>
      </c>
      <c r="V1850" t="s">
        <v>1262</v>
      </c>
      <c r="W1850" t="s">
        <v>1262</v>
      </c>
      <c r="X1850" s="29">
        <v>2234699</v>
      </c>
      <c r="AA1850" s="30">
        <v>45819.333333333336</v>
      </c>
      <c r="AB1850" s="30">
        <v>45821.708333333336</v>
      </c>
      <c r="AC1850" s="30">
        <v>45819.333333333336</v>
      </c>
      <c r="AD1850" s="30">
        <v>45821.708333333336</v>
      </c>
      <c r="AE1850" s="30">
        <v>46080.691666666666</v>
      </c>
      <c r="AF1850" s="30">
        <v>46085.691666666666</v>
      </c>
      <c r="AG1850" t="s">
        <v>1266</v>
      </c>
      <c r="AK1850" t="s">
        <v>1265</v>
      </c>
      <c r="AL1850" t="s">
        <v>2857</v>
      </c>
      <c r="AM1850" t="s">
        <v>1263</v>
      </c>
      <c r="AN1850" t="s">
        <v>1262</v>
      </c>
      <c r="AO1850">
        <v>0</v>
      </c>
      <c r="AQ1850" t="s">
        <v>1261</v>
      </c>
      <c r="AR1850" t="s">
        <v>1260</v>
      </c>
      <c r="AS1850" t="s">
        <v>2716</v>
      </c>
      <c r="AT1850" s="30">
        <v>45988.521527777775</v>
      </c>
    </row>
    <row r="1851" spans="1:46" x14ac:dyDescent="0.25">
      <c r="A1851" t="s">
        <v>1248</v>
      </c>
      <c r="B1851">
        <v>170514</v>
      </c>
      <c r="C1851">
        <v>119856</v>
      </c>
      <c r="D1851">
        <v>405</v>
      </c>
      <c r="E1851" t="s">
        <v>1266</v>
      </c>
      <c r="G1851">
        <v>745</v>
      </c>
      <c r="H1851">
        <v>1842</v>
      </c>
      <c r="K1851" s="29">
        <v>3065242</v>
      </c>
      <c r="L1851" s="29">
        <v>3065242</v>
      </c>
      <c r="M1851" t="s">
        <v>2817</v>
      </c>
      <c r="N1851">
        <v>0</v>
      </c>
      <c r="O1851" t="s">
        <v>2817</v>
      </c>
      <c r="P1851">
        <v>0</v>
      </c>
      <c r="Q1851">
        <v>0</v>
      </c>
      <c r="R1851">
        <v>0</v>
      </c>
      <c r="T1851" s="29">
        <v>729045</v>
      </c>
      <c r="U1851" s="29">
        <v>2234699</v>
      </c>
      <c r="V1851" t="s">
        <v>1262</v>
      </c>
      <c r="W1851" t="s">
        <v>1262</v>
      </c>
      <c r="X1851" s="29">
        <v>2234699</v>
      </c>
      <c r="AA1851" s="30">
        <v>45824.333333333336</v>
      </c>
      <c r="AB1851" s="30">
        <v>45826.708333333336</v>
      </c>
      <c r="AC1851" s="30">
        <v>45824.333333333336</v>
      </c>
      <c r="AD1851" s="30">
        <v>45826.708333333336</v>
      </c>
      <c r="AE1851" s="30">
        <v>46098.691666666666</v>
      </c>
      <c r="AF1851" s="30">
        <v>46101.691666666666</v>
      </c>
      <c r="AG1851" t="s">
        <v>1266</v>
      </c>
      <c r="AK1851" t="s">
        <v>1265</v>
      </c>
      <c r="AL1851" t="s">
        <v>2856</v>
      </c>
      <c r="AM1851" t="s">
        <v>1263</v>
      </c>
      <c r="AN1851" t="s">
        <v>1262</v>
      </c>
      <c r="AO1851">
        <v>0</v>
      </c>
      <c r="AQ1851" t="s">
        <v>1261</v>
      </c>
      <c r="AR1851" t="s">
        <v>1260</v>
      </c>
      <c r="AS1851" t="s">
        <v>2716</v>
      </c>
      <c r="AT1851" s="30">
        <v>45988.521527777775</v>
      </c>
    </row>
    <row r="1852" spans="1:46" x14ac:dyDescent="0.25">
      <c r="A1852" t="s">
        <v>1248</v>
      </c>
      <c r="B1852">
        <v>170515</v>
      </c>
      <c r="C1852">
        <v>119857</v>
      </c>
      <c r="D1852">
        <v>405</v>
      </c>
      <c r="E1852" t="s">
        <v>1266</v>
      </c>
      <c r="G1852">
        <v>745</v>
      </c>
      <c r="H1852">
        <v>1842</v>
      </c>
      <c r="K1852" s="29">
        <v>3065242</v>
      </c>
      <c r="L1852" s="29">
        <v>3065242</v>
      </c>
      <c r="M1852" t="s">
        <v>2817</v>
      </c>
      <c r="N1852">
        <v>0</v>
      </c>
      <c r="O1852" t="s">
        <v>2817</v>
      </c>
      <c r="P1852">
        <v>0</v>
      </c>
      <c r="Q1852">
        <v>0</v>
      </c>
      <c r="R1852">
        <v>0</v>
      </c>
      <c r="T1852" s="29">
        <v>729045</v>
      </c>
      <c r="U1852" s="29">
        <v>2234699</v>
      </c>
      <c r="V1852" t="s">
        <v>1262</v>
      </c>
      <c r="W1852" t="s">
        <v>1262</v>
      </c>
      <c r="X1852" s="29">
        <v>2234699</v>
      </c>
      <c r="AA1852" s="30">
        <v>45827.333333333336</v>
      </c>
      <c r="AB1852" s="30">
        <v>45831.708333333336</v>
      </c>
      <c r="AC1852" s="30">
        <v>45827.333333333336</v>
      </c>
      <c r="AD1852" s="30">
        <v>45831.708333333336</v>
      </c>
      <c r="AE1852" s="30">
        <v>46106.691666666666</v>
      </c>
      <c r="AF1852" s="30">
        <v>46111.691666666666</v>
      </c>
      <c r="AG1852" t="s">
        <v>1266</v>
      </c>
      <c r="AK1852" t="s">
        <v>1265</v>
      </c>
      <c r="AL1852" t="s">
        <v>2855</v>
      </c>
      <c r="AM1852" t="s">
        <v>1263</v>
      </c>
      <c r="AN1852" t="s">
        <v>1262</v>
      </c>
      <c r="AO1852">
        <v>0</v>
      </c>
      <c r="AQ1852" t="s">
        <v>1261</v>
      </c>
      <c r="AR1852" t="s">
        <v>1260</v>
      </c>
      <c r="AS1852" t="s">
        <v>2716</v>
      </c>
      <c r="AT1852" s="30">
        <v>45988.521527777775</v>
      </c>
    </row>
    <row r="1853" spans="1:46" x14ac:dyDescent="0.25">
      <c r="A1853" t="s">
        <v>1248</v>
      </c>
      <c r="B1853">
        <v>170516</v>
      </c>
      <c r="C1853">
        <v>119858</v>
      </c>
      <c r="D1853">
        <v>405</v>
      </c>
      <c r="E1853" t="s">
        <v>1266</v>
      </c>
      <c r="G1853">
        <v>745</v>
      </c>
      <c r="H1853">
        <v>1842</v>
      </c>
      <c r="K1853" s="29">
        <v>3065242</v>
      </c>
      <c r="L1853" s="29">
        <v>3065242</v>
      </c>
      <c r="M1853" t="s">
        <v>2817</v>
      </c>
      <c r="N1853">
        <v>0</v>
      </c>
      <c r="O1853" t="s">
        <v>2817</v>
      </c>
      <c r="P1853">
        <v>0</v>
      </c>
      <c r="Q1853">
        <v>0</v>
      </c>
      <c r="R1853">
        <v>0</v>
      </c>
      <c r="T1853" s="29">
        <v>729045</v>
      </c>
      <c r="U1853" s="29">
        <v>2234699</v>
      </c>
      <c r="V1853" t="s">
        <v>1262</v>
      </c>
      <c r="W1853" t="s">
        <v>1262</v>
      </c>
      <c r="X1853" s="29">
        <v>2234699</v>
      </c>
      <c r="AA1853" s="30">
        <v>45832.333333333336</v>
      </c>
      <c r="AB1853" s="30">
        <v>45834.708333333336</v>
      </c>
      <c r="AC1853" s="30">
        <v>45832.333333333336</v>
      </c>
      <c r="AD1853" s="30">
        <v>45834.708333333336</v>
      </c>
      <c r="AE1853" s="30">
        <v>46111.691666666666</v>
      </c>
      <c r="AF1853" s="30">
        <v>46114.691666666666</v>
      </c>
      <c r="AG1853" t="s">
        <v>1266</v>
      </c>
      <c r="AK1853" t="s">
        <v>1265</v>
      </c>
      <c r="AL1853" t="s">
        <v>2854</v>
      </c>
      <c r="AM1853" t="s">
        <v>1263</v>
      </c>
      <c r="AN1853" t="s">
        <v>1262</v>
      </c>
      <c r="AO1853">
        <v>0</v>
      </c>
      <c r="AQ1853" t="s">
        <v>1261</v>
      </c>
      <c r="AR1853" t="s">
        <v>1260</v>
      </c>
      <c r="AS1853" t="s">
        <v>2716</v>
      </c>
      <c r="AT1853" s="30">
        <v>45988.521527777775</v>
      </c>
    </row>
    <row r="1854" spans="1:46" x14ac:dyDescent="0.25">
      <c r="A1854" t="s">
        <v>1248</v>
      </c>
      <c r="B1854">
        <v>170517</v>
      </c>
      <c r="C1854">
        <v>119859</v>
      </c>
      <c r="D1854">
        <v>405</v>
      </c>
      <c r="E1854" t="s">
        <v>1266</v>
      </c>
      <c r="G1854">
        <v>745</v>
      </c>
      <c r="H1854">
        <v>1842</v>
      </c>
      <c r="K1854" s="29">
        <v>3065242</v>
      </c>
      <c r="L1854" s="29">
        <v>3065242</v>
      </c>
      <c r="M1854" t="s">
        <v>2817</v>
      </c>
      <c r="N1854">
        <v>0</v>
      </c>
      <c r="O1854" t="s">
        <v>2817</v>
      </c>
      <c r="P1854">
        <v>0</v>
      </c>
      <c r="Q1854">
        <v>0</v>
      </c>
      <c r="R1854">
        <v>0</v>
      </c>
      <c r="T1854" s="29">
        <v>729045</v>
      </c>
      <c r="U1854" s="29">
        <v>2234699</v>
      </c>
      <c r="V1854" t="s">
        <v>1262</v>
      </c>
      <c r="W1854" t="s">
        <v>1262</v>
      </c>
      <c r="X1854" s="29">
        <v>2234699</v>
      </c>
      <c r="AA1854" s="30">
        <v>45835.333333333336</v>
      </c>
      <c r="AB1854" s="30">
        <v>45839.708333333336</v>
      </c>
      <c r="AC1854" s="30">
        <v>45835.333333333336</v>
      </c>
      <c r="AD1854" s="30">
        <v>45839.708333333336</v>
      </c>
      <c r="AE1854" s="30">
        <v>46114.691666666666</v>
      </c>
      <c r="AF1854" s="30">
        <v>46120.691666666666</v>
      </c>
      <c r="AG1854" t="s">
        <v>1266</v>
      </c>
      <c r="AK1854" t="s">
        <v>1265</v>
      </c>
      <c r="AL1854" t="s">
        <v>2853</v>
      </c>
      <c r="AM1854" t="s">
        <v>1263</v>
      </c>
      <c r="AN1854" t="s">
        <v>1262</v>
      </c>
      <c r="AO1854">
        <v>0</v>
      </c>
      <c r="AQ1854" t="s">
        <v>1261</v>
      </c>
      <c r="AR1854" t="s">
        <v>1260</v>
      </c>
      <c r="AS1854" t="s">
        <v>2716</v>
      </c>
      <c r="AT1854" s="30">
        <v>45988.521527777775</v>
      </c>
    </row>
    <row r="1855" spans="1:46" x14ac:dyDescent="0.25">
      <c r="A1855" t="s">
        <v>1248</v>
      </c>
      <c r="B1855">
        <v>170518</v>
      </c>
      <c r="C1855">
        <v>119860</v>
      </c>
      <c r="D1855">
        <v>405</v>
      </c>
      <c r="E1855" t="s">
        <v>1266</v>
      </c>
      <c r="G1855">
        <v>745</v>
      </c>
      <c r="H1855">
        <v>1842</v>
      </c>
      <c r="K1855" s="29">
        <v>3065242</v>
      </c>
      <c r="L1855" s="29">
        <v>3065242</v>
      </c>
      <c r="M1855" t="s">
        <v>2817</v>
      </c>
      <c r="N1855">
        <v>0</v>
      </c>
      <c r="O1855" t="s">
        <v>2817</v>
      </c>
      <c r="P1855">
        <v>0</v>
      </c>
      <c r="Q1855">
        <v>0</v>
      </c>
      <c r="R1855">
        <v>0</v>
      </c>
      <c r="T1855" s="29">
        <v>729045</v>
      </c>
      <c r="U1855" s="29">
        <v>2234699</v>
      </c>
      <c r="V1855" t="s">
        <v>1262</v>
      </c>
      <c r="W1855" t="s">
        <v>1262</v>
      </c>
      <c r="X1855" s="29">
        <v>2234699</v>
      </c>
      <c r="AA1855" s="30">
        <v>45840.333333333336</v>
      </c>
      <c r="AB1855" s="30">
        <v>45842.708333333336</v>
      </c>
      <c r="AC1855" s="30">
        <v>45840.333333333336</v>
      </c>
      <c r="AD1855" s="30">
        <v>45842.708333333336</v>
      </c>
      <c r="AE1855" s="30">
        <v>46168.691666666666</v>
      </c>
      <c r="AF1855" s="30">
        <v>46171.691666666666</v>
      </c>
      <c r="AG1855" t="s">
        <v>1266</v>
      </c>
      <c r="AK1855" t="s">
        <v>1265</v>
      </c>
      <c r="AL1855" t="s">
        <v>2852</v>
      </c>
      <c r="AM1855" t="s">
        <v>1263</v>
      </c>
      <c r="AN1855" t="s">
        <v>1262</v>
      </c>
      <c r="AO1855">
        <v>0</v>
      </c>
      <c r="AQ1855" t="s">
        <v>1261</v>
      </c>
      <c r="AR1855" t="s">
        <v>1260</v>
      </c>
      <c r="AS1855" t="s">
        <v>2716</v>
      </c>
      <c r="AT1855" s="30">
        <v>45988.521527777775</v>
      </c>
    </row>
    <row r="1856" spans="1:46" x14ac:dyDescent="0.25">
      <c r="A1856" t="s">
        <v>1248</v>
      </c>
      <c r="B1856">
        <v>170519</v>
      </c>
      <c r="C1856">
        <v>119861</v>
      </c>
      <c r="D1856">
        <v>405</v>
      </c>
      <c r="E1856" t="s">
        <v>1266</v>
      </c>
      <c r="G1856">
        <v>745</v>
      </c>
      <c r="H1856">
        <v>1842</v>
      </c>
      <c r="K1856" s="29">
        <v>3065242</v>
      </c>
      <c r="L1856" s="29">
        <v>3065242</v>
      </c>
      <c r="M1856" t="s">
        <v>2817</v>
      </c>
      <c r="N1856">
        <v>0</v>
      </c>
      <c r="O1856" t="s">
        <v>2817</v>
      </c>
      <c r="P1856">
        <v>0</v>
      </c>
      <c r="Q1856">
        <v>0</v>
      </c>
      <c r="R1856">
        <v>0</v>
      </c>
      <c r="T1856" s="29">
        <v>729045</v>
      </c>
      <c r="U1856" s="29">
        <v>2234699</v>
      </c>
      <c r="V1856" t="s">
        <v>1262</v>
      </c>
      <c r="W1856" t="s">
        <v>1262</v>
      </c>
      <c r="X1856" s="29">
        <v>2234699</v>
      </c>
      <c r="AA1856" s="30">
        <v>45845.333333333336</v>
      </c>
      <c r="AB1856" s="30">
        <v>45847.708333333336</v>
      </c>
      <c r="AC1856" s="30">
        <v>45845.333333333336</v>
      </c>
      <c r="AD1856" s="30">
        <v>45847.708333333336</v>
      </c>
      <c r="AE1856" s="30">
        <v>46185.691666666666</v>
      </c>
      <c r="AF1856" s="30">
        <v>46190.691666666666</v>
      </c>
      <c r="AG1856" t="s">
        <v>1266</v>
      </c>
      <c r="AK1856" t="s">
        <v>1265</v>
      </c>
      <c r="AL1856" t="s">
        <v>2851</v>
      </c>
      <c r="AM1856" t="s">
        <v>1263</v>
      </c>
      <c r="AN1856" t="s">
        <v>1262</v>
      </c>
      <c r="AO1856">
        <v>0</v>
      </c>
      <c r="AQ1856" t="s">
        <v>1261</v>
      </c>
      <c r="AR1856" t="s">
        <v>1260</v>
      </c>
      <c r="AS1856" t="s">
        <v>2716</v>
      </c>
      <c r="AT1856" s="30">
        <v>45988.521527777775</v>
      </c>
    </row>
    <row r="1857" spans="1:46" x14ac:dyDescent="0.25">
      <c r="A1857" t="s">
        <v>1248</v>
      </c>
      <c r="B1857">
        <v>170520</v>
      </c>
      <c r="C1857">
        <v>119862</v>
      </c>
      <c r="D1857">
        <v>405</v>
      </c>
      <c r="E1857" t="s">
        <v>1266</v>
      </c>
      <c r="G1857">
        <v>745</v>
      </c>
      <c r="H1857">
        <v>1842</v>
      </c>
      <c r="K1857" s="29">
        <v>3065242</v>
      </c>
      <c r="L1857" s="29">
        <v>3065242</v>
      </c>
      <c r="M1857" t="s">
        <v>2817</v>
      </c>
      <c r="N1857">
        <v>0</v>
      </c>
      <c r="O1857" t="s">
        <v>2817</v>
      </c>
      <c r="P1857">
        <v>0</v>
      </c>
      <c r="Q1857">
        <v>0</v>
      </c>
      <c r="R1857">
        <v>0</v>
      </c>
      <c r="T1857" s="29">
        <v>729045</v>
      </c>
      <c r="U1857" s="29">
        <v>2234699</v>
      </c>
      <c r="V1857" t="s">
        <v>1262</v>
      </c>
      <c r="W1857" t="s">
        <v>1262</v>
      </c>
      <c r="X1857" s="29">
        <v>2234699</v>
      </c>
      <c r="AA1857" s="30">
        <v>45848.333333333336</v>
      </c>
      <c r="AB1857" s="30">
        <v>45852.708333333336</v>
      </c>
      <c r="AC1857" s="30">
        <v>45848.333333333336</v>
      </c>
      <c r="AD1857" s="30">
        <v>45852.708333333336</v>
      </c>
      <c r="AE1857" s="30">
        <v>46203.691666666666</v>
      </c>
      <c r="AF1857" s="30">
        <v>46206.691666666666</v>
      </c>
      <c r="AG1857" t="s">
        <v>1266</v>
      </c>
      <c r="AK1857" t="s">
        <v>1265</v>
      </c>
      <c r="AL1857" t="s">
        <v>2850</v>
      </c>
      <c r="AM1857" t="s">
        <v>1263</v>
      </c>
      <c r="AN1857" t="s">
        <v>1262</v>
      </c>
      <c r="AO1857">
        <v>0</v>
      </c>
      <c r="AQ1857" t="s">
        <v>1261</v>
      </c>
      <c r="AR1857" t="s">
        <v>1260</v>
      </c>
      <c r="AS1857" t="s">
        <v>2716</v>
      </c>
      <c r="AT1857" s="30">
        <v>45988.521527777775</v>
      </c>
    </row>
    <row r="1858" spans="1:46" x14ac:dyDescent="0.25">
      <c r="A1858" t="s">
        <v>1248</v>
      </c>
      <c r="B1858">
        <v>170521</v>
      </c>
      <c r="C1858">
        <v>119863</v>
      </c>
      <c r="D1858">
        <v>405</v>
      </c>
      <c r="E1858" t="s">
        <v>1266</v>
      </c>
      <c r="G1858">
        <v>745</v>
      </c>
      <c r="H1858">
        <v>1842</v>
      </c>
      <c r="K1858" s="29">
        <v>3065242</v>
      </c>
      <c r="L1858" s="29">
        <v>3065242</v>
      </c>
      <c r="M1858" t="s">
        <v>2817</v>
      </c>
      <c r="N1858">
        <v>0</v>
      </c>
      <c r="O1858" t="s">
        <v>2817</v>
      </c>
      <c r="P1858">
        <v>0</v>
      </c>
      <c r="Q1858">
        <v>0</v>
      </c>
      <c r="R1858">
        <v>0</v>
      </c>
      <c r="T1858" s="29">
        <v>729045</v>
      </c>
      <c r="U1858" s="29">
        <v>2234699</v>
      </c>
      <c r="V1858" t="s">
        <v>1262</v>
      </c>
      <c r="W1858" t="s">
        <v>1262</v>
      </c>
      <c r="X1858" s="29">
        <v>2234699</v>
      </c>
      <c r="AA1858" s="30">
        <v>45853.333333333336</v>
      </c>
      <c r="AB1858" s="30">
        <v>45855.708333333336</v>
      </c>
      <c r="AC1858" s="30">
        <v>45853.333333333336</v>
      </c>
      <c r="AD1858" s="30">
        <v>45855.708333333336</v>
      </c>
      <c r="AE1858" s="30">
        <v>46211.691666666666</v>
      </c>
      <c r="AF1858" s="30">
        <v>46216.691666666666</v>
      </c>
      <c r="AG1858" t="s">
        <v>1266</v>
      </c>
      <c r="AK1858" t="s">
        <v>1265</v>
      </c>
      <c r="AL1858" t="s">
        <v>2849</v>
      </c>
      <c r="AM1858" t="s">
        <v>1263</v>
      </c>
      <c r="AN1858" t="s">
        <v>1262</v>
      </c>
      <c r="AO1858">
        <v>0</v>
      </c>
      <c r="AQ1858" t="s">
        <v>1261</v>
      </c>
      <c r="AR1858" t="s">
        <v>1260</v>
      </c>
      <c r="AS1858" t="s">
        <v>2716</v>
      </c>
      <c r="AT1858" s="30">
        <v>45988.521527777775</v>
      </c>
    </row>
    <row r="1859" spans="1:46" x14ac:dyDescent="0.25">
      <c r="A1859" t="s">
        <v>1248</v>
      </c>
      <c r="B1859">
        <v>170522</v>
      </c>
      <c r="C1859">
        <v>119864</v>
      </c>
      <c r="D1859">
        <v>405</v>
      </c>
      <c r="E1859" t="s">
        <v>1266</v>
      </c>
      <c r="G1859">
        <v>745</v>
      </c>
      <c r="H1859">
        <v>1842</v>
      </c>
      <c r="K1859" s="29">
        <v>3065242</v>
      </c>
      <c r="L1859" s="29">
        <v>3065242</v>
      </c>
      <c r="M1859" t="s">
        <v>2817</v>
      </c>
      <c r="N1859">
        <v>0</v>
      </c>
      <c r="O1859" t="s">
        <v>2817</v>
      </c>
      <c r="P1859">
        <v>0</v>
      </c>
      <c r="Q1859">
        <v>0</v>
      </c>
      <c r="R1859">
        <v>0</v>
      </c>
      <c r="T1859" s="29">
        <v>729045</v>
      </c>
      <c r="U1859" s="29">
        <v>2234699</v>
      </c>
      <c r="V1859" t="s">
        <v>1262</v>
      </c>
      <c r="W1859" t="s">
        <v>1262</v>
      </c>
      <c r="X1859" s="29">
        <v>2234699</v>
      </c>
      <c r="AA1859" s="30">
        <v>45856.333333333336</v>
      </c>
      <c r="AB1859" s="30">
        <v>45860.708333333336</v>
      </c>
      <c r="AC1859" s="30">
        <v>45856.333333333336</v>
      </c>
      <c r="AD1859" s="30">
        <v>45860.708333333336</v>
      </c>
      <c r="AE1859" s="30">
        <v>46216.691666666666</v>
      </c>
      <c r="AF1859" s="30">
        <v>46219.691666666666</v>
      </c>
      <c r="AG1859" t="s">
        <v>1266</v>
      </c>
      <c r="AK1859" t="s">
        <v>1265</v>
      </c>
      <c r="AL1859" t="s">
        <v>2848</v>
      </c>
      <c r="AM1859" t="s">
        <v>1263</v>
      </c>
      <c r="AN1859" t="s">
        <v>1262</v>
      </c>
      <c r="AO1859">
        <v>0</v>
      </c>
      <c r="AQ1859" t="s">
        <v>1261</v>
      </c>
      <c r="AR1859" t="s">
        <v>1260</v>
      </c>
      <c r="AS1859" t="s">
        <v>2716</v>
      </c>
      <c r="AT1859" s="30">
        <v>45988.521527777775</v>
      </c>
    </row>
    <row r="1860" spans="1:46" x14ac:dyDescent="0.25">
      <c r="A1860" t="s">
        <v>1248</v>
      </c>
      <c r="B1860">
        <v>170523</v>
      </c>
      <c r="C1860">
        <v>119865</v>
      </c>
      <c r="D1860">
        <v>405</v>
      </c>
      <c r="E1860" t="s">
        <v>1266</v>
      </c>
      <c r="G1860">
        <v>745</v>
      </c>
      <c r="H1860">
        <v>1842</v>
      </c>
      <c r="K1860" s="29">
        <v>3065242</v>
      </c>
      <c r="L1860" s="29">
        <v>3065242</v>
      </c>
      <c r="M1860" t="s">
        <v>2817</v>
      </c>
      <c r="N1860">
        <v>0</v>
      </c>
      <c r="O1860" t="s">
        <v>2817</v>
      </c>
      <c r="P1860">
        <v>0</v>
      </c>
      <c r="Q1860">
        <v>0</v>
      </c>
      <c r="R1860">
        <v>0</v>
      </c>
      <c r="T1860" s="29">
        <v>729045</v>
      </c>
      <c r="U1860" s="29">
        <v>2234699</v>
      </c>
      <c r="V1860" t="s">
        <v>1262</v>
      </c>
      <c r="W1860" t="s">
        <v>1262</v>
      </c>
      <c r="X1860" s="29">
        <v>2234699</v>
      </c>
      <c r="AA1860" s="30">
        <v>45861.333333333336</v>
      </c>
      <c r="AB1860" s="30">
        <v>45863.708333333336</v>
      </c>
      <c r="AC1860" s="30">
        <v>45861.333333333336</v>
      </c>
      <c r="AD1860" s="30">
        <v>45863.708333333336</v>
      </c>
      <c r="AE1860" s="30">
        <v>46219.691666666666</v>
      </c>
      <c r="AF1860" s="30">
        <v>46224.691666666666</v>
      </c>
      <c r="AG1860" t="s">
        <v>1266</v>
      </c>
      <c r="AK1860" t="s">
        <v>1265</v>
      </c>
      <c r="AL1860" t="s">
        <v>2847</v>
      </c>
      <c r="AM1860" t="s">
        <v>1263</v>
      </c>
      <c r="AN1860" t="s">
        <v>1262</v>
      </c>
      <c r="AO1860">
        <v>0</v>
      </c>
      <c r="AQ1860" t="s">
        <v>1261</v>
      </c>
      <c r="AR1860" t="s">
        <v>1260</v>
      </c>
      <c r="AS1860" t="s">
        <v>2716</v>
      </c>
      <c r="AT1860" s="30">
        <v>45988.521527777775</v>
      </c>
    </row>
    <row r="1861" spans="1:46" x14ac:dyDescent="0.25">
      <c r="A1861" t="s">
        <v>1248</v>
      </c>
      <c r="B1861">
        <v>170524</v>
      </c>
      <c r="C1861">
        <v>119866</v>
      </c>
      <c r="D1861">
        <v>405</v>
      </c>
      <c r="E1861" t="s">
        <v>1266</v>
      </c>
      <c r="G1861">
        <v>745</v>
      </c>
      <c r="H1861">
        <v>1842</v>
      </c>
      <c r="K1861" s="29">
        <v>3065242</v>
      </c>
      <c r="L1861" s="29">
        <v>3065242</v>
      </c>
      <c r="M1861" t="s">
        <v>2817</v>
      </c>
      <c r="N1861">
        <v>0</v>
      </c>
      <c r="O1861" t="s">
        <v>2817</v>
      </c>
      <c r="P1861">
        <v>0</v>
      </c>
      <c r="Q1861">
        <v>0</v>
      </c>
      <c r="R1861">
        <v>0</v>
      </c>
      <c r="T1861" s="29">
        <v>729045</v>
      </c>
      <c r="U1861" s="29">
        <v>2234699</v>
      </c>
      <c r="V1861" t="s">
        <v>1262</v>
      </c>
      <c r="W1861" t="s">
        <v>1262</v>
      </c>
      <c r="X1861" s="29">
        <v>2234699</v>
      </c>
      <c r="AA1861" s="30">
        <v>45866.333333333336</v>
      </c>
      <c r="AB1861" s="30">
        <v>45868.708333333336</v>
      </c>
      <c r="AC1861" s="30">
        <v>45866.333333333336</v>
      </c>
      <c r="AD1861" s="30">
        <v>45868.708333333336</v>
      </c>
      <c r="AE1861" s="30">
        <v>46288.369444444441</v>
      </c>
      <c r="AF1861" s="30">
        <v>46293.369444444441</v>
      </c>
      <c r="AG1861" t="s">
        <v>1266</v>
      </c>
      <c r="AK1861" t="s">
        <v>1265</v>
      </c>
      <c r="AL1861" t="s">
        <v>2846</v>
      </c>
      <c r="AM1861" t="s">
        <v>1263</v>
      </c>
      <c r="AN1861" t="s">
        <v>1262</v>
      </c>
      <c r="AO1861">
        <v>0</v>
      </c>
      <c r="AQ1861" t="s">
        <v>1261</v>
      </c>
      <c r="AR1861" t="s">
        <v>1260</v>
      </c>
      <c r="AS1861" t="s">
        <v>2716</v>
      </c>
      <c r="AT1861" s="30">
        <v>45988.521527777775</v>
      </c>
    </row>
    <row r="1862" spans="1:46" x14ac:dyDescent="0.25">
      <c r="A1862" t="s">
        <v>1248</v>
      </c>
      <c r="B1862">
        <v>170525</v>
      </c>
      <c r="C1862">
        <v>119867</v>
      </c>
      <c r="D1862">
        <v>405</v>
      </c>
      <c r="E1862" t="s">
        <v>1266</v>
      </c>
      <c r="G1862">
        <v>745</v>
      </c>
      <c r="H1862">
        <v>1842</v>
      </c>
      <c r="K1862" s="29">
        <v>3065242</v>
      </c>
      <c r="L1862" s="29">
        <v>3065242</v>
      </c>
      <c r="M1862" t="s">
        <v>2817</v>
      </c>
      <c r="N1862">
        <v>0</v>
      </c>
      <c r="O1862" t="s">
        <v>2817</v>
      </c>
      <c r="P1862">
        <v>0</v>
      </c>
      <c r="Q1862">
        <v>0</v>
      </c>
      <c r="R1862">
        <v>0</v>
      </c>
      <c r="T1862" s="29">
        <v>729045</v>
      </c>
      <c r="U1862" s="29">
        <v>2234699</v>
      </c>
      <c r="V1862" t="s">
        <v>1262</v>
      </c>
      <c r="W1862" t="s">
        <v>1262</v>
      </c>
      <c r="X1862" s="29">
        <v>2234699</v>
      </c>
      <c r="AA1862" s="30">
        <v>45869.333333333336</v>
      </c>
      <c r="AB1862" s="30">
        <v>45873.708333333336</v>
      </c>
      <c r="AC1862" s="30">
        <v>45869.333333333336</v>
      </c>
      <c r="AD1862" s="30">
        <v>45873.708333333336</v>
      </c>
      <c r="AE1862" s="30">
        <v>46293.369444444441</v>
      </c>
      <c r="AF1862" s="30">
        <v>46296.369444444441</v>
      </c>
      <c r="AG1862" t="s">
        <v>1266</v>
      </c>
      <c r="AK1862" t="s">
        <v>1265</v>
      </c>
      <c r="AL1862" t="s">
        <v>2845</v>
      </c>
      <c r="AM1862" t="s">
        <v>1263</v>
      </c>
      <c r="AN1862" t="s">
        <v>1262</v>
      </c>
      <c r="AO1862">
        <v>0</v>
      </c>
      <c r="AQ1862" t="s">
        <v>1261</v>
      </c>
      <c r="AR1862" t="s">
        <v>1260</v>
      </c>
      <c r="AS1862" t="s">
        <v>2716</v>
      </c>
      <c r="AT1862" s="30">
        <v>45988.521527777775</v>
      </c>
    </row>
    <row r="1863" spans="1:46" x14ac:dyDescent="0.25">
      <c r="A1863" t="s">
        <v>1248</v>
      </c>
      <c r="B1863">
        <v>170526</v>
      </c>
      <c r="C1863">
        <v>119868</v>
      </c>
      <c r="D1863">
        <v>405</v>
      </c>
      <c r="E1863" t="s">
        <v>1266</v>
      </c>
      <c r="G1863">
        <v>745</v>
      </c>
      <c r="H1863">
        <v>1842</v>
      </c>
      <c r="K1863" s="29">
        <v>3065242</v>
      </c>
      <c r="L1863" s="29">
        <v>3065242</v>
      </c>
      <c r="M1863" t="s">
        <v>2817</v>
      </c>
      <c r="N1863">
        <v>0</v>
      </c>
      <c r="O1863" t="s">
        <v>2817</v>
      </c>
      <c r="P1863">
        <v>0</v>
      </c>
      <c r="Q1863">
        <v>0</v>
      </c>
      <c r="R1863">
        <v>0</v>
      </c>
      <c r="T1863" s="29">
        <v>729045</v>
      </c>
      <c r="U1863" s="29">
        <v>2234699</v>
      </c>
      <c r="V1863" t="s">
        <v>1262</v>
      </c>
      <c r="W1863" t="s">
        <v>1262</v>
      </c>
      <c r="X1863" s="29">
        <v>2234699</v>
      </c>
      <c r="AA1863" s="30">
        <v>45874.333333333336</v>
      </c>
      <c r="AB1863" s="30">
        <v>45876.708333333336</v>
      </c>
      <c r="AC1863" s="30">
        <v>45874.333333333336</v>
      </c>
      <c r="AD1863" s="30">
        <v>45876.708333333336</v>
      </c>
      <c r="AE1863" s="30">
        <v>46309.369444444441</v>
      </c>
      <c r="AF1863" s="30">
        <v>46314.369444444441</v>
      </c>
      <c r="AG1863" t="s">
        <v>1266</v>
      </c>
      <c r="AK1863" t="s">
        <v>1265</v>
      </c>
      <c r="AL1863" t="s">
        <v>2844</v>
      </c>
      <c r="AM1863" t="s">
        <v>1263</v>
      </c>
      <c r="AN1863" t="s">
        <v>1262</v>
      </c>
      <c r="AO1863">
        <v>0</v>
      </c>
      <c r="AQ1863" t="s">
        <v>1261</v>
      </c>
      <c r="AR1863" t="s">
        <v>1260</v>
      </c>
      <c r="AS1863" t="s">
        <v>2716</v>
      </c>
      <c r="AT1863" s="30">
        <v>45988.521527777775</v>
      </c>
    </row>
    <row r="1864" spans="1:46" x14ac:dyDescent="0.25">
      <c r="A1864" t="s">
        <v>1248</v>
      </c>
      <c r="B1864">
        <v>170527</v>
      </c>
      <c r="C1864">
        <v>119869</v>
      </c>
      <c r="D1864">
        <v>405</v>
      </c>
      <c r="E1864" t="s">
        <v>1266</v>
      </c>
      <c r="G1864">
        <v>745</v>
      </c>
      <c r="H1864">
        <v>1842</v>
      </c>
      <c r="K1864" s="29">
        <v>3065242</v>
      </c>
      <c r="L1864" s="29">
        <v>3065242</v>
      </c>
      <c r="M1864" t="s">
        <v>2817</v>
      </c>
      <c r="N1864">
        <v>0</v>
      </c>
      <c r="O1864" t="s">
        <v>2817</v>
      </c>
      <c r="P1864">
        <v>0</v>
      </c>
      <c r="Q1864">
        <v>0</v>
      </c>
      <c r="R1864">
        <v>0</v>
      </c>
      <c r="T1864" s="29">
        <v>729045</v>
      </c>
      <c r="U1864" s="29">
        <v>2234699</v>
      </c>
      <c r="V1864" t="s">
        <v>1262</v>
      </c>
      <c r="W1864" t="s">
        <v>1262</v>
      </c>
      <c r="X1864" s="29">
        <v>2234699</v>
      </c>
      <c r="AA1864" s="30">
        <v>45877.333333333336</v>
      </c>
      <c r="AB1864" s="30">
        <v>45881.708333333336</v>
      </c>
      <c r="AC1864" s="30">
        <v>45877.333333333336</v>
      </c>
      <c r="AD1864" s="30">
        <v>45881.708333333336</v>
      </c>
      <c r="AE1864" s="30">
        <v>46325.369444444441</v>
      </c>
      <c r="AF1864" s="30">
        <v>46330.369444444441</v>
      </c>
      <c r="AG1864" t="s">
        <v>1266</v>
      </c>
      <c r="AK1864" t="s">
        <v>1265</v>
      </c>
      <c r="AL1864" t="s">
        <v>2843</v>
      </c>
      <c r="AM1864" t="s">
        <v>1263</v>
      </c>
      <c r="AN1864" t="s">
        <v>1262</v>
      </c>
      <c r="AO1864">
        <v>0</v>
      </c>
      <c r="AQ1864" t="s">
        <v>1261</v>
      </c>
      <c r="AR1864" t="s">
        <v>1260</v>
      </c>
      <c r="AS1864" t="s">
        <v>2716</v>
      </c>
      <c r="AT1864" s="30">
        <v>45988.521527777775</v>
      </c>
    </row>
    <row r="1865" spans="1:46" x14ac:dyDescent="0.25">
      <c r="A1865" t="s">
        <v>1248</v>
      </c>
      <c r="B1865">
        <v>170528</v>
      </c>
      <c r="C1865">
        <v>119870</v>
      </c>
      <c r="D1865">
        <v>405</v>
      </c>
      <c r="E1865" t="s">
        <v>1266</v>
      </c>
      <c r="G1865">
        <v>745</v>
      </c>
      <c r="H1865">
        <v>1842</v>
      </c>
      <c r="K1865" s="29">
        <v>3065242</v>
      </c>
      <c r="L1865" s="29">
        <v>3065242</v>
      </c>
      <c r="M1865" t="s">
        <v>2817</v>
      </c>
      <c r="N1865">
        <v>0</v>
      </c>
      <c r="O1865" t="s">
        <v>2817</v>
      </c>
      <c r="P1865">
        <v>0</v>
      </c>
      <c r="Q1865">
        <v>0</v>
      </c>
      <c r="R1865">
        <v>0</v>
      </c>
      <c r="T1865" s="29">
        <v>729045</v>
      </c>
      <c r="U1865" s="29">
        <v>2234699</v>
      </c>
      <c r="V1865" t="s">
        <v>1262</v>
      </c>
      <c r="W1865" t="s">
        <v>1262</v>
      </c>
      <c r="X1865" s="29">
        <v>2234699</v>
      </c>
      <c r="AA1865" s="30">
        <v>45882.333333333336</v>
      </c>
      <c r="AB1865" s="30">
        <v>45884.708333333336</v>
      </c>
      <c r="AC1865" s="30">
        <v>45882.333333333336</v>
      </c>
      <c r="AD1865" s="30">
        <v>45884.708333333336</v>
      </c>
      <c r="AE1865" s="30">
        <v>46343.369444444441</v>
      </c>
      <c r="AF1865" s="30">
        <v>46346.369444444441</v>
      </c>
      <c r="AG1865" t="s">
        <v>1266</v>
      </c>
      <c r="AK1865" t="s">
        <v>1265</v>
      </c>
      <c r="AL1865" t="s">
        <v>2842</v>
      </c>
      <c r="AM1865" t="s">
        <v>1263</v>
      </c>
      <c r="AN1865" t="s">
        <v>1262</v>
      </c>
      <c r="AO1865">
        <v>0</v>
      </c>
      <c r="AQ1865" t="s">
        <v>1261</v>
      </c>
      <c r="AR1865" t="s">
        <v>1260</v>
      </c>
      <c r="AS1865" t="s">
        <v>2716</v>
      </c>
      <c r="AT1865" s="30">
        <v>45988.521527777775</v>
      </c>
    </row>
    <row r="1866" spans="1:46" x14ac:dyDescent="0.25">
      <c r="A1866" t="s">
        <v>1248</v>
      </c>
      <c r="B1866">
        <v>170529</v>
      </c>
      <c r="C1866">
        <v>119871</v>
      </c>
      <c r="D1866">
        <v>405</v>
      </c>
      <c r="E1866" t="s">
        <v>1266</v>
      </c>
      <c r="G1866">
        <v>745</v>
      </c>
      <c r="H1866">
        <v>1842</v>
      </c>
      <c r="K1866" s="29">
        <v>3065242</v>
      </c>
      <c r="L1866" s="29">
        <v>3065242</v>
      </c>
      <c r="M1866" t="s">
        <v>2817</v>
      </c>
      <c r="N1866">
        <v>0</v>
      </c>
      <c r="O1866" t="s">
        <v>2817</v>
      </c>
      <c r="P1866">
        <v>0</v>
      </c>
      <c r="Q1866">
        <v>0</v>
      </c>
      <c r="R1866">
        <v>0</v>
      </c>
      <c r="T1866" s="29">
        <v>729045</v>
      </c>
      <c r="U1866" s="29">
        <v>2234699</v>
      </c>
      <c r="V1866" t="s">
        <v>1262</v>
      </c>
      <c r="W1866" t="s">
        <v>1262</v>
      </c>
      <c r="X1866" s="29">
        <v>2234699</v>
      </c>
      <c r="AA1866" s="30">
        <v>45887.333333333336</v>
      </c>
      <c r="AB1866" s="30">
        <v>45889.708333333336</v>
      </c>
      <c r="AC1866" s="30">
        <v>45887.333333333336</v>
      </c>
      <c r="AD1866" s="30">
        <v>45889.708333333336</v>
      </c>
      <c r="AE1866" s="30">
        <v>46359.369444444441</v>
      </c>
      <c r="AF1866" s="30">
        <v>46365.369444444441</v>
      </c>
      <c r="AG1866" t="s">
        <v>1266</v>
      </c>
      <c r="AK1866" t="s">
        <v>1265</v>
      </c>
      <c r="AL1866" t="s">
        <v>2841</v>
      </c>
      <c r="AM1866" t="s">
        <v>1263</v>
      </c>
      <c r="AN1866" t="s">
        <v>1262</v>
      </c>
      <c r="AO1866">
        <v>0</v>
      </c>
      <c r="AQ1866" t="s">
        <v>1261</v>
      </c>
      <c r="AR1866" t="s">
        <v>1260</v>
      </c>
      <c r="AS1866" t="s">
        <v>2716</v>
      </c>
      <c r="AT1866" s="30">
        <v>45988.521527777775</v>
      </c>
    </row>
    <row r="1867" spans="1:46" x14ac:dyDescent="0.25">
      <c r="A1867" t="s">
        <v>1248</v>
      </c>
      <c r="B1867">
        <v>170530</v>
      </c>
      <c r="C1867">
        <v>119872</v>
      </c>
      <c r="D1867">
        <v>405</v>
      </c>
      <c r="E1867" t="s">
        <v>1266</v>
      </c>
      <c r="G1867">
        <v>745</v>
      </c>
      <c r="H1867">
        <v>1842</v>
      </c>
      <c r="K1867" s="29">
        <v>3065242</v>
      </c>
      <c r="L1867" s="29">
        <v>3065242</v>
      </c>
      <c r="M1867" t="s">
        <v>2817</v>
      </c>
      <c r="N1867">
        <v>0</v>
      </c>
      <c r="O1867" t="s">
        <v>2817</v>
      </c>
      <c r="P1867">
        <v>0</v>
      </c>
      <c r="Q1867">
        <v>0</v>
      </c>
      <c r="R1867">
        <v>0</v>
      </c>
      <c r="T1867" s="29">
        <v>729045</v>
      </c>
      <c r="U1867" s="29">
        <v>2234699</v>
      </c>
      <c r="V1867" t="s">
        <v>1262</v>
      </c>
      <c r="W1867" t="s">
        <v>1262</v>
      </c>
      <c r="X1867" s="29">
        <v>2234699</v>
      </c>
      <c r="AA1867" s="30">
        <v>45890.333333333336</v>
      </c>
      <c r="AB1867" s="30">
        <v>45894.708333333336</v>
      </c>
      <c r="AC1867" s="30">
        <v>45890.333333333336</v>
      </c>
      <c r="AD1867" s="30">
        <v>45894.708333333336</v>
      </c>
      <c r="AE1867" s="30">
        <v>46378.369444444441</v>
      </c>
      <c r="AF1867" s="30">
        <v>46384.369444444441</v>
      </c>
      <c r="AG1867" t="s">
        <v>1266</v>
      </c>
      <c r="AK1867" t="s">
        <v>1265</v>
      </c>
      <c r="AL1867" t="s">
        <v>2840</v>
      </c>
      <c r="AM1867" t="s">
        <v>1263</v>
      </c>
      <c r="AN1867" t="s">
        <v>1262</v>
      </c>
      <c r="AO1867">
        <v>0</v>
      </c>
      <c r="AQ1867" t="s">
        <v>1261</v>
      </c>
      <c r="AR1867" t="s">
        <v>1260</v>
      </c>
      <c r="AS1867" t="s">
        <v>2716</v>
      </c>
      <c r="AT1867" s="30">
        <v>45988.521527777775</v>
      </c>
    </row>
    <row r="1868" spans="1:46" x14ac:dyDescent="0.25">
      <c r="A1868" t="s">
        <v>1248</v>
      </c>
      <c r="B1868">
        <v>170531</v>
      </c>
      <c r="C1868">
        <v>119925</v>
      </c>
      <c r="D1868">
        <v>405</v>
      </c>
      <c r="E1868" t="s">
        <v>1265</v>
      </c>
      <c r="G1868">
        <v>745</v>
      </c>
      <c r="H1868">
        <v>1842</v>
      </c>
      <c r="K1868" t="s">
        <v>2839</v>
      </c>
      <c r="L1868" t="s">
        <v>2839</v>
      </c>
      <c r="M1868" t="s">
        <v>2838</v>
      </c>
      <c r="N1868">
        <v>0</v>
      </c>
      <c r="O1868" t="s">
        <v>2838</v>
      </c>
      <c r="P1868">
        <v>0</v>
      </c>
      <c r="Q1868">
        <v>0</v>
      </c>
      <c r="R1868">
        <v>0</v>
      </c>
      <c r="T1868" s="29">
        <v>729045</v>
      </c>
      <c r="U1868" s="29">
        <v>2190000</v>
      </c>
      <c r="V1868" t="s">
        <v>1262</v>
      </c>
      <c r="W1868" t="s">
        <v>1262</v>
      </c>
      <c r="X1868" s="29">
        <v>2190000</v>
      </c>
      <c r="AA1868" s="30">
        <v>45701.333333333336</v>
      </c>
      <c r="AB1868" s="30">
        <v>45705.708333333336</v>
      </c>
      <c r="AC1868" s="30">
        <v>45701.333333333336</v>
      </c>
      <c r="AD1868" s="30">
        <v>45705.708333333336</v>
      </c>
      <c r="AE1868" s="30">
        <v>45701.333333333336</v>
      </c>
      <c r="AF1868" s="30">
        <v>45705.708333333336</v>
      </c>
      <c r="AG1868" t="s">
        <v>1266</v>
      </c>
      <c r="AK1868" t="s">
        <v>1265</v>
      </c>
      <c r="AL1868" t="s">
        <v>2837</v>
      </c>
      <c r="AM1868" t="s">
        <v>1263</v>
      </c>
      <c r="AN1868" t="s">
        <v>1262</v>
      </c>
      <c r="AO1868">
        <v>0</v>
      </c>
      <c r="AQ1868" t="s">
        <v>1261</v>
      </c>
      <c r="AR1868" t="s">
        <v>1260</v>
      </c>
      <c r="AS1868" t="s">
        <v>2716</v>
      </c>
      <c r="AT1868" s="30">
        <v>45988.521527777775</v>
      </c>
    </row>
    <row r="1869" spans="1:46" x14ac:dyDescent="0.25">
      <c r="A1869" t="s">
        <v>1248</v>
      </c>
      <c r="B1869">
        <v>170532</v>
      </c>
      <c r="C1869">
        <v>119926</v>
      </c>
      <c r="D1869">
        <v>405</v>
      </c>
      <c r="E1869" t="s">
        <v>1266</v>
      </c>
      <c r="G1869">
        <v>745</v>
      </c>
      <c r="H1869">
        <v>1842</v>
      </c>
      <c r="K1869" s="29">
        <v>3065242</v>
      </c>
      <c r="L1869" s="29">
        <v>3065242</v>
      </c>
      <c r="M1869" t="s">
        <v>2817</v>
      </c>
      <c r="N1869">
        <v>0</v>
      </c>
      <c r="O1869" t="s">
        <v>2817</v>
      </c>
      <c r="P1869">
        <v>0</v>
      </c>
      <c r="Q1869">
        <v>0</v>
      </c>
      <c r="R1869">
        <v>0</v>
      </c>
      <c r="T1869" s="29">
        <v>729045</v>
      </c>
      <c r="U1869" s="29">
        <v>2234699</v>
      </c>
      <c r="V1869" t="s">
        <v>1262</v>
      </c>
      <c r="W1869" t="s">
        <v>1262</v>
      </c>
      <c r="X1869" s="29">
        <v>2234699</v>
      </c>
      <c r="AA1869" s="30">
        <v>45706.333333333336</v>
      </c>
      <c r="AB1869" s="30">
        <v>45708.708333333336</v>
      </c>
      <c r="AC1869" s="30">
        <v>45706.333333333336</v>
      </c>
      <c r="AD1869" s="30">
        <v>45708.708333333336</v>
      </c>
      <c r="AE1869" s="30">
        <v>45706.333333333336</v>
      </c>
      <c r="AF1869" s="30">
        <v>45708.708333333336</v>
      </c>
      <c r="AG1869" t="s">
        <v>1266</v>
      </c>
      <c r="AK1869" t="s">
        <v>1265</v>
      </c>
      <c r="AL1869" t="s">
        <v>2836</v>
      </c>
      <c r="AM1869" t="s">
        <v>1263</v>
      </c>
      <c r="AN1869" t="s">
        <v>1262</v>
      </c>
      <c r="AO1869">
        <v>0</v>
      </c>
      <c r="AQ1869" t="s">
        <v>1261</v>
      </c>
      <c r="AR1869" t="s">
        <v>1260</v>
      </c>
      <c r="AS1869" t="s">
        <v>2716</v>
      </c>
      <c r="AT1869" s="30">
        <v>45988.521527777775</v>
      </c>
    </row>
    <row r="1870" spans="1:46" x14ac:dyDescent="0.25">
      <c r="A1870" t="s">
        <v>1248</v>
      </c>
      <c r="B1870">
        <v>170533</v>
      </c>
      <c r="C1870">
        <v>119927</v>
      </c>
      <c r="D1870">
        <v>405</v>
      </c>
      <c r="E1870" t="s">
        <v>1266</v>
      </c>
      <c r="G1870">
        <v>745</v>
      </c>
      <c r="H1870">
        <v>1842</v>
      </c>
      <c r="K1870" s="29">
        <v>3065242</v>
      </c>
      <c r="L1870" s="29">
        <v>3065242</v>
      </c>
      <c r="M1870" t="s">
        <v>2817</v>
      </c>
      <c r="N1870">
        <v>0</v>
      </c>
      <c r="O1870" t="s">
        <v>2817</v>
      </c>
      <c r="P1870">
        <v>0</v>
      </c>
      <c r="Q1870">
        <v>0</v>
      </c>
      <c r="R1870">
        <v>0</v>
      </c>
      <c r="T1870" s="29">
        <v>729045</v>
      </c>
      <c r="U1870" s="29">
        <v>2234699</v>
      </c>
      <c r="V1870" t="s">
        <v>1262</v>
      </c>
      <c r="W1870" t="s">
        <v>1262</v>
      </c>
      <c r="X1870" s="29">
        <v>2234699</v>
      </c>
      <c r="AA1870" s="30">
        <v>45709.333333333336</v>
      </c>
      <c r="AB1870" s="30">
        <v>45713.708333333336</v>
      </c>
      <c r="AC1870" s="30">
        <v>45709.333333333336</v>
      </c>
      <c r="AD1870" s="30">
        <v>45713.708333333336</v>
      </c>
      <c r="AE1870" s="30">
        <v>45709.333333333336</v>
      </c>
      <c r="AF1870" s="30">
        <v>45713.708333333336</v>
      </c>
      <c r="AG1870" t="s">
        <v>1266</v>
      </c>
      <c r="AK1870" t="s">
        <v>1265</v>
      </c>
      <c r="AL1870" t="s">
        <v>2835</v>
      </c>
      <c r="AM1870" t="s">
        <v>1263</v>
      </c>
      <c r="AN1870" t="s">
        <v>1262</v>
      </c>
      <c r="AO1870">
        <v>0</v>
      </c>
      <c r="AQ1870" t="s">
        <v>1261</v>
      </c>
      <c r="AR1870" t="s">
        <v>1260</v>
      </c>
      <c r="AS1870" t="s">
        <v>2716</v>
      </c>
      <c r="AT1870" s="30">
        <v>45988.521527777775</v>
      </c>
    </row>
    <row r="1871" spans="1:46" x14ac:dyDescent="0.25">
      <c r="A1871" t="s">
        <v>1248</v>
      </c>
      <c r="B1871">
        <v>170534</v>
      </c>
      <c r="C1871">
        <v>119928</v>
      </c>
      <c r="D1871">
        <v>405</v>
      </c>
      <c r="E1871" t="s">
        <v>1266</v>
      </c>
      <c r="G1871">
        <v>745</v>
      </c>
      <c r="H1871">
        <v>1842</v>
      </c>
      <c r="K1871" s="29">
        <v>3065242</v>
      </c>
      <c r="L1871" s="29">
        <v>3065242</v>
      </c>
      <c r="M1871" t="s">
        <v>2817</v>
      </c>
      <c r="N1871">
        <v>0</v>
      </c>
      <c r="O1871" t="s">
        <v>2817</v>
      </c>
      <c r="P1871">
        <v>0</v>
      </c>
      <c r="Q1871">
        <v>0</v>
      </c>
      <c r="R1871">
        <v>0</v>
      </c>
      <c r="T1871" s="29">
        <v>729045</v>
      </c>
      <c r="U1871" s="29">
        <v>2234699</v>
      </c>
      <c r="V1871" t="s">
        <v>1262</v>
      </c>
      <c r="W1871" t="s">
        <v>1262</v>
      </c>
      <c r="X1871" s="29">
        <v>2234699</v>
      </c>
      <c r="AA1871" s="30">
        <v>45714.333333333336</v>
      </c>
      <c r="AB1871" s="30">
        <v>45716.708333333336</v>
      </c>
      <c r="AC1871" s="30">
        <v>45714.333333333336</v>
      </c>
      <c r="AD1871" s="30">
        <v>45716.708333333336</v>
      </c>
      <c r="AE1871" s="30">
        <v>45714.333333333336</v>
      </c>
      <c r="AF1871" s="30">
        <v>45716.708333333336</v>
      </c>
      <c r="AG1871" t="s">
        <v>1266</v>
      </c>
      <c r="AK1871" t="s">
        <v>1265</v>
      </c>
      <c r="AL1871" t="s">
        <v>2834</v>
      </c>
      <c r="AM1871" t="s">
        <v>1263</v>
      </c>
      <c r="AN1871" t="s">
        <v>1262</v>
      </c>
      <c r="AO1871">
        <v>0</v>
      </c>
      <c r="AQ1871" t="s">
        <v>1261</v>
      </c>
      <c r="AR1871" t="s">
        <v>1260</v>
      </c>
      <c r="AS1871" t="s">
        <v>2716</v>
      </c>
      <c r="AT1871" s="30">
        <v>45988.521527777775</v>
      </c>
    </row>
    <row r="1872" spans="1:46" x14ac:dyDescent="0.25">
      <c r="A1872" t="s">
        <v>1248</v>
      </c>
      <c r="B1872">
        <v>170535</v>
      </c>
      <c r="C1872">
        <v>119929</v>
      </c>
      <c r="D1872">
        <v>405</v>
      </c>
      <c r="E1872" t="s">
        <v>1266</v>
      </c>
      <c r="G1872">
        <v>745</v>
      </c>
      <c r="H1872">
        <v>1842</v>
      </c>
      <c r="K1872" s="29">
        <v>3065242</v>
      </c>
      <c r="L1872" s="29">
        <v>3065242</v>
      </c>
      <c r="M1872" t="s">
        <v>2817</v>
      </c>
      <c r="N1872">
        <v>0</v>
      </c>
      <c r="O1872" t="s">
        <v>2817</v>
      </c>
      <c r="P1872">
        <v>0</v>
      </c>
      <c r="Q1872">
        <v>0</v>
      </c>
      <c r="R1872">
        <v>0</v>
      </c>
      <c r="T1872" s="29">
        <v>729045</v>
      </c>
      <c r="U1872" s="29">
        <v>2234699</v>
      </c>
      <c r="V1872" t="s">
        <v>1262</v>
      </c>
      <c r="W1872" t="s">
        <v>1262</v>
      </c>
      <c r="X1872" s="29">
        <v>2234699</v>
      </c>
      <c r="AA1872" s="30">
        <v>45719.333333333336</v>
      </c>
      <c r="AB1872" s="30">
        <v>45721.708333333336</v>
      </c>
      <c r="AC1872" s="30">
        <v>45719.333333333336</v>
      </c>
      <c r="AD1872" s="30">
        <v>45721.708333333336</v>
      </c>
      <c r="AE1872" s="30">
        <v>45719.333333333336</v>
      </c>
      <c r="AF1872" s="30">
        <v>45721.708333333336</v>
      </c>
      <c r="AG1872" t="s">
        <v>1266</v>
      </c>
      <c r="AK1872" t="s">
        <v>1265</v>
      </c>
      <c r="AL1872" t="s">
        <v>2833</v>
      </c>
      <c r="AM1872" t="s">
        <v>1263</v>
      </c>
      <c r="AN1872" t="s">
        <v>1262</v>
      </c>
      <c r="AO1872">
        <v>0</v>
      </c>
      <c r="AQ1872" t="s">
        <v>1261</v>
      </c>
      <c r="AR1872" t="s">
        <v>1260</v>
      </c>
      <c r="AS1872" t="s">
        <v>2716</v>
      </c>
      <c r="AT1872" s="30">
        <v>45988.521527777775</v>
      </c>
    </row>
    <row r="1873" spans="1:46" x14ac:dyDescent="0.25">
      <c r="A1873" t="s">
        <v>1248</v>
      </c>
      <c r="B1873">
        <v>170536</v>
      </c>
      <c r="C1873">
        <v>119930</v>
      </c>
      <c r="D1873">
        <v>405</v>
      </c>
      <c r="E1873" t="s">
        <v>1266</v>
      </c>
      <c r="G1873">
        <v>745</v>
      </c>
      <c r="H1873">
        <v>1842</v>
      </c>
      <c r="K1873" s="29">
        <v>3065242</v>
      </c>
      <c r="L1873" s="29">
        <v>3065242</v>
      </c>
      <c r="M1873" t="s">
        <v>2817</v>
      </c>
      <c r="N1873">
        <v>0</v>
      </c>
      <c r="O1873" t="s">
        <v>2817</v>
      </c>
      <c r="P1873">
        <v>0</v>
      </c>
      <c r="Q1873">
        <v>0</v>
      </c>
      <c r="R1873">
        <v>0</v>
      </c>
      <c r="T1873" s="29">
        <v>729045</v>
      </c>
      <c r="U1873" s="29">
        <v>2234699</v>
      </c>
      <c r="V1873" t="s">
        <v>1262</v>
      </c>
      <c r="W1873" t="s">
        <v>1262</v>
      </c>
      <c r="X1873" s="29">
        <v>2234699</v>
      </c>
      <c r="AA1873" s="30">
        <v>45722.333333333336</v>
      </c>
      <c r="AB1873" s="30">
        <v>45726.708333333336</v>
      </c>
      <c r="AC1873" s="30">
        <v>45722.333333333336</v>
      </c>
      <c r="AD1873" s="30">
        <v>45726.708333333336</v>
      </c>
      <c r="AE1873" s="30">
        <v>45722.333333333336</v>
      </c>
      <c r="AF1873" s="30">
        <v>45726.708333333336</v>
      </c>
      <c r="AG1873" t="s">
        <v>1266</v>
      </c>
      <c r="AK1873" t="s">
        <v>1265</v>
      </c>
      <c r="AL1873" t="s">
        <v>2832</v>
      </c>
      <c r="AM1873" t="s">
        <v>1263</v>
      </c>
      <c r="AN1873" t="s">
        <v>1262</v>
      </c>
      <c r="AO1873">
        <v>0</v>
      </c>
      <c r="AQ1873" t="s">
        <v>1261</v>
      </c>
      <c r="AR1873" t="s">
        <v>1260</v>
      </c>
      <c r="AS1873" t="s">
        <v>2716</v>
      </c>
      <c r="AT1873" s="30">
        <v>45988.521527777775</v>
      </c>
    </row>
    <row r="1874" spans="1:46" x14ac:dyDescent="0.25">
      <c r="A1874" t="s">
        <v>1248</v>
      </c>
      <c r="B1874">
        <v>170537</v>
      </c>
      <c r="C1874">
        <v>119931</v>
      </c>
      <c r="D1874">
        <v>405</v>
      </c>
      <c r="E1874" t="s">
        <v>1266</v>
      </c>
      <c r="G1874">
        <v>745</v>
      </c>
      <c r="H1874">
        <v>1842</v>
      </c>
      <c r="K1874" s="29">
        <v>3065242</v>
      </c>
      <c r="L1874" s="29">
        <v>3065242</v>
      </c>
      <c r="M1874" t="s">
        <v>2817</v>
      </c>
      <c r="N1874">
        <v>0</v>
      </c>
      <c r="O1874" t="s">
        <v>2817</v>
      </c>
      <c r="P1874">
        <v>0</v>
      </c>
      <c r="Q1874">
        <v>0</v>
      </c>
      <c r="R1874">
        <v>0</v>
      </c>
      <c r="T1874" s="29">
        <v>729045</v>
      </c>
      <c r="U1874" s="29">
        <v>2234699</v>
      </c>
      <c r="V1874" t="s">
        <v>1262</v>
      </c>
      <c r="W1874" t="s">
        <v>1262</v>
      </c>
      <c r="X1874" s="29">
        <v>2234699</v>
      </c>
      <c r="AA1874" s="30">
        <v>45727.333333333336</v>
      </c>
      <c r="AB1874" s="30">
        <v>45729.708333333336</v>
      </c>
      <c r="AC1874" s="30">
        <v>45727.333333333336</v>
      </c>
      <c r="AD1874" s="30">
        <v>45729.708333333336</v>
      </c>
      <c r="AE1874" s="30">
        <v>45727.333333333336</v>
      </c>
      <c r="AF1874" s="30">
        <v>45729.708333333336</v>
      </c>
      <c r="AG1874" t="s">
        <v>1266</v>
      </c>
      <c r="AK1874" t="s">
        <v>1265</v>
      </c>
      <c r="AL1874" t="s">
        <v>2831</v>
      </c>
      <c r="AM1874" t="s">
        <v>1263</v>
      </c>
      <c r="AN1874" t="s">
        <v>1262</v>
      </c>
      <c r="AO1874">
        <v>0</v>
      </c>
      <c r="AQ1874" t="s">
        <v>1261</v>
      </c>
      <c r="AR1874" t="s">
        <v>1260</v>
      </c>
      <c r="AS1874" t="s">
        <v>2716</v>
      </c>
      <c r="AT1874" s="30">
        <v>45988.521527777775</v>
      </c>
    </row>
    <row r="1875" spans="1:46" x14ac:dyDescent="0.25">
      <c r="A1875" t="s">
        <v>1248</v>
      </c>
      <c r="B1875">
        <v>170538</v>
      </c>
      <c r="C1875">
        <v>119932</v>
      </c>
      <c r="D1875">
        <v>405</v>
      </c>
      <c r="E1875" t="s">
        <v>1266</v>
      </c>
      <c r="G1875">
        <v>745</v>
      </c>
      <c r="H1875">
        <v>1842</v>
      </c>
      <c r="K1875" s="29">
        <v>3065242</v>
      </c>
      <c r="L1875" s="29">
        <v>3065242</v>
      </c>
      <c r="M1875" t="s">
        <v>2817</v>
      </c>
      <c r="N1875">
        <v>0</v>
      </c>
      <c r="O1875" t="s">
        <v>2817</v>
      </c>
      <c r="P1875">
        <v>0</v>
      </c>
      <c r="Q1875">
        <v>0</v>
      </c>
      <c r="R1875">
        <v>0</v>
      </c>
      <c r="T1875" s="29">
        <v>729045</v>
      </c>
      <c r="U1875" s="29">
        <v>2234699</v>
      </c>
      <c r="V1875" t="s">
        <v>1262</v>
      </c>
      <c r="W1875" t="s">
        <v>1262</v>
      </c>
      <c r="X1875" s="29">
        <v>2234699</v>
      </c>
      <c r="AA1875" s="30">
        <v>45730.333333333336</v>
      </c>
      <c r="AB1875" s="30">
        <v>45734.708333333336</v>
      </c>
      <c r="AC1875" s="30">
        <v>45730.333333333336</v>
      </c>
      <c r="AD1875" s="30">
        <v>45734.708333333336</v>
      </c>
      <c r="AE1875" s="30">
        <v>45730.333333333336</v>
      </c>
      <c r="AF1875" s="30">
        <v>45734.708333333336</v>
      </c>
      <c r="AG1875" t="s">
        <v>1266</v>
      </c>
      <c r="AK1875" t="s">
        <v>1265</v>
      </c>
      <c r="AL1875" t="s">
        <v>2830</v>
      </c>
      <c r="AM1875" t="s">
        <v>1263</v>
      </c>
      <c r="AN1875" t="s">
        <v>1262</v>
      </c>
      <c r="AO1875">
        <v>0</v>
      </c>
      <c r="AQ1875" t="s">
        <v>1261</v>
      </c>
      <c r="AR1875" t="s">
        <v>1260</v>
      </c>
      <c r="AS1875" t="s">
        <v>2716</v>
      </c>
      <c r="AT1875" s="30">
        <v>45988.521527777775</v>
      </c>
    </row>
    <row r="1876" spans="1:46" x14ac:dyDescent="0.25">
      <c r="A1876" t="s">
        <v>1248</v>
      </c>
      <c r="B1876">
        <v>170539</v>
      </c>
      <c r="C1876">
        <v>119933</v>
      </c>
      <c r="D1876">
        <v>405</v>
      </c>
      <c r="E1876" t="s">
        <v>1266</v>
      </c>
      <c r="G1876">
        <v>745</v>
      </c>
      <c r="H1876">
        <v>1842</v>
      </c>
      <c r="K1876" s="29">
        <v>3065242</v>
      </c>
      <c r="L1876" s="29">
        <v>3065242</v>
      </c>
      <c r="M1876" t="s">
        <v>2817</v>
      </c>
      <c r="N1876">
        <v>0</v>
      </c>
      <c r="O1876" t="s">
        <v>2817</v>
      </c>
      <c r="P1876">
        <v>0</v>
      </c>
      <c r="Q1876">
        <v>0</v>
      </c>
      <c r="R1876">
        <v>0</v>
      </c>
      <c r="T1876" s="29">
        <v>729045</v>
      </c>
      <c r="U1876" s="29">
        <v>2234699</v>
      </c>
      <c r="V1876" t="s">
        <v>1262</v>
      </c>
      <c r="W1876" t="s">
        <v>1262</v>
      </c>
      <c r="X1876" s="29">
        <v>2234699</v>
      </c>
      <c r="AA1876" s="30">
        <v>45735.333333333336</v>
      </c>
      <c r="AB1876" s="30">
        <v>45737.708333333336</v>
      </c>
      <c r="AC1876" s="30">
        <v>45735.333333333336</v>
      </c>
      <c r="AD1876" s="30">
        <v>45737.708333333336</v>
      </c>
      <c r="AE1876" s="30">
        <v>45735.333333333336</v>
      </c>
      <c r="AF1876" s="30">
        <v>45737.708333333336</v>
      </c>
      <c r="AG1876" t="s">
        <v>1266</v>
      </c>
      <c r="AK1876" t="s">
        <v>1265</v>
      </c>
      <c r="AL1876" t="s">
        <v>2829</v>
      </c>
      <c r="AM1876" t="s">
        <v>1263</v>
      </c>
      <c r="AN1876" t="s">
        <v>1262</v>
      </c>
      <c r="AO1876">
        <v>0</v>
      </c>
      <c r="AQ1876" t="s">
        <v>1261</v>
      </c>
      <c r="AR1876" t="s">
        <v>1260</v>
      </c>
      <c r="AS1876" t="s">
        <v>2716</v>
      </c>
      <c r="AT1876" s="30">
        <v>45988.521527777775</v>
      </c>
    </row>
    <row r="1877" spans="1:46" x14ac:dyDescent="0.25">
      <c r="A1877" t="s">
        <v>1248</v>
      </c>
      <c r="B1877">
        <v>170540</v>
      </c>
      <c r="C1877">
        <v>119934</v>
      </c>
      <c r="D1877">
        <v>405</v>
      </c>
      <c r="E1877" t="s">
        <v>1266</v>
      </c>
      <c r="G1877">
        <v>745</v>
      </c>
      <c r="H1877">
        <v>1842</v>
      </c>
      <c r="K1877" s="29">
        <v>3065242</v>
      </c>
      <c r="L1877" s="29">
        <v>3065242</v>
      </c>
      <c r="M1877" t="s">
        <v>2817</v>
      </c>
      <c r="N1877">
        <v>0</v>
      </c>
      <c r="O1877" t="s">
        <v>2817</v>
      </c>
      <c r="P1877">
        <v>0</v>
      </c>
      <c r="Q1877">
        <v>0</v>
      </c>
      <c r="R1877">
        <v>0</v>
      </c>
      <c r="T1877" s="29">
        <v>729045</v>
      </c>
      <c r="U1877" s="29">
        <v>2234699</v>
      </c>
      <c r="V1877" t="s">
        <v>1262</v>
      </c>
      <c r="W1877" t="s">
        <v>1262</v>
      </c>
      <c r="X1877" s="29">
        <v>2234699</v>
      </c>
      <c r="AA1877" s="30">
        <v>45740.333333333336</v>
      </c>
      <c r="AB1877" s="30">
        <v>45742.708333333336</v>
      </c>
      <c r="AC1877" s="30">
        <v>45740.333333333336</v>
      </c>
      <c r="AD1877" s="30">
        <v>45742.708333333336</v>
      </c>
      <c r="AE1877" s="30">
        <v>45740.333333333336</v>
      </c>
      <c r="AF1877" s="30">
        <v>45742.708333333336</v>
      </c>
      <c r="AG1877" t="s">
        <v>1266</v>
      </c>
      <c r="AK1877" t="s">
        <v>1265</v>
      </c>
      <c r="AL1877" t="s">
        <v>2828</v>
      </c>
      <c r="AM1877" t="s">
        <v>1263</v>
      </c>
      <c r="AN1877" t="s">
        <v>1262</v>
      </c>
      <c r="AO1877">
        <v>0</v>
      </c>
      <c r="AQ1877" t="s">
        <v>1261</v>
      </c>
      <c r="AR1877" t="s">
        <v>1260</v>
      </c>
      <c r="AS1877" t="s">
        <v>2716</v>
      </c>
      <c r="AT1877" s="30">
        <v>45988.521527777775</v>
      </c>
    </row>
    <row r="1878" spans="1:46" x14ac:dyDescent="0.25">
      <c r="A1878" t="s">
        <v>1248</v>
      </c>
      <c r="B1878">
        <v>170541</v>
      </c>
      <c r="C1878">
        <v>119935</v>
      </c>
      <c r="D1878">
        <v>405</v>
      </c>
      <c r="E1878" t="s">
        <v>1266</v>
      </c>
      <c r="G1878">
        <v>745</v>
      </c>
      <c r="H1878">
        <v>1842</v>
      </c>
      <c r="K1878" s="29">
        <v>3065242</v>
      </c>
      <c r="L1878" s="29">
        <v>3065242</v>
      </c>
      <c r="M1878" t="s">
        <v>2817</v>
      </c>
      <c r="N1878">
        <v>0</v>
      </c>
      <c r="O1878" t="s">
        <v>2817</v>
      </c>
      <c r="P1878">
        <v>0</v>
      </c>
      <c r="Q1878">
        <v>0</v>
      </c>
      <c r="R1878">
        <v>0</v>
      </c>
      <c r="T1878" s="29">
        <v>729045</v>
      </c>
      <c r="U1878" s="29">
        <v>2234699</v>
      </c>
      <c r="V1878" t="s">
        <v>1262</v>
      </c>
      <c r="W1878" t="s">
        <v>1262</v>
      </c>
      <c r="X1878" s="29">
        <v>2234699</v>
      </c>
      <c r="AA1878" s="30">
        <v>45743.333333333336</v>
      </c>
      <c r="AB1878" s="30">
        <v>45747.708333333336</v>
      </c>
      <c r="AC1878" s="30">
        <v>45743.333333333336</v>
      </c>
      <c r="AD1878" s="30">
        <v>45747.708333333336</v>
      </c>
      <c r="AE1878" s="30">
        <v>45743.333333333336</v>
      </c>
      <c r="AF1878" s="30">
        <v>45747.708333333336</v>
      </c>
      <c r="AG1878" t="s">
        <v>1266</v>
      </c>
      <c r="AK1878" t="s">
        <v>1265</v>
      </c>
      <c r="AL1878" t="s">
        <v>2827</v>
      </c>
      <c r="AM1878" t="s">
        <v>1263</v>
      </c>
      <c r="AN1878" t="s">
        <v>1262</v>
      </c>
      <c r="AO1878">
        <v>0</v>
      </c>
      <c r="AQ1878" t="s">
        <v>1261</v>
      </c>
      <c r="AR1878" t="s">
        <v>1260</v>
      </c>
      <c r="AS1878" t="s">
        <v>2716</v>
      </c>
      <c r="AT1878" s="30">
        <v>45988.521527777775</v>
      </c>
    </row>
    <row r="1879" spans="1:46" x14ac:dyDescent="0.25">
      <c r="A1879" t="s">
        <v>1248</v>
      </c>
      <c r="B1879">
        <v>170542</v>
      </c>
      <c r="C1879">
        <v>119936</v>
      </c>
      <c r="D1879">
        <v>405</v>
      </c>
      <c r="E1879" t="s">
        <v>1266</v>
      </c>
      <c r="G1879">
        <v>745</v>
      </c>
      <c r="H1879">
        <v>1842</v>
      </c>
      <c r="K1879" s="29">
        <v>3065242</v>
      </c>
      <c r="L1879" s="29">
        <v>3065242</v>
      </c>
      <c r="M1879" t="s">
        <v>2817</v>
      </c>
      <c r="N1879">
        <v>0</v>
      </c>
      <c r="O1879" t="s">
        <v>2817</v>
      </c>
      <c r="P1879">
        <v>0</v>
      </c>
      <c r="Q1879">
        <v>0</v>
      </c>
      <c r="R1879">
        <v>0</v>
      </c>
      <c r="T1879" s="29">
        <v>729045</v>
      </c>
      <c r="U1879" s="29">
        <v>2234699</v>
      </c>
      <c r="V1879" t="s">
        <v>1262</v>
      </c>
      <c r="W1879" t="s">
        <v>1262</v>
      </c>
      <c r="X1879" s="29">
        <v>2234699</v>
      </c>
      <c r="AA1879" s="30">
        <v>45748.333333333336</v>
      </c>
      <c r="AB1879" s="30">
        <v>45750.708333333336</v>
      </c>
      <c r="AC1879" s="30">
        <v>45748.333333333336</v>
      </c>
      <c r="AD1879" s="30">
        <v>45750.708333333336</v>
      </c>
      <c r="AE1879" s="30">
        <v>45748.333333333336</v>
      </c>
      <c r="AF1879" s="30">
        <v>45750.708333333336</v>
      </c>
      <c r="AG1879" t="s">
        <v>1266</v>
      </c>
      <c r="AK1879" t="s">
        <v>1265</v>
      </c>
      <c r="AL1879" t="s">
        <v>2826</v>
      </c>
      <c r="AM1879" t="s">
        <v>1263</v>
      </c>
      <c r="AN1879" t="s">
        <v>1262</v>
      </c>
      <c r="AO1879">
        <v>0</v>
      </c>
      <c r="AQ1879" t="s">
        <v>1261</v>
      </c>
      <c r="AR1879" t="s">
        <v>1260</v>
      </c>
      <c r="AS1879" t="s">
        <v>2716</v>
      </c>
      <c r="AT1879" s="30">
        <v>45988.521527777775</v>
      </c>
    </row>
    <row r="1880" spans="1:46" x14ac:dyDescent="0.25">
      <c r="A1880" t="s">
        <v>1248</v>
      </c>
      <c r="B1880">
        <v>170543</v>
      </c>
      <c r="C1880">
        <v>119937</v>
      </c>
      <c r="D1880">
        <v>405</v>
      </c>
      <c r="E1880" t="s">
        <v>1266</v>
      </c>
      <c r="G1880">
        <v>745</v>
      </c>
      <c r="H1880">
        <v>1842</v>
      </c>
      <c r="K1880" s="29">
        <v>3065242</v>
      </c>
      <c r="L1880" s="29">
        <v>3065242</v>
      </c>
      <c r="M1880" t="s">
        <v>2817</v>
      </c>
      <c r="N1880">
        <v>0</v>
      </c>
      <c r="O1880" t="s">
        <v>2817</v>
      </c>
      <c r="P1880">
        <v>0</v>
      </c>
      <c r="Q1880">
        <v>0</v>
      </c>
      <c r="R1880">
        <v>0</v>
      </c>
      <c r="T1880" s="29">
        <v>729045</v>
      </c>
      <c r="U1880" s="29">
        <v>2234699</v>
      </c>
      <c r="V1880" t="s">
        <v>1262</v>
      </c>
      <c r="W1880" t="s">
        <v>1262</v>
      </c>
      <c r="X1880" s="29">
        <v>2234699</v>
      </c>
      <c r="AA1880" s="30">
        <v>45751.333333333336</v>
      </c>
      <c r="AB1880" s="30">
        <v>45755.708333333336</v>
      </c>
      <c r="AC1880" s="30">
        <v>45751.333333333336</v>
      </c>
      <c r="AD1880" s="30">
        <v>45755.708333333336</v>
      </c>
      <c r="AE1880" s="30">
        <v>45751.333333333336</v>
      </c>
      <c r="AF1880" s="30">
        <v>45755.708333333336</v>
      </c>
      <c r="AG1880" t="s">
        <v>1266</v>
      </c>
      <c r="AK1880" t="s">
        <v>1265</v>
      </c>
      <c r="AL1880" t="s">
        <v>2825</v>
      </c>
      <c r="AM1880" t="s">
        <v>1263</v>
      </c>
      <c r="AN1880" t="s">
        <v>1262</v>
      </c>
      <c r="AO1880">
        <v>0</v>
      </c>
      <c r="AQ1880" t="s">
        <v>1261</v>
      </c>
      <c r="AR1880" t="s">
        <v>1260</v>
      </c>
      <c r="AS1880" t="s">
        <v>2716</v>
      </c>
      <c r="AT1880" s="30">
        <v>45988.521527777775</v>
      </c>
    </row>
    <row r="1881" spans="1:46" x14ac:dyDescent="0.25">
      <c r="A1881" t="s">
        <v>1248</v>
      </c>
      <c r="B1881">
        <v>170544</v>
      </c>
      <c r="C1881">
        <v>119938</v>
      </c>
      <c r="D1881">
        <v>405</v>
      </c>
      <c r="E1881" t="s">
        <v>1266</v>
      </c>
      <c r="G1881">
        <v>745</v>
      </c>
      <c r="H1881">
        <v>1842</v>
      </c>
      <c r="K1881" s="29">
        <v>3065242</v>
      </c>
      <c r="L1881" s="29">
        <v>3065242</v>
      </c>
      <c r="M1881" t="s">
        <v>2817</v>
      </c>
      <c r="N1881">
        <v>0</v>
      </c>
      <c r="O1881" t="s">
        <v>2817</v>
      </c>
      <c r="P1881">
        <v>0</v>
      </c>
      <c r="Q1881">
        <v>0</v>
      </c>
      <c r="R1881">
        <v>0</v>
      </c>
      <c r="T1881" s="29">
        <v>729045</v>
      </c>
      <c r="U1881" s="29">
        <v>2234699</v>
      </c>
      <c r="V1881" t="s">
        <v>1262</v>
      </c>
      <c r="W1881" t="s">
        <v>1262</v>
      </c>
      <c r="X1881" s="29">
        <v>2234699</v>
      </c>
      <c r="AA1881" s="30">
        <v>45756.333333333336</v>
      </c>
      <c r="AB1881" s="30">
        <v>45758.708333333336</v>
      </c>
      <c r="AC1881" s="30">
        <v>45756.333333333336</v>
      </c>
      <c r="AD1881" s="30">
        <v>45758.708333333336</v>
      </c>
      <c r="AE1881" s="30">
        <v>45756.333333333336</v>
      </c>
      <c r="AF1881" s="30">
        <v>45758.708333333336</v>
      </c>
      <c r="AG1881" t="s">
        <v>1266</v>
      </c>
      <c r="AK1881" t="s">
        <v>1265</v>
      </c>
      <c r="AL1881" t="s">
        <v>2824</v>
      </c>
      <c r="AM1881" t="s">
        <v>1263</v>
      </c>
      <c r="AN1881" t="s">
        <v>1262</v>
      </c>
      <c r="AO1881">
        <v>0</v>
      </c>
      <c r="AQ1881" t="s">
        <v>1261</v>
      </c>
      <c r="AR1881" t="s">
        <v>1260</v>
      </c>
      <c r="AS1881" t="s">
        <v>2716</v>
      </c>
      <c r="AT1881" s="30">
        <v>45988.521527777775</v>
      </c>
    </row>
    <row r="1882" spans="1:46" x14ac:dyDescent="0.25">
      <c r="A1882" t="s">
        <v>1248</v>
      </c>
      <c r="B1882">
        <v>170545</v>
      </c>
      <c r="C1882">
        <v>119939</v>
      </c>
      <c r="D1882">
        <v>405</v>
      </c>
      <c r="E1882" t="s">
        <v>1266</v>
      </c>
      <c r="G1882">
        <v>745</v>
      </c>
      <c r="H1882">
        <v>1842</v>
      </c>
      <c r="K1882" s="29">
        <v>3065242</v>
      </c>
      <c r="L1882" s="29">
        <v>3065242</v>
      </c>
      <c r="M1882" t="s">
        <v>2817</v>
      </c>
      <c r="N1882">
        <v>0</v>
      </c>
      <c r="O1882" t="s">
        <v>2817</v>
      </c>
      <c r="P1882">
        <v>0</v>
      </c>
      <c r="Q1882">
        <v>0</v>
      </c>
      <c r="R1882">
        <v>0</v>
      </c>
      <c r="T1882" s="29">
        <v>729045</v>
      </c>
      <c r="U1882" s="29">
        <v>2234699</v>
      </c>
      <c r="V1882" t="s">
        <v>1262</v>
      </c>
      <c r="W1882" t="s">
        <v>1262</v>
      </c>
      <c r="X1882" s="29">
        <v>2234699</v>
      </c>
      <c r="AA1882" s="30">
        <v>45761.333333333336</v>
      </c>
      <c r="AB1882" s="30">
        <v>45763.708333333336</v>
      </c>
      <c r="AC1882" s="30">
        <v>45761.333333333336</v>
      </c>
      <c r="AD1882" s="30">
        <v>45763.708333333336</v>
      </c>
      <c r="AE1882" s="30">
        <v>45761.333333333336</v>
      </c>
      <c r="AF1882" s="30">
        <v>45763.708333333336</v>
      </c>
      <c r="AG1882" t="s">
        <v>1266</v>
      </c>
      <c r="AK1882" t="s">
        <v>1265</v>
      </c>
      <c r="AL1882" t="s">
        <v>2823</v>
      </c>
      <c r="AM1882" t="s">
        <v>1263</v>
      </c>
      <c r="AN1882" t="s">
        <v>1262</v>
      </c>
      <c r="AO1882">
        <v>0</v>
      </c>
      <c r="AQ1882" t="s">
        <v>1261</v>
      </c>
      <c r="AR1882" t="s">
        <v>1260</v>
      </c>
      <c r="AS1882" t="s">
        <v>2716</v>
      </c>
      <c r="AT1882" s="30">
        <v>45988.521527777775</v>
      </c>
    </row>
    <row r="1883" spans="1:46" x14ac:dyDescent="0.25">
      <c r="A1883" t="s">
        <v>1248</v>
      </c>
      <c r="B1883">
        <v>170546</v>
      </c>
      <c r="C1883">
        <v>119940</v>
      </c>
      <c r="D1883">
        <v>405</v>
      </c>
      <c r="E1883" t="s">
        <v>1266</v>
      </c>
      <c r="G1883">
        <v>745</v>
      </c>
      <c r="H1883">
        <v>1842</v>
      </c>
      <c r="K1883" s="29">
        <v>3065242</v>
      </c>
      <c r="L1883" s="29">
        <v>3065242</v>
      </c>
      <c r="M1883" t="s">
        <v>2817</v>
      </c>
      <c r="N1883">
        <v>0</v>
      </c>
      <c r="O1883" t="s">
        <v>2817</v>
      </c>
      <c r="P1883">
        <v>0</v>
      </c>
      <c r="Q1883">
        <v>0</v>
      </c>
      <c r="R1883">
        <v>0</v>
      </c>
      <c r="T1883" s="29">
        <v>729045</v>
      </c>
      <c r="U1883" s="29">
        <v>2234699</v>
      </c>
      <c r="V1883" t="s">
        <v>1262</v>
      </c>
      <c r="W1883" t="s">
        <v>1262</v>
      </c>
      <c r="X1883" s="29">
        <v>2234699</v>
      </c>
      <c r="AA1883" s="30">
        <v>45764.333333333336</v>
      </c>
      <c r="AB1883" s="30">
        <v>45768.708333333336</v>
      </c>
      <c r="AC1883" s="30">
        <v>45764.333333333336</v>
      </c>
      <c r="AD1883" s="30">
        <v>45768.708333333336</v>
      </c>
      <c r="AE1883" s="30">
        <v>45764.333333333336</v>
      </c>
      <c r="AF1883" s="30">
        <v>45768.708333333336</v>
      </c>
      <c r="AG1883" t="s">
        <v>1266</v>
      </c>
      <c r="AK1883" t="s">
        <v>1265</v>
      </c>
      <c r="AL1883" t="s">
        <v>2822</v>
      </c>
      <c r="AM1883" t="s">
        <v>1263</v>
      </c>
      <c r="AN1883" t="s">
        <v>1262</v>
      </c>
      <c r="AO1883">
        <v>0</v>
      </c>
      <c r="AQ1883" t="s">
        <v>1261</v>
      </c>
      <c r="AR1883" t="s">
        <v>1260</v>
      </c>
      <c r="AS1883" t="s">
        <v>2716</v>
      </c>
      <c r="AT1883" s="30">
        <v>45988.521527777775</v>
      </c>
    </row>
    <row r="1884" spans="1:46" x14ac:dyDescent="0.25">
      <c r="A1884" t="s">
        <v>1248</v>
      </c>
      <c r="B1884">
        <v>170547</v>
      </c>
      <c r="C1884">
        <v>119941</v>
      </c>
      <c r="D1884">
        <v>405</v>
      </c>
      <c r="E1884" t="s">
        <v>1266</v>
      </c>
      <c r="G1884">
        <v>745</v>
      </c>
      <c r="H1884">
        <v>1842</v>
      </c>
      <c r="K1884" s="29">
        <v>3065242</v>
      </c>
      <c r="L1884" s="29">
        <v>3065242</v>
      </c>
      <c r="M1884" t="s">
        <v>2817</v>
      </c>
      <c r="N1884">
        <v>0</v>
      </c>
      <c r="O1884" t="s">
        <v>2817</v>
      </c>
      <c r="P1884">
        <v>0</v>
      </c>
      <c r="Q1884">
        <v>0</v>
      </c>
      <c r="R1884">
        <v>0</v>
      </c>
      <c r="T1884" s="29">
        <v>729045</v>
      </c>
      <c r="U1884" s="29">
        <v>2234699</v>
      </c>
      <c r="V1884" t="s">
        <v>1262</v>
      </c>
      <c r="W1884" t="s">
        <v>1262</v>
      </c>
      <c r="X1884" s="29">
        <v>2234699</v>
      </c>
      <c r="AA1884" s="30">
        <v>45769.333333333336</v>
      </c>
      <c r="AB1884" s="30">
        <v>45771.708333333336</v>
      </c>
      <c r="AC1884" s="30">
        <v>45769.333333333336</v>
      </c>
      <c r="AD1884" s="30">
        <v>45771.708333333336</v>
      </c>
      <c r="AE1884" s="30">
        <v>45769.333333333336</v>
      </c>
      <c r="AF1884" s="30">
        <v>45771.708333333336</v>
      </c>
      <c r="AG1884" t="s">
        <v>1266</v>
      </c>
      <c r="AK1884" t="s">
        <v>1265</v>
      </c>
      <c r="AL1884" t="s">
        <v>2821</v>
      </c>
      <c r="AM1884" t="s">
        <v>1263</v>
      </c>
      <c r="AN1884" t="s">
        <v>1262</v>
      </c>
      <c r="AO1884">
        <v>0</v>
      </c>
      <c r="AQ1884" t="s">
        <v>1261</v>
      </c>
      <c r="AR1884" t="s">
        <v>1260</v>
      </c>
      <c r="AS1884" t="s">
        <v>2716</v>
      </c>
      <c r="AT1884" s="30">
        <v>45988.521527777775</v>
      </c>
    </row>
    <row r="1885" spans="1:46" x14ac:dyDescent="0.25">
      <c r="A1885" t="s">
        <v>1248</v>
      </c>
      <c r="B1885">
        <v>170548</v>
      </c>
      <c r="C1885">
        <v>119942</v>
      </c>
      <c r="D1885">
        <v>405</v>
      </c>
      <c r="E1885" t="s">
        <v>1266</v>
      </c>
      <c r="G1885">
        <v>745</v>
      </c>
      <c r="H1885">
        <v>1842</v>
      </c>
      <c r="K1885" s="29">
        <v>3065242</v>
      </c>
      <c r="L1885" s="29">
        <v>3065242</v>
      </c>
      <c r="M1885" t="s">
        <v>2817</v>
      </c>
      <c r="N1885">
        <v>0</v>
      </c>
      <c r="O1885" t="s">
        <v>2817</v>
      </c>
      <c r="P1885">
        <v>0</v>
      </c>
      <c r="Q1885">
        <v>0</v>
      </c>
      <c r="R1885">
        <v>0</v>
      </c>
      <c r="T1885" s="29">
        <v>729045</v>
      </c>
      <c r="U1885" s="29">
        <v>2234699</v>
      </c>
      <c r="V1885" t="s">
        <v>1262</v>
      </c>
      <c r="W1885" t="s">
        <v>1262</v>
      </c>
      <c r="X1885" s="29">
        <v>2234699</v>
      </c>
      <c r="AA1885" s="30">
        <v>45772.333333333336</v>
      </c>
      <c r="AB1885" s="30">
        <v>45776.708333333336</v>
      </c>
      <c r="AC1885" s="30">
        <v>45772.333333333336</v>
      </c>
      <c r="AD1885" s="30">
        <v>45776.708333333336</v>
      </c>
      <c r="AE1885" s="30">
        <v>45772.333333333336</v>
      </c>
      <c r="AF1885" s="30">
        <v>45776.708333333336</v>
      </c>
      <c r="AG1885" t="s">
        <v>1266</v>
      </c>
      <c r="AK1885" t="s">
        <v>1265</v>
      </c>
      <c r="AL1885" t="s">
        <v>2820</v>
      </c>
      <c r="AM1885" t="s">
        <v>1263</v>
      </c>
      <c r="AN1885" t="s">
        <v>1262</v>
      </c>
      <c r="AO1885">
        <v>0</v>
      </c>
      <c r="AQ1885" t="s">
        <v>1261</v>
      </c>
      <c r="AR1885" t="s">
        <v>1260</v>
      </c>
      <c r="AS1885" t="s">
        <v>2716</v>
      </c>
      <c r="AT1885" s="30">
        <v>45988.521527777775</v>
      </c>
    </row>
    <row r="1886" spans="1:46" x14ac:dyDescent="0.25">
      <c r="A1886" t="s">
        <v>1248</v>
      </c>
      <c r="B1886">
        <v>170549</v>
      </c>
      <c r="C1886">
        <v>119943</v>
      </c>
      <c r="D1886">
        <v>405</v>
      </c>
      <c r="E1886" t="s">
        <v>1266</v>
      </c>
      <c r="G1886">
        <v>745</v>
      </c>
      <c r="H1886">
        <v>1842</v>
      </c>
      <c r="K1886" s="29">
        <v>3065242</v>
      </c>
      <c r="L1886" s="29">
        <v>3065242</v>
      </c>
      <c r="M1886" t="s">
        <v>2817</v>
      </c>
      <c r="N1886">
        <v>0</v>
      </c>
      <c r="O1886" t="s">
        <v>2817</v>
      </c>
      <c r="P1886">
        <v>0</v>
      </c>
      <c r="Q1886">
        <v>0</v>
      </c>
      <c r="R1886">
        <v>0</v>
      </c>
      <c r="T1886" s="29">
        <v>729045</v>
      </c>
      <c r="U1886" s="29">
        <v>2234699</v>
      </c>
      <c r="V1886" t="s">
        <v>1262</v>
      </c>
      <c r="W1886" t="s">
        <v>1262</v>
      </c>
      <c r="X1886" s="29">
        <v>2234699</v>
      </c>
      <c r="AA1886" s="30">
        <v>45777.333333333336</v>
      </c>
      <c r="AB1886" s="30">
        <v>45779.708333333336</v>
      </c>
      <c r="AC1886" s="30">
        <v>45777.333333333336</v>
      </c>
      <c r="AD1886" s="30">
        <v>45779.708333333336</v>
      </c>
      <c r="AE1886" s="30">
        <v>45777.333333333336</v>
      </c>
      <c r="AF1886" s="30">
        <v>45779.708333333336</v>
      </c>
      <c r="AG1886" t="s">
        <v>1266</v>
      </c>
      <c r="AK1886" t="s">
        <v>1265</v>
      </c>
      <c r="AL1886" t="s">
        <v>2819</v>
      </c>
      <c r="AM1886" t="s">
        <v>1263</v>
      </c>
      <c r="AN1886" t="s">
        <v>1262</v>
      </c>
      <c r="AO1886">
        <v>0</v>
      </c>
      <c r="AQ1886" t="s">
        <v>1261</v>
      </c>
      <c r="AR1886" t="s">
        <v>1260</v>
      </c>
      <c r="AS1886" t="s">
        <v>2716</v>
      </c>
      <c r="AT1886" s="30">
        <v>45988.521527777775</v>
      </c>
    </row>
    <row r="1887" spans="1:46" x14ac:dyDescent="0.25">
      <c r="A1887" t="s">
        <v>1248</v>
      </c>
      <c r="B1887">
        <v>170550</v>
      </c>
      <c r="C1887">
        <v>119944</v>
      </c>
      <c r="D1887">
        <v>405</v>
      </c>
      <c r="E1887" t="s">
        <v>1266</v>
      </c>
      <c r="G1887">
        <v>745</v>
      </c>
      <c r="H1887">
        <v>1842</v>
      </c>
      <c r="K1887" s="29">
        <v>3065242</v>
      </c>
      <c r="L1887" s="29">
        <v>3065242</v>
      </c>
      <c r="M1887" t="s">
        <v>2817</v>
      </c>
      <c r="N1887">
        <v>0</v>
      </c>
      <c r="O1887" t="s">
        <v>2817</v>
      </c>
      <c r="P1887">
        <v>0</v>
      </c>
      <c r="Q1887">
        <v>0</v>
      </c>
      <c r="R1887">
        <v>0</v>
      </c>
      <c r="T1887" s="29">
        <v>729045</v>
      </c>
      <c r="U1887" s="29">
        <v>2234699</v>
      </c>
      <c r="V1887" t="s">
        <v>1262</v>
      </c>
      <c r="W1887" t="s">
        <v>1262</v>
      </c>
      <c r="X1887" s="29">
        <v>2234699</v>
      </c>
      <c r="AA1887" s="30">
        <v>45782.333333333336</v>
      </c>
      <c r="AB1887" s="30">
        <v>45784.708333333336</v>
      </c>
      <c r="AC1887" s="30">
        <v>45782.333333333336</v>
      </c>
      <c r="AD1887" s="30">
        <v>45784.708333333336</v>
      </c>
      <c r="AE1887" s="30">
        <v>45805.333333333336</v>
      </c>
      <c r="AF1887" s="30">
        <v>45807.708333333336</v>
      </c>
      <c r="AG1887" t="s">
        <v>1266</v>
      </c>
      <c r="AK1887" t="s">
        <v>1265</v>
      </c>
      <c r="AL1887" t="s">
        <v>2818</v>
      </c>
      <c r="AM1887" t="s">
        <v>1263</v>
      </c>
      <c r="AN1887" t="s">
        <v>1262</v>
      </c>
      <c r="AO1887">
        <v>0</v>
      </c>
      <c r="AQ1887" t="s">
        <v>1261</v>
      </c>
      <c r="AR1887" t="s">
        <v>1260</v>
      </c>
      <c r="AS1887" t="s">
        <v>2716</v>
      </c>
      <c r="AT1887" s="30">
        <v>45988.521527777775</v>
      </c>
    </row>
    <row r="1888" spans="1:46" x14ac:dyDescent="0.25">
      <c r="A1888" t="s">
        <v>1248</v>
      </c>
      <c r="B1888">
        <v>170551</v>
      </c>
      <c r="C1888">
        <v>119945</v>
      </c>
      <c r="D1888">
        <v>405</v>
      </c>
      <c r="E1888" t="s">
        <v>1266</v>
      </c>
      <c r="G1888">
        <v>745</v>
      </c>
      <c r="H1888">
        <v>1842</v>
      </c>
      <c r="K1888" s="29">
        <v>3065242</v>
      </c>
      <c r="L1888" s="29">
        <v>3065242</v>
      </c>
      <c r="M1888" t="s">
        <v>2817</v>
      </c>
      <c r="N1888">
        <v>0</v>
      </c>
      <c r="O1888" t="s">
        <v>2817</v>
      </c>
      <c r="P1888">
        <v>0</v>
      </c>
      <c r="Q1888">
        <v>0</v>
      </c>
      <c r="R1888">
        <v>0</v>
      </c>
      <c r="T1888" s="29">
        <v>729045</v>
      </c>
      <c r="U1888" s="29">
        <v>2234699</v>
      </c>
      <c r="V1888" t="s">
        <v>1262</v>
      </c>
      <c r="W1888" t="s">
        <v>1262</v>
      </c>
      <c r="X1888" s="29">
        <v>2234699</v>
      </c>
      <c r="AA1888" s="30">
        <v>45785.333333333336</v>
      </c>
      <c r="AB1888" s="30">
        <v>45789.708333333336</v>
      </c>
      <c r="AC1888" s="30">
        <v>45785.333333333336</v>
      </c>
      <c r="AD1888" s="30">
        <v>45789.708333333336</v>
      </c>
      <c r="AE1888" s="30">
        <v>45810.333333333336</v>
      </c>
      <c r="AF1888" s="30">
        <v>45812.708333333336</v>
      </c>
      <c r="AG1888" t="s">
        <v>1266</v>
      </c>
      <c r="AK1888" t="s">
        <v>1265</v>
      </c>
      <c r="AL1888" t="s">
        <v>2816</v>
      </c>
      <c r="AM1888" t="s">
        <v>1263</v>
      </c>
      <c r="AN1888" t="s">
        <v>1262</v>
      </c>
      <c r="AO1888">
        <v>0</v>
      </c>
      <c r="AQ1888" t="s">
        <v>1261</v>
      </c>
      <c r="AR1888" t="s">
        <v>1260</v>
      </c>
      <c r="AS1888" t="s">
        <v>2716</v>
      </c>
      <c r="AT1888" s="30">
        <v>45988.521527777775</v>
      </c>
    </row>
    <row r="1889" spans="1:46" x14ac:dyDescent="0.25">
      <c r="A1889" t="s">
        <v>1248</v>
      </c>
      <c r="B1889">
        <v>170552</v>
      </c>
      <c r="C1889">
        <v>120014</v>
      </c>
      <c r="D1889">
        <v>405</v>
      </c>
      <c r="E1889" t="s">
        <v>1266</v>
      </c>
      <c r="G1889">
        <v>745</v>
      </c>
      <c r="H1889">
        <v>1810</v>
      </c>
      <c r="K1889" s="29">
        <v>1672316754</v>
      </c>
      <c r="L1889" s="29">
        <v>1672316754</v>
      </c>
      <c r="M1889" s="29">
        <v>232266215</v>
      </c>
      <c r="N1889">
        <v>0</v>
      </c>
      <c r="O1889" s="29">
        <v>232266215</v>
      </c>
      <c r="P1889">
        <v>0</v>
      </c>
      <c r="Q1889">
        <v>0</v>
      </c>
      <c r="R1889">
        <v>0</v>
      </c>
      <c r="T1889" s="29">
        <v>1414554</v>
      </c>
      <c r="U1889" s="29">
        <v>2365582032</v>
      </c>
      <c r="V1889" t="s">
        <v>1262</v>
      </c>
      <c r="W1889" t="s">
        <v>1262</v>
      </c>
      <c r="X1889" s="29">
        <v>2365582032</v>
      </c>
      <c r="AA1889" s="30">
        <v>45714.333333333336</v>
      </c>
      <c r="AB1889" s="30">
        <v>45839.708333333336</v>
      </c>
      <c r="AC1889" s="30">
        <v>45714.333333333336</v>
      </c>
      <c r="AD1889" s="30">
        <v>45839.708333333336</v>
      </c>
      <c r="AE1889" s="30">
        <v>46331.333333333336</v>
      </c>
      <c r="AF1889" s="30">
        <v>46462.708333333336</v>
      </c>
      <c r="AG1889" t="s">
        <v>1266</v>
      </c>
      <c r="AK1889" t="s">
        <v>1265</v>
      </c>
      <c r="AL1889" t="s">
        <v>2815</v>
      </c>
      <c r="AM1889" t="s">
        <v>1263</v>
      </c>
      <c r="AN1889" t="s">
        <v>1262</v>
      </c>
      <c r="AO1889">
        <v>0</v>
      </c>
      <c r="AQ1889" t="s">
        <v>1261</v>
      </c>
      <c r="AR1889" t="s">
        <v>1260</v>
      </c>
      <c r="AS1889" t="s">
        <v>2716</v>
      </c>
      <c r="AT1889" s="30">
        <v>45988.60833333333</v>
      </c>
    </row>
    <row r="1890" spans="1:46" x14ac:dyDescent="0.25">
      <c r="A1890" t="s">
        <v>1248</v>
      </c>
      <c r="B1890">
        <v>170553</v>
      </c>
      <c r="C1890">
        <v>120020</v>
      </c>
      <c r="D1890">
        <v>405</v>
      </c>
      <c r="E1890" t="s">
        <v>1266</v>
      </c>
      <c r="G1890">
        <v>745</v>
      </c>
      <c r="H1890">
        <v>1810</v>
      </c>
      <c r="K1890" s="29">
        <v>1990855409</v>
      </c>
      <c r="L1890" s="29">
        <v>1990855409</v>
      </c>
      <c r="M1890" s="29">
        <v>276507695</v>
      </c>
      <c r="N1890">
        <v>0</v>
      </c>
      <c r="O1890" s="29">
        <v>276507695</v>
      </c>
      <c r="P1890">
        <v>0</v>
      </c>
      <c r="Q1890">
        <v>0</v>
      </c>
      <c r="R1890">
        <v>0</v>
      </c>
      <c r="T1890" s="29">
        <v>1414554</v>
      </c>
      <c r="U1890" s="29">
        <v>2816172100</v>
      </c>
      <c r="V1890" t="s">
        <v>1262</v>
      </c>
      <c r="W1890" t="s">
        <v>1262</v>
      </c>
      <c r="X1890" s="29">
        <v>2816172100</v>
      </c>
      <c r="AA1890" s="30">
        <v>45803.333333333336</v>
      </c>
      <c r="AB1890" s="30">
        <v>45926.708333333336</v>
      </c>
      <c r="AC1890" s="30">
        <v>45803.333333333336</v>
      </c>
      <c r="AD1890" s="30">
        <v>45926.708333333336</v>
      </c>
      <c r="AE1890" s="30">
        <v>46345.333333333336</v>
      </c>
      <c r="AF1890" s="30">
        <v>46477.708333333336</v>
      </c>
      <c r="AG1890" t="s">
        <v>1266</v>
      </c>
      <c r="AK1890" t="s">
        <v>1265</v>
      </c>
      <c r="AL1890" t="s">
        <v>2814</v>
      </c>
      <c r="AM1890" t="s">
        <v>1263</v>
      </c>
      <c r="AN1890" t="s">
        <v>1262</v>
      </c>
      <c r="AO1890">
        <v>0</v>
      </c>
      <c r="AQ1890" t="s">
        <v>1261</v>
      </c>
      <c r="AR1890" t="s">
        <v>1260</v>
      </c>
      <c r="AS1890" t="s">
        <v>2716</v>
      </c>
      <c r="AT1890" s="30">
        <v>45988.60833333333</v>
      </c>
    </row>
    <row r="1891" spans="1:46" x14ac:dyDescent="0.25">
      <c r="A1891" t="s">
        <v>1248</v>
      </c>
      <c r="B1891">
        <v>170554</v>
      </c>
      <c r="C1891">
        <v>120014</v>
      </c>
      <c r="D1891">
        <v>405</v>
      </c>
      <c r="E1891" t="s">
        <v>1266</v>
      </c>
      <c r="G1891">
        <v>745</v>
      </c>
      <c r="H1891">
        <v>1842</v>
      </c>
      <c r="K1891" t="s">
        <v>2813</v>
      </c>
      <c r="L1891" t="s">
        <v>2813</v>
      </c>
      <c r="M1891" s="29">
        <v>2106545454</v>
      </c>
      <c r="N1891">
        <v>0</v>
      </c>
      <c r="O1891" s="29">
        <v>2106545454</v>
      </c>
      <c r="P1891">
        <v>0</v>
      </c>
      <c r="Q1891">
        <v>0</v>
      </c>
      <c r="R1891">
        <v>0</v>
      </c>
      <c r="T1891" s="29">
        <v>729045</v>
      </c>
      <c r="U1891" s="29">
        <v>28155718</v>
      </c>
      <c r="V1891" t="s">
        <v>1262</v>
      </c>
      <c r="W1891" t="s">
        <v>1262</v>
      </c>
      <c r="X1891" s="29">
        <v>28155718</v>
      </c>
      <c r="AA1891" s="30">
        <v>45714.333333333336</v>
      </c>
      <c r="AB1891" s="30">
        <v>45714.409722222219</v>
      </c>
      <c r="AC1891" s="30">
        <v>45714.333333333336</v>
      </c>
      <c r="AD1891" s="30">
        <v>45714.409722222219</v>
      </c>
      <c r="AE1891" s="30">
        <v>46462.631944444445</v>
      </c>
      <c r="AF1891" s="30">
        <v>46462.708333333336</v>
      </c>
      <c r="AG1891" t="s">
        <v>1266</v>
      </c>
      <c r="AK1891" t="s">
        <v>1265</v>
      </c>
      <c r="AL1891" t="s">
        <v>2812</v>
      </c>
      <c r="AM1891" t="s">
        <v>1263</v>
      </c>
      <c r="AN1891" t="s">
        <v>1262</v>
      </c>
      <c r="AO1891">
        <v>0</v>
      </c>
      <c r="AQ1891" t="s">
        <v>1261</v>
      </c>
      <c r="AR1891" t="s">
        <v>1260</v>
      </c>
      <c r="AS1891" t="s">
        <v>2716</v>
      </c>
      <c r="AT1891" s="30">
        <v>45988.609027777777</v>
      </c>
    </row>
    <row r="1892" spans="1:46" x14ac:dyDescent="0.25">
      <c r="A1892" t="s">
        <v>1248</v>
      </c>
      <c r="B1892">
        <v>170555</v>
      </c>
      <c r="C1892">
        <v>120020</v>
      </c>
      <c r="D1892">
        <v>405</v>
      </c>
      <c r="E1892" t="s">
        <v>1266</v>
      </c>
      <c r="G1892">
        <v>745</v>
      </c>
      <c r="H1892">
        <v>1842</v>
      </c>
      <c r="K1892" s="29">
        <v>2046659</v>
      </c>
      <c r="L1892" s="29">
        <v>2046659</v>
      </c>
      <c r="M1892" t="s">
        <v>2811</v>
      </c>
      <c r="N1892">
        <v>0</v>
      </c>
      <c r="O1892" t="s">
        <v>2811</v>
      </c>
      <c r="P1892">
        <v>0</v>
      </c>
      <c r="Q1892">
        <v>0</v>
      </c>
      <c r="R1892">
        <v>0</v>
      </c>
      <c r="T1892" s="29">
        <v>729045</v>
      </c>
      <c r="U1892" s="29">
        <v>1492107</v>
      </c>
      <c r="V1892" t="s">
        <v>1262</v>
      </c>
      <c r="W1892" t="s">
        <v>1262</v>
      </c>
      <c r="X1892" s="29">
        <v>1492107</v>
      </c>
      <c r="AA1892" s="30">
        <v>45803.333333333336</v>
      </c>
      <c r="AB1892" s="30">
        <v>45926.708333333336</v>
      </c>
      <c r="AC1892" s="30">
        <v>45803.333333333336</v>
      </c>
      <c r="AD1892" s="30">
        <v>45926.708333333336</v>
      </c>
      <c r="AE1892" s="30">
        <v>46345.333333333336</v>
      </c>
      <c r="AF1892" s="30">
        <v>46477.708333333336</v>
      </c>
      <c r="AG1892" t="s">
        <v>1266</v>
      </c>
      <c r="AK1892" t="s">
        <v>1265</v>
      </c>
      <c r="AL1892" t="s">
        <v>2810</v>
      </c>
      <c r="AM1892" t="s">
        <v>1263</v>
      </c>
      <c r="AN1892" t="s">
        <v>1262</v>
      </c>
      <c r="AO1892">
        <v>0</v>
      </c>
      <c r="AQ1892" t="s">
        <v>1261</v>
      </c>
      <c r="AR1892" t="s">
        <v>1260</v>
      </c>
      <c r="AS1892" t="s">
        <v>2716</v>
      </c>
      <c r="AT1892" s="30">
        <v>45988.609027777777</v>
      </c>
    </row>
    <row r="1893" spans="1:46" x14ac:dyDescent="0.25">
      <c r="A1893" t="s">
        <v>1248</v>
      </c>
      <c r="B1893">
        <v>170556</v>
      </c>
      <c r="C1893">
        <v>120015</v>
      </c>
      <c r="D1893">
        <v>405</v>
      </c>
      <c r="E1893" t="s">
        <v>1266</v>
      </c>
      <c r="G1893">
        <v>745</v>
      </c>
      <c r="H1893">
        <v>1842</v>
      </c>
      <c r="K1893" t="s">
        <v>2809</v>
      </c>
      <c r="L1893" t="s">
        <v>2809</v>
      </c>
      <c r="M1893" s="29">
        <v>1404545454</v>
      </c>
      <c r="N1893">
        <v>0</v>
      </c>
      <c r="O1893" s="29">
        <v>1404545454</v>
      </c>
      <c r="P1893">
        <v>0</v>
      </c>
      <c r="Q1893">
        <v>0</v>
      </c>
      <c r="R1893">
        <v>0</v>
      </c>
      <c r="T1893" s="29">
        <v>729045</v>
      </c>
      <c r="U1893" s="29">
        <v>18772909</v>
      </c>
      <c r="V1893" t="s">
        <v>1262</v>
      </c>
      <c r="W1893" t="s">
        <v>1262</v>
      </c>
      <c r="X1893" s="29">
        <v>18772909</v>
      </c>
      <c r="AA1893" s="30">
        <v>45742.333333333336</v>
      </c>
      <c r="AB1893" s="30">
        <v>45742.409722222219</v>
      </c>
      <c r="AC1893" s="30">
        <v>45742.333333333336</v>
      </c>
      <c r="AD1893" s="30">
        <v>45742.409722222219</v>
      </c>
      <c r="AE1893" s="30">
        <v>46491.631944444445</v>
      </c>
      <c r="AF1893" s="30">
        <v>46491.708333333336</v>
      </c>
      <c r="AG1893" t="s">
        <v>1266</v>
      </c>
      <c r="AK1893" t="s">
        <v>1265</v>
      </c>
      <c r="AL1893" t="s">
        <v>2808</v>
      </c>
      <c r="AM1893" t="s">
        <v>1263</v>
      </c>
      <c r="AN1893" t="s">
        <v>1262</v>
      </c>
      <c r="AO1893">
        <v>0</v>
      </c>
      <c r="AQ1893" t="s">
        <v>1261</v>
      </c>
      <c r="AR1893" t="s">
        <v>1260</v>
      </c>
      <c r="AS1893" t="s">
        <v>2716</v>
      </c>
      <c r="AT1893" s="30">
        <v>45988.609027777777</v>
      </c>
    </row>
    <row r="1894" spans="1:46" x14ac:dyDescent="0.25">
      <c r="A1894" t="s">
        <v>1248</v>
      </c>
      <c r="B1894">
        <v>170557</v>
      </c>
      <c r="C1894">
        <v>120021</v>
      </c>
      <c r="D1894">
        <v>405</v>
      </c>
      <c r="E1894" t="s">
        <v>1266</v>
      </c>
      <c r="G1894">
        <v>745</v>
      </c>
      <c r="H1894">
        <v>1842</v>
      </c>
      <c r="K1894" t="s">
        <v>2807</v>
      </c>
      <c r="L1894" t="s">
        <v>2807</v>
      </c>
      <c r="M1894" t="s">
        <v>2806</v>
      </c>
      <c r="N1894">
        <v>0</v>
      </c>
      <c r="O1894" t="s">
        <v>2806</v>
      </c>
      <c r="P1894">
        <v>0</v>
      </c>
      <c r="Q1894">
        <v>0</v>
      </c>
      <c r="R1894">
        <v>0</v>
      </c>
      <c r="T1894" s="29">
        <v>729045</v>
      </c>
      <c r="U1894" s="29">
        <v>22345229</v>
      </c>
      <c r="V1894" t="s">
        <v>1262</v>
      </c>
      <c r="W1894" t="s">
        <v>1262</v>
      </c>
      <c r="X1894" s="29">
        <v>22345229</v>
      </c>
      <c r="AA1894" s="30">
        <v>45824.333333333336</v>
      </c>
      <c r="AB1894" s="30">
        <v>45947.708333333336</v>
      </c>
      <c r="AC1894" s="30">
        <v>45824.333333333336</v>
      </c>
      <c r="AD1894" s="30">
        <v>45947.708333333336</v>
      </c>
      <c r="AE1894" s="30">
        <v>46367.333333333336</v>
      </c>
      <c r="AF1894" s="30">
        <v>46498.708333333336</v>
      </c>
      <c r="AG1894" t="s">
        <v>1266</v>
      </c>
      <c r="AK1894" t="s">
        <v>1265</v>
      </c>
      <c r="AL1894" t="s">
        <v>2805</v>
      </c>
      <c r="AM1894" t="s">
        <v>1263</v>
      </c>
      <c r="AN1894" t="s">
        <v>1262</v>
      </c>
      <c r="AO1894">
        <v>0</v>
      </c>
      <c r="AQ1894" t="s">
        <v>1261</v>
      </c>
      <c r="AR1894" t="s">
        <v>1260</v>
      </c>
      <c r="AS1894" t="s">
        <v>2716</v>
      </c>
      <c r="AT1894" s="30">
        <v>45988.609027777777</v>
      </c>
    </row>
    <row r="1895" spans="1:46" x14ac:dyDescent="0.25">
      <c r="A1895" t="s">
        <v>1248</v>
      </c>
      <c r="B1895">
        <v>170558</v>
      </c>
      <c r="C1895">
        <v>120015</v>
      </c>
      <c r="D1895">
        <v>405</v>
      </c>
      <c r="E1895" t="s">
        <v>1266</v>
      </c>
      <c r="G1895">
        <v>745</v>
      </c>
      <c r="H1895">
        <v>1810</v>
      </c>
      <c r="K1895" s="29">
        <v>1114881587</v>
      </c>
      <c r="L1895" s="29">
        <v>1114881587</v>
      </c>
      <c r="M1895" s="29">
        <v>154844664</v>
      </c>
      <c r="N1895">
        <v>0</v>
      </c>
      <c r="O1895" s="29">
        <v>154844664</v>
      </c>
      <c r="P1895">
        <v>0</v>
      </c>
      <c r="Q1895">
        <v>0</v>
      </c>
      <c r="R1895">
        <v>0</v>
      </c>
      <c r="T1895" s="29">
        <v>1414554</v>
      </c>
      <c r="U1895" s="29">
        <v>1577059994</v>
      </c>
      <c r="V1895" t="s">
        <v>1262</v>
      </c>
      <c r="W1895" t="s">
        <v>1262</v>
      </c>
      <c r="X1895" s="29">
        <v>1577059994</v>
      </c>
      <c r="AA1895" s="30">
        <v>45742.333333333336</v>
      </c>
      <c r="AB1895" s="30">
        <v>45867.708333333336</v>
      </c>
      <c r="AC1895" s="30">
        <v>45742.333333333336</v>
      </c>
      <c r="AD1895" s="30">
        <v>45867.708333333336</v>
      </c>
      <c r="AE1895" s="30">
        <v>46359.333333333336</v>
      </c>
      <c r="AF1895" s="30">
        <v>46491.708333333336</v>
      </c>
      <c r="AG1895" t="s">
        <v>1266</v>
      </c>
      <c r="AK1895" t="s">
        <v>1265</v>
      </c>
      <c r="AL1895" t="s">
        <v>2804</v>
      </c>
      <c r="AM1895" t="s">
        <v>1263</v>
      </c>
      <c r="AN1895" t="s">
        <v>1262</v>
      </c>
      <c r="AO1895">
        <v>0</v>
      </c>
      <c r="AQ1895" t="s">
        <v>1261</v>
      </c>
      <c r="AR1895" t="s">
        <v>1260</v>
      </c>
      <c r="AS1895" t="s">
        <v>2716</v>
      </c>
      <c r="AT1895" s="30">
        <v>45988.609027777777</v>
      </c>
    </row>
    <row r="1896" spans="1:46" x14ac:dyDescent="0.25">
      <c r="A1896" t="s">
        <v>1248</v>
      </c>
      <c r="B1896">
        <v>170559</v>
      </c>
      <c r="C1896">
        <v>120021</v>
      </c>
      <c r="D1896">
        <v>405</v>
      </c>
      <c r="E1896" t="s">
        <v>1266</v>
      </c>
      <c r="G1896">
        <v>745</v>
      </c>
      <c r="H1896">
        <v>1810</v>
      </c>
      <c r="K1896" s="29">
        <v>1327236954</v>
      </c>
      <c r="L1896" s="29">
        <v>1327236954</v>
      </c>
      <c r="M1896" s="29">
        <v>184338465</v>
      </c>
      <c r="N1896">
        <v>0</v>
      </c>
      <c r="O1896" s="29">
        <v>184338465</v>
      </c>
      <c r="P1896">
        <v>0</v>
      </c>
      <c r="Q1896">
        <v>0</v>
      </c>
      <c r="R1896">
        <v>0</v>
      </c>
      <c r="T1896" s="29">
        <v>1414554</v>
      </c>
      <c r="U1896" s="29">
        <v>1877448087</v>
      </c>
      <c r="V1896" t="s">
        <v>1262</v>
      </c>
      <c r="W1896" t="s">
        <v>1262</v>
      </c>
      <c r="X1896" s="29">
        <v>1877448087</v>
      </c>
      <c r="AA1896" s="30">
        <v>45824.333333333336</v>
      </c>
      <c r="AB1896" s="30">
        <v>45947.708333333336</v>
      </c>
      <c r="AC1896" s="30">
        <v>45824.333333333336</v>
      </c>
      <c r="AD1896" s="30">
        <v>45947.708333333336</v>
      </c>
      <c r="AE1896" s="30">
        <v>46367.333333333336</v>
      </c>
      <c r="AF1896" s="30">
        <v>46498.708333333336</v>
      </c>
      <c r="AG1896" t="s">
        <v>1266</v>
      </c>
      <c r="AK1896" t="s">
        <v>1265</v>
      </c>
      <c r="AL1896" t="s">
        <v>2803</v>
      </c>
      <c r="AM1896" t="s">
        <v>1263</v>
      </c>
      <c r="AN1896" t="s">
        <v>1262</v>
      </c>
      <c r="AO1896">
        <v>0</v>
      </c>
      <c r="AQ1896" t="s">
        <v>1261</v>
      </c>
      <c r="AR1896" t="s">
        <v>1260</v>
      </c>
      <c r="AS1896" t="s">
        <v>2716</v>
      </c>
      <c r="AT1896" s="30">
        <v>45988.609027777777</v>
      </c>
    </row>
    <row r="1897" spans="1:46" x14ac:dyDescent="0.25">
      <c r="A1897" t="s">
        <v>1248</v>
      </c>
      <c r="B1897">
        <v>170560</v>
      </c>
      <c r="C1897">
        <v>120016</v>
      </c>
      <c r="D1897">
        <v>405</v>
      </c>
      <c r="E1897" t="s">
        <v>1266</v>
      </c>
      <c r="G1897">
        <v>745</v>
      </c>
      <c r="H1897">
        <v>1872</v>
      </c>
      <c r="K1897" s="29">
        <v>177482</v>
      </c>
      <c r="L1897" s="29">
        <v>177482</v>
      </c>
      <c r="M1897" t="s">
        <v>2802</v>
      </c>
      <c r="N1897">
        <v>0</v>
      </c>
      <c r="O1897" t="s">
        <v>2802</v>
      </c>
      <c r="P1897">
        <v>0</v>
      </c>
      <c r="Q1897">
        <v>0</v>
      </c>
      <c r="R1897">
        <v>0</v>
      </c>
      <c r="T1897" s="29">
        <v>100000</v>
      </c>
      <c r="U1897" s="29">
        <v>17748200</v>
      </c>
      <c r="V1897" t="s">
        <v>1262</v>
      </c>
      <c r="W1897" t="s">
        <v>1262</v>
      </c>
      <c r="X1897" s="29">
        <v>17748200</v>
      </c>
      <c r="AA1897" s="30">
        <v>45770.333333333336</v>
      </c>
      <c r="AB1897" s="30">
        <v>45800.395138888889</v>
      </c>
      <c r="AC1897" s="30">
        <v>45770.333333333336</v>
      </c>
      <c r="AD1897" s="30">
        <v>45800.395138888889</v>
      </c>
      <c r="AE1897" s="30">
        <v>46489.646527777775</v>
      </c>
      <c r="AF1897" s="30">
        <v>46519.708333333336</v>
      </c>
      <c r="AG1897" t="s">
        <v>1266</v>
      </c>
      <c r="AK1897" t="s">
        <v>1265</v>
      </c>
      <c r="AL1897" t="s">
        <v>2801</v>
      </c>
      <c r="AM1897" t="s">
        <v>1263</v>
      </c>
      <c r="AN1897" t="s">
        <v>1262</v>
      </c>
      <c r="AO1897">
        <v>0</v>
      </c>
      <c r="AQ1897" t="s">
        <v>1261</v>
      </c>
      <c r="AR1897" t="s">
        <v>1260</v>
      </c>
      <c r="AS1897" t="s">
        <v>2716</v>
      </c>
      <c r="AT1897" s="30">
        <v>45988.609722222223</v>
      </c>
    </row>
    <row r="1898" spans="1:46" x14ac:dyDescent="0.25">
      <c r="A1898" t="s">
        <v>1248</v>
      </c>
      <c r="B1898">
        <v>170561</v>
      </c>
      <c r="C1898">
        <v>120022</v>
      </c>
      <c r="D1898">
        <v>405</v>
      </c>
      <c r="E1898" t="s">
        <v>1266</v>
      </c>
      <c r="G1898">
        <v>745</v>
      </c>
      <c r="H1898">
        <v>1872</v>
      </c>
      <c r="K1898" t="s">
        <v>2800</v>
      </c>
      <c r="L1898" t="s">
        <v>2800</v>
      </c>
      <c r="M1898" t="s">
        <v>2799</v>
      </c>
      <c r="N1898">
        <v>0</v>
      </c>
      <c r="O1898" t="s">
        <v>2799</v>
      </c>
      <c r="P1898">
        <v>0</v>
      </c>
      <c r="Q1898">
        <v>0</v>
      </c>
      <c r="R1898">
        <v>0</v>
      </c>
      <c r="T1898" s="29">
        <v>100000</v>
      </c>
      <c r="U1898" s="29">
        <v>21129000</v>
      </c>
      <c r="V1898" t="s">
        <v>1262</v>
      </c>
      <c r="W1898" t="s">
        <v>1262</v>
      </c>
      <c r="X1898" s="29">
        <v>21129000</v>
      </c>
      <c r="AA1898" s="30">
        <v>45845.333333333336</v>
      </c>
      <c r="AB1898" s="30">
        <v>45968.708333333336</v>
      </c>
      <c r="AC1898" s="30">
        <v>45845.333333333336</v>
      </c>
      <c r="AD1898" s="30">
        <v>45968.708333333336</v>
      </c>
      <c r="AE1898" s="30">
        <v>46392.333333333336</v>
      </c>
      <c r="AF1898" s="30">
        <v>46519.708333333336</v>
      </c>
      <c r="AG1898" t="s">
        <v>1266</v>
      </c>
      <c r="AK1898" t="s">
        <v>1265</v>
      </c>
      <c r="AL1898" t="s">
        <v>2798</v>
      </c>
      <c r="AM1898" t="s">
        <v>1263</v>
      </c>
      <c r="AN1898" t="s">
        <v>1262</v>
      </c>
      <c r="AO1898">
        <v>0</v>
      </c>
      <c r="AQ1898" t="s">
        <v>1261</v>
      </c>
      <c r="AR1898" t="s">
        <v>1260</v>
      </c>
      <c r="AS1898" t="s">
        <v>2716</v>
      </c>
      <c r="AT1898" s="30">
        <v>45988.609722222223</v>
      </c>
    </row>
    <row r="1899" spans="1:46" x14ac:dyDescent="0.25">
      <c r="A1899" t="s">
        <v>1248</v>
      </c>
      <c r="B1899">
        <v>170562</v>
      </c>
      <c r="C1899">
        <v>120016</v>
      </c>
      <c r="D1899">
        <v>405</v>
      </c>
      <c r="E1899" t="s">
        <v>1266</v>
      </c>
      <c r="G1899">
        <v>745</v>
      </c>
      <c r="H1899">
        <v>1871</v>
      </c>
      <c r="K1899" s="29">
        <v>1033737</v>
      </c>
      <c r="L1899" s="29">
        <v>1033737</v>
      </c>
      <c r="M1899" s="29">
        <v>143574583</v>
      </c>
      <c r="N1899">
        <v>0</v>
      </c>
      <c r="O1899" s="29">
        <v>143574583</v>
      </c>
      <c r="P1899">
        <v>0</v>
      </c>
      <c r="Q1899">
        <v>0</v>
      </c>
      <c r="R1899">
        <v>0</v>
      </c>
      <c r="T1899" s="29">
        <v>100000</v>
      </c>
      <c r="U1899" s="29">
        <v>103373700</v>
      </c>
      <c r="V1899" t="s">
        <v>1262</v>
      </c>
      <c r="W1899" t="s">
        <v>1262</v>
      </c>
      <c r="X1899" s="29">
        <v>103373700</v>
      </c>
      <c r="AA1899" s="30">
        <v>45770.333333333336</v>
      </c>
      <c r="AB1899" s="30">
        <v>45895.708333333336</v>
      </c>
      <c r="AC1899" s="30">
        <v>45770.333333333336</v>
      </c>
      <c r="AD1899" s="30">
        <v>45895.708333333336</v>
      </c>
      <c r="AE1899" s="30">
        <v>46392.333333333336</v>
      </c>
      <c r="AF1899" s="30">
        <v>46519.708333333336</v>
      </c>
      <c r="AG1899" t="s">
        <v>1266</v>
      </c>
      <c r="AK1899" t="s">
        <v>1265</v>
      </c>
      <c r="AL1899" t="s">
        <v>2797</v>
      </c>
      <c r="AM1899" t="s">
        <v>1263</v>
      </c>
      <c r="AN1899" t="s">
        <v>1262</v>
      </c>
      <c r="AO1899">
        <v>0</v>
      </c>
      <c r="AQ1899" t="s">
        <v>1261</v>
      </c>
      <c r="AR1899" t="s">
        <v>1260</v>
      </c>
      <c r="AS1899" t="s">
        <v>2716</v>
      </c>
      <c r="AT1899" s="30">
        <v>45988.609722222223</v>
      </c>
    </row>
    <row r="1900" spans="1:46" x14ac:dyDescent="0.25">
      <c r="A1900" t="s">
        <v>1248</v>
      </c>
      <c r="B1900">
        <v>170563</v>
      </c>
      <c r="C1900">
        <v>120022</v>
      </c>
      <c r="D1900">
        <v>405</v>
      </c>
      <c r="E1900" t="s">
        <v>1266</v>
      </c>
      <c r="G1900">
        <v>745</v>
      </c>
      <c r="H1900">
        <v>1871</v>
      </c>
      <c r="K1900" t="s">
        <v>2796</v>
      </c>
      <c r="L1900" t="s">
        <v>2796</v>
      </c>
      <c r="M1900" s="29">
        <v>170923611</v>
      </c>
      <c r="N1900">
        <v>0</v>
      </c>
      <c r="O1900" s="29">
        <v>170923611</v>
      </c>
      <c r="P1900">
        <v>0</v>
      </c>
      <c r="Q1900">
        <v>0</v>
      </c>
      <c r="R1900">
        <v>0</v>
      </c>
      <c r="T1900" s="29">
        <v>100000</v>
      </c>
      <c r="U1900" s="29">
        <v>123065000</v>
      </c>
      <c r="V1900" t="s">
        <v>1262</v>
      </c>
      <c r="W1900" t="s">
        <v>1262</v>
      </c>
      <c r="X1900" s="29">
        <v>123065000</v>
      </c>
      <c r="AA1900" s="30">
        <v>45845.333333333336</v>
      </c>
      <c r="AB1900" s="30">
        <v>45968.708333333336</v>
      </c>
      <c r="AC1900" s="30">
        <v>45845.333333333336</v>
      </c>
      <c r="AD1900" s="30">
        <v>45968.708333333336</v>
      </c>
      <c r="AE1900" s="30">
        <v>46392.333333333336</v>
      </c>
      <c r="AF1900" s="30">
        <v>46519.708333333336</v>
      </c>
      <c r="AG1900" t="s">
        <v>1266</v>
      </c>
      <c r="AK1900" t="s">
        <v>1265</v>
      </c>
      <c r="AL1900" t="s">
        <v>2795</v>
      </c>
      <c r="AM1900" t="s">
        <v>1263</v>
      </c>
      <c r="AN1900" t="s">
        <v>1262</v>
      </c>
      <c r="AO1900">
        <v>0</v>
      </c>
      <c r="AQ1900" t="s">
        <v>1261</v>
      </c>
      <c r="AR1900" t="s">
        <v>1260</v>
      </c>
      <c r="AS1900" t="s">
        <v>2716</v>
      </c>
      <c r="AT1900" s="30">
        <v>45988.609722222223</v>
      </c>
    </row>
    <row r="1901" spans="1:46" x14ac:dyDescent="0.25">
      <c r="A1901" t="s">
        <v>1248</v>
      </c>
      <c r="B1901">
        <v>170564</v>
      </c>
      <c r="C1901">
        <v>120016</v>
      </c>
      <c r="D1901">
        <v>405</v>
      </c>
      <c r="E1901" t="s">
        <v>1266</v>
      </c>
      <c r="G1901">
        <v>745</v>
      </c>
      <c r="H1901">
        <v>1867</v>
      </c>
      <c r="K1901" s="29">
        <v>13384459993</v>
      </c>
      <c r="L1901" s="29">
        <v>13384459993</v>
      </c>
      <c r="M1901" s="29">
        <v>1858952776</v>
      </c>
      <c r="N1901">
        <v>0</v>
      </c>
      <c r="O1901" s="29">
        <v>1858952776</v>
      </c>
      <c r="P1901">
        <v>0</v>
      </c>
      <c r="Q1901">
        <v>0</v>
      </c>
      <c r="R1901">
        <v>0</v>
      </c>
      <c r="T1901" s="29">
        <v>205000</v>
      </c>
      <c r="U1901" s="29">
        <v>2743814298</v>
      </c>
      <c r="V1901" t="s">
        <v>1262</v>
      </c>
      <c r="W1901" t="s">
        <v>1262</v>
      </c>
      <c r="X1901" s="29">
        <v>2743814298</v>
      </c>
      <c r="AA1901" s="30">
        <v>45770.333333333336</v>
      </c>
      <c r="AB1901" s="30">
        <v>45895.708333333336</v>
      </c>
      <c r="AC1901" s="30">
        <v>45770.333333333336</v>
      </c>
      <c r="AD1901" s="30">
        <v>45895.708333333336</v>
      </c>
      <c r="AE1901" s="30">
        <v>46392.333333333336</v>
      </c>
      <c r="AF1901" s="30">
        <v>46519.708333333336</v>
      </c>
      <c r="AG1901" t="s">
        <v>1266</v>
      </c>
      <c r="AK1901" t="s">
        <v>1265</v>
      </c>
      <c r="AL1901" t="s">
        <v>2794</v>
      </c>
      <c r="AM1901" t="s">
        <v>1263</v>
      </c>
      <c r="AN1901" t="s">
        <v>1262</v>
      </c>
      <c r="AO1901">
        <v>0</v>
      </c>
      <c r="AQ1901" t="s">
        <v>1261</v>
      </c>
      <c r="AR1901" t="s">
        <v>1260</v>
      </c>
      <c r="AS1901" t="s">
        <v>2716</v>
      </c>
      <c r="AT1901" s="30">
        <v>45988.61041666667</v>
      </c>
    </row>
    <row r="1902" spans="1:46" x14ac:dyDescent="0.25">
      <c r="A1902" t="s">
        <v>1248</v>
      </c>
      <c r="B1902">
        <v>170565</v>
      </c>
      <c r="C1902">
        <v>120022</v>
      </c>
      <c r="D1902">
        <v>405</v>
      </c>
      <c r="E1902" t="s">
        <v>1266</v>
      </c>
      <c r="G1902">
        <v>745</v>
      </c>
      <c r="H1902">
        <v>1867</v>
      </c>
      <c r="K1902" t="s">
        <v>2793</v>
      </c>
      <c r="L1902" t="s">
        <v>2793</v>
      </c>
      <c r="M1902" s="29">
        <v>2213040277</v>
      </c>
      <c r="N1902">
        <v>0</v>
      </c>
      <c r="O1902" s="29">
        <v>2213040277</v>
      </c>
      <c r="P1902">
        <v>0</v>
      </c>
      <c r="Q1902">
        <v>0</v>
      </c>
      <c r="R1902">
        <v>0</v>
      </c>
      <c r="T1902" s="29">
        <v>205000</v>
      </c>
      <c r="U1902" s="29">
        <v>3266447450</v>
      </c>
      <c r="V1902" t="s">
        <v>1262</v>
      </c>
      <c r="W1902" t="s">
        <v>1262</v>
      </c>
      <c r="X1902" s="29">
        <v>3266447450</v>
      </c>
      <c r="AA1902" s="30">
        <v>45845.333333333336</v>
      </c>
      <c r="AB1902" s="30">
        <v>45968.708333333336</v>
      </c>
      <c r="AC1902" s="30">
        <v>45845.333333333336</v>
      </c>
      <c r="AD1902" s="30">
        <v>45968.708333333336</v>
      </c>
      <c r="AE1902" s="30">
        <v>46392.333333333336</v>
      </c>
      <c r="AF1902" s="30">
        <v>46519.708333333336</v>
      </c>
      <c r="AG1902" t="s">
        <v>1266</v>
      </c>
      <c r="AK1902" t="s">
        <v>1265</v>
      </c>
      <c r="AL1902" t="s">
        <v>2792</v>
      </c>
      <c r="AM1902" t="s">
        <v>1263</v>
      </c>
      <c r="AN1902" t="s">
        <v>1262</v>
      </c>
      <c r="AO1902">
        <v>0</v>
      </c>
      <c r="AQ1902" t="s">
        <v>1261</v>
      </c>
      <c r="AR1902" t="s">
        <v>1260</v>
      </c>
      <c r="AS1902" t="s">
        <v>2716</v>
      </c>
      <c r="AT1902" s="30">
        <v>45988.61041666667</v>
      </c>
    </row>
    <row r="1903" spans="1:46" x14ac:dyDescent="0.25">
      <c r="A1903" t="s">
        <v>1248</v>
      </c>
      <c r="B1903">
        <v>170566</v>
      </c>
      <c r="C1903">
        <v>120016</v>
      </c>
      <c r="D1903">
        <v>405</v>
      </c>
      <c r="E1903" t="s">
        <v>1266</v>
      </c>
      <c r="G1903">
        <v>745</v>
      </c>
      <c r="H1903">
        <v>1868</v>
      </c>
      <c r="K1903" s="29">
        <v>32489971</v>
      </c>
      <c r="L1903" s="29">
        <v>32489971</v>
      </c>
      <c r="M1903" t="s">
        <v>2791</v>
      </c>
      <c r="N1903">
        <v>0</v>
      </c>
      <c r="O1903" t="s">
        <v>2791</v>
      </c>
      <c r="P1903">
        <v>0</v>
      </c>
      <c r="Q1903">
        <v>0</v>
      </c>
      <c r="R1903">
        <v>0</v>
      </c>
      <c r="T1903" s="29">
        <v>3500000</v>
      </c>
      <c r="U1903" s="29">
        <v>113714898</v>
      </c>
      <c r="V1903" t="s">
        <v>1262</v>
      </c>
      <c r="W1903" t="s">
        <v>1262</v>
      </c>
      <c r="X1903" s="29">
        <v>113714898</v>
      </c>
      <c r="AA1903" s="30">
        <v>45770.333333333336</v>
      </c>
      <c r="AB1903" s="30">
        <v>45776.65347222222</v>
      </c>
      <c r="AC1903" s="30">
        <v>45770.333333333336</v>
      </c>
      <c r="AD1903" s="30">
        <v>45776.65347222222</v>
      </c>
      <c r="AE1903" s="30">
        <v>46513.388194444444</v>
      </c>
      <c r="AF1903" s="30">
        <v>46519.708333333336</v>
      </c>
      <c r="AG1903" t="s">
        <v>1266</v>
      </c>
      <c r="AK1903" t="s">
        <v>1265</v>
      </c>
      <c r="AL1903" t="s">
        <v>2790</v>
      </c>
      <c r="AM1903" t="s">
        <v>1263</v>
      </c>
      <c r="AN1903" t="s">
        <v>1262</v>
      </c>
      <c r="AO1903">
        <v>0</v>
      </c>
      <c r="AQ1903" t="s">
        <v>1261</v>
      </c>
      <c r="AR1903" t="s">
        <v>1260</v>
      </c>
      <c r="AS1903" t="s">
        <v>2716</v>
      </c>
      <c r="AT1903" s="30">
        <v>45988.61041666667</v>
      </c>
    </row>
    <row r="1904" spans="1:46" x14ac:dyDescent="0.25">
      <c r="A1904" t="s">
        <v>1248</v>
      </c>
      <c r="B1904">
        <v>170567</v>
      </c>
      <c r="C1904">
        <v>120022</v>
      </c>
      <c r="D1904">
        <v>405</v>
      </c>
      <c r="E1904" t="s">
        <v>1266</v>
      </c>
      <c r="G1904">
        <v>745</v>
      </c>
      <c r="H1904">
        <v>1868</v>
      </c>
      <c r="K1904" t="s">
        <v>2789</v>
      </c>
      <c r="L1904" t="s">
        <v>2789</v>
      </c>
      <c r="M1904" t="s">
        <v>2788</v>
      </c>
      <c r="N1904">
        <v>0</v>
      </c>
      <c r="O1904" t="s">
        <v>2788</v>
      </c>
      <c r="P1904">
        <v>0</v>
      </c>
      <c r="Q1904">
        <v>0</v>
      </c>
      <c r="R1904">
        <v>0</v>
      </c>
      <c r="T1904" s="29">
        <v>3500000</v>
      </c>
      <c r="U1904" s="29">
        <v>135380000</v>
      </c>
      <c r="V1904" t="s">
        <v>1262</v>
      </c>
      <c r="W1904" t="s">
        <v>1262</v>
      </c>
      <c r="X1904" s="29">
        <v>135380000</v>
      </c>
      <c r="AA1904" s="30">
        <v>45845.333333333336</v>
      </c>
      <c r="AB1904" s="30">
        <v>45968.708333333336</v>
      </c>
      <c r="AC1904" s="30">
        <v>45845.333333333336</v>
      </c>
      <c r="AD1904" s="30">
        <v>45968.708333333336</v>
      </c>
      <c r="AE1904" s="30">
        <v>46392.333333333336</v>
      </c>
      <c r="AF1904" s="30">
        <v>46519.708333333336</v>
      </c>
      <c r="AG1904" t="s">
        <v>1266</v>
      </c>
      <c r="AK1904" t="s">
        <v>1265</v>
      </c>
      <c r="AL1904" t="s">
        <v>2787</v>
      </c>
      <c r="AM1904" t="s">
        <v>1263</v>
      </c>
      <c r="AN1904" t="s">
        <v>1262</v>
      </c>
      <c r="AO1904">
        <v>0</v>
      </c>
      <c r="AQ1904" t="s">
        <v>1261</v>
      </c>
      <c r="AR1904" t="s">
        <v>1260</v>
      </c>
      <c r="AS1904" t="s">
        <v>2716</v>
      </c>
      <c r="AT1904" s="30">
        <v>45988.61041666667</v>
      </c>
    </row>
    <row r="1905" spans="1:46" x14ac:dyDescent="0.25">
      <c r="A1905" t="s">
        <v>1248</v>
      </c>
      <c r="B1905">
        <v>198191</v>
      </c>
      <c r="C1905">
        <v>119925</v>
      </c>
      <c r="D1905">
        <v>405</v>
      </c>
      <c r="E1905" t="s">
        <v>1266</v>
      </c>
      <c r="G1905">
        <v>745</v>
      </c>
      <c r="H1905">
        <v>1979</v>
      </c>
      <c r="K1905">
        <v>320</v>
      </c>
      <c r="L1905">
        <v>320</v>
      </c>
      <c r="M1905" s="29">
        <v>1333333333</v>
      </c>
      <c r="N1905">
        <v>0</v>
      </c>
      <c r="O1905" s="29">
        <v>1333333333</v>
      </c>
      <c r="P1905">
        <v>0</v>
      </c>
      <c r="Q1905">
        <v>0</v>
      </c>
      <c r="R1905">
        <v>0</v>
      </c>
      <c r="T1905" t="s">
        <v>1262</v>
      </c>
      <c r="U1905" t="s">
        <v>1262</v>
      </c>
      <c r="V1905" t="s">
        <v>1262</v>
      </c>
      <c r="W1905" t="s">
        <v>1262</v>
      </c>
      <c r="X1905" t="s">
        <v>1262</v>
      </c>
      <c r="AA1905" s="30">
        <v>45701.333333333336</v>
      </c>
      <c r="AB1905" s="30">
        <v>45705.708333333336</v>
      </c>
      <c r="AC1905" s="30">
        <v>45701.333333333336</v>
      </c>
      <c r="AD1905" s="30">
        <v>45705.708333333336</v>
      </c>
      <c r="AE1905" s="30">
        <v>45701.333333333336</v>
      </c>
      <c r="AF1905" s="30">
        <v>45705.708333333336</v>
      </c>
      <c r="AG1905" t="s">
        <v>1266</v>
      </c>
      <c r="AK1905" t="s">
        <v>1265</v>
      </c>
      <c r="AL1905" t="s">
        <v>2786</v>
      </c>
      <c r="AM1905" t="s">
        <v>1263</v>
      </c>
      <c r="AN1905" t="s">
        <v>1262</v>
      </c>
      <c r="AO1905">
        <v>0</v>
      </c>
      <c r="AQ1905" t="s">
        <v>2785</v>
      </c>
      <c r="AR1905" t="s">
        <v>1260</v>
      </c>
      <c r="AS1905" t="s">
        <v>2716</v>
      </c>
      <c r="AT1905" s="30">
        <v>46036.445833333331</v>
      </c>
    </row>
    <row r="1906" spans="1:46" x14ac:dyDescent="0.25">
      <c r="A1906" t="s">
        <v>1248</v>
      </c>
      <c r="B1906">
        <v>198681</v>
      </c>
      <c r="C1906">
        <v>119925</v>
      </c>
      <c r="D1906">
        <v>405</v>
      </c>
      <c r="E1906" t="s">
        <v>1265</v>
      </c>
      <c r="G1906">
        <v>745</v>
      </c>
      <c r="H1906">
        <v>1809</v>
      </c>
      <c r="K1906" t="s">
        <v>2784</v>
      </c>
      <c r="L1906" t="s">
        <v>2784</v>
      </c>
      <c r="M1906" t="s">
        <v>2783</v>
      </c>
      <c r="N1906">
        <v>0</v>
      </c>
      <c r="O1906" t="s">
        <v>2783</v>
      </c>
      <c r="P1906">
        <v>0</v>
      </c>
      <c r="Q1906">
        <v>0</v>
      </c>
      <c r="R1906">
        <v>0</v>
      </c>
      <c r="T1906" s="29">
        <v>1400000</v>
      </c>
      <c r="U1906" s="29">
        <v>80000</v>
      </c>
      <c r="V1906" t="s">
        <v>1262</v>
      </c>
      <c r="W1906" t="s">
        <v>1262</v>
      </c>
      <c r="X1906" s="29">
        <v>80000</v>
      </c>
      <c r="AA1906" s="30">
        <v>45701.333333333336</v>
      </c>
      <c r="AB1906" s="30">
        <v>45705.708333333336</v>
      </c>
      <c r="AC1906" s="30">
        <v>45701.333333333336</v>
      </c>
      <c r="AD1906" s="30">
        <v>45705.708333333336</v>
      </c>
      <c r="AE1906" s="30">
        <v>45701.333333333336</v>
      </c>
      <c r="AF1906" s="30">
        <v>45705.708333333336</v>
      </c>
      <c r="AG1906" t="s">
        <v>1266</v>
      </c>
      <c r="AK1906" t="s">
        <v>1265</v>
      </c>
      <c r="AL1906" t="s">
        <v>2782</v>
      </c>
      <c r="AM1906" t="s">
        <v>1263</v>
      </c>
      <c r="AN1906" t="s">
        <v>1262</v>
      </c>
      <c r="AO1906">
        <v>0</v>
      </c>
      <c r="AQ1906" t="s">
        <v>1261</v>
      </c>
      <c r="AR1906" t="s">
        <v>1260</v>
      </c>
      <c r="AS1906" t="s">
        <v>2716</v>
      </c>
      <c r="AT1906" s="30">
        <v>46048.537499999999</v>
      </c>
    </row>
    <row r="1907" spans="1:46" x14ac:dyDescent="0.25">
      <c r="A1907" t="s">
        <v>1248</v>
      </c>
      <c r="B1907">
        <v>198682</v>
      </c>
      <c r="C1907">
        <v>119926</v>
      </c>
      <c r="D1907">
        <v>405</v>
      </c>
      <c r="E1907" t="s">
        <v>1266</v>
      </c>
      <c r="G1907">
        <v>745</v>
      </c>
      <c r="H1907">
        <v>1809</v>
      </c>
      <c r="K1907" t="s">
        <v>2733</v>
      </c>
      <c r="L1907" t="s">
        <v>2733</v>
      </c>
      <c r="M1907" t="s">
        <v>2732</v>
      </c>
      <c r="N1907">
        <v>0</v>
      </c>
      <c r="O1907" t="s">
        <v>2732</v>
      </c>
      <c r="P1907">
        <v>0</v>
      </c>
      <c r="Q1907">
        <v>0</v>
      </c>
      <c r="R1907">
        <v>0</v>
      </c>
      <c r="T1907" s="29">
        <v>1400000</v>
      </c>
      <c r="U1907" s="29">
        <v>84000</v>
      </c>
      <c r="V1907" t="s">
        <v>1262</v>
      </c>
      <c r="W1907" t="s">
        <v>1262</v>
      </c>
      <c r="X1907" s="29">
        <v>84000</v>
      </c>
      <c r="AA1907" s="30">
        <v>45706.333333333336</v>
      </c>
      <c r="AB1907" s="30">
        <v>45708.708333333336</v>
      </c>
      <c r="AC1907" s="30">
        <v>45706.333333333336</v>
      </c>
      <c r="AD1907" s="30">
        <v>45708.708333333336</v>
      </c>
      <c r="AE1907" s="30">
        <v>45706.333333333336</v>
      </c>
      <c r="AF1907" s="30">
        <v>45708.708333333336</v>
      </c>
      <c r="AG1907" t="s">
        <v>1266</v>
      </c>
      <c r="AK1907" t="s">
        <v>1265</v>
      </c>
      <c r="AL1907" t="s">
        <v>2781</v>
      </c>
      <c r="AM1907" t="s">
        <v>1263</v>
      </c>
      <c r="AN1907" t="s">
        <v>1262</v>
      </c>
      <c r="AO1907">
        <v>0</v>
      </c>
      <c r="AQ1907" t="s">
        <v>1261</v>
      </c>
      <c r="AR1907" t="s">
        <v>1260</v>
      </c>
      <c r="AS1907" t="s">
        <v>2716</v>
      </c>
      <c r="AT1907" s="30">
        <v>46048.568749999999</v>
      </c>
    </row>
    <row r="1908" spans="1:46" x14ac:dyDescent="0.25">
      <c r="A1908" t="s">
        <v>1248</v>
      </c>
      <c r="B1908">
        <v>198683</v>
      </c>
      <c r="C1908">
        <v>119927</v>
      </c>
      <c r="D1908">
        <v>405</v>
      </c>
      <c r="E1908" t="s">
        <v>1266</v>
      </c>
      <c r="G1908">
        <v>745</v>
      </c>
      <c r="H1908">
        <v>1809</v>
      </c>
      <c r="K1908" t="s">
        <v>2733</v>
      </c>
      <c r="L1908" t="s">
        <v>2733</v>
      </c>
      <c r="M1908" t="s">
        <v>2732</v>
      </c>
      <c r="N1908">
        <v>0</v>
      </c>
      <c r="O1908" t="s">
        <v>2732</v>
      </c>
      <c r="P1908">
        <v>0</v>
      </c>
      <c r="Q1908">
        <v>0</v>
      </c>
      <c r="R1908">
        <v>0</v>
      </c>
      <c r="T1908" s="29">
        <v>1400000</v>
      </c>
      <c r="U1908" s="29">
        <v>84000</v>
      </c>
      <c r="V1908" t="s">
        <v>1262</v>
      </c>
      <c r="W1908" t="s">
        <v>1262</v>
      </c>
      <c r="X1908" s="29">
        <v>84000</v>
      </c>
      <c r="AA1908" s="30">
        <v>45709.333333333336</v>
      </c>
      <c r="AB1908" s="30">
        <v>45713.708333333336</v>
      </c>
      <c r="AC1908" s="30">
        <v>45709.333333333336</v>
      </c>
      <c r="AD1908" s="30">
        <v>45713.708333333336</v>
      </c>
      <c r="AE1908" s="30">
        <v>45709.333333333336</v>
      </c>
      <c r="AF1908" s="30">
        <v>45713.708333333336</v>
      </c>
      <c r="AG1908" t="s">
        <v>1266</v>
      </c>
      <c r="AK1908" t="s">
        <v>1265</v>
      </c>
      <c r="AL1908" t="e">
        <f>+aOR2l8ZLk2VoynkImmsgA</f>
        <v>#NAME?</v>
      </c>
      <c r="AM1908" t="s">
        <v>1263</v>
      </c>
      <c r="AN1908" t="s">
        <v>1262</v>
      </c>
      <c r="AO1908">
        <v>0</v>
      </c>
      <c r="AQ1908" t="s">
        <v>1261</v>
      </c>
      <c r="AR1908" t="s">
        <v>1260</v>
      </c>
      <c r="AS1908" t="s">
        <v>2716</v>
      </c>
      <c r="AT1908" s="30">
        <v>46048.568749999999</v>
      </c>
    </row>
    <row r="1909" spans="1:46" x14ac:dyDescent="0.25">
      <c r="A1909" t="s">
        <v>1248</v>
      </c>
      <c r="B1909">
        <v>198684</v>
      </c>
      <c r="C1909">
        <v>119928</v>
      </c>
      <c r="D1909">
        <v>405</v>
      </c>
      <c r="E1909" t="s">
        <v>1266</v>
      </c>
      <c r="G1909">
        <v>745</v>
      </c>
      <c r="H1909">
        <v>1809</v>
      </c>
      <c r="K1909" t="s">
        <v>2733</v>
      </c>
      <c r="L1909" t="s">
        <v>2733</v>
      </c>
      <c r="M1909" t="s">
        <v>2732</v>
      </c>
      <c r="N1909">
        <v>0</v>
      </c>
      <c r="O1909" t="s">
        <v>2732</v>
      </c>
      <c r="P1909">
        <v>0</v>
      </c>
      <c r="Q1909">
        <v>0</v>
      </c>
      <c r="R1909">
        <v>0</v>
      </c>
      <c r="T1909" s="29">
        <v>1400000</v>
      </c>
      <c r="U1909" s="29">
        <v>84000</v>
      </c>
      <c r="V1909" t="s">
        <v>1262</v>
      </c>
      <c r="W1909" t="s">
        <v>1262</v>
      </c>
      <c r="X1909" s="29">
        <v>84000</v>
      </c>
      <c r="AA1909" s="30">
        <v>45714.333333333336</v>
      </c>
      <c r="AB1909" s="30">
        <v>45716.708333333336</v>
      </c>
      <c r="AC1909" s="30">
        <v>45714.333333333336</v>
      </c>
      <c r="AD1909" s="30">
        <v>45716.708333333336</v>
      </c>
      <c r="AE1909" s="30">
        <v>45714.333333333336</v>
      </c>
      <c r="AF1909" s="30">
        <v>45716.708333333336</v>
      </c>
      <c r="AG1909" t="s">
        <v>1266</v>
      </c>
      <c r="AK1909" t="s">
        <v>1265</v>
      </c>
      <c r="AL1909" t="s">
        <v>2780</v>
      </c>
      <c r="AM1909" t="s">
        <v>1263</v>
      </c>
      <c r="AN1909" t="s">
        <v>1262</v>
      </c>
      <c r="AO1909">
        <v>0</v>
      </c>
      <c r="AQ1909" t="s">
        <v>1261</v>
      </c>
      <c r="AR1909" t="s">
        <v>1260</v>
      </c>
      <c r="AS1909" t="s">
        <v>2716</v>
      </c>
      <c r="AT1909" s="30">
        <v>46048.568749999999</v>
      </c>
    </row>
    <row r="1910" spans="1:46" x14ac:dyDescent="0.25">
      <c r="A1910" t="s">
        <v>1248</v>
      </c>
      <c r="B1910">
        <v>198685</v>
      </c>
      <c r="C1910">
        <v>119929</v>
      </c>
      <c r="D1910">
        <v>405</v>
      </c>
      <c r="E1910" t="s">
        <v>1266</v>
      </c>
      <c r="G1910">
        <v>745</v>
      </c>
      <c r="H1910">
        <v>1809</v>
      </c>
      <c r="K1910" t="s">
        <v>2733</v>
      </c>
      <c r="L1910" t="s">
        <v>2733</v>
      </c>
      <c r="M1910" t="s">
        <v>2732</v>
      </c>
      <c r="N1910">
        <v>0</v>
      </c>
      <c r="O1910" t="s">
        <v>2732</v>
      </c>
      <c r="P1910">
        <v>0</v>
      </c>
      <c r="Q1910">
        <v>0</v>
      </c>
      <c r="R1910">
        <v>0</v>
      </c>
      <c r="T1910" s="29">
        <v>1400000</v>
      </c>
      <c r="U1910" s="29">
        <v>84000</v>
      </c>
      <c r="V1910" t="s">
        <v>1262</v>
      </c>
      <c r="W1910" t="s">
        <v>1262</v>
      </c>
      <c r="X1910" s="29">
        <v>84000</v>
      </c>
      <c r="AA1910" s="30">
        <v>45719.333333333336</v>
      </c>
      <c r="AB1910" s="30">
        <v>45721.708333333336</v>
      </c>
      <c r="AC1910" s="30">
        <v>45719.333333333336</v>
      </c>
      <c r="AD1910" s="30">
        <v>45721.708333333336</v>
      </c>
      <c r="AE1910" s="30">
        <v>45719.333333333336</v>
      </c>
      <c r="AF1910" s="30">
        <v>45721.708333333336</v>
      </c>
      <c r="AG1910" t="s">
        <v>1266</v>
      </c>
      <c r="AK1910" t="s">
        <v>1265</v>
      </c>
      <c r="AL1910" t="s">
        <v>2779</v>
      </c>
      <c r="AM1910" t="s">
        <v>1263</v>
      </c>
      <c r="AN1910" t="s">
        <v>1262</v>
      </c>
      <c r="AO1910">
        <v>0</v>
      </c>
      <c r="AQ1910" t="s">
        <v>1261</v>
      </c>
      <c r="AR1910" t="s">
        <v>1260</v>
      </c>
      <c r="AS1910" t="s">
        <v>2716</v>
      </c>
      <c r="AT1910" s="30">
        <v>46048.568749999999</v>
      </c>
    </row>
    <row r="1911" spans="1:46" x14ac:dyDescent="0.25">
      <c r="A1911" t="s">
        <v>1248</v>
      </c>
      <c r="B1911">
        <v>198686</v>
      </c>
      <c r="C1911">
        <v>119930</v>
      </c>
      <c r="D1911">
        <v>405</v>
      </c>
      <c r="E1911" t="s">
        <v>1266</v>
      </c>
      <c r="G1911">
        <v>745</v>
      </c>
      <c r="H1911">
        <v>1809</v>
      </c>
      <c r="K1911" t="s">
        <v>2733</v>
      </c>
      <c r="L1911" t="s">
        <v>2733</v>
      </c>
      <c r="M1911" t="s">
        <v>2732</v>
      </c>
      <c r="N1911">
        <v>0</v>
      </c>
      <c r="O1911" t="s">
        <v>2732</v>
      </c>
      <c r="P1911">
        <v>0</v>
      </c>
      <c r="Q1911">
        <v>0</v>
      </c>
      <c r="R1911">
        <v>0</v>
      </c>
      <c r="T1911" s="29">
        <v>1400000</v>
      </c>
      <c r="U1911" s="29">
        <v>84000</v>
      </c>
      <c r="V1911" t="s">
        <v>1262</v>
      </c>
      <c r="W1911" t="s">
        <v>1262</v>
      </c>
      <c r="X1911" s="29">
        <v>84000</v>
      </c>
      <c r="AA1911" s="30">
        <v>45722.333333333336</v>
      </c>
      <c r="AB1911" s="30">
        <v>45726.708333333336</v>
      </c>
      <c r="AC1911" s="30">
        <v>45722.333333333336</v>
      </c>
      <c r="AD1911" s="30">
        <v>45726.708333333336</v>
      </c>
      <c r="AE1911" s="30">
        <v>45722.333333333336</v>
      </c>
      <c r="AF1911" s="30">
        <v>45726.708333333336</v>
      </c>
      <c r="AG1911" t="s">
        <v>1266</v>
      </c>
      <c r="AK1911" t="s">
        <v>1265</v>
      </c>
      <c r="AL1911" t="s">
        <v>2778</v>
      </c>
      <c r="AM1911" t="s">
        <v>1263</v>
      </c>
      <c r="AN1911" t="s">
        <v>1262</v>
      </c>
      <c r="AO1911">
        <v>0</v>
      </c>
      <c r="AQ1911" t="s">
        <v>1261</v>
      </c>
      <c r="AR1911" t="s">
        <v>1260</v>
      </c>
      <c r="AS1911" t="s">
        <v>2716</v>
      </c>
      <c r="AT1911" s="30">
        <v>46048.568749999999</v>
      </c>
    </row>
    <row r="1912" spans="1:46" x14ac:dyDescent="0.25">
      <c r="A1912" t="s">
        <v>1248</v>
      </c>
      <c r="B1912">
        <v>198687</v>
      </c>
      <c r="C1912">
        <v>119931</v>
      </c>
      <c r="D1912">
        <v>405</v>
      </c>
      <c r="E1912" t="s">
        <v>1266</v>
      </c>
      <c r="G1912">
        <v>745</v>
      </c>
      <c r="H1912">
        <v>1809</v>
      </c>
      <c r="K1912" t="s">
        <v>2733</v>
      </c>
      <c r="L1912" t="s">
        <v>2733</v>
      </c>
      <c r="M1912" t="s">
        <v>2732</v>
      </c>
      <c r="N1912">
        <v>0</v>
      </c>
      <c r="O1912" t="s">
        <v>2732</v>
      </c>
      <c r="P1912">
        <v>0</v>
      </c>
      <c r="Q1912">
        <v>0</v>
      </c>
      <c r="R1912">
        <v>0</v>
      </c>
      <c r="T1912" s="29">
        <v>1400000</v>
      </c>
      <c r="U1912" s="29">
        <v>84000</v>
      </c>
      <c r="V1912" t="s">
        <v>1262</v>
      </c>
      <c r="W1912" t="s">
        <v>1262</v>
      </c>
      <c r="X1912" s="29">
        <v>84000</v>
      </c>
      <c r="AA1912" s="30">
        <v>45727.333333333336</v>
      </c>
      <c r="AB1912" s="30">
        <v>45729.708333333336</v>
      </c>
      <c r="AC1912" s="30">
        <v>45727.333333333336</v>
      </c>
      <c r="AD1912" s="30">
        <v>45729.708333333336</v>
      </c>
      <c r="AE1912" s="30">
        <v>45727.333333333336</v>
      </c>
      <c r="AF1912" s="30">
        <v>45729.708333333336</v>
      </c>
      <c r="AG1912" t="s">
        <v>1266</v>
      </c>
      <c r="AK1912" t="s">
        <v>1265</v>
      </c>
      <c r="AL1912" t="s">
        <v>2777</v>
      </c>
      <c r="AM1912" t="s">
        <v>1263</v>
      </c>
      <c r="AN1912" t="s">
        <v>1262</v>
      </c>
      <c r="AO1912">
        <v>0</v>
      </c>
      <c r="AQ1912" t="s">
        <v>1261</v>
      </c>
      <c r="AR1912" t="s">
        <v>1260</v>
      </c>
      <c r="AS1912" t="s">
        <v>2716</v>
      </c>
      <c r="AT1912" s="30">
        <v>46048.568749999999</v>
      </c>
    </row>
    <row r="1913" spans="1:46" x14ac:dyDescent="0.25">
      <c r="A1913" t="s">
        <v>1248</v>
      </c>
      <c r="B1913">
        <v>198688</v>
      </c>
      <c r="C1913">
        <v>119932</v>
      </c>
      <c r="D1913">
        <v>405</v>
      </c>
      <c r="E1913" t="s">
        <v>1266</v>
      </c>
      <c r="G1913">
        <v>745</v>
      </c>
      <c r="H1913">
        <v>1809</v>
      </c>
      <c r="K1913" t="s">
        <v>2733</v>
      </c>
      <c r="L1913" t="s">
        <v>2733</v>
      </c>
      <c r="M1913" t="s">
        <v>2732</v>
      </c>
      <c r="N1913">
        <v>0</v>
      </c>
      <c r="O1913" t="s">
        <v>2732</v>
      </c>
      <c r="P1913">
        <v>0</v>
      </c>
      <c r="Q1913">
        <v>0</v>
      </c>
      <c r="R1913">
        <v>0</v>
      </c>
      <c r="T1913" s="29">
        <v>1400000</v>
      </c>
      <c r="U1913" s="29">
        <v>84000</v>
      </c>
      <c r="V1913" t="s">
        <v>1262</v>
      </c>
      <c r="W1913" t="s">
        <v>1262</v>
      </c>
      <c r="X1913" s="29">
        <v>84000</v>
      </c>
      <c r="AA1913" s="30">
        <v>45730.333333333336</v>
      </c>
      <c r="AB1913" s="30">
        <v>45734.708333333336</v>
      </c>
      <c r="AC1913" s="30">
        <v>45730.333333333336</v>
      </c>
      <c r="AD1913" s="30">
        <v>45734.708333333336</v>
      </c>
      <c r="AE1913" s="30">
        <v>45730.333333333336</v>
      </c>
      <c r="AF1913" s="30">
        <v>45734.708333333336</v>
      </c>
      <c r="AG1913" t="s">
        <v>1266</v>
      </c>
      <c r="AK1913" t="s">
        <v>1265</v>
      </c>
      <c r="AL1913" t="s">
        <v>2776</v>
      </c>
      <c r="AM1913" t="s">
        <v>1263</v>
      </c>
      <c r="AN1913" t="s">
        <v>1262</v>
      </c>
      <c r="AO1913">
        <v>0</v>
      </c>
      <c r="AQ1913" t="s">
        <v>1261</v>
      </c>
      <c r="AR1913" t="s">
        <v>1260</v>
      </c>
      <c r="AS1913" t="s">
        <v>2716</v>
      </c>
      <c r="AT1913" s="30">
        <v>46048.568749999999</v>
      </c>
    </row>
    <row r="1914" spans="1:46" x14ac:dyDescent="0.25">
      <c r="A1914" t="s">
        <v>1248</v>
      </c>
      <c r="B1914">
        <v>198689</v>
      </c>
      <c r="C1914">
        <v>119933</v>
      </c>
      <c r="D1914">
        <v>405</v>
      </c>
      <c r="E1914" t="s">
        <v>1266</v>
      </c>
      <c r="G1914">
        <v>745</v>
      </c>
      <c r="H1914">
        <v>1809</v>
      </c>
      <c r="K1914" t="s">
        <v>2733</v>
      </c>
      <c r="L1914" t="s">
        <v>2733</v>
      </c>
      <c r="M1914" t="s">
        <v>2732</v>
      </c>
      <c r="N1914">
        <v>0</v>
      </c>
      <c r="O1914" t="s">
        <v>2732</v>
      </c>
      <c r="P1914">
        <v>0</v>
      </c>
      <c r="Q1914">
        <v>0</v>
      </c>
      <c r="R1914">
        <v>0</v>
      </c>
      <c r="T1914" s="29">
        <v>1400000</v>
      </c>
      <c r="U1914" s="29">
        <v>84000</v>
      </c>
      <c r="V1914" t="s">
        <v>1262</v>
      </c>
      <c r="W1914" t="s">
        <v>1262</v>
      </c>
      <c r="X1914" s="29">
        <v>84000</v>
      </c>
      <c r="AA1914" s="30">
        <v>45735.333333333336</v>
      </c>
      <c r="AB1914" s="30">
        <v>45737.708333333336</v>
      </c>
      <c r="AC1914" s="30">
        <v>45735.333333333336</v>
      </c>
      <c r="AD1914" s="30">
        <v>45737.708333333336</v>
      </c>
      <c r="AE1914" s="30">
        <v>45735.333333333336</v>
      </c>
      <c r="AF1914" s="30">
        <v>45737.708333333336</v>
      </c>
      <c r="AG1914" t="s">
        <v>1266</v>
      </c>
      <c r="AK1914" t="s">
        <v>1265</v>
      </c>
      <c r="AL1914" t="s">
        <v>2775</v>
      </c>
      <c r="AM1914" t="s">
        <v>1263</v>
      </c>
      <c r="AN1914" t="s">
        <v>1262</v>
      </c>
      <c r="AO1914">
        <v>0</v>
      </c>
      <c r="AQ1914" t="s">
        <v>1261</v>
      </c>
      <c r="AR1914" t="s">
        <v>1260</v>
      </c>
      <c r="AS1914" t="s">
        <v>2716</v>
      </c>
      <c r="AT1914" s="30">
        <v>46048.568749999999</v>
      </c>
    </row>
    <row r="1915" spans="1:46" x14ac:dyDescent="0.25">
      <c r="A1915" t="s">
        <v>1248</v>
      </c>
      <c r="B1915">
        <v>198690</v>
      </c>
      <c r="C1915">
        <v>119934</v>
      </c>
      <c r="D1915">
        <v>405</v>
      </c>
      <c r="E1915" t="s">
        <v>1266</v>
      </c>
      <c r="G1915">
        <v>745</v>
      </c>
      <c r="H1915">
        <v>1809</v>
      </c>
      <c r="K1915" t="s">
        <v>2733</v>
      </c>
      <c r="L1915" t="s">
        <v>2733</v>
      </c>
      <c r="M1915" t="s">
        <v>2732</v>
      </c>
      <c r="N1915">
        <v>0</v>
      </c>
      <c r="O1915" t="s">
        <v>2732</v>
      </c>
      <c r="P1915">
        <v>0</v>
      </c>
      <c r="Q1915">
        <v>0</v>
      </c>
      <c r="R1915">
        <v>0</v>
      </c>
      <c r="T1915" s="29">
        <v>1400000</v>
      </c>
      <c r="U1915" s="29">
        <v>84000</v>
      </c>
      <c r="V1915" t="s">
        <v>1262</v>
      </c>
      <c r="W1915" t="s">
        <v>1262</v>
      </c>
      <c r="X1915" s="29">
        <v>84000</v>
      </c>
      <c r="AA1915" s="30">
        <v>45740.333333333336</v>
      </c>
      <c r="AB1915" s="30">
        <v>45742.708333333336</v>
      </c>
      <c r="AC1915" s="30">
        <v>45740.333333333336</v>
      </c>
      <c r="AD1915" s="30">
        <v>45742.708333333336</v>
      </c>
      <c r="AE1915" s="30">
        <v>45740.333333333336</v>
      </c>
      <c r="AF1915" s="30">
        <v>45742.708333333336</v>
      </c>
      <c r="AG1915" t="s">
        <v>1266</v>
      </c>
      <c r="AK1915" t="s">
        <v>1265</v>
      </c>
      <c r="AL1915" t="s">
        <v>2774</v>
      </c>
      <c r="AM1915" t="s">
        <v>1263</v>
      </c>
      <c r="AN1915" t="s">
        <v>1262</v>
      </c>
      <c r="AO1915">
        <v>0</v>
      </c>
      <c r="AQ1915" t="s">
        <v>1261</v>
      </c>
      <c r="AR1915" t="s">
        <v>1260</v>
      </c>
      <c r="AS1915" t="s">
        <v>2716</v>
      </c>
      <c r="AT1915" s="30">
        <v>46048.568749999999</v>
      </c>
    </row>
    <row r="1916" spans="1:46" x14ac:dyDescent="0.25">
      <c r="A1916" t="s">
        <v>1248</v>
      </c>
      <c r="B1916">
        <v>198691</v>
      </c>
      <c r="C1916">
        <v>119935</v>
      </c>
      <c r="D1916">
        <v>405</v>
      </c>
      <c r="E1916" t="s">
        <v>1266</v>
      </c>
      <c r="G1916">
        <v>745</v>
      </c>
      <c r="H1916">
        <v>1809</v>
      </c>
      <c r="K1916" t="s">
        <v>2733</v>
      </c>
      <c r="L1916" t="s">
        <v>2733</v>
      </c>
      <c r="M1916" t="s">
        <v>2732</v>
      </c>
      <c r="N1916">
        <v>0</v>
      </c>
      <c r="O1916" t="s">
        <v>2732</v>
      </c>
      <c r="P1916">
        <v>0</v>
      </c>
      <c r="Q1916">
        <v>0</v>
      </c>
      <c r="R1916">
        <v>0</v>
      </c>
      <c r="T1916" s="29">
        <v>1400000</v>
      </c>
      <c r="U1916" s="29">
        <v>84000</v>
      </c>
      <c r="V1916" t="s">
        <v>1262</v>
      </c>
      <c r="W1916" t="s">
        <v>1262</v>
      </c>
      <c r="X1916" s="29">
        <v>84000</v>
      </c>
      <c r="AA1916" s="30">
        <v>45743.333333333336</v>
      </c>
      <c r="AB1916" s="30">
        <v>45747.708333333336</v>
      </c>
      <c r="AC1916" s="30">
        <v>45743.333333333336</v>
      </c>
      <c r="AD1916" s="30">
        <v>45747.708333333336</v>
      </c>
      <c r="AE1916" s="30">
        <v>45743.333333333336</v>
      </c>
      <c r="AF1916" s="30">
        <v>45747.708333333336</v>
      </c>
      <c r="AG1916" t="s">
        <v>1266</v>
      </c>
      <c r="AK1916" t="s">
        <v>1265</v>
      </c>
      <c r="AL1916" t="s">
        <v>2773</v>
      </c>
      <c r="AM1916" t="s">
        <v>1263</v>
      </c>
      <c r="AN1916" t="s">
        <v>1262</v>
      </c>
      <c r="AO1916">
        <v>0</v>
      </c>
      <c r="AQ1916" t="s">
        <v>1261</v>
      </c>
      <c r="AR1916" t="s">
        <v>1260</v>
      </c>
      <c r="AS1916" t="s">
        <v>2716</v>
      </c>
      <c r="AT1916" s="30">
        <v>46048.568749999999</v>
      </c>
    </row>
    <row r="1917" spans="1:46" x14ac:dyDescent="0.25">
      <c r="A1917" t="s">
        <v>1248</v>
      </c>
      <c r="B1917">
        <v>198692</v>
      </c>
      <c r="C1917">
        <v>119936</v>
      </c>
      <c r="D1917">
        <v>405</v>
      </c>
      <c r="E1917" t="s">
        <v>1266</v>
      </c>
      <c r="G1917">
        <v>745</v>
      </c>
      <c r="H1917">
        <v>1809</v>
      </c>
      <c r="K1917" t="s">
        <v>2733</v>
      </c>
      <c r="L1917" t="s">
        <v>2733</v>
      </c>
      <c r="M1917" t="s">
        <v>2732</v>
      </c>
      <c r="N1917">
        <v>0</v>
      </c>
      <c r="O1917" t="s">
        <v>2732</v>
      </c>
      <c r="P1917">
        <v>0</v>
      </c>
      <c r="Q1917">
        <v>0</v>
      </c>
      <c r="R1917">
        <v>0</v>
      </c>
      <c r="T1917" s="29">
        <v>1400000</v>
      </c>
      <c r="U1917" s="29">
        <v>84000</v>
      </c>
      <c r="V1917" t="s">
        <v>1262</v>
      </c>
      <c r="W1917" t="s">
        <v>1262</v>
      </c>
      <c r="X1917" s="29">
        <v>84000</v>
      </c>
      <c r="AA1917" s="30">
        <v>45748.333333333336</v>
      </c>
      <c r="AB1917" s="30">
        <v>45750.708333333336</v>
      </c>
      <c r="AC1917" s="30">
        <v>45748.333333333336</v>
      </c>
      <c r="AD1917" s="30">
        <v>45750.708333333336</v>
      </c>
      <c r="AE1917" s="30">
        <v>45748.333333333336</v>
      </c>
      <c r="AF1917" s="30">
        <v>45750.708333333336</v>
      </c>
      <c r="AG1917" t="s">
        <v>1266</v>
      </c>
      <c r="AK1917" t="s">
        <v>1265</v>
      </c>
      <c r="AL1917" t="s">
        <v>2772</v>
      </c>
      <c r="AM1917" t="s">
        <v>1263</v>
      </c>
      <c r="AN1917" t="s">
        <v>1262</v>
      </c>
      <c r="AO1917">
        <v>0</v>
      </c>
      <c r="AQ1917" t="s">
        <v>1261</v>
      </c>
      <c r="AR1917" t="s">
        <v>1260</v>
      </c>
      <c r="AS1917" t="s">
        <v>2716</v>
      </c>
      <c r="AT1917" s="30">
        <v>46048.568749999999</v>
      </c>
    </row>
    <row r="1918" spans="1:46" x14ac:dyDescent="0.25">
      <c r="A1918" t="s">
        <v>1248</v>
      </c>
      <c r="B1918">
        <v>198693</v>
      </c>
      <c r="C1918">
        <v>119937</v>
      </c>
      <c r="D1918">
        <v>405</v>
      </c>
      <c r="E1918" t="s">
        <v>1266</v>
      </c>
      <c r="G1918">
        <v>745</v>
      </c>
      <c r="H1918">
        <v>1809</v>
      </c>
      <c r="K1918" t="s">
        <v>2733</v>
      </c>
      <c r="L1918" t="s">
        <v>2733</v>
      </c>
      <c r="M1918" t="s">
        <v>2732</v>
      </c>
      <c r="N1918">
        <v>0</v>
      </c>
      <c r="O1918" t="s">
        <v>2732</v>
      </c>
      <c r="P1918">
        <v>0</v>
      </c>
      <c r="Q1918">
        <v>0</v>
      </c>
      <c r="R1918">
        <v>0</v>
      </c>
      <c r="T1918" s="29">
        <v>1400000</v>
      </c>
      <c r="U1918" s="29">
        <v>84000</v>
      </c>
      <c r="V1918" t="s">
        <v>1262</v>
      </c>
      <c r="W1918" t="s">
        <v>1262</v>
      </c>
      <c r="X1918" s="29">
        <v>84000</v>
      </c>
      <c r="AA1918" s="30">
        <v>45751.333333333336</v>
      </c>
      <c r="AB1918" s="30">
        <v>45755.708333333336</v>
      </c>
      <c r="AC1918" s="30">
        <v>45751.333333333336</v>
      </c>
      <c r="AD1918" s="30">
        <v>45755.708333333336</v>
      </c>
      <c r="AE1918" s="30">
        <v>45751.333333333336</v>
      </c>
      <c r="AF1918" s="30">
        <v>45755.708333333336</v>
      </c>
      <c r="AG1918" t="s">
        <v>1266</v>
      </c>
      <c r="AK1918" t="s">
        <v>1265</v>
      </c>
      <c r="AL1918" t="s">
        <v>2771</v>
      </c>
      <c r="AM1918" t="s">
        <v>1263</v>
      </c>
      <c r="AN1918" t="s">
        <v>1262</v>
      </c>
      <c r="AO1918">
        <v>0</v>
      </c>
      <c r="AQ1918" t="s">
        <v>1261</v>
      </c>
      <c r="AR1918" t="s">
        <v>1260</v>
      </c>
      <c r="AS1918" t="s">
        <v>2716</v>
      </c>
      <c r="AT1918" s="30">
        <v>46048.568749999999</v>
      </c>
    </row>
    <row r="1919" spans="1:46" x14ac:dyDescent="0.25">
      <c r="A1919" t="s">
        <v>1248</v>
      </c>
      <c r="B1919">
        <v>198694</v>
      </c>
      <c r="C1919">
        <v>119938</v>
      </c>
      <c r="D1919">
        <v>405</v>
      </c>
      <c r="E1919" t="s">
        <v>1266</v>
      </c>
      <c r="G1919">
        <v>745</v>
      </c>
      <c r="H1919">
        <v>1809</v>
      </c>
      <c r="K1919" t="s">
        <v>2733</v>
      </c>
      <c r="L1919" t="s">
        <v>2733</v>
      </c>
      <c r="M1919" t="s">
        <v>2732</v>
      </c>
      <c r="N1919">
        <v>0</v>
      </c>
      <c r="O1919" t="s">
        <v>2732</v>
      </c>
      <c r="P1919">
        <v>0</v>
      </c>
      <c r="Q1919">
        <v>0</v>
      </c>
      <c r="R1919">
        <v>0</v>
      </c>
      <c r="T1919" s="29">
        <v>1400000</v>
      </c>
      <c r="U1919" s="29">
        <v>84000</v>
      </c>
      <c r="V1919" t="s">
        <v>1262</v>
      </c>
      <c r="W1919" t="s">
        <v>1262</v>
      </c>
      <c r="X1919" s="29">
        <v>84000</v>
      </c>
      <c r="AA1919" s="30">
        <v>45756.333333333336</v>
      </c>
      <c r="AB1919" s="30">
        <v>45758.708333333336</v>
      </c>
      <c r="AC1919" s="30">
        <v>45756.333333333336</v>
      </c>
      <c r="AD1919" s="30">
        <v>45758.708333333336</v>
      </c>
      <c r="AE1919" s="30">
        <v>45756.333333333336</v>
      </c>
      <c r="AF1919" s="30">
        <v>45758.708333333336</v>
      </c>
      <c r="AG1919" t="s">
        <v>1266</v>
      </c>
      <c r="AK1919" t="s">
        <v>1265</v>
      </c>
      <c r="AL1919" t="s">
        <v>2770</v>
      </c>
      <c r="AM1919" t="s">
        <v>1263</v>
      </c>
      <c r="AN1919" t="s">
        <v>1262</v>
      </c>
      <c r="AO1919">
        <v>0</v>
      </c>
      <c r="AQ1919" t="s">
        <v>1261</v>
      </c>
      <c r="AR1919" t="s">
        <v>1260</v>
      </c>
      <c r="AS1919" t="s">
        <v>2716</v>
      </c>
      <c r="AT1919" s="30">
        <v>46048.568749999999</v>
      </c>
    </row>
    <row r="1920" spans="1:46" x14ac:dyDescent="0.25">
      <c r="A1920" t="s">
        <v>1248</v>
      </c>
      <c r="B1920">
        <v>198695</v>
      </c>
      <c r="C1920">
        <v>119939</v>
      </c>
      <c r="D1920">
        <v>405</v>
      </c>
      <c r="E1920" t="s">
        <v>1266</v>
      </c>
      <c r="G1920">
        <v>745</v>
      </c>
      <c r="H1920">
        <v>1809</v>
      </c>
      <c r="K1920" t="s">
        <v>2733</v>
      </c>
      <c r="L1920" t="s">
        <v>2733</v>
      </c>
      <c r="M1920" t="s">
        <v>2732</v>
      </c>
      <c r="N1920">
        <v>0</v>
      </c>
      <c r="O1920" t="s">
        <v>2732</v>
      </c>
      <c r="P1920">
        <v>0</v>
      </c>
      <c r="Q1920">
        <v>0</v>
      </c>
      <c r="R1920">
        <v>0</v>
      </c>
      <c r="T1920" s="29">
        <v>1400000</v>
      </c>
      <c r="U1920" s="29">
        <v>84000</v>
      </c>
      <c r="V1920" t="s">
        <v>1262</v>
      </c>
      <c r="W1920" t="s">
        <v>1262</v>
      </c>
      <c r="X1920" s="29">
        <v>84000</v>
      </c>
      <c r="AA1920" s="30">
        <v>45761.333333333336</v>
      </c>
      <c r="AB1920" s="30">
        <v>45763.708333333336</v>
      </c>
      <c r="AC1920" s="30">
        <v>45761.333333333336</v>
      </c>
      <c r="AD1920" s="30">
        <v>45763.708333333336</v>
      </c>
      <c r="AE1920" s="30">
        <v>45761.333333333336</v>
      </c>
      <c r="AF1920" s="30">
        <v>45763.708333333336</v>
      </c>
      <c r="AG1920" t="s">
        <v>1266</v>
      </c>
      <c r="AK1920" t="s">
        <v>1265</v>
      </c>
      <c r="AL1920" t="s">
        <v>2769</v>
      </c>
      <c r="AM1920" t="s">
        <v>1263</v>
      </c>
      <c r="AN1920" t="s">
        <v>1262</v>
      </c>
      <c r="AO1920">
        <v>0</v>
      </c>
      <c r="AQ1920" t="s">
        <v>1261</v>
      </c>
      <c r="AR1920" t="s">
        <v>1260</v>
      </c>
      <c r="AS1920" t="s">
        <v>2716</v>
      </c>
      <c r="AT1920" s="30">
        <v>46048.568749999999</v>
      </c>
    </row>
    <row r="1921" spans="1:46" x14ac:dyDescent="0.25">
      <c r="A1921" t="s">
        <v>1248</v>
      </c>
      <c r="B1921">
        <v>198696</v>
      </c>
      <c r="C1921">
        <v>119940</v>
      </c>
      <c r="D1921">
        <v>405</v>
      </c>
      <c r="E1921" t="s">
        <v>1266</v>
      </c>
      <c r="G1921">
        <v>745</v>
      </c>
      <c r="H1921">
        <v>1809</v>
      </c>
      <c r="K1921" t="s">
        <v>2733</v>
      </c>
      <c r="L1921" t="s">
        <v>2733</v>
      </c>
      <c r="M1921" t="s">
        <v>2732</v>
      </c>
      <c r="N1921">
        <v>0</v>
      </c>
      <c r="O1921" t="s">
        <v>2732</v>
      </c>
      <c r="P1921">
        <v>0</v>
      </c>
      <c r="Q1921">
        <v>0</v>
      </c>
      <c r="R1921">
        <v>0</v>
      </c>
      <c r="T1921" s="29">
        <v>1400000</v>
      </c>
      <c r="U1921" s="29">
        <v>84000</v>
      </c>
      <c r="V1921" t="s">
        <v>1262</v>
      </c>
      <c r="W1921" t="s">
        <v>1262</v>
      </c>
      <c r="X1921" s="29">
        <v>84000</v>
      </c>
      <c r="AA1921" s="30">
        <v>45764.333333333336</v>
      </c>
      <c r="AB1921" s="30">
        <v>45768.708333333336</v>
      </c>
      <c r="AC1921" s="30">
        <v>45764.333333333336</v>
      </c>
      <c r="AD1921" s="30">
        <v>45768.708333333336</v>
      </c>
      <c r="AE1921" s="30">
        <v>45764.333333333336</v>
      </c>
      <c r="AF1921" s="30">
        <v>45768.708333333336</v>
      </c>
      <c r="AG1921" t="s">
        <v>1266</v>
      </c>
      <c r="AK1921" t="s">
        <v>1265</v>
      </c>
      <c r="AL1921" t="s">
        <v>2768</v>
      </c>
      <c r="AM1921" t="s">
        <v>1263</v>
      </c>
      <c r="AN1921" t="s">
        <v>1262</v>
      </c>
      <c r="AO1921">
        <v>0</v>
      </c>
      <c r="AQ1921" t="s">
        <v>1261</v>
      </c>
      <c r="AR1921" t="s">
        <v>1260</v>
      </c>
      <c r="AS1921" t="s">
        <v>2716</v>
      </c>
      <c r="AT1921" s="30">
        <v>46048.568749999999</v>
      </c>
    </row>
    <row r="1922" spans="1:46" x14ac:dyDescent="0.25">
      <c r="A1922" t="s">
        <v>1248</v>
      </c>
      <c r="B1922">
        <v>198697</v>
      </c>
      <c r="C1922">
        <v>119941</v>
      </c>
      <c r="D1922">
        <v>405</v>
      </c>
      <c r="E1922" t="s">
        <v>1266</v>
      </c>
      <c r="G1922">
        <v>745</v>
      </c>
      <c r="H1922">
        <v>1809</v>
      </c>
      <c r="K1922" t="s">
        <v>2733</v>
      </c>
      <c r="L1922" t="s">
        <v>2733</v>
      </c>
      <c r="M1922" t="s">
        <v>2732</v>
      </c>
      <c r="N1922">
        <v>0</v>
      </c>
      <c r="O1922" t="s">
        <v>2732</v>
      </c>
      <c r="P1922">
        <v>0</v>
      </c>
      <c r="Q1922">
        <v>0</v>
      </c>
      <c r="R1922">
        <v>0</v>
      </c>
      <c r="T1922" s="29">
        <v>1400000</v>
      </c>
      <c r="U1922" s="29">
        <v>84000</v>
      </c>
      <c r="V1922" t="s">
        <v>1262</v>
      </c>
      <c r="W1922" t="s">
        <v>1262</v>
      </c>
      <c r="X1922" s="29">
        <v>84000</v>
      </c>
      <c r="AA1922" s="30">
        <v>45769.333333333336</v>
      </c>
      <c r="AB1922" s="30">
        <v>45771.708333333336</v>
      </c>
      <c r="AC1922" s="30">
        <v>45769.333333333336</v>
      </c>
      <c r="AD1922" s="30">
        <v>45771.708333333336</v>
      </c>
      <c r="AE1922" s="30">
        <v>45769.333333333336</v>
      </c>
      <c r="AF1922" s="30">
        <v>45771.708333333336</v>
      </c>
      <c r="AG1922" t="s">
        <v>1266</v>
      </c>
      <c r="AK1922" t="s">
        <v>1265</v>
      </c>
      <c r="AL1922" t="s">
        <v>2767</v>
      </c>
      <c r="AM1922" t="s">
        <v>1263</v>
      </c>
      <c r="AN1922" t="s">
        <v>1262</v>
      </c>
      <c r="AO1922">
        <v>0</v>
      </c>
      <c r="AQ1922" t="s">
        <v>1261</v>
      </c>
      <c r="AR1922" t="s">
        <v>1260</v>
      </c>
      <c r="AS1922" t="s">
        <v>2716</v>
      </c>
      <c r="AT1922" s="30">
        <v>46048.568749999999</v>
      </c>
    </row>
    <row r="1923" spans="1:46" x14ac:dyDescent="0.25">
      <c r="A1923" t="s">
        <v>1248</v>
      </c>
      <c r="B1923">
        <v>198698</v>
      </c>
      <c r="C1923">
        <v>119942</v>
      </c>
      <c r="D1923">
        <v>405</v>
      </c>
      <c r="E1923" t="s">
        <v>1266</v>
      </c>
      <c r="G1923">
        <v>745</v>
      </c>
      <c r="H1923">
        <v>1809</v>
      </c>
      <c r="K1923" t="s">
        <v>2733</v>
      </c>
      <c r="L1923" t="s">
        <v>2733</v>
      </c>
      <c r="M1923" t="s">
        <v>2732</v>
      </c>
      <c r="N1923">
        <v>0</v>
      </c>
      <c r="O1923" t="s">
        <v>2732</v>
      </c>
      <c r="P1923">
        <v>0</v>
      </c>
      <c r="Q1923">
        <v>0</v>
      </c>
      <c r="R1923">
        <v>0</v>
      </c>
      <c r="T1923" s="29">
        <v>1400000</v>
      </c>
      <c r="U1923" s="29">
        <v>84000</v>
      </c>
      <c r="V1923" t="s">
        <v>1262</v>
      </c>
      <c r="W1923" t="s">
        <v>1262</v>
      </c>
      <c r="X1923" s="29">
        <v>84000</v>
      </c>
      <c r="AA1923" s="30">
        <v>45772.333333333336</v>
      </c>
      <c r="AB1923" s="30">
        <v>45776.708333333336</v>
      </c>
      <c r="AC1923" s="30">
        <v>45772.333333333336</v>
      </c>
      <c r="AD1923" s="30">
        <v>45776.708333333336</v>
      </c>
      <c r="AE1923" s="30">
        <v>45772.333333333336</v>
      </c>
      <c r="AF1923" s="30">
        <v>45776.708333333336</v>
      </c>
      <c r="AG1923" t="s">
        <v>1266</v>
      </c>
      <c r="AK1923" t="s">
        <v>1265</v>
      </c>
      <c r="AL1923" t="s">
        <v>2766</v>
      </c>
      <c r="AM1923" t="s">
        <v>1263</v>
      </c>
      <c r="AN1923" t="s">
        <v>1262</v>
      </c>
      <c r="AO1923">
        <v>0</v>
      </c>
      <c r="AQ1923" t="s">
        <v>1261</v>
      </c>
      <c r="AR1923" t="s">
        <v>1260</v>
      </c>
      <c r="AS1923" t="s">
        <v>2716</v>
      </c>
      <c r="AT1923" s="30">
        <v>46048.568749999999</v>
      </c>
    </row>
    <row r="1924" spans="1:46" x14ac:dyDescent="0.25">
      <c r="A1924" t="s">
        <v>1248</v>
      </c>
      <c r="B1924">
        <v>198699</v>
      </c>
      <c r="C1924">
        <v>119943</v>
      </c>
      <c r="D1924">
        <v>405</v>
      </c>
      <c r="E1924" t="s">
        <v>1266</v>
      </c>
      <c r="G1924">
        <v>745</v>
      </c>
      <c r="H1924">
        <v>1809</v>
      </c>
      <c r="K1924" t="s">
        <v>2733</v>
      </c>
      <c r="L1924" t="s">
        <v>2733</v>
      </c>
      <c r="M1924" t="s">
        <v>2732</v>
      </c>
      <c r="N1924">
        <v>0</v>
      </c>
      <c r="O1924" t="s">
        <v>2732</v>
      </c>
      <c r="P1924">
        <v>0</v>
      </c>
      <c r="Q1924">
        <v>0</v>
      </c>
      <c r="R1924">
        <v>0</v>
      </c>
      <c r="T1924" s="29">
        <v>1400000</v>
      </c>
      <c r="U1924" s="29">
        <v>84000</v>
      </c>
      <c r="V1924" t="s">
        <v>1262</v>
      </c>
      <c r="W1924" t="s">
        <v>1262</v>
      </c>
      <c r="X1924" s="29">
        <v>84000</v>
      </c>
      <c r="AA1924" s="30">
        <v>45777.333333333336</v>
      </c>
      <c r="AB1924" s="30">
        <v>45779.708333333336</v>
      </c>
      <c r="AC1924" s="30">
        <v>45777.333333333336</v>
      </c>
      <c r="AD1924" s="30">
        <v>45779.708333333336</v>
      </c>
      <c r="AE1924" s="30">
        <v>45777.333333333336</v>
      </c>
      <c r="AF1924" s="30">
        <v>45779.708333333336</v>
      </c>
      <c r="AG1924" t="s">
        <v>1266</v>
      </c>
      <c r="AK1924" t="s">
        <v>1265</v>
      </c>
      <c r="AL1924" t="s">
        <v>2765</v>
      </c>
      <c r="AM1924" t="s">
        <v>1263</v>
      </c>
      <c r="AN1924" t="s">
        <v>1262</v>
      </c>
      <c r="AO1924">
        <v>0</v>
      </c>
      <c r="AQ1924" t="s">
        <v>1261</v>
      </c>
      <c r="AR1924" t="s">
        <v>1260</v>
      </c>
      <c r="AS1924" t="s">
        <v>2716</v>
      </c>
      <c r="AT1924" s="30">
        <v>46048.568749999999</v>
      </c>
    </row>
    <row r="1925" spans="1:46" x14ac:dyDescent="0.25">
      <c r="A1925" t="s">
        <v>1248</v>
      </c>
      <c r="B1925">
        <v>198700</v>
      </c>
      <c r="C1925">
        <v>119944</v>
      </c>
      <c r="D1925">
        <v>405</v>
      </c>
      <c r="E1925" t="s">
        <v>1266</v>
      </c>
      <c r="G1925">
        <v>745</v>
      </c>
      <c r="H1925">
        <v>1809</v>
      </c>
      <c r="K1925" t="s">
        <v>2733</v>
      </c>
      <c r="L1925" t="s">
        <v>2733</v>
      </c>
      <c r="M1925" t="s">
        <v>2732</v>
      </c>
      <c r="N1925">
        <v>0</v>
      </c>
      <c r="O1925" t="s">
        <v>2732</v>
      </c>
      <c r="P1925">
        <v>0</v>
      </c>
      <c r="Q1925">
        <v>0</v>
      </c>
      <c r="R1925">
        <v>0</v>
      </c>
      <c r="T1925" s="29">
        <v>1400000</v>
      </c>
      <c r="U1925" s="29">
        <v>84000</v>
      </c>
      <c r="V1925" t="s">
        <v>1262</v>
      </c>
      <c r="W1925" t="s">
        <v>1262</v>
      </c>
      <c r="X1925" s="29">
        <v>84000</v>
      </c>
      <c r="AA1925" s="30">
        <v>45782.333333333336</v>
      </c>
      <c r="AB1925" s="30">
        <v>45784.708333333336</v>
      </c>
      <c r="AC1925" s="30">
        <v>45782.333333333336</v>
      </c>
      <c r="AD1925" s="30">
        <v>45784.708333333336</v>
      </c>
      <c r="AE1925" s="30">
        <v>45805.333333333336</v>
      </c>
      <c r="AF1925" s="30">
        <v>45807.708333333336</v>
      </c>
      <c r="AG1925" t="s">
        <v>1266</v>
      </c>
      <c r="AK1925" t="s">
        <v>1265</v>
      </c>
      <c r="AL1925" t="s">
        <v>2764</v>
      </c>
      <c r="AM1925" t="s">
        <v>1263</v>
      </c>
      <c r="AN1925" t="s">
        <v>1262</v>
      </c>
      <c r="AO1925">
        <v>0</v>
      </c>
      <c r="AQ1925" t="s">
        <v>1261</v>
      </c>
      <c r="AR1925" t="s">
        <v>1260</v>
      </c>
      <c r="AS1925" t="s">
        <v>2716</v>
      </c>
      <c r="AT1925" s="30">
        <v>46048.568749999999</v>
      </c>
    </row>
    <row r="1926" spans="1:46" x14ac:dyDescent="0.25">
      <c r="A1926" t="s">
        <v>1248</v>
      </c>
      <c r="B1926">
        <v>198701</v>
      </c>
      <c r="C1926">
        <v>119945</v>
      </c>
      <c r="D1926">
        <v>405</v>
      </c>
      <c r="E1926" t="s">
        <v>1266</v>
      </c>
      <c r="G1926">
        <v>745</v>
      </c>
      <c r="H1926">
        <v>1809</v>
      </c>
      <c r="K1926" t="s">
        <v>2733</v>
      </c>
      <c r="L1926" t="s">
        <v>2733</v>
      </c>
      <c r="M1926" t="s">
        <v>2732</v>
      </c>
      <c r="N1926">
        <v>0</v>
      </c>
      <c r="O1926" t="s">
        <v>2732</v>
      </c>
      <c r="P1926">
        <v>0</v>
      </c>
      <c r="Q1926">
        <v>0</v>
      </c>
      <c r="R1926">
        <v>0</v>
      </c>
      <c r="T1926" s="29">
        <v>1400000</v>
      </c>
      <c r="U1926" s="29">
        <v>84000</v>
      </c>
      <c r="V1926" t="s">
        <v>1262</v>
      </c>
      <c r="W1926" t="s">
        <v>1262</v>
      </c>
      <c r="X1926" s="29">
        <v>84000</v>
      </c>
      <c r="AA1926" s="30">
        <v>45785.333333333336</v>
      </c>
      <c r="AB1926" s="30">
        <v>45789.708333333336</v>
      </c>
      <c r="AC1926" s="30">
        <v>45785.333333333336</v>
      </c>
      <c r="AD1926" s="30">
        <v>45789.708333333336</v>
      </c>
      <c r="AE1926" s="30">
        <v>45810.333333333336</v>
      </c>
      <c r="AF1926" s="30">
        <v>45812.708333333336</v>
      </c>
      <c r="AG1926" t="s">
        <v>1266</v>
      </c>
      <c r="AK1926" t="s">
        <v>1265</v>
      </c>
      <c r="AL1926" t="s">
        <v>2763</v>
      </c>
      <c r="AM1926" t="s">
        <v>1263</v>
      </c>
      <c r="AN1926" t="s">
        <v>1262</v>
      </c>
      <c r="AO1926">
        <v>0</v>
      </c>
      <c r="AQ1926" t="s">
        <v>1261</v>
      </c>
      <c r="AR1926" t="s">
        <v>1260</v>
      </c>
      <c r="AS1926" t="s">
        <v>2716</v>
      </c>
      <c r="AT1926" s="30">
        <v>46048.568749999999</v>
      </c>
    </row>
    <row r="1927" spans="1:46" x14ac:dyDescent="0.25">
      <c r="A1927" t="s">
        <v>1248</v>
      </c>
      <c r="B1927">
        <v>198702</v>
      </c>
      <c r="C1927">
        <v>120014</v>
      </c>
      <c r="D1927">
        <v>405</v>
      </c>
      <c r="E1927" t="s">
        <v>1266</v>
      </c>
      <c r="G1927">
        <v>745</v>
      </c>
      <c r="H1927">
        <v>1809</v>
      </c>
      <c r="K1927" t="s">
        <v>2762</v>
      </c>
      <c r="L1927" t="s">
        <v>2762</v>
      </c>
      <c r="M1927" t="s">
        <v>2761</v>
      </c>
      <c r="N1927">
        <v>0</v>
      </c>
      <c r="O1927" t="s">
        <v>2761</v>
      </c>
      <c r="P1927">
        <v>0</v>
      </c>
      <c r="Q1927">
        <v>0</v>
      </c>
      <c r="R1927">
        <v>0</v>
      </c>
      <c r="T1927" s="29">
        <v>1400000</v>
      </c>
      <c r="U1927" s="29">
        <v>1036000</v>
      </c>
      <c r="V1927" t="s">
        <v>1262</v>
      </c>
      <c r="W1927" t="s">
        <v>1262</v>
      </c>
      <c r="X1927" s="29">
        <v>1036000</v>
      </c>
      <c r="AA1927" s="30">
        <v>45714.333333333336</v>
      </c>
      <c r="AB1927" s="30">
        <v>45839.708333333336</v>
      </c>
      <c r="AC1927" s="30">
        <v>45714.333333333336</v>
      </c>
      <c r="AD1927" s="30">
        <v>45839.708333333336</v>
      </c>
      <c r="AE1927" s="30">
        <v>46331.333333333336</v>
      </c>
      <c r="AF1927" s="30">
        <v>46462.708333333336</v>
      </c>
      <c r="AG1927" t="s">
        <v>1266</v>
      </c>
      <c r="AK1927" t="s">
        <v>1265</v>
      </c>
      <c r="AL1927" t="s">
        <v>2760</v>
      </c>
      <c r="AM1927" t="s">
        <v>1263</v>
      </c>
      <c r="AN1927" t="s">
        <v>1262</v>
      </c>
      <c r="AO1927">
        <v>0</v>
      </c>
      <c r="AQ1927" t="s">
        <v>1261</v>
      </c>
      <c r="AR1927" t="s">
        <v>1260</v>
      </c>
      <c r="AS1927" t="s">
        <v>2716</v>
      </c>
      <c r="AT1927" s="30">
        <v>46048.574305555558</v>
      </c>
    </row>
    <row r="1928" spans="1:46" x14ac:dyDescent="0.25">
      <c r="A1928" t="s">
        <v>1248</v>
      </c>
      <c r="B1928">
        <v>198703</v>
      </c>
      <c r="C1928">
        <v>120015</v>
      </c>
      <c r="D1928">
        <v>405</v>
      </c>
      <c r="E1928" t="s">
        <v>1266</v>
      </c>
      <c r="G1928">
        <v>745</v>
      </c>
      <c r="H1928">
        <v>1809</v>
      </c>
      <c r="K1928" t="s">
        <v>2759</v>
      </c>
      <c r="L1928" t="s">
        <v>2759</v>
      </c>
      <c r="M1928" t="s">
        <v>2758</v>
      </c>
      <c r="N1928">
        <v>0</v>
      </c>
      <c r="O1928" t="s">
        <v>2758</v>
      </c>
      <c r="P1928">
        <v>0</v>
      </c>
      <c r="Q1928">
        <v>0</v>
      </c>
      <c r="R1928">
        <v>0</v>
      </c>
      <c r="T1928" s="29">
        <v>1400000</v>
      </c>
      <c r="U1928" s="29">
        <v>686000</v>
      </c>
      <c r="V1928" t="s">
        <v>1262</v>
      </c>
      <c r="W1928" t="s">
        <v>1262</v>
      </c>
      <c r="X1928" s="29">
        <v>686000</v>
      </c>
      <c r="AA1928" s="30">
        <v>45742.333333333336</v>
      </c>
      <c r="AB1928" s="30">
        <v>45867.708333333336</v>
      </c>
      <c r="AC1928" s="30">
        <v>45742.333333333336</v>
      </c>
      <c r="AD1928" s="30">
        <v>45867.708333333336</v>
      </c>
      <c r="AE1928" s="30">
        <v>46359.333333333336</v>
      </c>
      <c r="AF1928" s="30">
        <v>46491.708333333336</v>
      </c>
      <c r="AG1928" t="s">
        <v>1266</v>
      </c>
      <c r="AK1928" t="s">
        <v>1265</v>
      </c>
      <c r="AL1928" t="s">
        <v>2757</v>
      </c>
      <c r="AM1928" t="s">
        <v>1263</v>
      </c>
      <c r="AN1928" t="s">
        <v>1262</v>
      </c>
      <c r="AO1928">
        <v>0</v>
      </c>
      <c r="AQ1928" t="s">
        <v>1261</v>
      </c>
      <c r="AR1928" t="s">
        <v>1260</v>
      </c>
      <c r="AS1928" t="s">
        <v>2716</v>
      </c>
      <c r="AT1928" s="30">
        <v>46048.574305555558</v>
      </c>
    </row>
    <row r="1929" spans="1:46" x14ac:dyDescent="0.25">
      <c r="A1929" t="s">
        <v>1248</v>
      </c>
      <c r="B1929">
        <v>198705</v>
      </c>
      <c r="C1929">
        <v>119872</v>
      </c>
      <c r="D1929">
        <v>405</v>
      </c>
      <c r="E1929" t="s">
        <v>1266</v>
      </c>
      <c r="G1929">
        <v>745</v>
      </c>
      <c r="H1929">
        <v>1809</v>
      </c>
      <c r="K1929" t="s">
        <v>2733</v>
      </c>
      <c r="L1929" t="s">
        <v>2733</v>
      </c>
      <c r="M1929" t="s">
        <v>2732</v>
      </c>
      <c r="N1929">
        <v>0</v>
      </c>
      <c r="O1929" t="s">
        <v>2732</v>
      </c>
      <c r="P1929">
        <v>0</v>
      </c>
      <c r="Q1929">
        <v>0</v>
      </c>
      <c r="R1929">
        <v>0</v>
      </c>
      <c r="T1929" s="29">
        <v>1400000</v>
      </c>
      <c r="U1929" s="29">
        <v>84000</v>
      </c>
      <c r="V1929" t="s">
        <v>1262</v>
      </c>
      <c r="W1929" t="s">
        <v>1262</v>
      </c>
      <c r="X1929" s="29">
        <v>84000</v>
      </c>
      <c r="AA1929" s="30">
        <v>45890.333333333336</v>
      </c>
      <c r="AB1929" s="30">
        <v>45894.708333333336</v>
      </c>
      <c r="AC1929" s="30">
        <v>45890.333333333336</v>
      </c>
      <c r="AD1929" s="30">
        <v>45894.708333333336</v>
      </c>
      <c r="AE1929" s="30">
        <v>46378.369444444441</v>
      </c>
      <c r="AF1929" s="30">
        <v>46384.369444444441</v>
      </c>
      <c r="AG1929" t="s">
        <v>1266</v>
      </c>
      <c r="AK1929" t="s">
        <v>1265</v>
      </c>
      <c r="AL1929" t="s">
        <v>2756</v>
      </c>
      <c r="AM1929" t="s">
        <v>1263</v>
      </c>
      <c r="AN1929" t="s">
        <v>1262</v>
      </c>
      <c r="AO1929">
        <v>0</v>
      </c>
      <c r="AQ1929" t="s">
        <v>1261</v>
      </c>
      <c r="AR1929" t="s">
        <v>1260</v>
      </c>
      <c r="AS1929" t="s">
        <v>2716</v>
      </c>
      <c r="AT1929" s="30">
        <v>46048.61041666667</v>
      </c>
    </row>
    <row r="1930" spans="1:46" x14ac:dyDescent="0.25">
      <c r="A1930" t="s">
        <v>1248</v>
      </c>
      <c r="B1930">
        <v>198706</v>
      </c>
      <c r="C1930">
        <v>119848</v>
      </c>
      <c r="D1930">
        <v>405</v>
      </c>
      <c r="E1930" t="s">
        <v>1266</v>
      </c>
      <c r="G1930">
        <v>745</v>
      </c>
      <c r="H1930">
        <v>1809</v>
      </c>
      <c r="K1930" t="s">
        <v>2733</v>
      </c>
      <c r="L1930" t="s">
        <v>2733</v>
      </c>
      <c r="M1930" t="s">
        <v>2732</v>
      </c>
      <c r="N1930">
        <v>0</v>
      </c>
      <c r="O1930" t="s">
        <v>2732</v>
      </c>
      <c r="P1930">
        <v>0</v>
      </c>
      <c r="Q1930">
        <v>0</v>
      </c>
      <c r="R1930">
        <v>0</v>
      </c>
      <c r="T1930" s="29">
        <v>1400000</v>
      </c>
      <c r="U1930" s="29">
        <v>84000</v>
      </c>
      <c r="V1930" t="s">
        <v>1262</v>
      </c>
      <c r="W1930" t="s">
        <v>1262</v>
      </c>
      <c r="X1930" s="29">
        <v>84000</v>
      </c>
      <c r="AA1930" s="30">
        <v>45790.333333333336</v>
      </c>
      <c r="AB1930" s="30">
        <v>45792.708333333336</v>
      </c>
      <c r="AC1930" s="30">
        <v>45790.333333333336</v>
      </c>
      <c r="AD1930" s="30">
        <v>45792.708333333336</v>
      </c>
      <c r="AE1930" s="30">
        <v>45813.333333333336</v>
      </c>
      <c r="AF1930" s="30">
        <v>45817.708333333336</v>
      </c>
      <c r="AG1930" t="s">
        <v>1266</v>
      </c>
      <c r="AK1930" t="s">
        <v>1265</v>
      </c>
      <c r="AL1930" t="s">
        <v>2755</v>
      </c>
      <c r="AM1930" t="s">
        <v>1263</v>
      </c>
      <c r="AN1930" t="s">
        <v>1262</v>
      </c>
      <c r="AO1930">
        <v>0</v>
      </c>
      <c r="AQ1930" t="s">
        <v>1261</v>
      </c>
      <c r="AR1930" t="s">
        <v>1260</v>
      </c>
      <c r="AS1930" t="s">
        <v>2716</v>
      </c>
      <c r="AT1930" s="30">
        <v>46048.611111111109</v>
      </c>
    </row>
    <row r="1931" spans="1:46" x14ac:dyDescent="0.25">
      <c r="A1931" t="s">
        <v>1248</v>
      </c>
      <c r="B1931">
        <v>198707</v>
      </c>
      <c r="C1931">
        <v>119849</v>
      </c>
      <c r="D1931">
        <v>405</v>
      </c>
      <c r="E1931" t="s">
        <v>1266</v>
      </c>
      <c r="G1931">
        <v>745</v>
      </c>
      <c r="H1931">
        <v>1809</v>
      </c>
      <c r="K1931" t="s">
        <v>2733</v>
      </c>
      <c r="L1931" t="s">
        <v>2733</v>
      </c>
      <c r="M1931" t="s">
        <v>2732</v>
      </c>
      <c r="N1931">
        <v>0</v>
      </c>
      <c r="O1931" t="s">
        <v>2732</v>
      </c>
      <c r="P1931">
        <v>0</v>
      </c>
      <c r="Q1931">
        <v>0</v>
      </c>
      <c r="R1931">
        <v>0</v>
      </c>
      <c r="T1931" s="29">
        <v>1400000</v>
      </c>
      <c r="U1931" s="29">
        <v>84000</v>
      </c>
      <c r="V1931" t="s">
        <v>1262</v>
      </c>
      <c r="W1931" t="s">
        <v>1262</v>
      </c>
      <c r="X1931" s="29">
        <v>84000</v>
      </c>
      <c r="AA1931" s="30">
        <v>45793.333333333336</v>
      </c>
      <c r="AB1931" s="30">
        <v>45797.708333333336</v>
      </c>
      <c r="AC1931" s="30">
        <v>45793.333333333336</v>
      </c>
      <c r="AD1931" s="30">
        <v>45797.708333333336</v>
      </c>
      <c r="AE1931" s="30">
        <v>45849.60833333333</v>
      </c>
      <c r="AF1931" s="30">
        <v>45854.60833333333</v>
      </c>
      <c r="AG1931" t="s">
        <v>1266</v>
      </c>
      <c r="AK1931" t="s">
        <v>1265</v>
      </c>
      <c r="AL1931" t="s">
        <v>2754</v>
      </c>
      <c r="AM1931" t="s">
        <v>1263</v>
      </c>
      <c r="AN1931" t="s">
        <v>1262</v>
      </c>
      <c r="AO1931">
        <v>0</v>
      </c>
      <c r="AQ1931" t="s">
        <v>1261</v>
      </c>
      <c r="AR1931" t="s">
        <v>1260</v>
      </c>
      <c r="AS1931" t="s">
        <v>2716</v>
      </c>
      <c r="AT1931" s="30">
        <v>46048.611111111109</v>
      </c>
    </row>
    <row r="1932" spans="1:46" x14ac:dyDescent="0.25">
      <c r="A1932" t="s">
        <v>1248</v>
      </c>
      <c r="B1932">
        <v>198708</v>
      </c>
      <c r="C1932">
        <v>119850</v>
      </c>
      <c r="D1932">
        <v>405</v>
      </c>
      <c r="E1932" t="s">
        <v>1266</v>
      </c>
      <c r="G1932">
        <v>745</v>
      </c>
      <c r="H1932">
        <v>1809</v>
      </c>
      <c r="K1932" t="s">
        <v>2733</v>
      </c>
      <c r="L1932" t="s">
        <v>2733</v>
      </c>
      <c r="M1932" t="s">
        <v>2732</v>
      </c>
      <c r="N1932">
        <v>0</v>
      </c>
      <c r="O1932" t="s">
        <v>2732</v>
      </c>
      <c r="P1932">
        <v>0</v>
      </c>
      <c r="Q1932">
        <v>0</v>
      </c>
      <c r="R1932">
        <v>0</v>
      </c>
      <c r="T1932" s="29">
        <v>1400000</v>
      </c>
      <c r="U1932" s="29">
        <v>84000</v>
      </c>
      <c r="V1932" t="s">
        <v>1262</v>
      </c>
      <c r="W1932" t="s">
        <v>1262</v>
      </c>
      <c r="X1932" s="29">
        <v>84000</v>
      </c>
      <c r="AA1932" s="30">
        <v>45798.333333333336</v>
      </c>
      <c r="AB1932" s="30">
        <v>45800.708333333336</v>
      </c>
      <c r="AC1932" s="30">
        <v>45798.333333333336</v>
      </c>
      <c r="AD1932" s="30">
        <v>45800.708333333336</v>
      </c>
      <c r="AE1932" s="30">
        <v>45854.60833333333</v>
      </c>
      <c r="AF1932" s="30">
        <v>45859.60833333333</v>
      </c>
      <c r="AG1932" t="s">
        <v>1266</v>
      </c>
      <c r="AK1932" t="s">
        <v>1265</v>
      </c>
      <c r="AL1932" t="s">
        <v>2753</v>
      </c>
      <c r="AM1932" t="s">
        <v>1263</v>
      </c>
      <c r="AN1932" t="s">
        <v>1262</v>
      </c>
      <c r="AO1932">
        <v>0</v>
      </c>
      <c r="AQ1932" t="s">
        <v>1261</v>
      </c>
      <c r="AR1932" t="s">
        <v>1260</v>
      </c>
      <c r="AS1932" t="s">
        <v>2716</v>
      </c>
      <c r="AT1932" s="30">
        <v>46048.611111111109</v>
      </c>
    </row>
    <row r="1933" spans="1:46" x14ac:dyDescent="0.25">
      <c r="A1933" t="s">
        <v>1248</v>
      </c>
      <c r="B1933">
        <v>198709</v>
      </c>
      <c r="C1933">
        <v>119851</v>
      </c>
      <c r="D1933">
        <v>405</v>
      </c>
      <c r="E1933" t="s">
        <v>1266</v>
      </c>
      <c r="G1933">
        <v>745</v>
      </c>
      <c r="H1933">
        <v>1809</v>
      </c>
      <c r="K1933" t="s">
        <v>2733</v>
      </c>
      <c r="L1933" t="s">
        <v>2733</v>
      </c>
      <c r="M1933" t="s">
        <v>2732</v>
      </c>
      <c r="N1933">
        <v>0</v>
      </c>
      <c r="O1933" t="s">
        <v>2732</v>
      </c>
      <c r="P1933">
        <v>0</v>
      </c>
      <c r="Q1933">
        <v>0</v>
      </c>
      <c r="R1933">
        <v>0</v>
      </c>
      <c r="T1933" s="29">
        <v>1400000</v>
      </c>
      <c r="U1933" s="29">
        <v>84000</v>
      </c>
      <c r="V1933" t="s">
        <v>1262</v>
      </c>
      <c r="W1933" t="s">
        <v>1262</v>
      </c>
      <c r="X1933" s="29">
        <v>84000</v>
      </c>
      <c r="AA1933" s="30">
        <v>45803.333333333336</v>
      </c>
      <c r="AB1933" s="30">
        <v>45805.708333333336</v>
      </c>
      <c r="AC1933" s="30">
        <v>45803.333333333336</v>
      </c>
      <c r="AD1933" s="30">
        <v>45805.708333333336</v>
      </c>
      <c r="AE1933" s="30">
        <v>46003.65</v>
      </c>
      <c r="AF1933" s="30">
        <v>46008.65</v>
      </c>
      <c r="AG1933" t="s">
        <v>1266</v>
      </c>
      <c r="AK1933" t="s">
        <v>1265</v>
      </c>
      <c r="AL1933" t="s">
        <v>2752</v>
      </c>
      <c r="AM1933" t="s">
        <v>1263</v>
      </c>
      <c r="AN1933" t="s">
        <v>1262</v>
      </c>
      <c r="AO1933">
        <v>0</v>
      </c>
      <c r="AQ1933" t="s">
        <v>1261</v>
      </c>
      <c r="AR1933" t="s">
        <v>1260</v>
      </c>
      <c r="AS1933" t="s">
        <v>2716</v>
      </c>
      <c r="AT1933" s="30">
        <v>46048.611111111109</v>
      </c>
    </row>
    <row r="1934" spans="1:46" x14ac:dyDescent="0.25">
      <c r="A1934" t="s">
        <v>1248</v>
      </c>
      <c r="B1934">
        <v>198710</v>
      </c>
      <c r="C1934">
        <v>119852</v>
      </c>
      <c r="D1934">
        <v>405</v>
      </c>
      <c r="E1934" t="s">
        <v>1266</v>
      </c>
      <c r="G1934">
        <v>745</v>
      </c>
      <c r="H1934">
        <v>1809</v>
      </c>
      <c r="K1934" t="s">
        <v>2733</v>
      </c>
      <c r="L1934" t="s">
        <v>2733</v>
      </c>
      <c r="M1934" t="s">
        <v>2732</v>
      </c>
      <c r="N1934">
        <v>0</v>
      </c>
      <c r="O1934" t="s">
        <v>2732</v>
      </c>
      <c r="P1934">
        <v>0</v>
      </c>
      <c r="Q1934">
        <v>0</v>
      </c>
      <c r="R1934">
        <v>0</v>
      </c>
      <c r="T1934" s="29">
        <v>1400000</v>
      </c>
      <c r="U1934" s="29">
        <v>84000</v>
      </c>
      <c r="V1934" t="s">
        <v>1262</v>
      </c>
      <c r="W1934" t="s">
        <v>1262</v>
      </c>
      <c r="X1934" s="29">
        <v>84000</v>
      </c>
      <c r="AA1934" s="30">
        <v>45806.333333333336</v>
      </c>
      <c r="AB1934" s="30">
        <v>45810.708333333336</v>
      </c>
      <c r="AC1934" s="30">
        <v>45806.333333333336</v>
      </c>
      <c r="AD1934" s="30">
        <v>45810.708333333336</v>
      </c>
      <c r="AE1934" s="30">
        <v>46008.65</v>
      </c>
      <c r="AF1934" s="30">
        <v>46013.65</v>
      </c>
      <c r="AG1934" t="s">
        <v>1266</v>
      </c>
      <c r="AK1934" t="s">
        <v>1265</v>
      </c>
      <c r="AL1934" t="s">
        <v>2751</v>
      </c>
      <c r="AM1934" t="s">
        <v>1263</v>
      </c>
      <c r="AN1934" t="s">
        <v>1262</v>
      </c>
      <c r="AO1934">
        <v>0</v>
      </c>
      <c r="AQ1934" t="s">
        <v>1261</v>
      </c>
      <c r="AR1934" t="s">
        <v>1260</v>
      </c>
      <c r="AS1934" t="s">
        <v>2716</v>
      </c>
      <c r="AT1934" s="30">
        <v>46048.611111111109</v>
      </c>
    </row>
    <row r="1935" spans="1:46" x14ac:dyDescent="0.25">
      <c r="A1935" t="s">
        <v>1248</v>
      </c>
      <c r="B1935">
        <v>198711</v>
      </c>
      <c r="C1935">
        <v>119853</v>
      </c>
      <c r="D1935">
        <v>405</v>
      </c>
      <c r="E1935" t="s">
        <v>1266</v>
      </c>
      <c r="G1935">
        <v>745</v>
      </c>
      <c r="H1935">
        <v>1809</v>
      </c>
      <c r="K1935" t="s">
        <v>2733</v>
      </c>
      <c r="L1935" t="s">
        <v>2733</v>
      </c>
      <c r="M1935" t="s">
        <v>2732</v>
      </c>
      <c r="N1935">
        <v>0</v>
      </c>
      <c r="O1935" t="s">
        <v>2732</v>
      </c>
      <c r="P1935">
        <v>0</v>
      </c>
      <c r="Q1935">
        <v>0</v>
      </c>
      <c r="R1935">
        <v>0</v>
      </c>
      <c r="T1935" s="29">
        <v>1400000</v>
      </c>
      <c r="U1935" s="29">
        <v>84000</v>
      </c>
      <c r="V1935" t="s">
        <v>1262</v>
      </c>
      <c r="W1935" t="s">
        <v>1262</v>
      </c>
      <c r="X1935" s="29">
        <v>84000</v>
      </c>
      <c r="AA1935" s="30">
        <v>45811.333333333336</v>
      </c>
      <c r="AB1935" s="30">
        <v>45813.708333333336</v>
      </c>
      <c r="AC1935" s="30">
        <v>45811.333333333336</v>
      </c>
      <c r="AD1935" s="30">
        <v>45813.708333333336</v>
      </c>
      <c r="AE1935" s="30">
        <v>46013.65</v>
      </c>
      <c r="AF1935" s="30">
        <v>46016.65</v>
      </c>
      <c r="AG1935" t="s">
        <v>1266</v>
      </c>
      <c r="AK1935" t="s">
        <v>1265</v>
      </c>
      <c r="AL1935" t="s">
        <v>2750</v>
      </c>
      <c r="AM1935" t="s">
        <v>1263</v>
      </c>
      <c r="AN1935" t="s">
        <v>1262</v>
      </c>
      <c r="AO1935">
        <v>0</v>
      </c>
      <c r="AQ1935" t="s">
        <v>1261</v>
      </c>
      <c r="AR1935" t="s">
        <v>1260</v>
      </c>
      <c r="AS1935" t="s">
        <v>2716</v>
      </c>
      <c r="AT1935" s="30">
        <v>46048.611111111109</v>
      </c>
    </row>
    <row r="1936" spans="1:46" x14ac:dyDescent="0.25">
      <c r="A1936" t="s">
        <v>1248</v>
      </c>
      <c r="B1936">
        <v>198712</v>
      </c>
      <c r="C1936">
        <v>119854</v>
      </c>
      <c r="D1936">
        <v>405</v>
      </c>
      <c r="E1936" t="s">
        <v>1266</v>
      </c>
      <c r="G1936">
        <v>745</v>
      </c>
      <c r="H1936">
        <v>1809</v>
      </c>
      <c r="K1936" t="s">
        <v>2733</v>
      </c>
      <c r="L1936" t="s">
        <v>2733</v>
      </c>
      <c r="M1936" t="s">
        <v>2732</v>
      </c>
      <c r="N1936">
        <v>0</v>
      </c>
      <c r="O1936" t="s">
        <v>2732</v>
      </c>
      <c r="P1936">
        <v>0</v>
      </c>
      <c r="Q1936">
        <v>0</v>
      </c>
      <c r="R1936">
        <v>0</v>
      </c>
      <c r="T1936" s="29">
        <v>1400000</v>
      </c>
      <c r="U1936" s="29">
        <v>84000</v>
      </c>
      <c r="V1936" t="s">
        <v>1262</v>
      </c>
      <c r="W1936" t="s">
        <v>1262</v>
      </c>
      <c r="X1936" s="29">
        <v>84000</v>
      </c>
      <c r="AA1936" s="30">
        <v>45814.333333333336</v>
      </c>
      <c r="AB1936" s="30">
        <v>45818.708333333336</v>
      </c>
      <c r="AC1936" s="30">
        <v>45814.333333333336</v>
      </c>
      <c r="AD1936" s="30">
        <v>45818.708333333336</v>
      </c>
      <c r="AE1936" s="30">
        <v>46064.691666666666</v>
      </c>
      <c r="AF1936" s="30">
        <v>46069.691666666666</v>
      </c>
      <c r="AG1936" t="s">
        <v>1266</v>
      </c>
      <c r="AK1936" t="s">
        <v>1265</v>
      </c>
      <c r="AL1936" t="s">
        <v>2749</v>
      </c>
      <c r="AM1936" t="s">
        <v>1263</v>
      </c>
      <c r="AN1936" t="s">
        <v>1262</v>
      </c>
      <c r="AO1936">
        <v>0</v>
      </c>
      <c r="AQ1936" t="s">
        <v>1261</v>
      </c>
      <c r="AR1936" t="s">
        <v>1260</v>
      </c>
      <c r="AS1936" t="s">
        <v>2716</v>
      </c>
      <c r="AT1936" s="30">
        <v>46048.611111111109</v>
      </c>
    </row>
    <row r="1937" spans="1:46" x14ac:dyDescent="0.25">
      <c r="A1937" t="s">
        <v>1248</v>
      </c>
      <c r="B1937">
        <v>198713</v>
      </c>
      <c r="C1937">
        <v>119855</v>
      </c>
      <c r="D1937">
        <v>405</v>
      </c>
      <c r="E1937" t="s">
        <v>1266</v>
      </c>
      <c r="G1937">
        <v>745</v>
      </c>
      <c r="H1937">
        <v>1809</v>
      </c>
      <c r="K1937" t="s">
        <v>2733</v>
      </c>
      <c r="L1937" t="s">
        <v>2733</v>
      </c>
      <c r="M1937" t="s">
        <v>2732</v>
      </c>
      <c r="N1937">
        <v>0</v>
      </c>
      <c r="O1937" t="s">
        <v>2732</v>
      </c>
      <c r="P1937">
        <v>0</v>
      </c>
      <c r="Q1937">
        <v>0</v>
      </c>
      <c r="R1937">
        <v>0</v>
      </c>
      <c r="T1937" s="29">
        <v>1400000</v>
      </c>
      <c r="U1937" s="29">
        <v>84000</v>
      </c>
      <c r="V1937" t="s">
        <v>1262</v>
      </c>
      <c r="W1937" t="s">
        <v>1262</v>
      </c>
      <c r="X1937" s="29">
        <v>84000</v>
      </c>
      <c r="AA1937" s="30">
        <v>45819.333333333336</v>
      </c>
      <c r="AB1937" s="30">
        <v>45821.708333333336</v>
      </c>
      <c r="AC1937" s="30">
        <v>45819.333333333336</v>
      </c>
      <c r="AD1937" s="30">
        <v>45821.708333333336</v>
      </c>
      <c r="AE1937" s="30">
        <v>46080.691666666666</v>
      </c>
      <c r="AF1937" s="30">
        <v>46085.691666666666</v>
      </c>
      <c r="AG1937" t="s">
        <v>1266</v>
      </c>
      <c r="AK1937" t="s">
        <v>1265</v>
      </c>
      <c r="AL1937" t="s">
        <v>2748</v>
      </c>
      <c r="AM1937" t="s">
        <v>1263</v>
      </c>
      <c r="AN1937" t="s">
        <v>1262</v>
      </c>
      <c r="AO1937">
        <v>0</v>
      </c>
      <c r="AQ1937" t="s">
        <v>1261</v>
      </c>
      <c r="AR1937" t="s">
        <v>1260</v>
      </c>
      <c r="AS1937" t="s">
        <v>2716</v>
      </c>
      <c r="AT1937" s="30">
        <v>46048.611111111109</v>
      </c>
    </row>
    <row r="1938" spans="1:46" x14ac:dyDescent="0.25">
      <c r="A1938" t="s">
        <v>1248</v>
      </c>
      <c r="B1938">
        <v>198714</v>
      </c>
      <c r="C1938">
        <v>119856</v>
      </c>
      <c r="D1938">
        <v>405</v>
      </c>
      <c r="E1938" t="s">
        <v>1266</v>
      </c>
      <c r="G1938">
        <v>745</v>
      </c>
      <c r="H1938">
        <v>1809</v>
      </c>
      <c r="K1938" t="s">
        <v>2733</v>
      </c>
      <c r="L1938" t="s">
        <v>2733</v>
      </c>
      <c r="M1938" t="s">
        <v>2732</v>
      </c>
      <c r="N1938">
        <v>0</v>
      </c>
      <c r="O1938" t="s">
        <v>2732</v>
      </c>
      <c r="P1938">
        <v>0</v>
      </c>
      <c r="Q1938">
        <v>0</v>
      </c>
      <c r="R1938">
        <v>0</v>
      </c>
      <c r="T1938" s="29">
        <v>1400000</v>
      </c>
      <c r="U1938" s="29">
        <v>84000</v>
      </c>
      <c r="V1938" t="s">
        <v>1262</v>
      </c>
      <c r="W1938" t="s">
        <v>1262</v>
      </c>
      <c r="X1938" s="29">
        <v>84000</v>
      </c>
      <c r="AA1938" s="30">
        <v>45824.333333333336</v>
      </c>
      <c r="AB1938" s="30">
        <v>45826.708333333336</v>
      </c>
      <c r="AC1938" s="30">
        <v>45824.333333333336</v>
      </c>
      <c r="AD1938" s="30">
        <v>45826.708333333336</v>
      </c>
      <c r="AE1938" s="30">
        <v>46098.691666666666</v>
      </c>
      <c r="AF1938" s="30">
        <v>46101.691666666666</v>
      </c>
      <c r="AG1938" t="s">
        <v>1266</v>
      </c>
      <c r="AK1938" t="s">
        <v>1265</v>
      </c>
      <c r="AL1938" t="s">
        <v>2747</v>
      </c>
      <c r="AM1938" t="s">
        <v>1263</v>
      </c>
      <c r="AN1938" t="s">
        <v>1262</v>
      </c>
      <c r="AO1938">
        <v>0</v>
      </c>
      <c r="AQ1938" t="s">
        <v>1261</v>
      </c>
      <c r="AR1938" t="s">
        <v>1260</v>
      </c>
      <c r="AS1938" t="s">
        <v>2716</v>
      </c>
      <c r="AT1938" s="30">
        <v>46048.611111111109</v>
      </c>
    </row>
    <row r="1939" spans="1:46" x14ac:dyDescent="0.25">
      <c r="A1939" t="s">
        <v>1248</v>
      </c>
      <c r="B1939">
        <v>198715</v>
      </c>
      <c r="C1939">
        <v>119857</v>
      </c>
      <c r="D1939">
        <v>405</v>
      </c>
      <c r="E1939" t="s">
        <v>1266</v>
      </c>
      <c r="G1939">
        <v>745</v>
      </c>
      <c r="H1939">
        <v>1809</v>
      </c>
      <c r="K1939" t="s">
        <v>2733</v>
      </c>
      <c r="L1939" t="s">
        <v>2733</v>
      </c>
      <c r="M1939" t="s">
        <v>2732</v>
      </c>
      <c r="N1939">
        <v>0</v>
      </c>
      <c r="O1939" t="s">
        <v>2732</v>
      </c>
      <c r="P1939">
        <v>0</v>
      </c>
      <c r="Q1939">
        <v>0</v>
      </c>
      <c r="R1939">
        <v>0</v>
      </c>
      <c r="T1939" s="29">
        <v>1400000</v>
      </c>
      <c r="U1939" s="29">
        <v>84000</v>
      </c>
      <c r="V1939" t="s">
        <v>1262</v>
      </c>
      <c r="W1939" t="s">
        <v>1262</v>
      </c>
      <c r="X1939" s="29">
        <v>84000</v>
      </c>
      <c r="AA1939" s="30">
        <v>45827.333333333336</v>
      </c>
      <c r="AB1939" s="30">
        <v>45831.708333333336</v>
      </c>
      <c r="AC1939" s="30">
        <v>45827.333333333336</v>
      </c>
      <c r="AD1939" s="30">
        <v>45831.708333333336</v>
      </c>
      <c r="AE1939" s="30">
        <v>46106.691666666666</v>
      </c>
      <c r="AF1939" s="30">
        <v>46111.691666666666</v>
      </c>
      <c r="AG1939" t="s">
        <v>1266</v>
      </c>
      <c r="AK1939" t="s">
        <v>1265</v>
      </c>
      <c r="AL1939" t="s">
        <v>2746</v>
      </c>
      <c r="AM1939" t="s">
        <v>1263</v>
      </c>
      <c r="AN1939" t="s">
        <v>1262</v>
      </c>
      <c r="AO1939">
        <v>0</v>
      </c>
      <c r="AQ1939" t="s">
        <v>1261</v>
      </c>
      <c r="AR1939" t="s">
        <v>1260</v>
      </c>
      <c r="AS1939" t="s">
        <v>2716</v>
      </c>
      <c r="AT1939" s="30">
        <v>46048.611111111109</v>
      </c>
    </row>
    <row r="1940" spans="1:46" x14ac:dyDescent="0.25">
      <c r="A1940" t="s">
        <v>1248</v>
      </c>
      <c r="B1940">
        <v>198716</v>
      </c>
      <c r="C1940">
        <v>119858</v>
      </c>
      <c r="D1940">
        <v>405</v>
      </c>
      <c r="E1940" t="s">
        <v>1266</v>
      </c>
      <c r="G1940">
        <v>745</v>
      </c>
      <c r="H1940">
        <v>1809</v>
      </c>
      <c r="K1940" t="s">
        <v>2733</v>
      </c>
      <c r="L1940" t="s">
        <v>2733</v>
      </c>
      <c r="M1940" t="s">
        <v>2732</v>
      </c>
      <c r="N1940">
        <v>0</v>
      </c>
      <c r="O1940" t="s">
        <v>2732</v>
      </c>
      <c r="P1940">
        <v>0</v>
      </c>
      <c r="Q1940">
        <v>0</v>
      </c>
      <c r="R1940">
        <v>0</v>
      </c>
      <c r="T1940" s="29">
        <v>1400000</v>
      </c>
      <c r="U1940" s="29">
        <v>84000</v>
      </c>
      <c r="V1940" t="s">
        <v>1262</v>
      </c>
      <c r="W1940" t="s">
        <v>1262</v>
      </c>
      <c r="X1940" s="29">
        <v>84000</v>
      </c>
      <c r="AA1940" s="30">
        <v>45832.333333333336</v>
      </c>
      <c r="AB1940" s="30">
        <v>45834.708333333336</v>
      </c>
      <c r="AC1940" s="30">
        <v>45832.333333333336</v>
      </c>
      <c r="AD1940" s="30">
        <v>45834.708333333336</v>
      </c>
      <c r="AE1940" s="30">
        <v>46111.691666666666</v>
      </c>
      <c r="AF1940" s="30">
        <v>46114.691666666666</v>
      </c>
      <c r="AG1940" t="s">
        <v>1266</v>
      </c>
      <c r="AK1940" t="s">
        <v>1265</v>
      </c>
      <c r="AL1940" t="s">
        <v>2745</v>
      </c>
      <c r="AM1940" t="s">
        <v>1263</v>
      </c>
      <c r="AN1940" t="s">
        <v>1262</v>
      </c>
      <c r="AO1940">
        <v>0</v>
      </c>
      <c r="AQ1940" t="s">
        <v>1261</v>
      </c>
      <c r="AR1940" t="s">
        <v>1260</v>
      </c>
      <c r="AS1940" t="s">
        <v>2716</v>
      </c>
      <c r="AT1940" s="30">
        <v>46048.611111111109</v>
      </c>
    </row>
    <row r="1941" spans="1:46" x14ac:dyDescent="0.25">
      <c r="A1941" t="s">
        <v>1248</v>
      </c>
      <c r="B1941">
        <v>198717</v>
      </c>
      <c r="C1941">
        <v>119859</v>
      </c>
      <c r="D1941">
        <v>405</v>
      </c>
      <c r="E1941" t="s">
        <v>1266</v>
      </c>
      <c r="G1941">
        <v>745</v>
      </c>
      <c r="H1941">
        <v>1809</v>
      </c>
      <c r="K1941" t="s">
        <v>2733</v>
      </c>
      <c r="L1941" t="s">
        <v>2733</v>
      </c>
      <c r="M1941" t="s">
        <v>2732</v>
      </c>
      <c r="N1941">
        <v>0</v>
      </c>
      <c r="O1941" t="s">
        <v>2732</v>
      </c>
      <c r="P1941">
        <v>0</v>
      </c>
      <c r="Q1941">
        <v>0</v>
      </c>
      <c r="R1941">
        <v>0</v>
      </c>
      <c r="T1941" s="29">
        <v>1400000</v>
      </c>
      <c r="U1941" s="29">
        <v>84000</v>
      </c>
      <c r="V1941" t="s">
        <v>1262</v>
      </c>
      <c r="W1941" t="s">
        <v>1262</v>
      </c>
      <c r="X1941" s="29">
        <v>84000</v>
      </c>
      <c r="AA1941" s="30">
        <v>45835.333333333336</v>
      </c>
      <c r="AB1941" s="30">
        <v>45839.708333333336</v>
      </c>
      <c r="AC1941" s="30">
        <v>45835.333333333336</v>
      </c>
      <c r="AD1941" s="30">
        <v>45839.708333333336</v>
      </c>
      <c r="AE1941" s="30">
        <v>46114.691666666666</v>
      </c>
      <c r="AF1941" s="30">
        <v>46120.691666666666</v>
      </c>
      <c r="AG1941" t="s">
        <v>1266</v>
      </c>
      <c r="AK1941" t="s">
        <v>1265</v>
      </c>
      <c r="AL1941" t="s">
        <v>2744</v>
      </c>
      <c r="AM1941" t="s">
        <v>1263</v>
      </c>
      <c r="AN1941" t="s">
        <v>1262</v>
      </c>
      <c r="AO1941">
        <v>0</v>
      </c>
      <c r="AQ1941" t="s">
        <v>1261</v>
      </c>
      <c r="AR1941" t="s">
        <v>1260</v>
      </c>
      <c r="AS1941" t="s">
        <v>2716</v>
      </c>
      <c r="AT1941" s="30">
        <v>46048.611111111109</v>
      </c>
    </row>
    <row r="1942" spans="1:46" x14ac:dyDescent="0.25">
      <c r="A1942" t="s">
        <v>1248</v>
      </c>
      <c r="B1942">
        <v>198718</v>
      </c>
      <c r="C1942">
        <v>119860</v>
      </c>
      <c r="D1942">
        <v>405</v>
      </c>
      <c r="E1942" t="s">
        <v>1266</v>
      </c>
      <c r="G1942">
        <v>745</v>
      </c>
      <c r="H1942">
        <v>1809</v>
      </c>
      <c r="K1942" t="s">
        <v>2733</v>
      </c>
      <c r="L1942" t="s">
        <v>2733</v>
      </c>
      <c r="M1942" t="s">
        <v>2732</v>
      </c>
      <c r="N1942">
        <v>0</v>
      </c>
      <c r="O1942" t="s">
        <v>2732</v>
      </c>
      <c r="P1942">
        <v>0</v>
      </c>
      <c r="Q1942">
        <v>0</v>
      </c>
      <c r="R1942">
        <v>0</v>
      </c>
      <c r="T1942" s="29">
        <v>1400000</v>
      </c>
      <c r="U1942" s="29">
        <v>84000</v>
      </c>
      <c r="V1942" t="s">
        <v>1262</v>
      </c>
      <c r="W1942" t="s">
        <v>1262</v>
      </c>
      <c r="X1942" s="29">
        <v>84000</v>
      </c>
      <c r="AA1942" s="30">
        <v>45840.333333333336</v>
      </c>
      <c r="AB1942" s="30">
        <v>45842.708333333336</v>
      </c>
      <c r="AC1942" s="30">
        <v>45840.333333333336</v>
      </c>
      <c r="AD1942" s="30">
        <v>45842.708333333336</v>
      </c>
      <c r="AE1942" s="30">
        <v>46168.691666666666</v>
      </c>
      <c r="AF1942" s="30">
        <v>46171.691666666666</v>
      </c>
      <c r="AG1942" t="s">
        <v>1266</v>
      </c>
      <c r="AK1942" t="s">
        <v>1265</v>
      </c>
      <c r="AL1942" t="s">
        <v>2743</v>
      </c>
      <c r="AM1942" t="s">
        <v>1263</v>
      </c>
      <c r="AN1942" t="s">
        <v>1262</v>
      </c>
      <c r="AO1942">
        <v>0</v>
      </c>
      <c r="AQ1942" t="s">
        <v>1261</v>
      </c>
      <c r="AR1942" t="s">
        <v>1260</v>
      </c>
      <c r="AS1942" t="s">
        <v>2716</v>
      </c>
      <c r="AT1942" s="30">
        <v>46048.611111111109</v>
      </c>
    </row>
    <row r="1943" spans="1:46" x14ac:dyDescent="0.25">
      <c r="A1943" t="s">
        <v>1248</v>
      </c>
      <c r="B1943">
        <v>198719</v>
      </c>
      <c r="C1943">
        <v>119861</v>
      </c>
      <c r="D1943">
        <v>405</v>
      </c>
      <c r="E1943" t="s">
        <v>1266</v>
      </c>
      <c r="G1943">
        <v>745</v>
      </c>
      <c r="H1943">
        <v>1809</v>
      </c>
      <c r="K1943" t="s">
        <v>2733</v>
      </c>
      <c r="L1943" t="s">
        <v>2733</v>
      </c>
      <c r="M1943" t="s">
        <v>2732</v>
      </c>
      <c r="N1943">
        <v>0</v>
      </c>
      <c r="O1943" t="s">
        <v>2732</v>
      </c>
      <c r="P1943">
        <v>0</v>
      </c>
      <c r="Q1943">
        <v>0</v>
      </c>
      <c r="R1943">
        <v>0</v>
      </c>
      <c r="T1943" s="29">
        <v>1400000</v>
      </c>
      <c r="U1943" s="29">
        <v>84000</v>
      </c>
      <c r="V1943" t="s">
        <v>1262</v>
      </c>
      <c r="W1943" t="s">
        <v>1262</v>
      </c>
      <c r="X1943" s="29">
        <v>84000</v>
      </c>
      <c r="AA1943" s="30">
        <v>45845.333333333336</v>
      </c>
      <c r="AB1943" s="30">
        <v>45847.708333333336</v>
      </c>
      <c r="AC1943" s="30">
        <v>45845.333333333336</v>
      </c>
      <c r="AD1943" s="30">
        <v>45847.708333333336</v>
      </c>
      <c r="AE1943" s="30">
        <v>46185.691666666666</v>
      </c>
      <c r="AF1943" s="30">
        <v>46190.691666666666</v>
      </c>
      <c r="AG1943" t="s">
        <v>1266</v>
      </c>
      <c r="AK1943" t="s">
        <v>1265</v>
      </c>
      <c r="AL1943" t="s">
        <v>2742</v>
      </c>
      <c r="AM1943" t="s">
        <v>1263</v>
      </c>
      <c r="AN1943" t="s">
        <v>1262</v>
      </c>
      <c r="AO1943">
        <v>0</v>
      </c>
      <c r="AQ1943" t="s">
        <v>1261</v>
      </c>
      <c r="AR1943" t="s">
        <v>1260</v>
      </c>
      <c r="AS1943" t="s">
        <v>2716</v>
      </c>
      <c r="AT1943" s="30">
        <v>46048.611111111109</v>
      </c>
    </row>
    <row r="1944" spans="1:46" x14ac:dyDescent="0.25">
      <c r="A1944" t="s">
        <v>1248</v>
      </c>
      <c r="B1944">
        <v>198720</v>
      </c>
      <c r="C1944">
        <v>119862</v>
      </c>
      <c r="D1944">
        <v>405</v>
      </c>
      <c r="E1944" t="s">
        <v>1266</v>
      </c>
      <c r="G1944">
        <v>745</v>
      </c>
      <c r="H1944">
        <v>1809</v>
      </c>
      <c r="K1944" t="s">
        <v>2733</v>
      </c>
      <c r="L1944" t="s">
        <v>2733</v>
      </c>
      <c r="M1944" t="s">
        <v>2732</v>
      </c>
      <c r="N1944">
        <v>0</v>
      </c>
      <c r="O1944" t="s">
        <v>2732</v>
      </c>
      <c r="P1944">
        <v>0</v>
      </c>
      <c r="Q1944">
        <v>0</v>
      </c>
      <c r="R1944">
        <v>0</v>
      </c>
      <c r="T1944" s="29">
        <v>1400000</v>
      </c>
      <c r="U1944" s="29">
        <v>84000</v>
      </c>
      <c r="V1944" t="s">
        <v>1262</v>
      </c>
      <c r="W1944" t="s">
        <v>1262</v>
      </c>
      <c r="X1944" s="29">
        <v>84000</v>
      </c>
      <c r="AA1944" s="30">
        <v>45848.333333333336</v>
      </c>
      <c r="AB1944" s="30">
        <v>45852.708333333336</v>
      </c>
      <c r="AC1944" s="30">
        <v>45848.333333333336</v>
      </c>
      <c r="AD1944" s="30">
        <v>45852.708333333336</v>
      </c>
      <c r="AE1944" s="30">
        <v>46203.691666666666</v>
      </c>
      <c r="AF1944" s="30">
        <v>46206.691666666666</v>
      </c>
      <c r="AG1944" t="s">
        <v>1266</v>
      </c>
      <c r="AK1944" t="s">
        <v>1265</v>
      </c>
      <c r="AL1944" t="s">
        <v>2741</v>
      </c>
      <c r="AM1944" t="s">
        <v>1263</v>
      </c>
      <c r="AN1944" t="s">
        <v>1262</v>
      </c>
      <c r="AO1944">
        <v>0</v>
      </c>
      <c r="AQ1944" t="s">
        <v>1261</v>
      </c>
      <c r="AR1944" t="s">
        <v>1260</v>
      </c>
      <c r="AS1944" t="s">
        <v>2716</v>
      </c>
      <c r="AT1944" s="30">
        <v>46048.611111111109</v>
      </c>
    </row>
    <row r="1945" spans="1:46" x14ac:dyDescent="0.25">
      <c r="A1945" t="s">
        <v>1248</v>
      </c>
      <c r="B1945">
        <v>198721</v>
      </c>
      <c r="C1945">
        <v>119863</v>
      </c>
      <c r="D1945">
        <v>405</v>
      </c>
      <c r="E1945" t="s">
        <v>1266</v>
      </c>
      <c r="G1945">
        <v>745</v>
      </c>
      <c r="H1945">
        <v>1809</v>
      </c>
      <c r="K1945" t="s">
        <v>2733</v>
      </c>
      <c r="L1945" t="s">
        <v>2733</v>
      </c>
      <c r="M1945" t="s">
        <v>2732</v>
      </c>
      <c r="N1945">
        <v>0</v>
      </c>
      <c r="O1945" t="s">
        <v>2732</v>
      </c>
      <c r="P1945">
        <v>0</v>
      </c>
      <c r="Q1945">
        <v>0</v>
      </c>
      <c r="R1945">
        <v>0</v>
      </c>
      <c r="T1945" s="29">
        <v>1400000</v>
      </c>
      <c r="U1945" s="29">
        <v>84000</v>
      </c>
      <c r="V1945" t="s">
        <v>1262</v>
      </c>
      <c r="W1945" t="s">
        <v>1262</v>
      </c>
      <c r="X1945" s="29">
        <v>84000</v>
      </c>
      <c r="AA1945" s="30">
        <v>45853.333333333336</v>
      </c>
      <c r="AB1945" s="30">
        <v>45855.708333333336</v>
      </c>
      <c r="AC1945" s="30">
        <v>45853.333333333336</v>
      </c>
      <c r="AD1945" s="30">
        <v>45855.708333333336</v>
      </c>
      <c r="AE1945" s="30">
        <v>46211.691666666666</v>
      </c>
      <c r="AF1945" s="30">
        <v>46216.691666666666</v>
      </c>
      <c r="AG1945" t="s">
        <v>1266</v>
      </c>
      <c r="AK1945" t="s">
        <v>1265</v>
      </c>
      <c r="AL1945" t="s">
        <v>2740</v>
      </c>
      <c r="AM1945" t="s">
        <v>1263</v>
      </c>
      <c r="AN1945" t="s">
        <v>1262</v>
      </c>
      <c r="AO1945">
        <v>0</v>
      </c>
      <c r="AQ1945" t="s">
        <v>1261</v>
      </c>
      <c r="AR1945" t="s">
        <v>1260</v>
      </c>
      <c r="AS1945" t="s">
        <v>2716</v>
      </c>
      <c r="AT1945" s="30">
        <v>46048.611111111109</v>
      </c>
    </row>
    <row r="1946" spans="1:46" x14ac:dyDescent="0.25">
      <c r="A1946" t="s">
        <v>1248</v>
      </c>
      <c r="B1946">
        <v>198722</v>
      </c>
      <c r="C1946">
        <v>119864</v>
      </c>
      <c r="D1946">
        <v>405</v>
      </c>
      <c r="E1946" t="s">
        <v>1266</v>
      </c>
      <c r="G1946">
        <v>745</v>
      </c>
      <c r="H1946">
        <v>1809</v>
      </c>
      <c r="K1946" t="s">
        <v>2733</v>
      </c>
      <c r="L1946" t="s">
        <v>2733</v>
      </c>
      <c r="M1946" t="s">
        <v>2732</v>
      </c>
      <c r="N1946">
        <v>0</v>
      </c>
      <c r="O1946" t="s">
        <v>2732</v>
      </c>
      <c r="P1946">
        <v>0</v>
      </c>
      <c r="Q1946">
        <v>0</v>
      </c>
      <c r="R1946">
        <v>0</v>
      </c>
      <c r="T1946" s="29">
        <v>1400000</v>
      </c>
      <c r="U1946" s="29">
        <v>84000</v>
      </c>
      <c r="V1946" t="s">
        <v>1262</v>
      </c>
      <c r="W1946" t="s">
        <v>1262</v>
      </c>
      <c r="X1946" s="29">
        <v>84000</v>
      </c>
      <c r="AA1946" s="30">
        <v>45856.333333333336</v>
      </c>
      <c r="AB1946" s="30">
        <v>45860.708333333336</v>
      </c>
      <c r="AC1946" s="30">
        <v>45856.333333333336</v>
      </c>
      <c r="AD1946" s="30">
        <v>45860.708333333336</v>
      </c>
      <c r="AE1946" s="30">
        <v>46216.691666666666</v>
      </c>
      <c r="AF1946" s="30">
        <v>46219.691666666666</v>
      </c>
      <c r="AG1946" t="s">
        <v>1266</v>
      </c>
      <c r="AK1946" t="s">
        <v>1265</v>
      </c>
      <c r="AL1946" t="e">
        <f>+l4nZkzy5Uyqf6zE7ADg0A</f>
        <v>#NAME?</v>
      </c>
      <c r="AM1946" t="s">
        <v>1263</v>
      </c>
      <c r="AN1946" t="s">
        <v>1262</v>
      </c>
      <c r="AO1946">
        <v>0</v>
      </c>
      <c r="AQ1946" t="s">
        <v>1261</v>
      </c>
      <c r="AR1946" t="s">
        <v>1260</v>
      </c>
      <c r="AS1946" t="s">
        <v>2716</v>
      </c>
      <c r="AT1946" s="30">
        <v>46048.611111111109</v>
      </c>
    </row>
    <row r="1947" spans="1:46" x14ac:dyDescent="0.25">
      <c r="A1947" t="s">
        <v>1248</v>
      </c>
      <c r="B1947">
        <v>198723</v>
      </c>
      <c r="C1947">
        <v>119865</v>
      </c>
      <c r="D1947">
        <v>405</v>
      </c>
      <c r="E1947" t="s">
        <v>1266</v>
      </c>
      <c r="G1947">
        <v>745</v>
      </c>
      <c r="H1947">
        <v>1809</v>
      </c>
      <c r="K1947" t="s">
        <v>2733</v>
      </c>
      <c r="L1947" t="s">
        <v>2733</v>
      </c>
      <c r="M1947" t="s">
        <v>2732</v>
      </c>
      <c r="N1947">
        <v>0</v>
      </c>
      <c r="O1947" t="s">
        <v>2732</v>
      </c>
      <c r="P1947">
        <v>0</v>
      </c>
      <c r="Q1947">
        <v>0</v>
      </c>
      <c r="R1947">
        <v>0</v>
      </c>
      <c r="T1947" s="29">
        <v>1400000</v>
      </c>
      <c r="U1947" s="29">
        <v>84000</v>
      </c>
      <c r="V1947" t="s">
        <v>1262</v>
      </c>
      <c r="W1947" t="s">
        <v>1262</v>
      </c>
      <c r="X1947" s="29">
        <v>84000</v>
      </c>
      <c r="AA1947" s="30">
        <v>45861.333333333336</v>
      </c>
      <c r="AB1947" s="30">
        <v>45863.708333333336</v>
      </c>
      <c r="AC1947" s="30">
        <v>45861.333333333336</v>
      </c>
      <c r="AD1947" s="30">
        <v>45863.708333333336</v>
      </c>
      <c r="AE1947" s="30">
        <v>46219.691666666666</v>
      </c>
      <c r="AF1947" s="30">
        <v>46224.691666666666</v>
      </c>
      <c r="AG1947" t="s">
        <v>1266</v>
      </c>
      <c r="AK1947" t="s">
        <v>1265</v>
      </c>
      <c r="AL1947" t="s">
        <v>2739</v>
      </c>
      <c r="AM1947" t="s">
        <v>1263</v>
      </c>
      <c r="AN1947" t="s">
        <v>1262</v>
      </c>
      <c r="AO1947">
        <v>0</v>
      </c>
      <c r="AQ1947" t="s">
        <v>1261</v>
      </c>
      <c r="AR1947" t="s">
        <v>1260</v>
      </c>
      <c r="AS1947" t="s">
        <v>2716</v>
      </c>
      <c r="AT1947" s="30">
        <v>46048.611111111109</v>
      </c>
    </row>
    <row r="1948" spans="1:46" x14ac:dyDescent="0.25">
      <c r="A1948" t="s">
        <v>1248</v>
      </c>
      <c r="B1948">
        <v>198724</v>
      </c>
      <c r="C1948">
        <v>119866</v>
      </c>
      <c r="D1948">
        <v>405</v>
      </c>
      <c r="E1948" t="s">
        <v>1266</v>
      </c>
      <c r="G1948">
        <v>745</v>
      </c>
      <c r="H1948">
        <v>1809</v>
      </c>
      <c r="K1948" t="s">
        <v>2733</v>
      </c>
      <c r="L1948" t="s">
        <v>2733</v>
      </c>
      <c r="M1948" t="s">
        <v>2732</v>
      </c>
      <c r="N1948">
        <v>0</v>
      </c>
      <c r="O1948" t="s">
        <v>2732</v>
      </c>
      <c r="P1948">
        <v>0</v>
      </c>
      <c r="Q1948">
        <v>0</v>
      </c>
      <c r="R1948">
        <v>0</v>
      </c>
      <c r="T1948" s="29">
        <v>1400000</v>
      </c>
      <c r="U1948" s="29">
        <v>84000</v>
      </c>
      <c r="V1948" t="s">
        <v>1262</v>
      </c>
      <c r="W1948" t="s">
        <v>1262</v>
      </c>
      <c r="X1948" s="29">
        <v>84000</v>
      </c>
      <c r="AA1948" s="30">
        <v>45866.333333333336</v>
      </c>
      <c r="AB1948" s="30">
        <v>45868.708333333336</v>
      </c>
      <c r="AC1948" s="30">
        <v>45866.333333333336</v>
      </c>
      <c r="AD1948" s="30">
        <v>45868.708333333336</v>
      </c>
      <c r="AE1948" s="30">
        <v>46288.369444444441</v>
      </c>
      <c r="AF1948" s="30">
        <v>46293.369444444441</v>
      </c>
      <c r="AG1948" t="s">
        <v>1266</v>
      </c>
      <c r="AK1948" t="s">
        <v>1265</v>
      </c>
      <c r="AL1948" t="s">
        <v>2738</v>
      </c>
      <c r="AM1948" t="s">
        <v>1263</v>
      </c>
      <c r="AN1948" t="s">
        <v>1262</v>
      </c>
      <c r="AO1948">
        <v>0</v>
      </c>
      <c r="AQ1948" t="s">
        <v>1261</v>
      </c>
      <c r="AR1948" t="s">
        <v>1260</v>
      </c>
      <c r="AS1948" t="s">
        <v>2716</v>
      </c>
      <c r="AT1948" s="30">
        <v>46048.611111111109</v>
      </c>
    </row>
    <row r="1949" spans="1:46" x14ac:dyDescent="0.25">
      <c r="A1949" t="s">
        <v>1248</v>
      </c>
      <c r="B1949">
        <v>198725</v>
      </c>
      <c r="C1949">
        <v>119867</v>
      </c>
      <c r="D1949">
        <v>405</v>
      </c>
      <c r="E1949" t="s">
        <v>1266</v>
      </c>
      <c r="G1949">
        <v>745</v>
      </c>
      <c r="H1949">
        <v>1809</v>
      </c>
      <c r="K1949" t="s">
        <v>2733</v>
      </c>
      <c r="L1949" t="s">
        <v>2733</v>
      </c>
      <c r="M1949" t="s">
        <v>2732</v>
      </c>
      <c r="N1949">
        <v>0</v>
      </c>
      <c r="O1949" t="s">
        <v>2732</v>
      </c>
      <c r="P1949">
        <v>0</v>
      </c>
      <c r="Q1949">
        <v>0</v>
      </c>
      <c r="R1949">
        <v>0</v>
      </c>
      <c r="T1949" s="29">
        <v>1400000</v>
      </c>
      <c r="U1949" s="29">
        <v>84000</v>
      </c>
      <c r="V1949" t="s">
        <v>1262</v>
      </c>
      <c r="W1949" t="s">
        <v>1262</v>
      </c>
      <c r="X1949" s="29">
        <v>84000</v>
      </c>
      <c r="AA1949" s="30">
        <v>45869.333333333336</v>
      </c>
      <c r="AB1949" s="30">
        <v>45873.708333333336</v>
      </c>
      <c r="AC1949" s="30">
        <v>45869.333333333336</v>
      </c>
      <c r="AD1949" s="30">
        <v>45873.708333333336</v>
      </c>
      <c r="AE1949" s="30">
        <v>46293.369444444441</v>
      </c>
      <c r="AF1949" s="30">
        <v>46296.369444444441</v>
      </c>
      <c r="AG1949" t="s">
        <v>1266</v>
      </c>
      <c r="AK1949" t="s">
        <v>1265</v>
      </c>
      <c r="AL1949" t="s">
        <v>2737</v>
      </c>
      <c r="AM1949" t="s">
        <v>1263</v>
      </c>
      <c r="AN1949" t="s">
        <v>1262</v>
      </c>
      <c r="AO1949">
        <v>0</v>
      </c>
      <c r="AQ1949" t="s">
        <v>1261</v>
      </c>
      <c r="AR1949" t="s">
        <v>1260</v>
      </c>
      <c r="AS1949" t="s">
        <v>2716</v>
      </c>
      <c r="AT1949" s="30">
        <v>46048.611111111109</v>
      </c>
    </row>
    <row r="1950" spans="1:46" x14ac:dyDescent="0.25">
      <c r="A1950" t="s">
        <v>1248</v>
      </c>
      <c r="B1950">
        <v>198726</v>
      </c>
      <c r="C1950">
        <v>119868</v>
      </c>
      <c r="D1950">
        <v>405</v>
      </c>
      <c r="E1950" t="s">
        <v>1266</v>
      </c>
      <c r="G1950">
        <v>745</v>
      </c>
      <c r="H1950">
        <v>1809</v>
      </c>
      <c r="K1950" t="s">
        <v>2733</v>
      </c>
      <c r="L1950" t="s">
        <v>2733</v>
      </c>
      <c r="M1950" t="s">
        <v>2732</v>
      </c>
      <c r="N1950">
        <v>0</v>
      </c>
      <c r="O1950" t="s">
        <v>2732</v>
      </c>
      <c r="P1950">
        <v>0</v>
      </c>
      <c r="Q1950">
        <v>0</v>
      </c>
      <c r="R1950">
        <v>0</v>
      </c>
      <c r="T1950" s="29">
        <v>1400000</v>
      </c>
      <c r="U1950" s="29">
        <v>84000</v>
      </c>
      <c r="V1950" t="s">
        <v>1262</v>
      </c>
      <c r="W1950" t="s">
        <v>1262</v>
      </c>
      <c r="X1950" s="29">
        <v>84000</v>
      </c>
      <c r="AA1950" s="30">
        <v>45874.333333333336</v>
      </c>
      <c r="AB1950" s="30">
        <v>45876.708333333336</v>
      </c>
      <c r="AC1950" s="30">
        <v>45874.333333333336</v>
      </c>
      <c r="AD1950" s="30">
        <v>45876.708333333336</v>
      </c>
      <c r="AE1950" s="30">
        <v>46309.369444444441</v>
      </c>
      <c r="AF1950" s="30">
        <v>46314.369444444441</v>
      </c>
      <c r="AG1950" t="s">
        <v>1266</v>
      </c>
      <c r="AK1950" t="s">
        <v>1265</v>
      </c>
      <c r="AL1950" t="s">
        <v>2736</v>
      </c>
      <c r="AM1950" t="s">
        <v>1263</v>
      </c>
      <c r="AN1950" t="s">
        <v>1262</v>
      </c>
      <c r="AO1950">
        <v>0</v>
      </c>
      <c r="AQ1950" t="s">
        <v>1261</v>
      </c>
      <c r="AR1950" t="s">
        <v>1260</v>
      </c>
      <c r="AS1950" t="s">
        <v>2716</v>
      </c>
      <c r="AT1950" s="30">
        <v>46048.611111111109</v>
      </c>
    </row>
    <row r="1951" spans="1:46" x14ac:dyDescent="0.25">
      <c r="A1951" t="s">
        <v>1248</v>
      </c>
      <c r="B1951">
        <v>198727</v>
      </c>
      <c r="C1951">
        <v>119869</v>
      </c>
      <c r="D1951">
        <v>405</v>
      </c>
      <c r="E1951" t="s">
        <v>1266</v>
      </c>
      <c r="G1951">
        <v>745</v>
      </c>
      <c r="H1951">
        <v>1809</v>
      </c>
      <c r="K1951" t="s">
        <v>2733</v>
      </c>
      <c r="L1951" t="s">
        <v>2733</v>
      </c>
      <c r="M1951" t="s">
        <v>2732</v>
      </c>
      <c r="N1951">
        <v>0</v>
      </c>
      <c r="O1951" t="s">
        <v>2732</v>
      </c>
      <c r="P1951">
        <v>0</v>
      </c>
      <c r="Q1951">
        <v>0</v>
      </c>
      <c r="R1951">
        <v>0</v>
      </c>
      <c r="T1951" s="29">
        <v>1400000</v>
      </c>
      <c r="U1951" s="29">
        <v>84000</v>
      </c>
      <c r="V1951" t="s">
        <v>1262</v>
      </c>
      <c r="W1951" t="s">
        <v>1262</v>
      </c>
      <c r="X1951" s="29">
        <v>84000</v>
      </c>
      <c r="AA1951" s="30">
        <v>45877.333333333336</v>
      </c>
      <c r="AB1951" s="30">
        <v>45881.708333333336</v>
      </c>
      <c r="AC1951" s="30">
        <v>45877.333333333336</v>
      </c>
      <c r="AD1951" s="30">
        <v>45881.708333333336</v>
      </c>
      <c r="AE1951" s="30">
        <v>46325.369444444441</v>
      </c>
      <c r="AF1951" s="30">
        <v>46330.369444444441</v>
      </c>
      <c r="AG1951" t="s">
        <v>1266</v>
      </c>
      <c r="AK1951" t="s">
        <v>1265</v>
      </c>
      <c r="AL1951" t="s">
        <v>2735</v>
      </c>
      <c r="AM1951" t="s">
        <v>1263</v>
      </c>
      <c r="AN1951" t="s">
        <v>1262</v>
      </c>
      <c r="AO1951">
        <v>0</v>
      </c>
      <c r="AQ1951" t="s">
        <v>1261</v>
      </c>
      <c r="AR1951" t="s">
        <v>1260</v>
      </c>
      <c r="AS1951" t="s">
        <v>2716</v>
      </c>
      <c r="AT1951" s="30">
        <v>46048.611111111109</v>
      </c>
    </row>
    <row r="1952" spans="1:46" x14ac:dyDescent="0.25">
      <c r="A1952" t="s">
        <v>1248</v>
      </c>
      <c r="B1952">
        <v>198728</v>
      </c>
      <c r="C1952">
        <v>119870</v>
      </c>
      <c r="D1952">
        <v>405</v>
      </c>
      <c r="E1952" t="s">
        <v>1266</v>
      </c>
      <c r="G1952">
        <v>745</v>
      </c>
      <c r="H1952">
        <v>1809</v>
      </c>
      <c r="K1952" t="s">
        <v>2733</v>
      </c>
      <c r="L1952" t="s">
        <v>2733</v>
      </c>
      <c r="M1952" t="s">
        <v>2732</v>
      </c>
      <c r="N1952">
        <v>0</v>
      </c>
      <c r="O1952" t="s">
        <v>2732</v>
      </c>
      <c r="P1952">
        <v>0</v>
      </c>
      <c r="Q1952">
        <v>0</v>
      </c>
      <c r="R1952">
        <v>0</v>
      </c>
      <c r="T1952" s="29">
        <v>1400000</v>
      </c>
      <c r="U1952" s="29">
        <v>84000</v>
      </c>
      <c r="V1952" t="s">
        <v>1262</v>
      </c>
      <c r="W1952" t="s">
        <v>1262</v>
      </c>
      <c r="X1952" s="29">
        <v>84000</v>
      </c>
      <c r="AA1952" s="30">
        <v>45882.333333333336</v>
      </c>
      <c r="AB1952" s="30">
        <v>45884.708333333336</v>
      </c>
      <c r="AC1952" s="30">
        <v>45882.333333333336</v>
      </c>
      <c r="AD1952" s="30">
        <v>45884.708333333336</v>
      </c>
      <c r="AE1952" s="30">
        <v>46343.369444444441</v>
      </c>
      <c r="AF1952" s="30">
        <v>46346.369444444441</v>
      </c>
      <c r="AG1952" t="s">
        <v>1266</v>
      </c>
      <c r="AK1952" t="s">
        <v>1265</v>
      </c>
      <c r="AL1952" t="s">
        <v>2734</v>
      </c>
      <c r="AM1952" t="s">
        <v>1263</v>
      </c>
      <c r="AN1952" t="s">
        <v>1262</v>
      </c>
      <c r="AO1952">
        <v>0</v>
      </c>
      <c r="AQ1952" t="s">
        <v>1261</v>
      </c>
      <c r="AR1952" t="s">
        <v>1260</v>
      </c>
      <c r="AS1952" t="s">
        <v>2716</v>
      </c>
      <c r="AT1952" s="30">
        <v>46048.611111111109</v>
      </c>
    </row>
    <row r="1953" spans="1:46" x14ac:dyDescent="0.25">
      <c r="A1953" t="s">
        <v>1248</v>
      </c>
      <c r="B1953">
        <v>198729</v>
      </c>
      <c r="C1953">
        <v>119871</v>
      </c>
      <c r="D1953">
        <v>405</v>
      </c>
      <c r="E1953" t="s">
        <v>1266</v>
      </c>
      <c r="G1953">
        <v>745</v>
      </c>
      <c r="H1953">
        <v>1809</v>
      </c>
      <c r="K1953" t="s">
        <v>2733</v>
      </c>
      <c r="L1953" t="s">
        <v>2733</v>
      </c>
      <c r="M1953" t="s">
        <v>2732</v>
      </c>
      <c r="N1953">
        <v>0</v>
      </c>
      <c r="O1953" t="s">
        <v>2732</v>
      </c>
      <c r="P1953">
        <v>0</v>
      </c>
      <c r="Q1953">
        <v>0</v>
      </c>
      <c r="R1953">
        <v>0</v>
      </c>
      <c r="T1953" s="29">
        <v>1400000</v>
      </c>
      <c r="U1953" s="29">
        <v>84000</v>
      </c>
      <c r="V1953" t="s">
        <v>1262</v>
      </c>
      <c r="W1953" t="s">
        <v>1262</v>
      </c>
      <c r="X1953" s="29">
        <v>84000</v>
      </c>
      <c r="AA1953" s="30">
        <v>45887.333333333336</v>
      </c>
      <c r="AB1953" s="30">
        <v>45889.708333333336</v>
      </c>
      <c r="AC1953" s="30">
        <v>45887.333333333336</v>
      </c>
      <c r="AD1953" s="30">
        <v>45889.708333333336</v>
      </c>
      <c r="AE1953" s="30">
        <v>46359.369444444441</v>
      </c>
      <c r="AF1953" s="30">
        <v>46365.369444444441</v>
      </c>
      <c r="AG1953" t="s">
        <v>1266</v>
      </c>
      <c r="AK1953" t="s">
        <v>1265</v>
      </c>
      <c r="AL1953" t="s">
        <v>2731</v>
      </c>
      <c r="AM1953" t="s">
        <v>1263</v>
      </c>
      <c r="AN1953" t="s">
        <v>1262</v>
      </c>
      <c r="AO1953">
        <v>0</v>
      </c>
      <c r="AQ1953" t="s">
        <v>1261</v>
      </c>
      <c r="AR1953" t="s">
        <v>1260</v>
      </c>
      <c r="AS1953" t="s">
        <v>2716</v>
      </c>
      <c r="AT1953" s="30">
        <v>46048.611111111109</v>
      </c>
    </row>
    <row r="1954" spans="1:46" x14ac:dyDescent="0.25">
      <c r="A1954" t="s">
        <v>1248</v>
      </c>
      <c r="B1954">
        <v>198730</v>
      </c>
      <c r="C1954">
        <v>119924</v>
      </c>
      <c r="D1954">
        <v>405</v>
      </c>
      <c r="E1954" t="s">
        <v>1265</v>
      </c>
      <c r="G1954">
        <v>745</v>
      </c>
      <c r="H1954">
        <v>1869</v>
      </c>
      <c r="K1954" t="s">
        <v>2730</v>
      </c>
      <c r="L1954" t="s">
        <v>2730</v>
      </c>
      <c r="M1954" s="29">
        <v>30971125</v>
      </c>
      <c r="N1954">
        <v>0</v>
      </c>
      <c r="O1954" s="29">
        <v>30971125</v>
      </c>
      <c r="P1954">
        <v>0</v>
      </c>
      <c r="Q1954">
        <v>0</v>
      </c>
      <c r="R1954">
        <v>0</v>
      </c>
      <c r="T1954" s="29">
        <v>327200</v>
      </c>
      <c r="U1954" s="29">
        <v>793450000</v>
      </c>
      <c r="V1954" t="s">
        <v>1262</v>
      </c>
      <c r="W1954" t="s">
        <v>1262</v>
      </c>
      <c r="X1954" s="29">
        <v>793450000</v>
      </c>
      <c r="AA1954" s="30">
        <v>45687.333333333336</v>
      </c>
      <c r="AB1954" s="30">
        <v>45700.708333333336</v>
      </c>
      <c r="AC1954" s="30">
        <v>45687.333333333336</v>
      </c>
      <c r="AD1954" s="30">
        <v>45700.708333333336</v>
      </c>
      <c r="AE1954" s="30">
        <v>45687.333333333336</v>
      </c>
      <c r="AF1954" s="30">
        <v>45700.708333333336</v>
      </c>
      <c r="AG1954" t="s">
        <v>1266</v>
      </c>
      <c r="AK1954" t="s">
        <v>1265</v>
      </c>
      <c r="AL1954" t="s">
        <v>2729</v>
      </c>
      <c r="AM1954" t="s">
        <v>1263</v>
      </c>
      <c r="AN1954" t="s">
        <v>1262</v>
      </c>
      <c r="AO1954">
        <v>0</v>
      </c>
      <c r="AQ1954" t="s">
        <v>1261</v>
      </c>
      <c r="AR1954" t="s">
        <v>1260</v>
      </c>
      <c r="AS1954" t="s">
        <v>2716</v>
      </c>
      <c r="AT1954" s="30">
        <v>46048.62777777778</v>
      </c>
    </row>
    <row r="1955" spans="1:46" x14ac:dyDescent="0.25">
      <c r="A1955" t="s">
        <v>1248</v>
      </c>
      <c r="B1955">
        <v>198731</v>
      </c>
      <c r="C1955">
        <v>119811</v>
      </c>
      <c r="D1955">
        <v>405</v>
      </c>
      <c r="E1955" t="s">
        <v>1266</v>
      </c>
      <c r="G1955">
        <v>745</v>
      </c>
      <c r="H1955">
        <v>1869</v>
      </c>
      <c r="K1955" t="s">
        <v>2728</v>
      </c>
      <c r="L1955" t="s">
        <v>2728</v>
      </c>
      <c r="M1955" s="29">
        <v>36870375</v>
      </c>
      <c r="N1955">
        <v>0</v>
      </c>
      <c r="O1955" s="29">
        <v>36870375</v>
      </c>
      <c r="P1955">
        <v>0</v>
      </c>
      <c r="Q1955">
        <v>0</v>
      </c>
      <c r="R1955">
        <v>0</v>
      </c>
      <c r="T1955" s="29">
        <v>327200</v>
      </c>
      <c r="U1955" s="29">
        <v>965118936</v>
      </c>
      <c r="V1955" t="s">
        <v>1262</v>
      </c>
      <c r="W1955" t="s">
        <v>1262</v>
      </c>
      <c r="X1955" s="29">
        <v>965118936</v>
      </c>
      <c r="AA1955" s="30">
        <v>45707.333333333336</v>
      </c>
      <c r="AB1955" s="30">
        <v>45720.708333333336</v>
      </c>
      <c r="AC1955" s="30">
        <v>45707.333333333336</v>
      </c>
      <c r="AD1955" s="30">
        <v>45720.708333333336</v>
      </c>
      <c r="AE1955" s="30">
        <v>45754.333333333336</v>
      </c>
      <c r="AF1955" s="30">
        <v>45765.708333333336</v>
      </c>
      <c r="AG1955" t="s">
        <v>1266</v>
      </c>
      <c r="AK1955" t="s">
        <v>1265</v>
      </c>
      <c r="AL1955" t="s">
        <v>2727</v>
      </c>
      <c r="AM1955" t="s">
        <v>1263</v>
      </c>
      <c r="AN1955" t="s">
        <v>1262</v>
      </c>
      <c r="AO1955">
        <v>0</v>
      </c>
      <c r="AQ1955" t="s">
        <v>1261</v>
      </c>
      <c r="AR1955" t="s">
        <v>1260</v>
      </c>
      <c r="AS1955" t="s">
        <v>2716</v>
      </c>
      <c r="AT1955" s="30">
        <v>46048.630555555559</v>
      </c>
    </row>
    <row r="1956" spans="1:46" x14ac:dyDescent="0.25">
      <c r="A1956" t="s">
        <v>1248</v>
      </c>
      <c r="B1956">
        <v>198732</v>
      </c>
      <c r="C1956">
        <v>120020</v>
      </c>
      <c r="D1956">
        <v>405</v>
      </c>
      <c r="E1956" t="s">
        <v>1266</v>
      </c>
      <c r="G1956">
        <v>745</v>
      </c>
      <c r="H1956">
        <v>1809</v>
      </c>
      <c r="K1956" t="s">
        <v>2726</v>
      </c>
      <c r="L1956" t="s">
        <v>2726</v>
      </c>
      <c r="M1956" t="s">
        <v>2725</v>
      </c>
      <c r="N1956">
        <v>0</v>
      </c>
      <c r="O1956" t="s">
        <v>2725</v>
      </c>
      <c r="P1956">
        <v>0</v>
      </c>
      <c r="Q1956">
        <v>0</v>
      </c>
      <c r="R1956">
        <v>0</v>
      </c>
      <c r="T1956" s="29">
        <v>1400000</v>
      </c>
      <c r="U1956" s="29">
        <v>1232000</v>
      </c>
      <c r="V1956" t="s">
        <v>1262</v>
      </c>
      <c r="W1956" t="s">
        <v>1262</v>
      </c>
      <c r="X1956" s="29">
        <v>1232000</v>
      </c>
      <c r="AA1956" s="30">
        <v>45803.333333333336</v>
      </c>
      <c r="AB1956" s="30">
        <v>45926.708333333336</v>
      </c>
      <c r="AC1956" s="30">
        <v>45803.333333333336</v>
      </c>
      <c r="AD1956" s="30">
        <v>45926.708333333336</v>
      </c>
      <c r="AE1956" s="30">
        <v>46345.333333333336</v>
      </c>
      <c r="AF1956" s="30">
        <v>46477.708333333336</v>
      </c>
      <c r="AG1956" t="s">
        <v>1266</v>
      </c>
      <c r="AK1956" t="s">
        <v>1265</v>
      </c>
      <c r="AL1956" t="s">
        <v>2724</v>
      </c>
      <c r="AM1956" t="s">
        <v>1263</v>
      </c>
      <c r="AN1956" t="s">
        <v>1262</v>
      </c>
      <c r="AO1956">
        <v>0</v>
      </c>
      <c r="AQ1956" t="s">
        <v>1261</v>
      </c>
      <c r="AR1956" t="s">
        <v>1260</v>
      </c>
      <c r="AS1956" t="s">
        <v>2716</v>
      </c>
      <c r="AT1956" s="30">
        <v>46048.634027777778</v>
      </c>
    </row>
    <row r="1957" spans="1:46" x14ac:dyDescent="0.25">
      <c r="A1957" t="s">
        <v>1248</v>
      </c>
      <c r="B1957">
        <v>198733</v>
      </c>
      <c r="C1957">
        <v>120021</v>
      </c>
      <c r="D1957">
        <v>405</v>
      </c>
      <c r="E1957" t="s">
        <v>1266</v>
      </c>
      <c r="G1957">
        <v>745</v>
      </c>
      <c r="H1957">
        <v>1809</v>
      </c>
      <c r="K1957" t="s">
        <v>2723</v>
      </c>
      <c r="L1957" t="s">
        <v>2723</v>
      </c>
      <c r="M1957" t="s">
        <v>2722</v>
      </c>
      <c r="N1957">
        <v>0</v>
      </c>
      <c r="O1957" t="s">
        <v>2722</v>
      </c>
      <c r="P1957">
        <v>0</v>
      </c>
      <c r="Q1957">
        <v>0</v>
      </c>
      <c r="R1957">
        <v>0</v>
      </c>
      <c r="T1957" s="29">
        <v>1400000</v>
      </c>
      <c r="U1957" s="29">
        <v>826000</v>
      </c>
      <c r="V1957" t="s">
        <v>1262</v>
      </c>
      <c r="W1957" t="s">
        <v>1262</v>
      </c>
      <c r="X1957" s="29">
        <v>826000</v>
      </c>
      <c r="AA1957" s="30">
        <v>45824.333333333336</v>
      </c>
      <c r="AB1957" s="30">
        <v>45947.708333333336</v>
      </c>
      <c r="AC1957" s="30">
        <v>45824.333333333336</v>
      </c>
      <c r="AD1957" s="30">
        <v>45947.708333333336</v>
      </c>
      <c r="AE1957" s="30">
        <v>46367.333333333336</v>
      </c>
      <c r="AF1957" s="30">
        <v>46498.708333333336</v>
      </c>
      <c r="AG1957" t="s">
        <v>1266</v>
      </c>
      <c r="AK1957" t="s">
        <v>1265</v>
      </c>
      <c r="AL1957" t="s">
        <v>2721</v>
      </c>
      <c r="AM1957" t="s">
        <v>1263</v>
      </c>
      <c r="AN1957" t="s">
        <v>1262</v>
      </c>
      <c r="AO1957">
        <v>0</v>
      </c>
      <c r="AQ1957" t="s">
        <v>1261</v>
      </c>
      <c r="AR1957" t="s">
        <v>1260</v>
      </c>
      <c r="AS1957" t="s">
        <v>2716</v>
      </c>
      <c r="AT1957" s="30">
        <v>46048.634027777778</v>
      </c>
    </row>
    <row r="1958" spans="1:46" x14ac:dyDescent="0.25">
      <c r="A1958" t="s">
        <v>1248</v>
      </c>
      <c r="B1958">
        <v>246790</v>
      </c>
      <c r="C1958">
        <v>119794</v>
      </c>
      <c r="D1958">
        <v>405</v>
      </c>
      <c r="E1958" t="s">
        <v>1266</v>
      </c>
      <c r="G1958">
        <v>745</v>
      </c>
      <c r="H1958">
        <v>1827</v>
      </c>
      <c r="K1958" s="29">
        <v>130779922</v>
      </c>
      <c r="L1958" s="29">
        <v>130779922</v>
      </c>
      <c r="M1958" t="s">
        <v>2720</v>
      </c>
      <c r="N1958">
        <v>0</v>
      </c>
      <c r="O1958" t="s">
        <v>2720</v>
      </c>
      <c r="P1958">
        <v>0</v>
      </c>
      <c r="Q1958">
        <v>0</v>
      </c>
      <c r="R1958">
        <v>0</v>
      </c>
      <c r="T1958" s="29">
        <v>207200</v>
      </c>
      <c r="U1958" s="29">
        <v>30641736</v>
      </c>
      <c r="V1958" t="s">
        <v>1262</v>
      </c>
      <c r="W1958" t="s">
        <v>1262</v>
      </c>
      <c r="X1958" s="29">
        <v>30641736</v>
      </c>
      <c r="AA1958" s="30">
        <v>46153.333333333336</v>
      </c>
      <c r="AB1958" s="30">
        <v>46293.708333333336</v>
      </c>
      <c r="AC1958" s="30">
        <v>46153.333333333336</v>
      </c>
      <c r="AD1958" s="30">
        <v>46293.708333333336</v>
      </c>
      <c r="AE1958" s="30">
        <v>46374.333333333336</v>
      </c>
      <c r="AF1958" s="30">
        <v>46519.708333333336</v>
      </c>
      <c r="AG1958" t="s">
        <v>1266</v>
      </c>
      <c r="AK1958" t="s">
        <v>1265</v>
      </c>
      <c r="AL1958" t="s">
        <v>2719</v>
      </c>
      <c r="AM1958" t="s">
        <v>1263</v>
      </c>
      <c r="AN1958" t="s">
        <v>1262</v>
      </c>
      <c r="AO1958">
        <v>0</v>
      </c>
      <c r="AQ1958" t="s">
        <v>1261</v>
      </c>
      <c r="AR1958" t="s">
        <v>1260</v>
      </c>
      <c r="AS1958" t="s">
        <v>2716</v>
      </c>
      <c r="AT1958" s="30">
        <v>46065.692361111112</v>
      </c>
    </row>
    <row r="1959" spans="1:46" x14ac:dyDescent="0.25">
      <c r="A1959" t="s">
        <v>1248</v>
      </c>
      <c r="B1959">
        <v>246792</v>
      </c>
      <c r="C1959">
        <v>229303</v>
      </c>
      <c r="D1959">
        <v>405</v>
      </c>
      <c r="E1959" t="s">
        <v>1266</v>
      </c>
      <c r="G1959">
        <v>745</v>
      </c>
      <c r="H1959">
        <v>1827</v>
      </c>
      <c r="K1959" s="29">
        <v>628980211</v>
      </c>
      <c r="L1959" s="29">
        <v>628980211</v>
      </c>
      <c r="M1959" t="s">
        <v>2718</v>
      </c>
      <c r="N1959">
        <v>0</v>
      </c>
      <c r="O1959" t="s">
        <v>2718</v>
      </c>
      <c r="P1959">
        <v>0</v>
      </c>
      <c r="Q1959">
        <v>0</v>
      </c>
      <c r="R1959">
        <v>0</v>
      </c>
      <c r="T1959" s="29">
        <v>207200</v>
      </c>
      <c r="U1959" s="29">
        <v>147370063</v>
      </c>
      <c r="V1959" t="s">
        <v>1262</v>
      </c>
      <c r="W1959" t="s">
        <v>1262</v>
      </c>
      <c r="X1959" s="29">
        <v>147370063</v>
      </c>
      <c r="AA1959" s="30">
        <v>46007.333333333336</v>
      </c>
      <c r="AB1959" s="30">
        <v>46150.708333333336</v>
      </c>
      <c r="AC1959" s="30">
        <v>46007.333333333336</v>
      </c>
      <c r="AD1959" s="30">
        <v>46150.708333333336</v>
      </c>
      <c r="AE1959" s="30">
        <v>46233.333333333336</v>
      </c>
      <c r="AF1959" s="30">
        <v>46373.708333333336</v>
      </c>
      <c r="AG1959" t="s">
        <v>1266</v>
      </c>
      <c r="AK1959" t="s">
        <v>1265</v>
      </c>
      <c r="AL1959" t="s">
        <v>2717</v>
      </c>
      <c r="AM1959" t="s">
        <v>1263</v>
      </c>
      <c r="AN1959" t="s">
        <v>1262</v>
      </c>
      <c r="AO1959">
        <v>0</v>
      </c>
      <c r="AQ1959" t="s">
        <v>1261</v>
      </c>
      <c r="AR1959" t="s">
        <v>1260</v>
      </c>
      <c r="AS1959" t="s">
        <v>2716</v>
      </c>
      <c r="AT1959" s="30">
        <v>46065.694444444445</v>
      </c>
    </row>
    <row r="1960" spans="1:46" x14ac:dyDescent="0.25">
      <c r="A1960" t="s">
        <v>1248</v>
      </c>
      <c r="B1960">
        <v>247799</v>
      </c>
      <c r="C1960">
        <v>352045</v>
      </c>
      <c r="D1960">
        <v>405</v>
      </c>
      <c r="E1960" t="s">
        <v>1266</v>
      </c>
      <c r="H1960">
        <v>1893</v>
      </c>
      <c r="K1960">
        <v>16</v>
      </c>
      <c r="L1960">
        <v>16</v>
      </c>
      <c r="M1960">
        <v>1</v>
      </c>
      <c r="N1960">
        <v>0</v>
      </c>
      <c r="O1960">
        <v>1</v>
      </c>
      <c r="P1960">
        <v>0</v>
      </c>
      <c r="Q1960">
        <v>0</v>
      </c>
      <c r="R1960">
        <v>0</v>
      </c>
      <c r="T1960" s="29">
        <v>90000</v>
      </c>
      <c r="U1960" s="29">
        <v>1440000</v>
      </c>
      <c r="V1960" t="s">
        <v>1262</v>
      </c>
      <c r="W1960" t="s">
        <v>1262</v>
      </c>
      <c r="X1960" s="29">
        <v>1440000</v>
      </c>
      <c r="AA1960" s="30">
        <v>45793.625</v>
      </c>
      <c r="AB1960" s="30">
        <v>45797.625</v>
      </c>
      <c r="AC1960" s="30">
        <v>45793.625</v>
      </c>
      <c r="AD1960" s="30">
        <v>45797.625</v>
      </c>
      <c r="AE1960" s="30">
        <v>45855.60833333333</v>
      </c>
      <c r="AF1960" s="30">
        <v>45859.60833333333</v>
      </c>
      <c r="AG1960" t="s">
        <v>1266</v>
      </c>
      <c r="AK1960" t="s">
        <v>1265</v>
      </c>
      <c r="AL1960" t="s">
        <v>2715</v>
      </c>
      <c r="AM1960" t="s">
        <v>1263</v>
      </c>
      <c r="AN1960" t="s">
        <v>1262</v>
      </c>
      <c r="AO1960">
        <v>0</v>
      </c>
      <c r="AQ1960" t="s">
        <v>1261</v>
      </c>
      <c r="AR1960" t="s">
        <v>1260</v>
      </c>
      <c r="AS1960" t="s">
        <v>1259</v>
      </c>
      <c r="AT1960" s="30">
        <v>46069.518055555556</v>
      </c>
    </row>
    <row r="1961" spans="1:46" x14ac:dyDescent="0.25">
      <c r="A1961" t="s">
        <v>1248</v>
      </c>
      <c r="B1961">
        <v>247800</v>
      </c>
      <c r="C1961">
        <v>352051</v>
      </c>
      <c r="D1961">
        <v>405</v>
      </c>
      <c r="E1961" t="s">
        <v>1266</v>
      </c>
      <c r="H1961">
        <v>1893</v>
      </c>
      <c r="K1961">
        <v>8</v>
      </c>
      <c r="L1961">
        <v>8</v>
      </c>
      <c r="M1961">
        <v>1</v>
      </c>
      <c r="N1961">
        <v>0</v>
      </c>
      <c r="O1961">
        <v>1</v>
      </c>
      <c r="P1961">
        <v>0</v>
      </c>
      <c r="Q1961">
        <v>0</v>
      </c>
      <c r="R1961">
        <v>0</v>
      </c>
      <c r="T1961" s="29">
        <v>90000</v>
      </c>
      <c r="U1961" s="29">
        <v>720000</v>
      </c>
      <c r="V1961" t="s">
        <v>1262</v>
      </c>
      <c r="W1961" t="s">
        <v>1262</v>
      </c>
      <c r="X1961" s="29">
        <v>720000</v>
      </c>
      <c r="AA1961" s="30">
        <v>45819.625</v>
      </c>
      <c r="AB1961" s="30">
        <v>45820.625</v>
      </c>
      <c r="AC1961" s="30">
        <v>45819.625</v>
      </c>
      <c r="AD1961" s="30">
        <v>45820.625</v>
      </c>
      <c r="AE1961" s="30">
        <v>45887.333333333336</v>
      </c>
      <c r="AF1961" s="30">
        <v>45887.708333333336</v>
      </c>
      <c r="AG1961" t="s">
        <v>1266</v>
      </c>
      <c r="AK1961" t="s">
        <v>1265</v>
      </c>
      <c r="AL1961" t="s">
        <v>2714</v>
      </c>
      <c r="AM1961" t="s">
        <v>1263</v>
      </c>
      <c r="AN1961" t="s">
        <v>1262</v>
      </c>
      <c r="AO1961">
        <v>0</v>
      </c>
      <c r="AQ1961" t="s">
        <v>1261</v>
      </c>
      <c r="AR1961" t="s">
        <v>1260</v>
      </c>
      <c r="AS1961" t="s">
        <v>1259</v>
      </c>
      <c r="AT1961" s="30">
        <v>46069.518055555556</v>
      </c>
    </row>
    <row r="1962" spans="1:46" x14ac:dyDescent="0.25">
      <c r="A1962" t="s">
        <v>1248</v>
      </c>
      <c r="B1962">
        <v>247801</v>
      </c>
      <c r="C1962">
        <v>352052</v>
      </c>
      <c r="D1962">
        <v>405</v>
      </c>
      <c r="E1962" t="s">
        <v>1266</v>
      </c>
      <c r="H1962">
        <v>1893</v>
      </c>
      <c r="K1962">
        <v>15</v>
      </c>
      <c r="L1962">
        <v>15</v>
      </c>
      <c r="M1962">
        <v>1</v>
      </c>
      <c r="N1962">
        <v>0</v>
      </c>
      <c r="O1962">
        <v>1</v>
      </c>
      <c r="P1962">
        <v>0</v>
      </c>
      <c r="Q1962">
        <v>0</v>
      </c>
      <c r="R1962">
        <v>0</v>
      </c>
      <c r="T1962" s="29">
        <v>90000</v>
      </c>
      <c r="U1962" s="29">
        <v>1350000</v>
      </c>
      <c r="V1962" t="s">
        <v>1262</v>
      </c>
      <c r="W1962" t="s">
        <v>1262</v>
      </c>
      <c r="X1962" s="29">
        <v>1350000</v>
      </c>
      <c r="AA1962" s="30">
        <v>45791.666666666664</v>
      </c>
      <c r="AB1962" s="30">
        <v>45793.625</v>
      </c>
      <c r="AC1962" s="30">
        <v>45791.666666666664</v>
      </c>
      <c r="AD1962" s="30">
        <v>45793.625</v>
      </c>
      <c r="AE1962" s="30">
        <v>45853.65</v>
      </c>
      <c r="AF1962" s="30">
        <v>45855.60833333333</v>
      </c>
      <c r="AG1962" t="s">
        <v>1266</v>
      </c>
      <c r="AK1962" t="s">
        <v>1265</v>
      </c>
      <c r="AL1962" t="s">
        <v>2713</v>
      </c>
      <c r="AM1962" t="s">
        <v>1263</v>
      </c>
      <c r="AN1962" t="s">
        <v>1262</v>
      </c>
      <c r="AO1962">
        <v>0</v>
      </c>
      <c r="AQ1962" t="s">
        <v>1261</v>
      </c>
      <c r="AR1962" t="s">
        <v>1260</v>
      </c>
      <c r="AS1962" t="s">
        <v>1259</v>
      </c>
      <c r="AT1962" s="30">
        <v>46069.518055555556</v>
      </c>
    </row>
    <row r="1963" spans="1:46" x14ac:dyDescent="0.25">
      <c r="A1963" t="s">
        <v>1248</v>
      </c>
      <c r="B1963">
        <v>247802</v>
      </c>
      <c r="C1963">
        <v>352058</v>
      </c>
      <c r="D1963">
        <v>405</v>
      </c>
      <c r="E1963" t="s">
        <v>1266</v>
      </c>
      <c r="H1963">
        <v>1893</v>
      </c>
      <c r="K1963">
        <v>7</v>
      </c>
      <c r="L1963">
        <v>7</v>
      </c>
      <c r="M1963">
        <v>1</v>
      </c>
      <c r="N1963">
        <v>0</v>
      </c>
      <c r="O1963">
        <v>1</v>
      </c>
      <c r="P1963">
        <v>0</v>
      </c>
      <c r="Q1963">
        <v>0</v>
      </c>
      <c r="R1963">
        <v>0</v>
      </c>
      <c r="T1963" s="29">
        <v>90000</v>
      </c>
      <c r="U1963" s="29">
        <v>630000</v>
      </c>
      <c r="V1963" t="s">
        <v>1262</v>
      </c>
      <c r="W1963" t="s">
        <v>1262</v>
      </c>
      <c r="X1963" s="29">
        <v>630000</v>
      </c>
      <c r="AA1963" s="30">
        <v>45817.375</v>
      </c>
      <c r="AB1963" s="30">
        <v>45817.708333333336</v>
      </c>
      <c r="AC1963" s="30">
        <v>45817.375</v>
      </c>
      <c r="AD1963" s="30">
        <v>45817.708333333336</v>
      </c>
      <c r="AE1963" s="30">
        <v>45881.375</v>
      </c>
      <c r="AF1963" s="30">
        <v>45881.708333333336</v>
      </c>
      <c r="AG1963" t="s">
        <v>1266</v>
      </c>
      <c r="AK1963" t="s">
        <v>1265</v>
      </c>
      <c r="AL1963" t="s">
        <v>2712</v>
      </c>
      <c r="AM1963" t="s">
        <v>1263</v>
      </c>
      <c r="AN1963" t="s">
        <v>1262</v>
      </c>
      <c r="AO1963">
        <v>0</v>
      </c>
      <c r="AQ1963" t="s">
        <v>1261</v>
      </c>
      <c r="AR1963" t="s">
        <v>1260</v>
      </c>
      <c r="AS1963" t="s">
        <v>1259</v>
      </c>
      <c r="AT1963" s="30">
        <v>46069.518055555556</v>
      </c>
    </row>
    <row r="1964" spans="1:46" x14ac:dyDescent="0.25">
      <c r="A1964" t="s">
        <v>1248</v>
      </c>
      <c r="B1964">
        <v>247803</v>
      </c>
      <c r="C1964">
        <v>352059</v>
      </c>
      <c r="D1964">
        <v>405</v>
      </c>
      <c r="E1964" t="s">
        <v>1266</v>
      </c>
      <c r="H1964">
        <v>1893</v>
      </c>
      <c r="K1964">
        <v>15</v>
      </c>
      <c r="L1964">
        <v>15</v>
      </c>
      <c r="M1964">
        <v>1</v>
      </c>
      <c r="N1964">
        <v>0</v>
      </c>
      <c r="O1964">
        <v>1</v>
      </c>
      <c r="P1964">
        <v>0</v>
      </c>
      <c r="Q1964">
        <v>0</v>
      </c>
      <c r="R1964">
        <v>0</v>
      </c>
      <c r="T1964" s="29">
        <v>90000</v>
      </c>
      <c r="U1964" s="29">
        <v>1350000</v>
      </c>
      <c r="V1964" t="s">
        <v>1262</v>
      </c>
      <c r="W1964" t="s">
        <v>1262</v>
      </c>
      <c r="X1964" s="29">
        <v>1350000</v>
      </c>
      <c r="AA1964" s="30">
        <v>45790.333333333336</v>
      </c>
      <c r="AB1964" s="30">
        <v>45791.666666666664</v>
      </c>
      <c r="AC1964" s="30">
        <v>45790.333333333336</v>
      </c>
      <c r="AD1964" s="30">
        <v>45791.666666666664</v>
      </c>
      <c r="AE1964" s="30">
        <v>45849.666666666664</v>
      </c>
      <c r="AF1964" s="30">
        <v>45853.625</v>
      </c>
      <c r="AG1964" t="s">
        <v>1266</v>
      </c>
      <c r="AK1964" t="s">
        <v>1265</v>
      </c>
      <c r="AL1964" t="s">
        <v>2711</v>
      </c>
      <c r="AM1964" t="s">
        <v>1263</v>
      </c>
      <c r="AN1964" t="s">
        <v>1262</v>
      </c>
      <c r="AO1964">
        <v>0</v>
      </c>
      <c r="AQ1964" t="s">
        <v>1261</v>
      </c>
      <c r="AR1964" t="s">
        <v>1260</v>
      </c>
      <c r="AS1964" t="s">
        <v>1259</v>
      </c>
      <c r="AT1964" s="30">
        <v>46069.518055555556</v>
      </c>
    </row>
    <row r="1965" spans="1:46" x14ac:dyDescent="0.25">
      <c r="A1965" t="s">
        <v>1248</v>
      </c>
      <c r="B1965">
        <v>247804</v>
      </c>
      <c r="C1965">
        <v>352065</v>
      </c>
      <c r="D1965">
        <v>405</v>
      </c>
      <c r="E1965" t="s">
        <v>1266</v>
      </c>
      <c r="H1965">
        <v>1893</v>
      </c>
      <c r="K1965">
        <v>7</v>
      </c>
      <c r="L1965">
        <v>7</v>
      </c>
      <c r="M1965">
        <v>1</v>
      </c>
      <c r="N1965">
        <v>0</v>
      </c>
      <c r="O1965">
        <v>1</v>
      </c>
      <c r="P1965">
        <v>0</v>
      </c>
      <c r="Q1965">
        <v>0</v>
      </c>
      <c r="R1965">
        <v>0</v>
      </c>
      <c r="T1965" s="29">
        <v>90000</v>
      </c>
      <c r="U1965" s="29">
        <v>630000</v>
      </c>
      <c r="V1965" t="s">
        <v>1262</v>
      </c>
      <c r="W1965" t="s">
        <v>1262</v>
      </c>
      <c r="X1965" s="29">
        <v>630000</v>
      </c>
      <c r="AA1965" s="30">
        <v>45813.416666666664</v>
      </c>
      <c r="AB1965" s="30">
        <v>45814.375</v>
      </c>
      <c r="AC1965" s="30">
        <v>45813.416666666664</v>
      </c>
      <c r="AD1965" s="30">
        <v>45814.375</v>
      </c>
      <c r="AE1965" s="30">
        <v>45875.375</v>
      </c>
      <c r="AF1965" s="30">
        <v>45875.708333333336</v>
      </c>
      <c r="AG1965" t="s">
        <v>1266</v>
      </c>
      <c r="AK1965" t="s">
        <v>1265</v>
      </c>
      <c r="AL1965" t="s">
        <v>2710</v>
      </c>
      <c r="AM1965" t="s">
        <v>1263</v>
      </c>
      <c r="AN1965" t="s">
        <v>1262</v>
      </c>
      <c r="AO1965">
        <v>0</v>
      </c>
      <c r="AQ1965" t="s">
        <v>1261</v>
      </c>
      <c r="AR1965" t="s">
        <v>1260</v>
      </c>
      <c r="AS1965" t="s">
        <v>1259</v>
      </c>
      <c r="AT1965" s="30">
        <v>46069.518055555556</v>
      </c>
    </row>
    <row r="1966" spans="1:46" x14ac:dyDescent="0.25">
      <c r="A1966" t="s">
        <v>1248</v>
      </c>
      <c r="B1966">
        <v>247805</v>
      </c>
      <c r="C1966">
        <v>352066</v>
      </c>
      <c r="D1966">
        <v>405</v>
      </c>
      <c r="E1966" t="s">
        <v>1266</v>
      </c>
      <c r="H1966">
        <v>1893</v>
      </c>
      <c r="K1966">
        <v>16</v>
      </c>
      <c r="L1966">
        <v>16</v>
      </c>
      <c r="M1966">
        <v>1</v>
      </c>
      <c r="N1966">
        <v>0</v>
      </c>
      <c r="O1966">
        <v>1</v>
      </c>
      <c r="P1966">
        <v>0</v>
      </c>
      <c r="Q1966">
        <v>0</v>
      </c>
      <c r="R1966">
        <v>0</v>
      </c>
      <c r="T1966" s="29">
        <v>90000</v>
      </c>
      <c r="U1966" s="29">
        <v>1440000</v>
      </c>
      <c r="V1966" t="s">
        <v>1262</v>
      </c>
      <c r="W1966" t="s">
        <v>1262</v>
      </c>
      <c r="X1966" s="29">
        <v>1440000</v>
      </c>
      <c r="AA1966" s="30">
        <v>45777.458333333336</v>
      </c>
      <c r="AB1966" s="30">
        <v>45779.458333333336</v>
      </c>
      <c r="AC1966" s="30">
        <v>45777.458333333336</v>
      </c>
      <c r="AD1966" s="30">
        <v>45779.458333333336</v>
      </c>
      <c r="AE1966" s="30">
        <v>45846.333333333336</v>
      </c>
      <c r="AF1966" s="30">
        <v>45847.708333333336</v>
      </c>
      <c r="AG1966" t="s">
        <v>1266</v>
      </c>
      <c r="AK1966" t="s">
        <v>1265</v>
      </c>
      <c r="AL1966" t="s">
        <v>2709</v>
      </c>
      <c r="AM1966" t="s">
        <v>1263</v>
      </c>
      <c r="AN1966" t="s">
        <v>1262</v>
      </c>
      <c r="AO1966">
        <v>0</v>
      </c>
      <c r="AQ1966" t="s">
        <v>1261</v>
      </c>
      <c r="AR1966" t="s">
        <v>1260</v>
      </c>
      <c r="AS1966" t="s">
        <v>1259</v>
      </c>
      <c r="AT1966" s="30">
        <v>46069.518055555556</v>
      </c>
    </row>
    <row r="1967" spans="1:46" x14ac:dyDescent="0.25">
      <c r="A1967" t="s">
        <v>1248</v>
      </c>
      <c r="B1967">
        <v>247806</v>
      </c>
      <c r="C1967">
        <v>352072</v>
      </c>
      <c r="D1967">
        <v>405</v>
      </c>
      <c r="E1967" t="s">
        <v>1266</v>
      </c>
      <c r="H1967">
        <v>1893</v>
      </c>
      <c r="K1967">
        <v>8</v>
      </c>
      <c r="L1967">
        <v>8</v>
      </c>
      <c r="M1967">
        <v>1</v>
      </c>
      <c r="N1967">
        <v>0</v>
      </c>
      <c r="O1967">
        <v>1</v>
      </c>
      <c r="P1967">
        <v>0</v>
      </c>
      <c r="Q1967">
        <v>0</v>
      </c>
      <c r="R1967">
        <v>0</v>
      </c>
      <c r="T1967" s="29">
        <v>90000</v>
      </c>
      <c r="U1967" s="29">
        <v>720000</v>
      </c>
      <c r="V1967" t="s">
        <v>1262</v>
      </c>
      <c r="W1967" t="s">
        <v>1262</v>
      </c>
      <c r="X1967" s="29">
        <v>720000</v>
      </c>
      <c r="AA1967" s="30">
        <v>45803.458333333336</v>
      </c>
      <c r="AB1967" s="30">
        <v>45804.458333333336</v>
      </c>
      <c r="AC1967" s="30">
        <v>45803.458333333336</v>
      </c>
      <c r="AD1967" s="30">
        <v>45804.458333333336</v>
      </c>
      <c r="AE1967" s="30">
        <v>45874.375</v>
      </c>
      <c r="AF1967" s="30">
        <v>45875.375</v>
      </c>
      <c r="AG1967" t="s">
        <v>1266</v>
      </c>
      <c r="AK1967" t="s">
        <v>1265</v>
      </c>
      <c r="AL1967" t="s">
        <v>2708</v>
      </c>
      <c r="AM1967" t="s">
        <v>1263</v>
      </c>
      <c r="AN1967" t="s">
        <v>1262</v>
      </c>
      <c r="AO1967">
        <v>0</v>
      </c>
      <c r="AQ1967" t="s">
        <v>1261</v>
      </c>
      <c r="AR1967" t="s">
        <v>1260</v>
      </c>
      <c r="AS1967" t="s">
        <v>1259</v>
      </c>
      <c r="AT1967" s="30">
        <v>46069.518055555556</v>
      </c>
    </row>
    <row r="1968" spans="1:46" x14ac:dyDescent="0.25">
      <c r="A1968" t="s">
        <v>1248</v>
      </c>
      <c r="B1968">
        <v>247807</v>
      </c>
      <c r="C1968">
        <v>352073</v>
      </c>
      <c r="D1968">
        <v>405</v>
      </c>
      <c r="E1968" t="s">
        <v>1266</v>
      </c>
      <c r="H1968">
        <v>1893</v>
      </c>
      <c r="K1968">
        <v>15</v>
      </c>
      <c r="L1968">
        <v>15</v>
      </c>
      <c r="M1968">
        <v>1</v>
      </c>
      <c r="N1968">
        <v>0</v>
      </c>
      <c r="O1968">
        <v>1</v>
      </c>
      <c r="P1968">
        <v>0</v>
      </c>
      <c r="Q1968">
        <v>0</v>
      </c>
      <c r="R1968">
        <v>0</v>
      </c>
      <c r="T1968" s="29">
        <v>90000</v>
      </c>
      <c r="U1968" s="29">
        <v>1350000</v>
      </c>
      <c r="V1968" t="s">
        <v>1262</v>
      </c>
      <c r="W1968" t="s">
        <v>1262</v>
      </c>
      <c r="X1968" s="29">
        <v>1350000</v>
      </c>
      <c r="AA1968" s="30">
        <v>45775.541666666664</v>
      </c>
      <c r="AB1968" s="30">
        <v>45777.458333333336</v>
      </c>
      <c r="AC1968" s="30">
        <v>45775.541666666664</v>
      </c>
      <c r="AD1968" s="30">
        <v>45777.458333333336</v>
      </c>
      <c r="AE1968" s="30">
        <v>45833.625</v>
      </c>
      <c r="AF1968" s="30">
        <v>45835.583333333336</v>
      </c>
      <c r="AG1968" t="s">
        <v>1266</v>
      </c>
      <c r="AK1968" t="s">
        <v>1265</v>
      </c>
      <c r="AL1968" t="s">
        <v>2707</v>
      </c>
      <c r="AM1968" t="s">
        <v>1263</v>
      </c>
      <c r="AN1968" t="s">
        <v>1262</v>
      </c>
      <c r="AO1968">
        <v>0</v>
      </c>
      <c r="AQ1968" t="s">
        <v>1261</v>
      </c>
      <c r="AR1968" t="s">
        <v>1260</v>
      </c>
      <c r="AS1968" t="s">
        <v>1259</v>
      </c>
      <c r="AT1968" s="30">
        <v>46069.518055555556</v>
      </c>
    </row>
    <row r="1969" spans="1:46" x14ac:dyDescent="0.25">
      <c r="A1969" t="s">
        <v>1248</v>
      </c>
      <c r="B1969">
        <v>247808</v>
      </c>
      <c r="C1969">
        <v>352079</v>
      </c>
      <c r="D1969">
        <v>405</v>
      </c>
      <c r="E1969" t="s">
        <v>1266</v>
      </c>
      <c r="H1969">
        <v>1893</v>
      </c>
      <c r="K1969">
        <v>7</v>
      </c>
      <c r="L1969">
        <v>7</v>
      </c>
      <c r="M1969">
        <v>1</v>
      </c>
      <c r="N1969">
        <v>0</v>
      </c>
      <c r="O1969">
        <v>1</v>
      </c>
      <c r="P1969">
        <v>0</v>
      </c>
      <c r="Q1969">
        <v>0</v>
      </c>
      <c r="R1969">
        <v>0</v>
      </c>
      <c r="T1969" s="29">
        <v>90000</v>
      </c>
      <c r="U1969" s="29">
        <v>630000</v>
      </c>
      <c r="V1969" t="s">
        <v>1262</v>
      </c>
      <c r="W1969" t="s">
        <v>1262</v>
      </c>
      <c r="X1969" s="29">
        <v>630000</v>
      </c>
      <c r="AA1969" s="30">
        <v>45798.625</v>
      </c>
      <c r="AB1969" s="30">
        <v>45799.583333333336</v>
      </c>
      <c r="AC1969" s="30">
        <v>45798.625</v>
      </c>
      <c r="AD1969" s="30">
        <v>45799.583333333336</v>
      </c>
      <c r="AE1969" s="30">
        <v>45873.416666666664</v>
      </c>
      <c r="AF1969" s="30">
        <v>45874.375</v>
      </c>
      <c r="AG1969" t="s">
        <v>1266</v>
      </c>
      <c r="AK1969" t="s">
        <v>1265</v>
      </c>
      <c r="AL1969" t="s">
        <v>2706</v>
      </c>
      <c r="AM1969" t="s">
        <v>1263</v>
      </c>
      <c r="AN1969" t="s">
        <v>1262</v>
      </c>
      <c r="AO1969">
        <v>0</v>
      </c>
      <c r="AQ1969" t="s">
        <v>1261</v>
      </c>
      <c r="AR1969" t="s">
        <v>1260</v>
      </c>
      <c r="AS1969" t="s">
        <v>1259</v>
      </c>
      <c r="AT1969" s="30">
        <v>46069.518055555556</v>
      </c>
    </row>
    <row r="1970" spans="1:46" x14ac:dyDescent="0.25">
      <c r="A1970" t="s">
        <v>1248</v>
      </c>
      <c r="B1970">
        <v>247809</v>
      </c>
      <c r="C1970">
        <v>352080</v>
      </c>
      <c r="D1970">
        <v>405</v>
      </c>
      <c r="E1970" t="s">
        <v>1266</v>
      </c>
      <c r="H1970">
        <v>1893</v>
      </c>
      <c r="K1970">
        <v>15</v>
      </c>
      <c r="L1970">
        <v>15</v>
      </c>
      <c r="M1970">
        <v>1</v>
      </c>
      <c r="N1970">
        <v>0</v>
      </c>
      <c r="O1970">
        <v>1</v>
      </c>
      <c r="P1970">
        <v>0</v>
      </c>
      <c r="Q1970">
        <v>0</v>
      </c>
      <c r="R1970">
        <v>0</v>
      </c>
      <c r="T1970" s="29">
        <v>90000</v>
      </c>
      <c r="U1970" s="29">
        <v>1350000</v>
      </c>
      <c r="V1970" t="s">
        <v>1262</v>
      </c>
      <c r="W1970" t="s">
        <v>1262</v>
      </c>
      <c r="X1970" s="29">
        <v>1350000</v>
      </c>
      <c r="AA1970" s="30">
        <v>45771.583333333336</v>
      </c>
      <c r="AB1970" s="30">
        <v>45775.5</v>
      </c>
      <c r="AC1970" s="30">
        <v>45771.583333333336</v>
      </c>
      <c r="AD1970" s="30">
        <v>45775.5</v>
      </c>
      <c r="AE1970" s="30">
        <v>45827.625</v>
      </c>
      <c r="AF1970" s="30">
        <v>45831.583333333336</v>
      </c>
      <c r="AG1970" t="s">
        <v>1266</v>
      </c>
      <c r="AK1970" t="s">
        <v>1265</v>
      </c>
      <c r="AL1970" t="s">
        <v>2705</v>
      </c>
      <c r="AM1970" t="s">
        <v>1263</v>
      </c>
      <c r="AN1970" t="s">
        <v>1262</v>
      </c>
      <c r="AO1970">
        <v>0</v>
      </c>
      <c r="AQ1970" t="s">
        <v>1261</v>
      </c>
      <c r="AR1970" t="s">
        <v>1260</v>
      </c>
      <c r="AS1970" t="s">
        <v>1259</v>
      </c>
      <c r="AT1970" s="30">
        <v>46069.518055555556</v>
      </c>
    </row>
    <row r="1971" spans="1:46" x14ac:dyDescent="0.25">
      <c r="A1971" t="s">
        <v>1248</v>
      </c>
      <c r="B1971">
        <v>247810</v>
      </c>
      <c r="C1971">
        <v>352086</v>
      </c>
      <c r="D1971">
        <v>405</v>
      </c>
      <c r="E1971" t="s">
        <v>1266</v>
      </c>
      <c r="H1971">
        <v>1893</v>
      </c>
      <c r="K1971">
        <v>7</v>
      </c>
      <c r="L1971">
        <v>7</v>
      </c>
      <c r="M1971">
        <v>1</v>
      </c>
      <c r="N1971">
        <v>0</v>
      </c>
      <c r="O1971">
        <v>1</v>
      </c>
      <c r="P1971">
        <v>0</v>
      </c>
      <c r="Q1971">
        <v>0</v>
      </c>
      <c r="R1971">
        <v>0</v>
      </c>
      <c r="T1971" s="29">
        <v>90000</v>
      </c>
      <c r="U1971" s="29">
        <v>630000</v>
      </c>
      <c r="V1971" t="s">
        <v>1262</v>
      </c>
      <c r="W1971" t="s">
        <v>1262</v>
      </c>
      <c r="X1971" s="29">
        <v>630000</v>
      </c>
      <c r="AA1971" s="30">
        <v>45796.666666666664</v>
      </c>
      <c r="AB1971" s="30">
        <v>45797.625</v>
      </c>
      <c r="AC1971" s="30">
        <v>45796.666666666664</v>
      </c>
      <c r="AD1971" s="30">
        <v>45797.625</v>
      </c>
      <c r="AE1971" s="30">
        <v>45870.458333333336</v>
      </c>
      <c r="AF1971" s="30">
        <v>45873.416666666664</v>
      </c>
      <c r="AG1971" t="s">
        <v>1266</v>
      </c>
      <c r="AK1971" t="s">
        <v>1265</v>
      </c>
      <c r="AL1971" t="s">
        <v>2704</v>
      </c>
      <c r="AM1971" t="s">
        <v>1263</v>
      </c>
      <c r="AN1971" t="s">
        <v>1262</v>
      </c>
      <c r="AO1971">
        <v>0</v>
      </c>
      <c r="AQ1971" t="s">
        <v>1261</v>
      </c>
      <c r="AR1971" t="s">
        <v>1260</v>
      </c>
      <c r="AS1971" t="s">
        <v>1259</v>
      </c>
      <c r="AT1971" s="30">
        <v>46069.518055555556</v>
      </c>
    </row>
    <row r="1972" spans="1:46" x14ac:dyDescent="0.25">
      <c r="A1972" t="s">
        <v>1248</v>
      </c>
      <c r="B1972">
        <v>247811</v>
      </c>
      <c r="C1972">
        <v>352087</v>
      </c>
      <c r="D1972">
        <v>405</v>
      </c>
      <c r="E1972" t="s">
        <v>1266</v>
      </c>
      <c r="H1972">
        <v>1893</v>
      </c>
      <c r="K1972">
        <v>15</v>
      </c>
      <c r="L1972">
        <v>15</v>
      </c>
      <c r="M1972">
        <v>1</v>
      </c>
      <c r="N1972">
        <v>0</v>
      </c>
      <c r="O1972">
        <v>1</v>
      </c>
      <c r="P1972">
        <v>0</v>
      </c>
      <c r="Q1972">
        <v>0</v>
      </c>
      <c r="R1972">
        <v>0</v>
      </c>
      <c r="T1972" s="29">
        <v>90000</v>
      </c>
      <c r="U1972" s="29">
        <v>1350000</v>
      </c>
      <c r="V1972" t="s">
        <v>1262</v>
      </c>
      <c r="W1972" t="s">
        <v>1262</v>
      </c>
      <c r="X1972" s="29">
        <v>1350000</v>
      </c>
      <c r="AA1972" s="30">
        <v>45769.625</v>
      </c>
      <c r="AB1972" s="30">
        <v>45771.583333333336</v>
      </c>
      <c r="AC1972" s="30">
        <v>45769.625</v>
      </c>
      <c r="AD1972" s="30">
        <v>45771.583333333336</v>
      </c>
      <c r="AE1972" s="30">
        <v>45821.625</v>
      </c>
      <c r="AF1972" s="30">
        <v>45825.583333333336</v>
      </c>
      <c r="AG1972" t="s">
        <v>1266</v>
      </c>
      <c r="AK1972" t="s">
        <v>1265</v>
      </c>
      <c r="AL1972" t="s">
        <v>2703</v>
      </c>
      <c r="AM1972" t="s">
        <v>1263</v>
      </c>
      <c r="AN1972" t="s">
        <v>1262</v>
      </c>
      <c r="AO1972">
        <v>0</v>
      </c>
      <c r="AQ1972" t="s">
        <v>1261</v>
      </c>
      <c r="AR1972" t="s">
        <v>1260</v>
      </c>
      <c r="AS1972" t="s">
        <v>1259</v>
      </c>
      <c r="AT1972" s="30">
        <v>46069.518055555556</v>
      </c>
    </row>
    <row r="1973" spans="1:46" x14ac:dyDescent="0.25">
      <c r="A1973" t="s">
        <v>1248</v>
      </c>
      <c r="B1973">
        <v>247812</v>
      </c>
      <c r="C1973">
        <v>352093</v>
      </c>
      <c r="D1973">
        <v>405</v>
      </c>
      <c r="E1973" t="s">
        <v>1266</v>
      </c>
      <c r="H1973">
        <v>1893</v>
      </c>
      <c r="K1973">
        <v>7</v>
      </c>
      <c r="L1973">
        <v>7</v>
      </c>
      <c r="M1973">
        <v>1</v>
      </c>
      <c r="N1973">
        <v>0</v>
      </c>
      <c r="O1973">
        <v>1</v>
      </c>
      <c r="P1973">
        <v>0</v>
      </c>
      <c r="Q1973">
        <v>0</v>
      </c>
      <c r="R1973">
        <v>0</v>
      </c>
      <c r="T1973" s="29">
        <v>90000</v>
      </c>
      <c r="U1973" s="29">
        <v>630000</v>
      </c>
      <c r="V1973" t="s">
        <v>1262</v>
      </c>
      <c r="W1973" t="s">
        <v>1262</v>
      </c>
      <c r="X1973" s="29">
        <v>630000</v>
      </c>
      <c r="AA1973" s="30">
        <v>45793.333333333336</v>
      </c>
      <c r="AB1973" s="30">
        <v>45793.666666666664</v>
      </c>
      <c r="AC1973" s="30">
        <v>45793.333333333336</v>
      </c>
      <c r="AD1973" s="30">
        <v>45793.666666666664</v>
      </c>
      <c r="AE1973" s="30">
        <v>45869.541666666664</v>
      </c>
      <c r="AF1973" s="30">
        <v>45870.458333333336</v>
      </c>
      <c r="AG1973" t="s">
        <v>1266</v>
      </c>
      <c r="AK1973" t="s">
        <v>1265</v>
      </c>
      <c r="AL1973" t="s">
        <v>2702</v>
      </c>
      <c r="AM1973" t="s">
        <v>1263</v>
      </c>
      <c r="AN1973" t="s">
        <v>1262</v>
      </c>
      <c r="AO1973">
        <v>0</v>
      </c>
      <c r="AQ1973" t="s">
        <v>1261</v>
      </c>
      <c r="AR1973" t="s">
        <v>1260</v>
      </c>
      <c r="AS1973" t="s">
        <v>1259</v>
      </c>
      <c r="AT1973" s="30">
        <v>46069.518055555556</v>
      </c>
    </row>
    <row r="1974" spans="1:46" x14ac:dyDescent="0.25">
      <c r="A1974" t="s">
        <v>1248</v>
      </c>
      <c r="B1974">
        <v>247813</v>
      </c>
      <c r="C1974">
        <v>352094</v>
      </c>
      <c r="D1974">
        <v>405</v>
      </c>
      <c r="E1974" t="s">
        <v>1266</v>
      </c>
      <c r="H1974">
        <v>1893</v>
      </c>
      <c r="K1974">
        <v>15</v>
      </c>
      <c r="L1974">
        <v>15</v>
      </c>
      <c r="M1974">
        <v>1</v>
      </c>
      <c r="N1974">
        <v>0</v>
      </c>
      <c r="O1974">
        <v>1</v>
      </c>
      <c r="P1974">
        <v>0</v>
      </c>
      <c r="Q1974">
        <v>0</v>
      </c>
      <c r="R1974">
        <v>0</v>
      </c>
      <c r="T1974" s="29">
        <v>90000</v>
      </c>
      <c r="U1974" s="29">
        <v>1350000</v>
      </c>
      <c r="V1974" t="s">
        <v>1262</v>
      </c>
      <c r="W1974" t="s">
        <v>1262</v>
      </c>
      <c r="X1974" s="29">
        <v>1350000</v>
      </c>
      <c r="AA1974" s="30">
        <v>45765.666666666664</v>
      </c>
      <c r="AB1974" s="30">
        <v>45769.625</v>
      </c>
      <c r="AC1974" s="30">
        <v>45765.666666666664</v>
      </c>
      <c r="AD1974" s="30">
        <v>45769.625</v>
      </c>
      <c r="AE1974" s="30">
        <v>45817.625</v>
      </c>
      <c r="AF1974" s="30">
        <v>45819.583333333336</v>
      </c>
      <c r="AG1974" t="s">
        <v>1266</v>
      </c>
      <c r="AK1974" t="s">
        <v>1265</v>
      </c>
      <c r="AL1974" t="s">
        <v>2701</v>
      </c>
      <c r="AM1974" t="s">
        <v>1263</v>
      </c>
      <c r="AN1974" t="s">
        <v>1262</v>
      </c>
      <c r="AO1974">
        <v>0</v>
      </c>
      <c r="AQ1974" t="s">
        <v>1261</v>
      </c>
      <c r="AR1974" t="s">
        <v>1260</v>
      </c>
      <c r="AS1974" t="s">
        <v>1259</v>
      </c>
      <c r="AT1974" s="30">
        <v>46069.518055555556</v>
      </c>
    </row>
    <row r="1975" spans="1:46" x14ac:dyDescent="0.25">
      <c r="A1975" t="s">
        <v>1248</v>
      </c>
      <c r="B1975">
        <v>247814</v>
      </c>
      <c r="C1975">
        <v>352100</v>
      </c>
      <c r="D1975">
        <v>405</v>
      </c>
      <c r="E1975" t="s">
        <v>1266</v>
      </c>
      <c r="H1975">
        <v>1893</v>
      </c>
      <c r="K1975">
        <v>7</v>
      </c>
      <c r="L1975">
        <v>7</v>
      </c>
      <c r="M1975">
        <v>1</v>
      </c>
      <c r="N1975">
        <v>0</v>
      </c>
      <c r="O1975">
        <v>1</v>
      </c>
      <c r="P1975">
        <v>0</v>
      </c>
      <c r="Q1975">
        <v>0</v>
      </c>
      <c r="R1975">
        <v>0</v>
      </c>
      <c r="T1975" s="29">
        <v>90000</v>
      </c>
      <c r="U1975" s="29">
        <v>630000</v>
      </c>
      <c r="V1975" t="s">
        <v>1262</v>
      </c>
      <c r="W1975" t="s">
        <v>1262</v>
      </c>
      <c r="X1975" s="29">
        <v>630000</v>
      </c>
      <c r="AA1975" s="30">
        <v>45791.375</v>
      </c>
      <c r="AB1975" s="30">
        <v>45791.708333333336</v>
      </c>
      <c r="AC1975" s="30">
        <v>45791.375</v>
      </c>
      <c r="AD1975" s="30">
        <v>45791.708333333336</v>
      </c>
      <c r="AE1975" s="30">
        <v>45868.583333333336</v>
      </c>
      <c r="AF1975" s="30">
        <v>45869.5</v>
      </c>
      <c r="AG1975" t="s">
        <v>1266</v>
      </c>
      <c r="AK1975" t="s">
        <v>1265</v>
      </c>
      <c r="AL1975" t="s">
        <v>2700</v>
      </c>
      <c r="AM1975" t="s">
        <v>1263</v>
      </c>
      <c r="AN1975" t="s">
        <v>1262</v>
      </c>
      <c r="AO1975">
        <v>0</v>
      </c>
      <c r="AQ1975" t="s">
        <v>1261</v>
      </c>
      <c r="AR1975" t="s">
        <v>1260</v>
      </c>
      <c r="AS1975" t="s">
        <v>1259</v>
      </c>
      <c r="AT1975" s="30">
        <v>46069.518055555556</v>
      </c>
    </row>
    <row r="1976" spans="1:46" x14ac:dyDescent="0.25">
      <c r="A1976" t="s">
        <v>1248</v>
      </c>
      <c r="B1976">
        <v>247815</v>
      </c>
      <c r="C1976">
        <v>352101</v>
      </c>
      <c r="D1976">
        <v>405</v>
      </c>
      <c r="E1976" t="s">
        <v>1266</v>
      </c>
      <c r="H1976">
        <v>1893</v>
      </c>
      <c r="K1976">
        <v>15</v>
      </c>
      <c r="L1976">
        <v>15</v>
      </c>
      <c r="M1976">
        <v>1</v>
      </c>
      <c r="N1976">
        <v>0</v>
      </c>
      <c r="O1976">
        <v>1</v>
      </c>
      <c r="P1976">
        <v>0</v>
      </c>
      <c r="Q1976">
        <v>0</v>
      </c>
      <c r="R1976">
        <v>0</v>
      </c>
      <c r="T1976" s="29">
        <v>90000</v>
      </c>
      <c r="U1976" s="29">
        <v>1350000</v>
      </c>
      <c r="V1976" t="s">
        <v>1262</v>
      </c>
      <c r="W1976" t="s">
        <v>1262</v>
      </c>
      <c r="X1976" s="29">
        <v>1350000</v>
      </c>
      <c r="AA1976" s="30">
        <v>45764.333333333336</v>
      </c>
      <c r="AB1976" s="30">
        <v>45765.666666666664</v>
      </c>
      <c r="AC1976" s="30">
        <v>45764.333333333336</v>
      </c>
      <c r="AD1976" s="30">
        <v>45765.666666666664</v>
      </c>
      <c r="AE1976" s="30">
        <v>45811.625</v>
      </c>
      <c r="AF1976" s="30">
        <v>45813.583333333336</v>
      </c>
      <c r="AG1976" t="s">
        <v>1266</v>
      </c>
      <c r="AK1976" t="s">
        <v>1265</v>
      </c>
      <c r="AL1976" t="s">
        <v>2699</v>
      </c>
      <c r="AM1976" t="s">
        <v>1263</v>
      </c>
      <c r="AN1976" t="s">
        <v>1262</v>
      </c>
      <c r="AO1976">
        <v>0</v>
      </c>
      <c r="AQ1976" t="s">
        <v>1261</v>
      </c>
      <c r="AR1976" t="s">
        <v>1260</v>
      </c>
      <c r="AS1976" t="s">
        <v>1259</v>
      </c>
      <c r="AT1976" s="30">
        <v>46069.518055555556</v>
      </c>
    </row>
    <row r="1977" spans="1:46" x14ac:dyDescent="0.25">
      <c r="A1977" t="s">
        <v>1248</v>
      </c>
      <c r="B1977">
        <v>247816</v>
      </c>
      <c r="C1977">
        <v>352107</v>
      </c>
      <c r="D1977">
        <v>405</v>
      </c>
      <c r="E1977" t="s">
        <v>1266</v>
      </c>
      <c r="H1977">
        <v>1893</v>
      </c>
      <c r="K1977">
        <v>7</v>
      </c>
      <c r="L1977">
        <v>7</v>
      </c>
      <c r="M1977">
        <v>1</v>
      </c>
      <c r="N1977">
        <v>0</v>
      </c>
      <c r="O1977">
        <v>1</v>
      </c>
      <c r="P1977">
        <v>0</v>
      </c>
      <c r="Q1977">
        <v>0</v>
      </c>
      <c r="R1977">
        <v>0</v>
      </c>
      <c r="T1977" s="29">
        <v>90000</v>
      </c>
      <c r="U1977" s="29">
        <v>630000</v>
      </c>
      <c r="V1977" t="s">
        <v>1262</v>
      </c>
      <c r="W1977" t="s">
        <v>1262</v>
      </c>
      <c r="X1977" s="29">
        <v>630000</v>
      </c>
      <c r="AA1977" s="30">
        <v>45789.416666666664</v>
      </c>
      <c r="AB1977" s="30">
        <v>45790.375</v>
      </c>
      <c r="AC1977" s="30">
        <v>45789.416666666664</v>
      </c>
      <c r="AD1977" s="30">
        <v>45790.375</v>
      </c>
      <c r="AE1977" s="30">
        <v>45867.625</v>
      </c>
      <c r="AF1977" s="30">
        <v>45868.583333333336</v>
      </c>
      <c r="AG1977" t="s">
        <v>1266</v>
      </c>
      <c r="AK1977" t="s">
        <v>1265</v>
      </c>
      <c r="AL1977" t="s">
        <v>2698</v>
      </c>
      <c r="AM1977" t="s">
        <v>1263</v>
      </c>
      <c r="AN1977" t="s">
        <v>1262</v>
      </c>
      <c r="AO1977">
        <v>0</v>
      </c>
      <c r="AQ1977" t="s">
        <v>1261</v>
      </c>
      <c r="AR1977" t="s">
        <v>1260</v>
      </c>
      <c r="AS1977" t="s">
        <v>1259</v>
      </c>
      <c r="AT1977" s="30">
        <v>46069.518055555556</v>
      </c>
    </row>
    <row r="1978" spans="1:46" x14ac:dyDescent="0.25">
      <c r="A1978" t="s">
        <v>1248</v>
      </c>
      <c r="B1978">
        <v>247817</v>
      </c>
      <c r="C1978">
        <v>352108</v>
      </c>
      <c r="D1978">
        <v>405</v>
      </c>
      <c r="E1978" t="s">
        <v>1266</v>
      </c>
      <c r="H1978">
        <v>1893</v>
      </c>
      <c r="K1978">
        <v>15</v>
      </c>
      <c r="L1978">
        <v>15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0</v>
      </c>
      <c r="T1978" s="29">
        <v>90000</v>
      </c>
      <c r="U1978" s="29">
        <v>1350000</v>
      </c>
      <c r="V1978" t="s">
        <v>1262</v>
      </c>
      <c r="W1978" t="s">
        <v>1262</v>
      </c>
      <c r="X1978" s="29">
        <v>1350000</v>
      </c>
      <c r="AA1978" s="30">
        <v>45754.375</v>
      </c>
      <c r="AB1978" s="30">
        <v>45755.708333333336</v>
      </c>
      <c r="AC1978" s="30">
        <v>45754.375</v>
      </c>
      <c r="AD1978" s="30">
        <v>45755.708333333336</v>
      </c>
      <c r="AE1978" s="30">
        <v>45805.625</v>
      </c>
      <c r="AF1978" s="30">
        <v>45807.583333333336</v>
      </c>
      <c r="AG1978" t="s">
        <v>1266</v>
      </c>
      <c r="AK1978" t="s">
        <v>1265</v>
      </c>
      <c r="AL1978" t="s">
        <v>2697</v>
      </c>
      <c r="AM1978" t="s">
        <v>1263</v>
      </c>
      <c r="AN1978" t="s">
        <v>1262</v>
      </c>
      <c r="AO1978">
        <v>0</v>
      </c>
      <c r="AQ1978" t="s">
        <v>1261</v>
      </c>
      <c r="AR1978" t="s">
        <v>1260</v>
      </c>
      <c r="AS1978" t="s">
        <v>1259</v>
      </c>
      <c r="AT1978" s="30">
        <v>46069.518055555556</v>
      </c>
    </row>
    <row r="1979" spans="1:46" x14ac:dyDescent="0.25">
      <c r="A1979" t="s">
        <v>1248</v>
      </c>
      <c r="B1979">
        <v>247818</v>
      </c>
      <c r="C1979">
        <v>352114</v>
      </c>
      <c r="D1979">
        <v>405</v>
      </c>
      <c r="E1979" t="s">
        <v>1266</v>
      </c>
      <c r="H1979">
        <v>1893</v>
      </c>
      <c r="K1979">
        <v>7</v>
      </c>
      <c r="L1979">
        <v>7</v>
      </c>
      <c r="M1979">
        <v>1</v>
      </c>
      <c r="N1979">
        <v>0</v>
      </c>
      <c r="O1979">
        <v>1</v>
      </c>
      <c r="P1979">
        <v>0</v>
      </c>
      <c r="Q1979">
        <v>0</v>
      </c>
      <c r="R1979">
        <v>0</v>
      </c>
      <c r="T1979" s="29">
        <v>90000</v>
      </c>
      <c r="U1979" s="29">
        <v>630000</v>
      </c>
      <c r="V1979" t="s">
        <v>1262</v>
      </c>
      <c r="W1979" t="s">
        <v>1262</v>
      </c>
      <c r="X1979" s="29">
        <v>630000</v>
      </c>
      <c r="AA1979" s="30">
        <v>45777.458333333336</v>
      </c>
      <c r="AB1979" s="30">
        <v>45778.416666666664</v>
      </c>
      <c r="AC1979" s="30">
        <v>45777.458333333336</v>
      </c>
      <c r="AD1979" s="30">
        <v>45778.416666666664</v>
      </c>
      <c r="AE1979" s="30">
        <v>45866.666666666664</v>
      </c>
      <c r="AF1979" s="30">
        <v>45867.625</v>
      </c>
      <c r="AG1979" t="s">
        <v>1266</v>
      </c>
      <c r="AK1979" t="s">
        <v>1265</v>
      </c>
      <c r="AL1979" t="s">
        <v>2696</v>
      </c>
      <c r="AM1979" t="s">
        <v>1263</v>
      </c>
      <c r="AN1979" t="s">
        <v>1262</v>
      </c>
      <c r="AO1979">
        <v>0</v>
      </c>
      <c r="AQ1979" t="s">
        <v>1261</v>
      </c>
      <c r="AR1979" t="s">
        <v>1260</v>
      </c>
      <c r="AS1979" t="s">
        <v>1259</v>
      </c>
      <c r="AT1979" s="30">
        <v>46069.518055555556</v>
      </c>
    </row>
    <row r="1980" spans="1:46" x14ac:dyDescent="0.25">
      <c r="A1980" t="s">
        <v>1248</v>
      </c>
      <c r="B1980">
        <v>247819</v>
      </c>
      <c r="C1980">
        <v>352115</v>
      </c>
      <c r="D1980">
        <v>405</v>
      </c>
      <c r="E1980" t="s">
        <v>1266</v>
      </c>
      <c r="H1980">
        <v>1893</v>
      </c>
      <c r="K1980">
        <v>15</v>
      </c>
      <c r="L1980">
        <v>15</v>
      </c>
      <c r="M1980">
        <v>1</v>
      </c>
      <c r="N1980">
        <v>0</v>
      </c>
      <c r="O1980">
        <v>1</v>
      </c>
      <c r="P1980">
        <v>0</v>
      </c>
      <c r="Q1980">
        <v>0</v>
      </c>
      <c r="R1980">
        <v>0</v>
      </c>
      <c r="T1980" s="29">
        <v>90000</v>
      </c>
      <c r="U1980" s="29">
        <v>1350000</v>
      </c>
      <c r="V1980" t="s">
        <v>1262</v>
      </c>
      <c r="W1980" t="s">
        <v>1262</v>
      </c>
      <c r="X1980" s="29">
        <v>1350000</v>
      </c>
      <c r="AA1980" s="30">
        <v>45750.416666666664</v>
      </c>
      <c r="AB1980" s="30">
        <v>45754.375</v>
      </c>
      <c r="AC1980" s="30">
        <v>45750.416666666664</v>
      </c>
      <c r="AD1980" s="30">
        <v>45754.375</v>
      </c>
      <c r="AE1980" s="30">
        <v>45799.625</v>
      </c>
      <c r="AF1980" s="30">
        <v>45803.583333333336</v>
      </c>
      <c r="AG1980" t="s">
        <v>1266</v>
      </c>
      <c r="AK1980" t="s">
        <v>1265</v>
      </c>
      <c r="AL1980" t="s">
        <v>2695</v>
      </c>
      <c r="AM1980" t="s">
        <v>1263</v>
      </c>
      <c r="AN1980" t="s">
        <v>1262</v>
      </c>
      <c r="AO1980">
        <v>0</v>
      </c>
      <c r="AQ1980" t="s">
        <v>1261</v>
      </c>
      <c r="AR1980" t="s">
        <v>1260</v>
      </c>
      <c r="AS1980" t="s">
        <v>1259</v>
      </c>
      <c r="AT1980" s="30">
        <v>46069.518055555556</v>
      </c>
    </row>
    <row r="1981" spans="1:46" x14ac:dyDescent="0.25">
      <c r="A1981" t="s">
        <v>1248</v>
      </c>
      <c r="B1981">
        <v>247820</v>
      </c>
      <c r="C1981">
        <v>352121</v>
      </c>
      <c r="D1981">
        <v>405</v>
      </c>
      <c r="E1981" t="s">
        <v>1266</v>
      </c>
      <c r="H1981">
        <v>1893</v>
      </c>
      <c r="K1981">
        <v>7</v>
      </c>
      <c r="L1981">
        <v>7</v>
      </c>
      <c r="M1981">
        <v>1</v>
      </c>
      <c r="N1981">
        <v>0</v>
      </c>
      <c r="O1981">
        <v>1</v>
      </c>
      <c r="P1981">
        <v>0</v>
      </c>
      <c r="Q1981">
        <v>0</v>
      </c>
      <c r="R1981">
        <v>0</v>
      </c>
      <c r="T1981" s="29">
        <v>90000</v>
      </c>
      <c r="U1981" s="29">
        <v>630000</v>
      </c>
      <c r="V1981" t="s">
        <v>1262</v>
      </c>
      <c r="W1981" t="s">
        <v>1262</v>
      </c>
      <c r="X1981" s="29">
        <v>630000</v>
      </c>
      <c r="AA1981" s="30">
        <v>45775.541666666664</v>
      </c>
      <c r="AB1981" s="30">
        <v>45776.458333333336</v>
      </c>
      <c r="AC1981" s="30">
        <v>45775.541666666664</v>
      </c>
      <c r="AD1981" s="30">
        <v>45776.458333333336</v>
      </c>
      <c r="AE1981" s="30">
        <v>45866.333333333336</v>
      </c>
      <c r="AF1981" s="30">
        <v>45866.666666666664</v>
      </c>
      <c r="AG1981" t="s">
        <v>1266</v>
      </c>
      <c r="AK1981" t="s">
        <v>1265</v>
      </c>
      <c r="AL1981" t="s">
        <v>2694</v>
      </c>
      <c r="AM1981" t="s">
        <v>1263</v>
      </c>
      <c r="AN1981" t="s">
        <v>1262</v>
      </c>
      <c r="AO1981">
        <v>0</v>
      </c>
      <c r="AQ1981" t="s">
        <v>1261</v>
      </c>
      <c r="AR1981" t="s">
        <v>1260</v>
      </c>
      <c r="AS1981" t="s">
        <v>1259</v>
      </c>
      <c r="AT1981" s="30">
        <v>46069.518055555556</v>
      </c>
    </row>
    <row r="1982" spans="1:46" x14ac:dyDescent="0.25">
      <c r="A1982" t="s">
        <v>1248</v>
      </c>
      <c r="B1982">
        <v>247821</v>
      </c>
      <c r="C1982">
        <v>352122</v>
      </c>
      <c r="D1982">
        <v>405</v>
      </c>
      <c r="E1982" t="s">
        <v>1266</v>
      </c>
      <c r="H1982">
        <v>1893</v>
      </c>
      <c r="K1982">
        <v>15</v>
      </c>
      <c r="L1982">
        <v>15</v>
      </c>
      <c r="M1982">
        <v>1</v>
      </c>
      <c r="N1982">
        <v>0</v>
      </c>
      <c r="O1982">
        <v>1</v>
      </c>
      <c r="P1982">
        <v>0</v>
      </c>
      <c r="Q1982">
        <v>0</v>
      </c>
      <c r="R1982">
        <v>0</v>
      </c>
      <c r="T1982" s="29">
        <v>90000</v>
      </c>
      <c r="U1982" s="29">
        <v>1350000</v>
      </c>
      <c r="V1982" t="s">
        <v>1262</v>
      </c>
      <c r="W1982" t="s">
        <v>1262</v>
      </c>
      <c r="X1982" s="29">
        <v>1350000</v>
      </c>
      <c r="AA1982" s="30">
        <v>45748.458333333336</v>
      </c>
      <c r="AB1982" s="30">
        <v>45750.416666666664</v>
      </c>
      <c r="AC1982" s="30">
        <v>45748.458333333336</v>
      </c>
      <c r="AD1982" s="30">
        <v>45750.416666666664</v>
      </c>
      <c r="AE1982" s="30">
        <v>45793.625</v>
      </c>
      <c r="AF1982" s="30">
        <v>45797.583333333336</v>
      </c>
      <c r="AG1982" t="s">
        <v>1266</v>
      </c>
      <c r="AK1982" t="s">
        <v>1265</v>
      </c>
      <c r="AL1982" t="s">
        <v>2693</v>
      </c>
      <c r="AM1982" t="s">
        <v>1263</v>
      </c>
      <c r="AN1982" t="s">
        <v>1262</v>
      </c>
      <c r="AO1982">
        <v>0</v>
      </c>
      <c r="AQ1982" t="s">
        <v>1261</v>
      </c>
      <c r="AR1982" t="s">
        <v>1260</v>
      </c>
      <c r="AS1982" t="s">
        <v>1259</v>
      </c>
      <c r="AT1982" s="30">
        <v>46069.518055555556</v>
      </c>
    </row>
    <row r="1983" spans="1:46" x14ac:dyDescent="0.25">
      <c r="A1983" t="s">
        <v>1248</v>
      </c>
      <c r="B1983">
        <v>247822</v>
      </c>
      <c r="C1983">
        <v>352128</v>
      </c>
      <c r="D1983">
        <v>405</v>
      </c>
      <c r="E1983" t="s">
        <v>1266</v>
      </c>
      <c r="H1983">
        <v>1893</v>
      </c>
      <c r="K1983">
        <v>7</v>
      </c>
      <c r="L1983">
        <v>7</v>
      </c>
      <c r="M1983">
        <v>1</v>
      </c>
      <c r="N1983">
        <v>0</v>
      </c>
      <c r="O1983">
        <v>1</v>
      </c>
      <c r="P1983">
        <v>0</v>
      </c>
      <c r="Q1983">
        <v>0</v>
      </c>
      <c r="R1983">
        <v>0</v>
      </c>
      <c r="T1983" s="29">
        <v>90000</v>
      </c>
      <c r="U1983" s="29">
        <v>630000</v>
      </c>
      <c r="V1983" t="s">
        <v>1262</v>
      </c>
      <c r="W1983" t="s">
        <v>1262</v>
      </c>
      <c r="X1983" s="29">
        <v>630000</v>
      </c>
      <c r="AA1983" s="30">
        <v>45771.583333333336</v>
      </c>
      <c r="AB1983" s="30">
        <v>45772.5</v>
      </c>
      <c r="AC1983" s="30">
        <v>45771.583333333336</v>
      </c>
      <c r="AD1983" s="30">
        <v>45772.5</v>
      </c>
      <c r="AE1983" s="30">
        <v>45863.375</v>
      </c>
      <c r="AF1983" s="30">
        <v>45863.708333333336</v>
      </c>
      <c r="AG1983" t="s">
        <v>1266</v>
      </c>
      <c r="AK1983" t="s">
        <v>1265</v>
      </c>
      <c r="AL1983" t="s">
        <v>2692</v>
      </c>
      <c r="AM1983" t="s">
        <v>1263</v>
      </c>
      <c r="AN1983" t="s">
        <v>1262</v>
      </c>
      <c r="AO1983">
        <v>0</v>
      </c>
      <c r="AQ1983" t="s">
        <v>1261</v>
      </c>
      <c r="AR1983" t="s">
        <v>1260</v>
      </c>
      <c r="AS1983" t="s">
        <v>1259</v>
      </c>
      <c r="AT1983" s="30">
        <v>46069.518055555556</v>
      </c>
    </row>
    <row r="1984" spans="1:46" x14ac:dyDescent="0.25">
      <c r="A1984" t="s">
        <v>1248</v>
      </c>
      <c r="B1984">
        <v>247823</v>
      </c>
      <c r="C1984">
        <v>352129</v>
      </c>
      <c r="D1984">
        <v>405</v>
      </c>
      <c r="E1984" t="s">
        <v>1266</v>
      </c>
      <c r="H1984">
        <v>1893</v>
      </c>
      <c r="K1984">
        <v>15</v>
      </c>
      <c r="L1984">
        <v>15</v>
      </c>
      <c r="M1984">
        <v>1</v>
      </c>
      <c r="N1984">
        <v>0</v>
      </c>
      <c r="O1984">
        <v>1</v>
      </c>
      <c r="P1984">
        <v>0</v>
      </c>
      <c r="Q1984">
        <v>0</v>
      </c>
      <c r="R1984">
        <v>0</v>
      </c>
      <c r="T1984" s="29">
        <v>90000</v>
      </c>
      <c r="U1984" s="29">
        <v>1350000</v>
      </c>
      <c r="V1984" t="s">
        <v>1262</v>
      </c>
      <c r="W1984" t="s">
        <v>1262</v>
      </c>
      <c r="X1984" s="29">
        <v>1350000</v>
      </c>
      <c r="AA1984" s="30">
        <v>45744.541666666664</v>
      </c>
      <c r="AB1984" s="30">
        <v>45748.458333333336</v>
      </c>
      <c r="AC1984" s="30">
        <v>45744.541666666664</v>
      </c>
      <c r="AD1984" s="30">
        <v>45748.458333333336</v>
      </c>
      <c r="AE1984" s="30">
        <v>45789.625</v>
      </c>
      <c r="AF1984" s="30">
        <v>45791.583333333336</v>
      </c>
      <c r="AG1984" t="s">
        <v>1266</v>
      </c>
      <c r="AK1984" t="s">
        <v>1265</v>
      </c>
      <c r="AL1984" t="s">
        <v>2691</v>
      </c>
      <c r="AM1984" t="s">
        <v>1263</v>
      </c>
      <c r="AN1984" t="s">
        <v>1262</v>
      </c>
      <c r="AO1984">
        <v>0</v>
      </c>
      <c r="AQ1984" t="s">
        <v>1261</v>
      </c>
      <c r="AR1984" t="s">
        <v>1260</v>
      </c>
      <c r="AS1984" t="s">
        <v>1259</v>
      </c>
      <c r="AT1984" s="30">
        <v>46069.518055555556</v>
      </c>
    </row>
    <row r="1985" spans="1:46" x14ac:dyDescent="0.25">
      <c r="A1985" t="s">
        <v>1248</v>
      </c>
      <c r="B1985">
        <v>247824</v>
      </c>
      <c r="C1985">
        <v>352135</v>
      </c>
      <c r="D1985">
        <v>405</v>
      </c>
      <c r="E1985" t="s">
        <v>1266</v>
      </c>
      <c r="H1985">
        <v>1893</v>
      </c>
      <c r="K1985">
        <v>7</v>
      </c>
      <c r="L1985">
        <v>7</v>
      </c>
      <c r="M1985">
        <v>1</v>
      </c>
      <c r="N1985">
        <v>0</v>
      </c>
      <c r="O1985">
        <v>1</v>
      </c>
      <c r="P1985">
        <v>0</v>
      </c>
      <c r="Q1985">
        <v>0</v>
      </c>
      <c r="R1985">
        <v>0</v>
      </c>
      <c r="T1985" s="29">
        <v>90000</v>
      </c>
      <c r="U1985" s="29">
        <v>630000</v>
      </c>
      <c r="V1985" t="s">
        <v>1262</v>
      </c>
      <c r="W1985" t="s">
        <v>1262</v>
      </c>
      <c r="X1985" s="29">
        <v>630000</v>
      </c>
      <c r="AA1985" s="30">
        <v>45769.625</v>
      </c>
      <c r="AB1985" s="30">
        <v>45770.583333333336</v>
      </c>
      <c r="AC1985" s="30">
        <v>45769.625</v>
      </c>
      <c r="AD1985" s="30">
        <v>45770.583333333336</v>
      </c>
      <c r="AE1985" s="30">
        <v>45862.416666666664</v>
      </c>
      <c r="AF1985" s="30">
        <v>45863.375</v>
      </c>
      <c r="AG1985" t="s">
        <v>1266</v>
      </c>
      <c r="AK1985" t="s">
        <v>1265</v>
      </c>
      <c r="AL1985" t="s">
        <v>2690</v>
      </c>
      <c r="AM1985" t="s">
        <v>1263</v>
      </c>
      <c r="AN1985" t="s">
        <v>1262</v>
      </c>
      <c r="AO1985">
        <v>0</v>
      </c>
      <c r="AQ1985" t="s">
        <v>1261</v>
      </c>
      <c r="AR1985" t="s">
        <v>1260</v>
      </c>
      <c r="AS1985" t="s">
        <v>1259</v>
      </c>
      <c r="AT1985" s="30">
        <v>46069.518055555556</v>
      </c>
    </row>
    <row r="1986" spans="1:46" x14ac:dyDescent="0.25">
      <c r="A1986" t="s">
        <v>1248</v>
      </c>
      <c r="B1986">
        <v>247825</v>
      </c>
      <c r="C1986">
        <v>352136</v>
      </c>
      <c r="D1986">
        <v>405</v>
      </c>
      <c r="E1986" t="s">
        <v>1266</v>
      </c>
      <c r="H1986">
        <v>1893</v>
      </c>
      <c r="K1986">
        <v>15</v>
      </c>
      <c r="L1986">
        <v>15</v>
      </c>
      <c r="M1986">
        <v>1</v>
      </c>
      <c r="N1986">
        <v>0</v>
      </c>
      <c r="O1986">
        <v>1</v>
      </c>
      <c r="P1986">
        <v>0</v>
      </c>
      <c r="Q1986">
        <v>0</v>
      </c>
      <c r="R1986">
        <v>0</v>
      </c>
      <c r="T1986" s="29">
        <v>90000</v>
      </c>
      <c r="U1986" s="29">
        <v>1350000</v>
      </c>
      <c r="V1986" t="s">
        <v>1262</v>
      </c>
      <c r="W1986" t="s">
        <v>1262</v>
      </c>
      <c r="X1986" s="29">
        <v>1350000</v>
      </c>
      <c r="AA1986" s="30">
        <v>45742.583333333336</v>
      </c>
      <c r="AB1986" s="30">
        <v>45744.5</v>
      </c>
      <c r="AC1986" s="30">
        <v>45742.583333333336</v>
      </c>
      <c r="AD1986" s="30">
        <v>45744.5</v>
      </c>
      <c r="AE1986" s="30">
        <v>45783.625</v>
      </c>
      <c r="AF1986" s="30">
        <v>45785.583333333336</v>
      </c>
      <c r="AG1986" t="s">
        <v>1266</v>
      </c>
      <c r="AK1986" t="s">
        <v>1265</v>
      </c>
      <c r="AL1986" t="s">
        <v>2689</v>
      </c>
      <c r="AM1986" t="s">
        <v>1263</v>
      </c>
      <c r="AN1986" t="s">
        <v>1262</v>
      </c>
      <c r="AO1986">
        <v>0</v>
      </c>
      <c r="AQ1986" t="s">
        <v>1261</v>
      </c>
      <c r="AR1986" t="s">
        <v>1260</v>
      </c>
      <c r="AS1986" t="s">
        <v>1259</v>
      </c>
      <c r="AT1986" s="30">
        <v>46069.518055555556</v>
      </c>
    </row>
    <row r="1987" spans="1:46" x14ac:dyDescent="0.25">
      <c r="A1987" t="s">
        <v>1248</v>
      </c>
      <c r="B1987">
        <v>247826</v>
      </c>
      <c r="C1987">
        <v>352142</v>
      </c>
      <c r="D1987">
        <v>405</v>
      </c>
      <c r="E1987" t="s">
        <v>1266</v>
      </c>
      <c r="H1987">
        <v>1893</v>
      </c>
      <c r="K1987">
        <v>7</v>
      </c>
      <c r="L1987">
        <v>7</v>
      </c>
      <c r="M1987">
        <v>1</v>
      </c>
      <c r="N1987">
        <v>0</v>
      </c>
      <c r="O1987">
        <v>1</v>
      </c>
      <c r="P1987">
        <v>0</v>
      </c>
      <c r="Q1987">
        <v>0</v>
      </c>
      <c r="R1987">
        <v>0</v>
      </c>
      <c r="T1987" s="29">
        <v>90000</v>
      </c>
      <c r="U1987" s="29">
        <v>630000</v>
      </c>
      <c r="V1987" t="s">
        <v>1262</v>
      </c>
      <c r="W1987" t="s">
        <v>1262</v>
      </c>
      <c r="X1987" s="29">
        <v>630000</v>
      </c>
      <c r="AA1987" s="30">
        <v>45765.666666666664</v>
      </c>
      <c r="AB1987" s="30">
        <v>45768.625</v>
      </c>
      <c r="AC1987" s="30">
        <v>45765.666666666664</v>
      </c>
      <c r="AD1987" s="30">
        <v>45768.625</v>
      </c>
      <c r="AE1987" s="30">
        <v>45861.458333333336</v>
      </c>
      <c r="AF1987" s="30">
        <v>45862.416666666664</v>
      </c>
      <c r="AG1987" t="s">
        <v>1266</v>
      </c>
      <c r="AK1987" t="s">
        <v>1265</v>
      </c>
      <c r="AL1987" t="s">
        <v>2688</v>
      </c>
      <c r="AM1987" t="s">
        <v>1263</v>
      </c>
      <c r="AN1987" t="s">
        <v>1262</v>
      </c>
      <c r="AO1987">
        <v>0</v>
      </c>
      <c r="AQ1987" t="s">
        <v>1261</v>
      </c>
      <c r="AR1987" t="s">
        <v>1260</v>
      </c>
      <c r="AS1987" t="s">
        <v>1259</v>
      </c>
      <c r="AT1987" s="30">
        <v>46069.518055555556</v>
      </c>
    </row>
    <row r="1988" spans="1:46" x14ac:dyDescent="0.25">
      <c r="A1988" t="s">
        <v>1248</v>
      </c>
      <c r="B1988">
        <v>247827</v>
      </c>
      <c r="C1988">
        <v>352143</v>
      </c>
      <c r="D1988">
        <v>405</v>
      </c>
      <c r="E1988" t="s">
        <v>1266</v>
      </c>
      <c r="H1988">
        <v>1893</v>
      </c>
      <c r="K1988">
        <v>15</v>
      </c>
      <c r="L1988">
        <v>15</v>
      </c>
      <c r="M1988">
        <v>1</v>
      </c>
      <c r="N1988">
        <v>0</v>
      </c>
      <c r="O1988">
        <v>1</v>
      </c>
      <c r="P1988">
        <v>0</v>
      </c>
      <c r="Q1988">
        <v>0</v>
      </c>
      <c r="R1988">
        <v>0</v>
      </c>
      <c r="T1988" s="29">
        <v>90000</v>
      </c>
      <c r="U1988" s="29">
        <v>1350000</v>
      </c>
      <c r="V1988" t="s">
        <v>1262</v>
      </c>
      <c r="W1988" t="s">
        <v>1262</v>
      </c>
      <c r="X1988" s="29">
        <v>1350000</v>
      </c>
      <c r="AA1988" s="30">
        <v>45740.625</v>
      </c>
      <c r="AB1988" s="30">
        <v>45742.583333333336</v>
      </c>
      <c r="AC1988" s="30">
        <v>45740.625</v>
      </c>
      <c r="AD1988" s="30">
        <v>45742.583333333336</v>
      </c>
      <c r="AE1988" s="30">
        <v>45777.625</v>
      </c>
      <c r="AF1988" s="30">
        <v>45779.583333333336</v>
      </c>
      <c r="AG1988" t="s">
        <v>1266</v>
      </c>
      <c r="AK1988" t="s">
        <v>1265</v>
      </c>
      <c r="AL1988" t="s">
        <v>2687</v>
      </c>
      <c r="AM1988" t="s">
        <v>1263</v>
      </c>
      <c r="AN1988" t="s">
        <v>1262</v>
      </c>
      <c r="AO1988">
        <v>0</v>
      </c>
      <c r="AQ1988" t="s">
        <v>1261</v>
      </c>
      <c r="AR1988" t="s">
        <v>1260</v>
      </c>
      <c r="AS1988" t="s">
        <v>1259</v>
      </c>
      <c r="AT1988" s="30">
        <v>46069.518055555556</v>
      </c>
    </row>
    <row r="1989" spans="1:46" x14ac:dyDescent="0.25">
      <c r="A1989" t="s">
        <v>1248</v>
      </c>
      <c r="B1989">
        <v>247828</v>
      </c>
      <c r="C1989">
        <v>352149</v>
      </c>
      <c r="D1989">
        <v>405</v>
      </c>
      <c r="E1989" t="s">
        <v>1266</v>
      </c>
      <c r="H1989">
        <v>1893</v>
      </c>
      <c r="K1989">
        <v>7</v>
      </c>
      <c r="L1989">
        <v>7</v>
      </c>
      <c r="M1989">
        <v>1</v>
      </c>
      <c r="N1989">
        <v>0</v>
      </c>
      <c r="O1989">
        <v>1</v>
      </c>
      <c r="P1989">
        <v>0</v>
      </c>
      <c r="Q1989">
        <v>0</v>
      </c>
      <c r="R1989">
        <v>0</v>
      </c>
      <c r="T1989" s="29">
        <v>90000</v>
      </c>
      <c r="U1989" s="29">
        <v>630000</v>
      </c>
      <c r="V1989" t="s">
        <v>1262</v>
      </c>
      <c r="W1989" t="s">
        <v>1262</v>
      </c>
      <c r="X1989" s="29">
        <v>630000</v>
      </c>
      <c r="AA1989" s="30">
        <v>45764.333333333336</v>
      </c>
      <c r="AB1989" s="30">
        <v>45764.666666666664</v>
      </c>
      <c r="AC1989" s="30">
        <v>45764.333333333336</v>
      </c>
      <c r="AD1989" s="30">
        <v>45764.666666666664</v>
      </c>
      <c r="AE1989" s="30">
        <v>45860.541666666664</v>
      </c>
      <c r="AF1989" s="30">
        <v>45861.458333333336</v>
      </c>
      <c r="AG1989" t="s">
        <v>1266</v>
      </c>
      <c r="AK1989" t="s">
        <v>1265</v>
      </c>
      <c r="AL1989" t="s">
        <v>2686</v>
      </c>
      <c r="AM1989" t="s">
        <v>1263</v>
      </c>
      <c r="AN1989" t="s">
        <v>1262</v>
      </c>
      <c r="AO1989">
        <v>0</v>
      </c>
      <c r="AQ1989" t="s">
        <v>1261</v>
      </c>
      <c r="AR1989" t="s">
        <v>1260</v>
      </c>
      <c r="AS1989" t="s">
        <v>1259</v>
      </c>
      <c r="AT1989" s="30">
        <v>46069.518055555556</v>
      </c>
    </row>
    <row r="1990" spans="1:46" x14ac:dyDescent="0.25">
      <c r="A1990" t="s">
        <v>1248</v>
      </c>
      <c r="B1990">
        <v>247829</v>
      </c>
      <c r="C1990">
        <v>352150</v>
      </c>
      <c r="D1990">
        <v>405</v>
      </c>
      <c r="E1990" t="s">
        <v>1266</v>
      </c>
      <c r="H1990">
        <v>1893</v>
      </c>
      <c r="K1990">
        <v>15</v>
      </c>
      <c r="L1990">
        <v>15</v>
      </c>
      <c r="M1990">
        <v>1</v>
      </c>
      <c r="N1990">
        <v>0</v>
      </c>
      <c r="O1990">
        <v>1</v>
      </c>
      <c r="P1990">
        <v>0</v>
      </c>
      <c r="Q1990">
        <v>0</v>
      </c>
      <c r="R1990">
        <v>0</v>
      </c>
      <c r="T1990" s="29">
        <v>90000</v>
      </c>
      <c r="U1990" s="29">
        <v>1350000</v>
      </c>
      <c r="V1990" t="s">
        <v>1262</v>
      </c>
      <c r="W1990" t="s">
        <v>1262</v>
      </c>
      <c r="X1990" s="29">
        <v>1350000</v>
      </c>
      <c r="AA1990" s="30">
        <v>45736.666666666664</v>
      </c>
      <c r="AB1990" s="30">
        <v>45740.625</v>
      </c>
      <c r="AC1990" s="30">
        <v>45736.666666666664</v>
      </c>
      <c r="AD1990" s="30">
        <v>45740.625</v>
      </c>
      <c r="AE1990" s="30">
        <v>45771.625</v>
      </c>
      <c r="AF1990" s="30">
        <v>45775.583333333336</v>
      </c>
      <c r="AG1990" t="s">
        <v>1266</v>
      </c>
      <c r="AK1990" t="s">
        <v>1265</v>
      </c>
      <c r="AL1990" t="s">
        <v>2685</v>
      </c>
      <c r="AM1990" t="s">
        <v>1263</v>
      </c>
      <c r="AN1990" t="s">
        <v>1262</v>
      </c>
      <c r="AO1990">
        <v>0</v>
      </c>
      <c r="AQ1990" t="s">
        <v>1261</v>
      </c>
      <c r="AR1990" t="s">
        <v>1260</v>
      </c>
      <c r="AS1990" t="s">
        <v>1259</v>
      </c>
      <c r="AT1990" s="30">
        <v>46069.518055555556</v>
      </c>
    </row>
    <row r="1991" spans="1:46" x14ac:dyDescent="0.25">
      <c r="A1991" t="s">
        <v>1248</v>
      </c>
      <c r="B1991">
        <v>247830</v>
      </c>
      <c r="C1991">
        <v>352156</v>
      </c>
      <c r="D1991">
        <v>405</v>
      </c>
      <c r="E1991" t="s">
        <v>1266</v>
      </c>
      <c r="H1991">
        <v>1893</v>
      </c>
      <c r="K1991">
        <v>7</v>
      </c>
      <c r="L1991">
        <v>7</v>
      </c>
      <c r="M1991">
        <v>1</v>
      </c>
      <c r="N1991">
        <v>0</v>
      </c>
      <c r="O1991">
        <v>1</v>
      </c>
      <c r="P1991">
        <v>0</v>
      </c>
      <c r="Q1991">
        <v>0</v>
      </c>
      <c r="R1991">
        <v>0</v>
      </c>
      <c r="T1991" s="29">
        <v>90000</v>
      </c>
      <c r="U1991" s="29">
        <v>630000</v>
      </c>
      <c r="V1991" t="s">
        <v>1262</v>
      </c>
      <c r="W1991" t="s">
        <v>1262</v>
      </c>
      <c r="X1991" s="29">
        <v>630000</v>
      </c>
      <c r="AA1991" s="30">
        <v>45762.375</v>
      </c>
      <c r="AB1991" s="30">
        <v>45762.708333333336</v>
      </c>
      <c r="AC1991" s="30">
        <v>45762.375</v>
      </c>
      <c r="AD1991" s="30">
        <v>45762.708333333336</v>
      </c>
      <c r="AE1991" s="30">
        <v>45859.583333333336</v>
      </c>
      <c r="AF1991" s="30">
        <v>45860.5</v>
      </c>
      <c r="AG1991" t="s">
        <v>1266</v>
      </c>
      <c r="AK1991" t="s">
        <v>1265</v>
      </c>
      <c r="AL1991" t="s">
        <v>2684</v>
      </c>
      <c r="AM1991" t="s">
        <v>1263</v>
      </c>
      <c r="AN1991" t="s">
        <v>1262</v>
      </c>
      <c r="AO1991">
        <v>0</v>
      </c>
      <c r="AQ1991" t="s">
        <v>1261</v>
      </c>
      <c r="AR1991" t="s">
        <v>1260</v>
      </c>
      <c r="AS1991" t="s">
        <v>1259</v>
      </c>
      <c r="AT1991" s="30">
        <v>46069.518055555556</v>
      </c>
    </row>
    <row r="1992" spans="1:46" x14ac:dyDescent="0.25">
      <c r="A1992" t="s">
        <v>1248</v>
      </c>
      <c r="B1992">
        <v>247831</v>
      </c>
      <c r="C1992">
        <v>352157</v>
      </c>
      <c r="D1992">
        <v>405</v>
      </c>
      <c r="E1992" t="s">
        <v>1266</v>
      </c>
      <c r="H1992">
        <v>1893</v>
      </c>
      <c r="K1992">
        <v>15</v>
      </c>
      <c r="L1992">
        <v>15</v>
      </c>
      <c r="M1992">
        <v>1</v>
      </c>
      <c r="N1992">
        <v>0</v>
      </c>
      <c r="O1992">
        <v>1</v>
      </c>
      <c r="P1992">
        <v>0</v>
      </c>
      <c r="Q1992">
        <v>0</v>
      </c>
      <c r="R1992">
        <v>0</v>
      </c>
      <c r="T1992" s="29">
        <v>90000</v>
      </c>
      <c r="U1992" s="29">
        <v>1350000</v>
      </c>
      <c r="V1992" t="s">
        <v>1262</v>
      </c>
      <c r="W1992" t="s">
        <v>1262</v>
      </c>
      <c r="X1992" s="29">
        <v>1350000</v>
      </c>
      <c r="AA1992" s="30">
        <v>45735.333333333336</v>
      </c>
      <c r="AB1992" s="30">
        <v>45736.666666666664</v>
      </c>
      <c r="AC1992" s="30">
        <v>45735.333333333336</v>
      </c>
      <c r="AD1992" s="30">
        <v>45736.666666666664</v>
      </c>
      <c r="AE1992" s="30">
        <v>45765.625</v>
      </c>
      <c r="AF1992" s="30">
        <v>45769.583333333336</v>
      </c>
      <c r="AG1992" t="s">
        <v>1266</v>
      </c>
      <c r="AK1992" t="s">
        <v>1265</v>
      </c>
      <c r="AL1992" t="s">
        <v>2683</v>
      </c>
      <c r="AM1992" t="s">
        <v>1263</v>
      </c>
      <c r="AN1992" t="s">
        <v>1262</v>
      </c>
      <c r="AO1992">
        <v>0</v>
      </c>
      <c r="AQ1992" t="s">
        <v>1261</v>
      </c>
      <c r="AR1992" t="s">
        <v>1260</v>
      </c>
      <c r="AS1992" t="s">
        <v>1259</v>
      </c>
      <c r="AT1992" s="30">
        <v>46069.518055555556</v>
      </c>
    </row>
    <row r="1993" spans="1:46" x14ac:dyDescent="0.25">
      <c r="A1993" t="s">
        <v>1248</v>
      </c>
      <c r="B1993">
        <v>247832</v>
      </c>
      <c r="C1993">
        <v>352163</v>
      </c>
      <c r="D1993">
        <v>405</v>
      </c>
      <c r="E1993" t="s">
        <v>1266</v>
      </c>
      <c r="H1993">
        <v>1893</v>
      </c>
      <c r="K1993">
        <v>7</v>
      </c>
      <c r="L1993">
        <v>7</v>
      </c>
      <c r="M1993">
        <v>1</v>
      </c>
      <c r="N1993">
        <v>0</v>
      </c>
      <c r="O1993">
        <v>1</v>
      </c>
      <c r="P1993">
        <v>0</v>
      </c>
      <c r="Q1993">
        <v>0</v>
      </c>
      <c r="R1993">
        <v>0</v>
      </c>
      <c r="T1993" s="29">
        <v>90000</v>
      </c>
      <c r="U1993" s="29">
        <v>630000</v>
      </c>
      <c r="V1993" t="s">
        <v>1262</v>
      </c>
      <c r="W1993" t="s">
        <v>1262</v>
      </c>
      <c r="X1993" s="29">
        <v>630000</v>
      </c>
      <c r="AA1993" s="30">
        <v>45758.416666666664</v>
      </c>
      <c r="AB1993" s="30">
        <v>45761.375</v>
      </c>
      <c r="AC1993" s="30">
        <v>45758.416666666664</v>
      </c>
      <c r="AD1993" s="30">
        <v>45761.375</v>
      </c>
      <c r="AE1993" s="30">
        <v>45856.625</v>
      </c>
      <c r="AF1993" s="30">
        <v>45859.583333333336</v>
      </c>
      <c r="AG1993" t="s">
        <v>1266</v>
      </c>
      <c r="AK1993" t="s">
        <v>1265</v>
      </c>
      <c r="AL1993" t="s">
        <v>2682</v>
      </c>
      <c r="AM1993" t="s">
        <v>1263</v>
      </c>
      <c r="AN1993" t="s">
        <v>1262</v>
      </c>
      <c r="AO1993">
        <v>0</v>
      </c>
      <c r="AQ1993" t="s">
        <v>1261</v>
      </c>
      <c r="AR1993" t="s">
        <v>1260</v>
      </c>
      <c r="AS1993" t="s">
        <v>1259</v>
      </c>
      <c r="AT1993" s="30">
        <v>46069.518055555556</v>
      </c>
    </row>
    <row r="1994" spans="1:46" x14ac:dyDescent="0.25">
      <c r="A1994" t="s">
        <v>1248</v>
      </c>
      <c r="B1994">
        <v>247833</v>
      </c>
      <c r="C1994">
        <v>352164</v>
      </c>
      <c r="D1994">
        <v>405</v>
      </c>
      <c r="E1994" t="s">
        <v>1266</v>
      </c>
      <c r="H1994">
        <v>1893</v>
      </c>
      <c r="K1994">
        <v>15</v>
      </c>
      <c r="L1994">
        <v>15</v>
      </c>
      <c r="M1994">
        <v>1</v>
      </c>
      <c r="N1994">
        <v>0</v>
      </c>
      <c r="O1994">
        <v>1</v>
      </c>
      <c r="P1994">
        <v>0</v>
      </c>
      <c r="Q1994">
        <v>0</v>
      </c>
      <c r="R1994">
        <v>0</v>
      </c>
      <c r="T1994" s="29">
        <v>90000</v>
      </c>
      <c r="U1994" s="29">
        <v>1350000</v>
      </c>
      <c r="V1994" t="s">
        <v>1262</v>
      </c>
      <c r="W1994" t="s">
        <v>1262</v>
      </c>
      <c r="X1994" s="29">
        <v>1350000</v>
      </c>
      <c r="AA1994" s="30">
        <v>45720.666666666664</v>
      </c>
      <c r="AB1994" s="30">
        <v>45722.625</v>
      </c>
      <c r="AC1994" s="30">
        <v>45720.666666666664</v>
      </c>
      <c r="AD1994" s="30">
        <v>45722.625</v>
      </c>
      <c r="AE1994" s="30">
        <v>45761.625</v>
      </c>
      <c r="AF1994" s="30">
        <v>45763.583333333336</v>
      </c>
      <c r="AG1994" t="s">
        <v>1266</v>
      </c>
      <c r="AK1994" t="s">
        <v>1265</v>
      </c>
      <c r="AL1994" t="s">
        <v>2681</v>
      </c>
      <c r="AM1994" t="s">
        <v>1263</v>
      </c>
      <c r="AN1994" t="s">
        <v>1262</v>
      </c>
      <c r="AO1994">
        <v>0</v>
      </c>
      <c r="AQ1994" t="s">
        <v>1261</v>
      </c>
      <c r="AR1994" t="s">
        <v>1260</v>
      </c>
      <c r="AS1994" t="s">
        <v>1259</v>
      </c>
      <c r="AT1994" s="30">
        <v>46069.518055555556</v>
      </c>
    </row>
    <row r="1995" spans="1:46" x14ac:dyDescent="0.25">
      <c r="A1995" t="s">
        <v>1248</v>
      </c>
      <c r="B1995">
        <v>247834</v>
      </c>
      <c r="C1995">
        <v>352170</v>
      </c>
      <c r="D1995">
        <v>405</v>
      </c>
      <c r="E1995" t="s">
        <v>1266</v>
      </c>
      <c r="H1995">
        <v>1893</v>
      </c>
      <c r="K1995">
        <v>7</v>
      </c>
      <c r="L1995">
        <v>7</v>
      </c>
      <c r="M1995">
        <v>1</v>
      </c>
      <c r="N1995">
        <v>0</v>
      </c>
      <c r="O1995">
        <v>1</v>
      </c>
      <c r="P1995">
        <v>0</v>
      </c>
      <c r="Q1995">
        <v>0</v>
      </c>
      <c r="R1995">
        <v>0</v>
      </c>
      <c r="T1995" s="29">
        <v>90000</v>
      </c>
      <c r="U1995" s="29">
        <v>630000</v>
      </c>
      <c r="V1995" t="s">
        <v>1262</v>
      </c>
      <c r="W1995" t="s">
        <v>1262</v>
      </c>
      <c r="X1995" s="29">
        <v>630000</v>
      </c>
      <c r="AA1995" s="30">
        <v>45749.375</v>
      </c>
      <c r="AB1995" s="30">
        <v>45749.708333333336</v>
      </c>
      <c r="AC1995" s="30">
        <v>45749.375</v>
      </c>
      <c r="AD1995" s="30">
        <v>45749.708333333336</v>
      </c>
      <c r="AE1995" s="30">
        <v>45855.666666666664</v>
      </c>
      <c r="AF1995" s="30">
        <v>45856.625</v>
      </c>
      <c r="AG1995" t="s">
        <v>1266</v>
      </c>
      <c r="AK1995" t="s">
        <v>1265</v>
      </c>
      <c r="AL1995" t="s">
        <v>2680</v>
      </c>
      <c r="AM1995" t="s">
        <v>1263</v>
      </c>
      <c r="AN1995" t="s">
        <v>1262</v>
      </c>
      <c r="AO1995">
        <v>0</v>
      </c>
      <c r="AQ1995" t="s">
        <v>1261</v>
      </c>
      <c r="AR1995" t="s">
        <v>1260</v>
      </c>
      <c r="AS1995" t="s">
        <v>1259</v>
      </c>
      <c r="AT1995" s="30">
        <v>46069.518055555556</v>
      </c>
    </row>
    <row r="1996" spans="1:46" x14ac:dyDescent="0.25">
      <c r="A1996" t="s">
        <v>1248</v>
      </c>
      <c r="B1996">
        <v>247835</v>
      </c>
      <c r="C1996">
        <v>352171</v>
      </c>
      <c r="D1996">
        <v>405</v>
      </c>
      <c r="E1996" t="s">
        <v>1266</v>
      </c>
      <c r="H1996">
        <v>1893</v>
      </c>
      <c r="K1996">
        <v>15</v>
      </c>
      <c r="L1996">
        <v>15</v>
      </c>
      <c r="M1996">
        <v>1</v>
      </c>
      <c r="N1996">
        <v>0</v>
      </c>
      <c r="O1996">
        <v>1</v>
      </c>
      <c r="P1996">
        <v>0</v>
      </c>
      <c r="Q1996">
        <v>0</v>
      </c>
      <c r="R1996">
        <v>0</v>
      </c>
      <c r="T1996" s="29">
        <v>90000</v>
      </c>
      <c r="U1996" s="29">
        <v>1350000</v>
      </c>
      <c r="V1996" t="s">
        <v>1262</v>
      </c>
      <c r="W1996" t="s">
        <v>1262</v>
      </c>
      <c r="X1996" s="29">
        <v>1350000</v>
      </c>
      <c r="AA1996" s="30">
        <v>45719.333333333336</v>
      </c>
      <c r="AB1996" s="30">
        <v>45720.666666666664</v>
      </c>
      <c r="AC1996" s="30">
        <v>45719.333333333336</v>
      </c>
      <c r="AD1996" s="30">
        <v>45720.666666666664</v>
      </c>
      <c r="AE1996" s="30">
        <v>45755.625</v>
      </c>
      <c r="AF1996" s="30">
        <v>45757.583333333336</v>
      </c>
      <c r="AG1996" t="s">
        <v>1266</v>
      </c>
      <c r="AK1996" t="s">
        <v>1265</v>
      </c>
      <c r="AL1996" t="s">
        <v>2679</v>
      </c>
      <c r="AM1996" t="s">
        <v>1263</v>
      </c>
      <c r="AN1996" t="s">
        <v>1262</v>
      </c>
      <c r="AO1996">
        <v>0</v>
      </c>
      <c r="AQ1996" t="s">
        <v>1261</v>
      </c>
      <c r="AR1996" t="s">
        <v>1260</v>
      </c>
      <c r="AS1996" t="s">
        <v>1259</v>
      </c>
      <c r="AT1996" s="30">
        <v>46069.518055555556</v>
      </c>
    </row>
    <row r="1997" spans="1:46" x14ac:dyDescent="0.25">
      <c r="A1997" t="s">
        <v>1248</v>
      </c>
      <c r="B1997">
        <v>247836</v>
      </c>
      <c r="C1997">
        <v>352177</v>
      </c>
      <c r="D1997">
        <v>405</v>
      </c>
      <c r="E1997" t="s">
        <v>1266</v>
      </c>
      <c r="H1997">
        <v>1893</v>
      </c>
      <c r="K1997">
        <v>7</v>
      </c>
      <c r="L1997">
        <v>7</v>
      </c>
      <c r="M1997">
        <v>1</v>
      </c>
      <c r="N1997">
        <v>0</v>
      </c>
      <c r="O1997">
        <v>1</v>
      </c>
      <c r="P1997">
        <v>0</v>
      </c>
      <c r="Q1997">
        <v>0</v>
      </c>
      <c r="R1997">
        <v>0</v>
      </c>
      <c r="T1997" s="29">
        <v>90000</v>
      </c>
      <c r="U1997" s="29">
        <v>630000</v>
      </c>
      <c r="V1997" t="s">
        <v>1262</v>
      </c>
      <c r="W1997" t="s">
        <v>1262</v>
      </c>
      <c r="X1997" s="29">
        <v>630000</v>
      </c>
      <c r="AA1997" s="30">
        <v>45748.416666666664</v>
      </c>
      <c r="AB1997" s="30">
        <v>45749.375</v>
      </c>
      <c r="AC1997" s="30">
        <v>45748.416666666664</v>
      </c>
      <c r="AD1997" s="30">
        <v>45749.375</v>
      </c>
      <c r="AE1997" s="30">
        <v>45855.333333333336</v>
      </c>
      <c r="AF1997" s="30">
        <v>45855.666666666664</v>
      </c>
      <c r="AG1997" t="s">
        <v>1266</v>
      </c>
      <c r="AK1997" t="s">
        <v>1265</v>
      </c>
      <c r="AL1997" t="s">
        <v>2678</v>
      </c>
      <c r="AM1997" t="s">
        <v>1263</v>
      </c>
      <c r="AN1997" t="s">
        <v>1262</v>
      </c>
      <c r="AO1997">
        <v>0</v>
      </c>
      <c r="AQ1997" t="s">
        <v>1261</v>
      </c>
      <c r="AR1997" t="s">
        <v>1260</v>
      </c>
      <c r="AS1997" t="s">
        <v>1259</v>
      </c>
      <c r="AT1997" s="30">
        <v>46069.518055555556</v>
      </c>
    </row>
    <row r="1998" spans="1:46" x14ac:dyDescent="0.25">
      <c r="A1998" t="s">
        <v>1248</v>
      </c>
      <c r="B1998">
        <v>247837</v>
      </c>
      <c r="C1998">
        <v>352178</v>
      </c>
      <c r="D1998">
        <v>405</v>
      </c>
      <c r="E1998" t="s">
        <v>1266</v>
      </c>
      <c r="H1998">
        <v>1893</v>
      </c>
      <c r="K1998">
        <v>15</v>
      </c>
      <c r="L1998">
        <v>15</v>
      </c>
      <c r="M1998">
        <v>1</v>
      </c>
      <c r="N1998">
        <v>0</v>
      </c>
      <c r="O1998">
        <v>1</v>
      </c>
      <c r="P1998">
        <v>0</v>
      </c>
      <c r="Q1998">
        <v>0</v>
      </c>
      <c r="R1998">
        <v>0</v>
      </c>
      <c r="T1998" s="29">
        <v>90000</v>
      </c>
      <c r="U1998" s="29">
        <v>1350000</v>
      </c>
      <c r="V1998" t="s">
        <v>1262</v>
      </c>
      <c r="W1998" t="s">
        <v>1262</v>
      </c>
      <c r="X1998" s="29">
        <v>1350000</v>
      </c>
      <c r="AA1998" s="30">
        <v>45721.333333333336</v>
      </c>
      <c r="AB1998" s="30">
        <v>45722.666666666664</v>
      </c>
      <c r="AC1998" s="30">
        <v>45721.333333333336</v>
      </c>
      <c r="AD1998" s="30">
        <v>45722.666666666664</v>
      </c>
      <c r="AE1998" s="30">
        <v>45749.625</v>
      </c>
      <c r="AF1998" s="30">
        <v>45751.583333333336</v>
      </c>
      <c r="AG1998" t="s">
        <v>1266</v>
      </c>
      <c r="AK1998" t="s">
        <v>1265</v>
      </c>
      <c r="AL1998" t="s">
        <v>2677</v>
      </c>
      <c r="AM1998" t="s">
        <v>1263</v>
      </c>
      <c r="AN1998" t="s">
        <v>1262</v>
      </c>
      <c r="AO1998">
        <v>0</v>
      </c>
      <c r="AQ1998" t="s">
        <v>1261</v>
      </c>
      <c r="AR1998" t="s">
        <v>1260</v>
      </c>
      <c r="AS1998" t="s">
        <v>1259</v>
      </c>
      <c r="AT1998" s="30">
        <v>46069.518055555556</v>
      </c>
    </row>
    <row r="1999" spans="1:46" x14ac:dyDescent="0.25">
      <c r="A1999" t="s">
        <v>1248</v>
      </c>
      <c r="B1999">
        <v>247838</v>
      </c>
      <c r="C1999">
        <v>352184</v>
      </c>
      <c r="D1999">
        <v>405</v>
      </c>
      <c r="E1999" t="s">
        <v>1266</v>
      </c>
      <c r="H1999">
        <v>1893</v>
      </c>
      <c r="K1999">
        <v>7</v>
      </c>
      <c r="L1999">
        <v>7</v>
      </c>
      <c r="M1999">
        <v>1</v>
      </c>
      <c r="N1999">
        <v>0</v>
      </c>
      <c r="O1999">
        <v>1</v>
      </c>
      <c r="P1999">
        <v>0</v>
      </c>
      <c r="Q1999">
        <v>0</v>
      </c>
      <c r="R1999">
        <v>0</v>
      </c>
      <c r="T1999" s="29">
        <v>90000</v>
      </c>
      <c r="U1999" s="29">
        <v>630000</v>
      </c>
      <c r="V1999" t="s">
        <v>1262</v>
      </c>
      <c r="W1999" t="s">
        <v>1262</v>
      </c>
      <c r="X1999" s="29">
        <v>630000</v>
      </c>
      <c r="AA1999" s="30">
        <v>45747.458333333336</v>
      </c>
      <c r="AB1999" s="30">
        <v>45748.416666666664</v>
      </c>
      <c r="AC1999" s="30">
        <v>45747.458333333336</v>
      </c>
      <c r="AD1999" s="30">
        <v>45748.416666666664</v>
      </c>
      <c r="AE1999" s="30">
        <v>45854.375</v>
      </c>
      <c r="AF1999" s="30">
        <v>45854.708333333336</v>
      </c>
      <c r="AG1999" t="s">
        <v>1266</v>
      </c>
      <c r="AK1999" t="s">
        <v>1265</v>
      </c>
      <c r="AL1999" t="s">
        <v>2676</v>
      </c>
      <c r="AM1999" t="s">
        <v>1263</v>
      </c>
      <c r="AN1999" t="s">
        <v>1262</v>
      </c>
      <c r="AO1999">
        <v>0</v>
      </c>
      <c r="AQ1999" t="s">
        <v>1261</v>
      </c>
      <c r="AR1999" t="s">
        <v>1260</v>
      </c>
      <c r="AS1999" t="s">
        <v>1259</v>
      </c>
      <c r="AT1999" s="30">
        <v>46069.518055555556</v>
      </c>
    </row>
    <row r="2000" spans="1:46" x14ac:dyDescent="0.25">
      <c r="A2000" t="s">
        <v>1248</v>
      </c>
      <c r="B2000">
        <v>247839</v>
      </c>
      <c r="C2000">
        <v>352185</v>
      </c>
      <c r="D2000">
        <v>405</v>
      </c>
      <c r="E2000" t="s">
        <v>1266</v>
      </c>
      <c r="H2000">
        <v>1893</v>
      </c>
      <c r="K2000">
        <v>16</v>
      </c>
      <c r="L2000">
        <v>16</v>
      </c>
      <c r="M2000">
        <v>1</v>
      </c>
      <c r="N2000">
        <v>0</v>
      </c>
      <c r="O2000">
        <v>1</v>
      </c>
      <c r="P2000">
        <v>0</v>
      </c>
      <c r="Q2000">
        <v>0</v>
      </c>
      <c r="R2000">
        <v>0</v>
      </c>
      <c r="T2000" s="29">
        <v>90000</v>
      </c>
      <c r="U2000" s="29">
        <v>1440000</v>
      </c>
      <c r="V2000" t="s">
        <v>1262</v>
      </c>
      <c r="W2000" t="s">
        <v>1262</v>
      </c>
      <c r="X2000" s="29">
        <v>1440000</v>
      </c>
      <c r="AA2000" s="30">
        <v>45719.333333333336</v>
      </c>
      <c r="AB2000" s="30">
        <v>45720.708333333336</v>
      </c>
      <c r="AC2000" s="30">
        <v>45719.333333333336</v>
      </c>
      <c r="AD2000" s="30">
        <v>45720.708333333336</v>
      </c>
      <c r="AE2000" s="30">
        <v>45743.333333333336</v>
      </c>
      <c r="AF2000" s="30">
        <v>45744.708333333336</v>
      </c>
      <c r="AG2000" t="s">
        <v>1266</v>
      </c>
      <c r="AK2000" t="s">
        <v>1265</v>
      </c>
      <c r="AL2000" t="s">
        <v>2675</v>
      </c>
      <c r="AM2000" t="s">
        <v>1263</v>
      </c>
      <c r="AN2000" t="s">
        <v>1262</v>
      </c>
      <c r="AO2000">
        <v>0</v>
      </c>
      <c r="AQ2000" t="s">
        <v>1261</v>
      </c>
      <c r="AR2000" t="s">
        <v>1260</v>
      </c>
      <c r="AS2000" t="s">
        <v>1259</v>
      </c>
      <c r="AT2000" s="30">
        <v>46069.518055555556</v>
      </c>
    </row>
    <row r="2001" spans="1:46" x14ac:dyDescent="0.25">
      <c r="A2001" t="s">
        <v>1248</v>
      </c>
      <c r="B2001">
        <v>247840</v>
      </c>
      <c r="C2001">
        <v>352191</v>
      </c>
      <c r="D2001">
        <v>405</v>
      </c>
      <c r="E2001" t="s">
        <v>1266</v>
      </c>
      <c r="H2001">
        <v>1893</v>
      </c>
      <c r="K2001">
        <v>7</v>
      </c>
      <c r="L2001">
        <v>7</v>
      </c>
      <c r="M2001" t="s">
        <v>2591</v>
      </c>
      <c r="N2001">
        <v>0</v>
      </c>
      <c r="O2001" t="s">
        <v>2591</v>
      </c>
      <c r="P2001">
        <v>0</v>
      </c>
      <c r="Q2001">
        <v>0</v>
      </c>
      <c r="R2001">
        <v>0</v>
      </c>
      <c r="T2001" s="29">
        <v>90000</v>
      </c>
      <c r="U2001" s="29">
        <v>630000</v>
      </c>
      <c r="V2001" t="s">
        <v>1262</v>
      </c>
      <c r="W2001" t="s">
        <v>1262</v>
      </c>
      <c r="X2001" s="29">
        <v>630000</v>
      </c>
      <c r="AA2001" s="30">
        <v>45743.333333333336</v>
      </c>
      <c r="AB2001" s="30">
        <v>45743.708333333336</v>
      </c>
      <c r="AC2001" s="30">
        <v>45743.333333333336</v>
      </c>
      <c r="AD2001" s="30">
        <v>45743.708333333336</v>
      </c>
      <c r="AE2001" s="30">
        <v>45853.375</v>
      </c>
      <c r="AF2001" s="30">
        <v>45854.375</v>
      </c>
      <c r="AG2001" t="s">
        <v>1266</v>
      </c>
      <c r="AK2001" t="s">
        <v>1265</v>
      </c>
      <c r="AL2001" t="s">
        <v>2674</v>
      </c>
      <c r="AM2001" t="s">
        <v>1263</v>
      </c>
      <c r="AN2001" t="s">
        <v>1262</v>
      </c>
      <c r="AO2001">
        <v>0</v>
      </c>
      <c r="AQ2001" t="s">
        <v>1261</v>
      </c>
      <c r="AR2001" t="s">
        <v>1260</v>
      </c>
      <c r="AS2001" t="s">
        <v>1259</v>
      </c>
      <c r="AT2001" s="30">
        <v>46069.518055555556</v>
      </c>
    </row>
    <row r="2002" spans="1:46" x14ac:dyDescent="0.25">
      <c r="A2002" t="s">
        <v>1248</v>
      </c>
      <c r="B2002">
        <v>247841</v>
      </c>
      <c r="C2002">
        <v>352187</v>
      </c>
      <c r="D2002">
        <v>405</v>
      </c>
      <c r="E2002" t="s">
        <v>1266</v>
      </c>
      <c r="H2002">
        <v>1855</v>
      </c>
      <c r="K2002" s="29">
        <v>23005714</v>
      </c>
      <c r="L2002" s="29">
        <v>23005714</v>
      </c>
      <c r="M2002" s="29">
        <v>287571428</v>
      </c>
      <c r="N2002">
        <v>0</v>
      </c>
      <c r="O2002" s="29">
        <v>287571428</v>
      </c>
      <c r="P2002">
        <v>0</v>
      </c>
      <c r="Q2002">
        <v>0</v>
      </c>
      <c r="R2002">
        <v>0</v>
      </c>
      <c r="T2002" s="29">
        <v>35000</v>
      </c>
      <c r="U2002" s="29">
        <v>805200</v>
      </c>
      <c r="V2002" t="s">
        <v>1262</v>
      </c>
      <c r="W2002" t="s">
        <v>1262</v>
      </c>
      <c r="X2002" s="29">
        <v>805200</v>
      </c>
      <c r="AA2002" s="30">
        <v>45726.333333333336</v>
      </c>
      <c r="AB2002" s="30">
        <v>45726.708333333336</v>
      </c>
      <c r="AC2002" s="30">
        <v>45726.333333333336</v>
      </c>
      <c r="AD2002" s="30">
        <v>45726.708333333336</v>
      </c>
      <c r="AE2002" s="30">
        <v>45750.333333333336</v>
      </c>
      <c r="AF2002" s="30">
        <v>45750.708333333336</v>
      </c>
      <c r="AG2002" t="s">
        <v>1266</v>
      </c>
      <c r="AK2002" t="s">
        <v>1265</v>
      </c>
      <c r="AL2002" t="s">
        <v>2673</v>
      </c>
      <c r="AM2002" t="s">
        <v>1263</v>
      </c>
      <c r="AN2002" t="s">
        <v>1262</v>
      </c>
      <c r="AO2002">
        <v>0</v>
      </c>
      <c r="AQ2002" t="s">
        <v>1261</v>
      </c>
      <c r="AR2002" t="s">
        <v>1260</v>
      </c>
      <c r="AS2002" t="s">
        <v>1259</v>
      </c>
      <c r="AT2002" s="30">
        <v>46069.518055555556</v>
      </c>
    </row>
    <row r="2003" spans="1:46" x14ac:dyDescent="0.25">
      <c r="A2003" t="s">
        <v>1248</v>
      </c>
      <c r="B2003">
        <v>247842</v>
      </c>
      <c r="C2003">
        <v>352180</v>
      </c>
      <c r="D2003">
        <v>405</v>
      </c>
      <c r="E2003" t="s">
        <v>1266</v>
      </c>
      <c r="H2003">
        <v>1855</v>
      </c>
      <c r="K2003" t="s">
        <v>1437</v>
      </c>
      <c r="L2003" t="s">
        <v>1437</v>
      </c>
      <c r="M2003" s="29">
        <v>287571428</v>
      </c>
      <c r="N2003">
        <v>0</v>
      </c>
      <c r="O2003" s="29">
        <v>287571428</v>
      </c>
      <c r="P2003">
        <v>0</v>
      </c>
      <c r="Q2003">
        <v>0</v>
      </c>
      <c r="R2003">
        <v>0</v>
      </c>
      <c r="T2003" s="29">
        <v>35000</v>
      </c>
      <c r="U2003" s="29">
        <v>704550</v>
      </c>
      <c r="V2003" t="s">
        <v>1262</v>
      </c>
      <c r="W2003" t="s">
        <v>1262</v>
      </c>
      <c r="X2003" s="29">
        <v>704550</v>
      </c>
      <c r="AA2003" s="30">
        <v>45728.666666666664</v>
      </c>
      <c r="AB2003" s="30">
        <v>45729.625</v>
      </c>
      <c r="AC2003" s="30">
        <v>45728.666666666664</v>
      </c>
      <c r="AD2003" s="30">
        <v>45729.625</v>
      </c>
      <c r="AE2003" s="30">
        <v>45756.541666666664</v>
      </c>
      <c r="AF2003" s="30">
        <v>45757.458333333336</v>
      </c>
      <c r="AG2003" t="s">
        <v>1266</v>
      </c>
      <c r="AK2003" t="s">
        <v>1265</v>
      </c>
      <c r="AL2003" t="s">
        <v>2672</v>
      </c>
      <c r="AM2003" t="s">
        <v>1263</v>
      </c>
      <c r="AN2003" t="s">
        <v>1262</v>
      </c>
      <c r="AO2003">
        <v>0</v>
      </c>
      <c r="AQ2003" t="s">
        <v>1261</v>
      </c>
      <c r="AR2003" t="s">
        <v>1260</v>
      </c>
      <c r="AS2003" t="s">
        <v>1259</v>
      </c>
      <c r="AT2003" s="30">
        <v>46069.518055555556</v>
      </c>
    </row>
    <row r="2004" spans="1:46" x14ac:dyDescent="0.25">
      <c r="A2004" t="s">
        <v>1248</v>
      </c>
      <c r="B2004">
        <v>247843</v>
      </c>
      <c r="C2004">
        <v>352173</v>
      </c>
      <c r="D2004">
        <v>405</v>
      </c>
      <c r="E2004" t="s">
        <v>1266</v>
      </c>
      <c r="H2004">
        <v>1855</v>
      </c>
      <c r="K2004" t="s">
        <v>1437</v>
      </c>
      <c r="L2004" t="s">
        <v>1437</v>
      </c>
      <c r="M2004" s="29">
        <v>287571428</v>
      </c>
      <c r="N2004">
        <v>0</v>
      </c>
      <c r="O2004" s="29">
        <v>287571428</v>
      </c>
      <c r="P2004">
        <v>0</v>
      </c>
      <c r="Q2004">
        <v>0</v>
      </c>
      <c r="R2004">
        <v>0</v>
      </c>
      <c r="T2004" s="29">
        <v>35000</v>
      </c>
      <c r="U2004" s="29">
        <v>704550</v>
      </c>
      <c r="V2004" t="s">
        <v>1262</v>
      </c>
      <c r="W2004" t="s">
        <v>1262</v>
      </c>
      <c r="X2004" s="29">
        <v>704550</v>
      </c>
      <c r="AA2004" s="30">
        <v>45723.625</v>
      </c>
      <c r="AB2004" s="30">
        <v>45726.583333333336</v>
      </c>
      <c r="AC2004" s="30">
        <v>45723.625</v>
      </c>
      <c r="AD2004" s="30">
        <v>45726.583333333336</v>
      </c>
      <c r="AE2004" s="30">
        <v>45762.541666666664</v>
      </c>
      <c r="AF2004" s="30">
        <v>45763.458333333336</v>
      </c>
      <c r="AG2004" t="s">
        <v>1266</v>
      </c>
      <c r="AK2004" t="s">
        <v>1265</v>
      </c>
      <c r="AL2004" t="s">
        <v>2671</v>
      </c>
      <c r="AM2004" t="s">
        <v>1263</v>
      </c>
      <c r="AN2004" t="s">
        <v>1262</v>
      </c>
      <c r="AO2004">
        <v>0</v>
      </c>
      <c r="AQ2004" t="s">
        <v>1261</v>
      </c>
      <c r="AR2004" t="s">
        <v>1260</v>
      </c>
      <c r="AS2004" t="s">
        <v>1259</v>
      </c>
      <c r="AT2004" s="30">
        <v>46069.518055555556</v>
      </c>
    </row>
    <row r="2005" spans="1:46" x14ac:dyDescent="0.25">
      <c r="A2005" t="s">
        <v>1248</v>
      </c>
      <c r="B2005">
        <v>247844</v>
      </c>
      <c r="C2005">
        <v>352166</v>
      </c>
      <c r="D2005">
        <v>405</v>
      </c>
      <c r="E2005" t="s">
        <v>1266</v>
      </c>
      <c r="H2005">
        <v>1855</v>
      </c>
      <c r="K2005" t="s">
        <v>1437</v>
      </c>
      <c r="L2005" t="s">
        <v>1437</v>
      </c>
      <c r="M2005" s="29">
        <v>287571428</v>
      </c>
      <c r="N2005">
        <v>0</v>
      </c>
      <c r="O2005" s="29">
        <v>287571428</v>
      </c>
      <c r="P2005">
        <v>0</v>
      </c>
      <c r="Q2005">
        <v>0</v>
      </c>
      <c r="R2005">
        <v>0</v>
      </c>
      <c r="T2005" s="29">
        <v>35000</v>
      </c>
      <c r="U2005" s="29">
        <v>704550</v>
      </c>
      <c r="V2005" t="s">
        <v>1262</v>
      </c>
      <c r="W2005" t="s">
        <v>1262</v>
      </c>
      <c r="X2005" s="29">
        <v>704550</v>
      </c>
      <c r="AA2005" s="30">
        <v>45728.583333333336</v>
      </c>
      <c r="AB2005" s="30">
        <v>45729.5</v>
      </c>
      <c r="AC2005" s="30">
        <v>45728.583333333336</v>
      </c>
      <c r="AD2005" s="30">
        <v>45729.5</v>
      </c>
      <c r="AE2005" s="30">
        <v>45768.541666666664</v>
      </c>
      <c r="AF2005" s="30">
        <v>45769.458333333336</v>
      </c>
      <c r="AG2005" t="s">
        <v>1266</v>
      </c>
      <c r="AK2005" t="s">
        <v>1265</v>
      </c>
      <c r="AL2005" t="s">
        <v>2670</v>
      </c>
      <c r="AM2005" t="s">
        <v>1263</v>
      </c>
      <c r="AN2005" t="s">
        <v>1262</v>
      </c>
      <c r="AO2005">
        <v>0</v>
      </c>
      <c r="AQ2005" t="s">
        <v>1261</v>
      </c>
      <c r="AR2005" t="s">
        <v>1260</v>
      </c>
      <c r="AS2005" t="s">
        <v>1259</v>
      </c>
      <c r="AT2005" s="30">
        <v>46069.518055555556</v>
      </c>
    </row>
    <row r="2006" spans="1:46" x14ac:dyDescent="0.25">
      <c r="A2006" t="s">
        <v>1248</v>
      </c>
      <c r="B2006">
        <v>247845</v>
      </c>
      <c r="C2006">
        <v>352159</v>
      </c>
      <c r="D2006">
        <v>405</v>
      </c>
      <c r="E2006" t="s">
        <v>1266</v>
      </c>
      <c r="H2006">
        <v>1855</v>
      </c>
      <c r="K2006" t="s">
        <v>1437</v>
      </c>
      <c r="L2006" t="s">
        <v>1437</v>
      </c>
      <c r="M2006" s="29">
        <v>287571428</v>
      </c>
      <c r="N2006">
        <v>0</v>
      </c>
      <c r="O2006" s="29">
        <v>287571428</v>
      </c>
      <c r="P2006">
        <v>0</v>
      </c>
      <c r="Q2006">
        <v>0</v>
      </c>
      <c r="R2006">
        <v>0</v>
      </c>
      <c r="T2006" s="29">
        <v>35000</v>
      </c>
      <c r="U2006" s="29">
        <v>704550</v>
      </c>
      <c r="V2006" t="s">
        <v>1262</v>
      </c>
      <c r="W2006" t="s">
        <v>1262</v>
      </c>
      <c r="X2006" s="29">
        <v>704550</v>
      </c>
      <c r="AA2006" s="30">
        <v>45741.625</v>
      </c>
      <c r="AB2006" s="30">
        <v>45742.583333333336</v>
      </c>
      <c r="AC2006" s="30">
        <v>45741.625</v>
      </c>
      <c r="AD2006" s="30">
        <v>45742.583333333336</v>
      </c>
      <c r="AE2006" s="30">
        <v>45772.541666666664</v>
      </c>
      <c r="AF2006" s="30">
        <v>45775.458333333336</v>
      </c>
      <c r="AG2006" t="s">
        <v>1266</v>
      </c>
      <c r="AK2006" t="s">
        <v>1265</v>
      </c>
      <c r="AL2006" t="s">
        <v>2669</v>
      </c>
      <c r="AM2006" t="s">
        <v>1263</v>
      </c>
      <c r="AN2006" t="s">
        <v>1262</v>
      </c>
      <c r="AO2006">
        <v>0</v>
      </c>
      <c r="AQ2006" t="s">
        <v>1261</v>
      </c>
      <c r="AR2006" t="s">
        <v>1260</v>
      </c>
      <c r="AS2006" t="s">
        <v>1259</v>
      </c>
      <c r="AT2006" s="30">
        <v>46069.518055555556</v>
      </c>
    </row>
    <row r="2007" spans="1:46" x14ac:dyDescent="0.25">
      <c r="A2007" t="s">
        <v>1248</v>
      </c>
      <c r="B2007">
        <v>247846</v>
      </c>
      <c r="C2007">
        <v>352152</v>
      </c>
      <c r="D2007">
        <v>405</v>
      </c>
      <c r="E2007" t="s">
        <v>1266</v>
      </c>
      <c r="H2007">
        <v>1855</v>
      </c>
      <c r="K2007" t="s">
        <v>1437</v>
      </c>
      <c r="L2007" t="s">
        <v>1437</v>
      </c>
      <c r="M2007" s="29">
        <v>287571428</v>
      </c>
      <c r="N2007">
        <v>0</v>
      </c>
      <c r="O2007" s="29">
        <v>287571428</v>
      </c>
      <c r="P2007">
        <v>0</v>
      </c>
      <c r="Q2007">
        <v>0</v>
      </c>
      <c r="R2007">
        <v>0</v>
      </c>
      <c r="T2007" s="29">
        <v>35000</v>
      </c>
      <c r="U2007" s="29">
        <v>704550</v>
      </c>
      <c r="V2007" t="s">
        <v>1262</v>
      </c>
      <c r="W2007" t="s">
        <v>1262</v>
      </c>
      <c r="X2007" s="29">
        <v>704550</v>
      </c>
      <c r="AA2007" s="30">
        <v>45743.583333333336</v>
      </c>
      <c r="AB2007" s="30">
        <v>45744.5</v>
      </c>
      <c r="AC2007" s="30">
        <v>45743.583333333336</v>
      </c>
      <c r="AD2007" s="30">
        <v>45744.5</v>
      </c>
      <c r="AE2007" s="30">
        <v>45778.541666666664</v>
      </c>
      <c r="AF2007" s="30">
        <v>45779.458333333336</v>
      </c>
      <c r="AG2007" t="s">
        <v>1266</v>
      </c>
      <c r="AK2007" t="s">
        <v>1265</v>
      </c>
      <c r="AL2007" t="s">
        <v>2668</v>
      </c>
      <c r="AM2007" t="s">
        <v>1263</v>
      </c>
      <c r="AN2007" t="s">
        <v>1262</v>
      </c>
      <c r="AO2007">
        <v>0</v>
      </c>
      <c r="AQ2007" t="s">
        <v>1261</v>
      </c>
      <c r="AR2007" t="s">
        <v>1260</v>
      </c>
      <c r="AS2007" t="s">
        <v>1259</v>
      </c>
      <c r="AT2007" s="30">
        <v>46069.518055555556</v>
      </c>
    </row>
    <row r="2008" spans="1:46" x14ac:dyDescent="0.25">
      <c r="A2008" t="s">
        <v>1248</v>
      </c>
      <c r="B2008">
        <v>247847</v>
      </c>
      <c r="C2008">
        <v>352145</v>
      </c>
      <c r="D2008">
        <v>405</v>
      </c>
      <c r="E2008" t="s">
        <v>1266</v>
      </c>
      <c r="H2008">
        <v>1855</v>
      </c>
      <c r="K2008" t="s">
        <v>1437</v>
      </c>
      <c r="L2008" t="s">
        <v>1437</v>
      </c>
      <c r="M2008" s="29">
        <v>287571428</v>
      </c>
      <c r="N2008">
        <v>0</v>
      </c>
      <c r="O2008" s="29">
        <v>287571428</v>
      </c>
      <c r="P2008">
        <v>0</v>
      </c>
      <c r="Q2008">
        <v>0</v>
      </c>
      <c r="R2008">
        <v>0</v>
      </c>
      <c r="T2008" s="29">
        <v>35000</v>
      </c>
      <c r="U2008" s="29">
        <v>704550</v>
      </c>
      <c r="V2008" t="s">
        <v>1262</v>
      </c>
      <c r="W2008" t="s">
        <v>1262</v>
      </c>
      <c r="X2008" s="29">
        <v>704550</v>
      </c>
      <c r="AA2008" s="30">
        <v>45747.541666666664</v>
      </c>
      <c r="AB2008" s="30">
        <v>45748.458333333336</v>
      </c>
      <c r="AC2008" s="30">
        <v>45747.541666666664</v>
      </c>
      <c r="AD2008" s="30">
        <v>45748.458333333336</v>
      </c>
      <c r="AE2008" s="30">
        <v>45784.541666666664</v>
      </c>
      <c r="AF2008" s="30">
        <v>45785.458333333336</v>
      </c>
      <c r="AG2008" t="s">
        <v>1266</v>
      </c>
      <c r="AK2008" t="s">
        <v>1265</v>
      </c>
      <c r="AL2008" t="s">
        <v>2667</v>
      </c>
      <c r="AM2008" t="s">
        <v>1263</v>
      </c>
      <c r="AN2008" t="s">
        <v>1262</v>
      </c>
      <c r="AO2008">
        <v>0</v>
      </c>
      <c r="AQ2008" t="s">
        <v>1261</v>
      </c>
      <c r="AR2008" t="s">
        <v>1260</v>
      </c>
      <c r="AS2008" t="s">
        <v>1259</v>
      </c>
      <c r="AT2008" s="30">
        <v>46069.518055555556</v>
      </c>
    </row>
    <row r="2009" spans="1:46" x14ac:dyDescent="0.25">
      <c r="A2009" t="s">
        <v>1248</v>
      </c>
      <c r="B2009">
        <v>247848</v>
      </c>
      <c r="C2009">
        <v>352138</v>
      </c>
      <c r="D2009">
        <v>405</v>
      </c>
      <c r="E2009" t="s">
        <v>1266</v>
      </c>
      <c r="H2009">
        <v>1855</v>
      </c>
      <c r="K2009" t="s">
        <v>1437</v>
      </c>
      <c r="L2009" t="s">
        <v>1437</v>
      </c>
      <c r="M2009" s="29">
        <v>287571428</v>
      </c>
      <c r="N2009">
        <v>0</v>
      </c>
      <c r="O2009" s="29">
        <v>287571428</v>
      </c>
      <c r="P2009">
        <v>0</v>
      </c>
      <c r="Q2009">
        <v>0</v>
      </c>
      <c r="R2009">
        <v>0</v>
      </c>
      <c r="T2009" s="29">
        <v>35000</v>
      </c>
      <c r="U2009" s="29">
        <v>704550</v>
      </c>
      <c r="V2009" t="s">
        <v>1262</v>
      </c>
      <c r="W2009" t="s">
        <v>1262</v>
      </c>
      <c r="X2009" s="29">
        <v>704550</v>
      </c>
      <c r="AA2009" s="30">
        <v>45749.458333333336</v>
      </c>
      <c r="AB2009" s="30">
        <v>45750.416666666664</v>
      </c>
      <c r="AC2009" s="30">
        <v>45749.458333333336</v>
      </c>
      <c r="AD2009" s="30">
        <v>45750.416666666664</v>
      </c>
      <c r="AE2009" s="30">
        <v>45790.541666666664</v>
      </c>
      <c r="AF2009" s="30">
        <v>45791.458333333336</v>
      </c>
      <c r="AG2009" t="s">
        <v>1266</v>
      </c>
      <c r="AK2009" t="s">
        <v>1265</v>
      </c>
      <c r="AL2009" t="s">
        <v>2666</v>
      </c>
      <c r="AM2009" t="s">
        <v>1263</v>
      </c>
      <c r="AN2009" t="s">
        <v>1262</v>
      </c>
      <c r="AO2009">
        <v>0</v>
      </c>
      <c r="AQ2009" t="s">
        <v>1261</v>
      </c>
      <c r="AR2009" t="s">
        <v>1260</v>
      </c>
      <c r="AS2009" t="s">
        <v>1259</v>
      </c>
      <c r="AT2009" s="30">
        <v>46069.518055555556</v>
      </c>
    </row>
    <row r="2010" spans="1:46" x14ac:dyDescent="0.25">
      <c r="A2010" t="s">
        <v>1248</v>
      </c>
      <c r="B2010">
        <v>247849</v>
      </c>
      <c r="C2010">
        <v>352131</v>
      </c>
      <c r="D2010">
        <v>405</v>
      </c>
      <c r="E2010" t="s">
        <v>1266</v>
      </c>
      <c r="H2010">
        <v>1855</v>
      </c>
      <c r="K2010" t="s">
        <v>1437</v>
      </c>
      <c r="L2010" t="s">
        <v>1437</v>
      </c>
      <c r="M2010" s="29">
        <v>287571428</v>
      </c>
      <c r="N2010">
        <v>0</v>
      </c>
      <c r="O2010" s="29">
        <v>287571428</v>
      </c>
      <c r="P2010">
        <v>0</v>
      </c>
      <c r="Q2010">
        <v>0</v>
      </c>
      <c r="R2010">
        <v>0</v>
      </c>
      <c r="T2010" s="29">
        <v>35000</v>
      </c>
      <c r="U2010" s="29">
        <v>704550</v>
      </c>
      <c r="V2010" t="s">
        <v>1262</v>
      </c>
      <c r="W2010" t="s">
        <v>1262</v>
      </c>
      <c r="X2010" s="29">
        <v>704550</v>
      </c>
      <c r="AA2010" s="30">
        <v>45751.416666666664</v>
      </c>
      <c r="AB2010" s="30">
        <v>45754.375</v>
      </c>
      <c r="AC2010" s="30">
        <v>45751.416666666664</v>
      </c>
      <c r="AD2010" s="30">
        <v>45754.375</v>
      </c>
      <c r="AE2010" s="30">
        <v>45796.541666666664</v>
      </c>
      <c r="AF2010" s="30">
        <v>45797.458333333336</v>
      </c>
      <c r="AG2010" t="s">
        <v>1266</v>
      </c>
      <c r="AK2010" t="s">
        <v>1265</v>
      </c>
      <c r="AL2010" t="s">
        <v>2665</v>
      </c>
      <c r="AM2010" t="s">
        <v>1263</v>
      </c>
      <c r="AN2010" t="s">
        <v>1262</v>
      </c>
      <c r="AO2010">
        <v>0</v>
      </c>
      <c r="AQ2010" t="s">
        <v>1261</v>
      </c>
      <c r="AR2010" t="s">
        <v>1260</v>
      </c>
      <c r="AS2010" t="s">
        <v>1259</v>
      </c>
      <c r="AT2010" s="30">
        <v>46069.518055555556</v>
      </c>
    </row>
    <row r="2011" spans="1:46" x14ac:dyDescent="0.25">
      <c r="A2011" t="s">
        <v>1248</v>
      </c>
      <c r="B2011">
        <v>247850</v>
      </c>
      <c r="C2011">
        <v>352124</v>
      </c>
      <c r="D2011">
        <v>405</v>
      </c>
      <c r="E2011" t="s">
        <v>1266</v>
      </c>
      <c r="H2011">
        <v>1855</v>
      </c>
      <c r="K2011" t="s">
        <v>1437</v>
      </c>
      <c r="L2011" t="s">
        <v>1437</v>
      </c>
      <c r="M2011" s="29">
        <v>287571428</v>
      </c>
      <c r="N2011">
        <v>0</v>
      </c>
      <c r="O2011" s="29">
        <v>287571428</v>
      </c>
      <c r="P2011">
        <v>0</v>
      </c>
      <c r="Q2011">
        <v>0</v>
      </c>
      <c r="R2011">
        <v>0</v>
      </c>
      <c r="T2011" s="29">
        <v>35000</v>
      </c>
      <c r="U2011" s="29">
        <v>704550</v>
      </c>
      <c r="V2011" t="s">
        <v>1262</v>
      </c>
      <c r="W2011" t="s">
        <v>1262</v>
      </c>
      <c r="X2011" s="29">
        <v>704550</v>
      </c>
      <c r="AA2011" s="30">
        <v>45755.375</v>
      </c>
      <c r="AB2011" s="30">
        <v>45755.708333333336</v>
      </c>
      <c r="AC2011" s="30">
        <v>45755.375</v>
      </c>
      <c r="AD2011" s="30">
        <v>45755.708333333336</v>
      </c>
      <c r="AE2011" s="30">
        <v>45800.541666666664</v>
      </c>
      <c r="AF2011" s="30">
        <v>45803.458333333336</v>
      </c>
      <c r="AG2011" t="s">
        <v>1266</v>
      </c>
      <c r="AK2011" t="s">
        <v>1265</v>
      </c>
      <c r="AL2011" t="s">
        <v>2664</v>
      </c>
      <c r="AM2011" t="s">
        <v>1263</v>
      </c>
      <c r="AN2011" t="s">
        <v>1262</v>
      </c>
      <c r="AO2011">
        <v>0</v>
      </c>
      <c r="AQ2011" t="s">
        <v>1261</v>
      </c>
      <c r="AR2011" t="s">
        <v>1260</v>
      </c>
      <c r="AS2011" t="s">
        <v>1259</v>
      </c>
      <c r="AT2011" s="30">
        <v>46069.518055555556</v>
      </c>
    </row>
    <row r="2012" spans="1:46" x14ac:dyDescent="0.25">
      <c r="A2012" t="s">
        <v>1248</v>
      </c>
      <c r="B2012">
        <v>247851</v>
      </c>
      <c r="C2012">
        <v>352117</v>
      </c>
      <c r="D2012">
        <v>405</v>
      </c>
      <c r="E2012" t="s">
        <v>1266</v>
      </c>
      <c r="H2012">
        <v>1855</v>
      </c>
      <c r="K2012" t="s">
        <v>1437</v>
      </c>
      <c r="L2012" t="s">
        <v>1437</v>
      </c>
      <c r="M2012" s="29">
        <v>287571428</v>
      </c>
      <c r="N2012">
        <v>0</v>
      </c>
      <c r="O2012" s="29">
        <v>287571428</v>
      </c>
      <c r="P2012">
        <v>0</v>
      </c>
      <c r="Q2012">
        <v>0</v>
      </c>
      <c r="R2012">
        <v>0</v>
      </c>
      <c r="T2012" s="29">
        <v>35000</v>
      </c>
      <c r="U2012" s="29">
        <v>704550</v>
      </c>
      <c r="V2012" t="s">
        <v>1262</v>
      </c>
      <c r="W2012" t="s">
        <v>1262</v>
      </c>
      <c r="X2012" s="29">
        <v>704550</v>
      </c>
      <c r="AA2012" s="30">
        <v>45757.333333333336</v>
      </c>
      <c r="AB2012" s="30">
        <v>45757.666666666664</v>
      </c>
      <c r="AC2012" s="30">
        <v>45757.333333333336</v>
      </c>
      <c r="AD2012" s="30">
        <v>45757.666666666664</v>
      </c>
      <c r="AE2012" s="30">
        <v>45806.541666666664</v>
      </c>
      <c r="AF2012" s="30">
        <v>45807.458333333336</v>
      </c>
      <c r="AG2012" t="s">
        <v>1266</v>
      </c>
      <c r="AK2012" t="s">
        <v>1265</v>
      </c>
      <c r="AL2012" t="s">
        <v>2663</v>
      </c>
      <c r="AM2012" t="s">
        <v>1263</v>
      </c>
      <c r="AN2012" t="s">
        <v>1262</v>
      </c>
      <c r="AO2012">
        <v>0</v>
      </c>
      <c r="AQ2012" t="s">
        <v>1261</v>
      </c>
      <c r="AR2012" t="s">
        <v>1260</v>
      </c>
      <c r="AS2012" t="s">
        <v>1259</v>
      </c>
      <c r="AT2012" s="30">
        <v>46069.518055555556</v>
      </c>
    </row>
    <row r="2013" spans="1:46" x14ac:dyDescent="0.25">
      <c r="A2013" t="s">
        <v>1248</v>
      </c>
      <c r="B2013">
        <v>247852</v>
      </c>
      <c r="C2013">
        <v>352110</v>
      </c>
      <c r="D2013">
        <v>405</v>
      </c>
      <c r="E2013" t="s">
        <v>1266</v>
      </c>
      <c r="H2013">
        <v>1855</v>
      </c>
      <c r="K2013" t="s">
        <v>1437</v>
      </c>
      <c r="L2013" t="s">
        <v>1437</v>
      </c>
      <c r="M2013" s="29">
        <v>287571428</v>
      </c>
      <c r="N2013">
        <v>0</v>
      </c>
      <c r="O2013" s="29">
        <v>287571428</v>
      </c>
      <c r="P2013">
        <v>0</v>
      </c>
      <c r="Q2013">
        <v>0</v>
      </c>
      <c r="R2013">
        <v>0</v>
      </c>
      <c r="T2013" s="29">
        <v>35000</v>
      </c>
      <c r="U2013" s="29">
        <v>704550</v>
      </c>
      <c r="V2013" t="s">
        <v>1262</v>
      </c>
      <c r="W2013" t="s">
        <v>1262</v>
      </c>
      <c r="X2013" s="29">
        <v>704550</v>
      </c>
      <c r="AA2013" s="30">
        <v>45758.666666666664</v>
      </c>
      <c r="AB2013" s="30">
        <v>45761.625</v>
      </c>
      <c r="AC2013" s="30">
        <v>45758.666666666664</v>
      </c>
      <c r="AD2013" s="30">
        <v>45761.625</v>
      </c>
      <c r="AE2013" s="30">
        <v>45812.541666666664</v>
      </c>
      <c r="AF2013" s="30">
        <v>45813.458333333336</v>
      </c>
      <c r="AG2013" t="s">
        <v>1266</v>
      </c>
      <c r="AK2013" t="s">
        <v>1265</v>
      </c>
      <c r="AL2013" t="s">
        <v>2662</v>
      </c>
      <c r="AM2013" t="s">
        <v>1263</v>
      </c>
      <c r="AN2013" t="s">
        <v>1262</v>
      </c>
      <c r="AO2013">
        <v>0</v>
      </c>
      <c r="AQ2013" t="s">
        <v>1261</v>
      </c>
      <c r="AR2013" t="s">
        <v>1260</v>
      </c>
      <c r="AS2013" t="s">
        <v>1259</v>
      </c>
      <c r="AT2013" s="30">
        <v>46069.518055555556</v>
      </c>
    </row>
    <row r="2014" spans="1:46" x14ac:dyDescent="0.25">
      <c r="A2014" t="s">
        <v>1248</v>
      </c>
      <c r="B2014">
        <v>247853</v>
      </c>
      <c r="C2014">
        <v>352103</v>
      </c>
      <c r="D2014">
        <v>405</v>
      </c>
      <c r="E2014" t="s">
        <v>1266</v>
      </c>
      <c r="H2014">
        <v>1855</v>
      </c>
      <c r="K2014" t="s">
        <v>1437</v>
      </c>
      <c r="L2014" t="s">
        <v>1437</v>
      </c>
      <c r="M2014" s="29">
        <v>287571428</v>
      </c>
      <c r="N2014">
        <v>0</v>
      </c>
      <c r="O2014" s="29">
        <v>287571428</v>
      </c>
      <c r="P2014">
        <v>0</v>
      </c>
      <c r="Q2014">
        <v>0</v>
      </c>
      <c r="R2014">
        <v>0</v>
      </c>
      <c r="T2014" s="29">
        <v>35000</v>
      </c>
      <c r="U2014" s="29">
        <v>704550</v>
      </c>
      <c r="V2014" t="s">
        <v>1262</v>
      </c>
      <c r="W2014" t="s">
        <v>1262</v>
      </c>
      <c r="X2014" s="29">
        <v>704550</v>
      </c>
      <c r="AA2014" s="30">
        <v>45770.625</v>
      </c>
      <c r="AB2014" s="30">
        <v>45771.583333333336</v>
      </c>
      <c r="AC2014" s="30">
        <v>45770.625</v>
      </c>
      <c r="AD2014" s="30">
        <v>45771.583333333336</v>
      </c>
      <c r="AE2014" s="30">
        <v>45818.541666666664</v>
      </c>
      <c r="AF2014" s="30">
        <v>45819.458333333336</v>
      </c>
      <c r="AG2014" t="s">
        <v>1266</v>
      </c>
      <c r="AK2014" t="s">
        <v>1265</v>
      </c>
      <c r="AL2014" t="s">
        <v>2661</v>
      </c>
      <c r="AM2014" t="s">
        <v>1263</v>
      </c>
      <c r="AN2014" t="s">
        <v>1262</v>
      </c>
      <c r="AO2014">
        <v>0</v>
      </c>
      <c r="AQ2014" t="s">
        <v>1261</v>
      </c>
      <c r="AR2014" t="s">
        <v>1260</v>
      </c>
      <c r="AS2014" t="s">
        <v>1259</v>
      </c>
      <c r="AT2014" s="30">
        <v>46069.518055555556</v>
      </c>
    </row>
    <row r="2015" spans="1:46" x14ac:dyDescent="0.25">
      <c r="A2015" t="s">
        <v>1248</v>
      </c>
      <c r="B2015">
        <v>247854</v>
      </c>
      <c r="C2015">
        <v>352096</v>
      </c>
      <c r="D2015">
        <v>405</v>
      </c>
      <c r="E2015" t="s">
        <v>1266</v>
      </c>
      <c r="H2015">
        <v>1855</v>
      </c>
      <c r="K2015" t="s">
        <v>1437</v>
      </c>
      <c r="L2015" t="s">
        <v>1437</v>
      </c>
      <c r="M2015" s="29">
        <v>287571428</v>
      </c>
      <c r="N2015">
        <v>0</v>
      </c>
      <c r="O2015" s="29">
        <v>287571428</v>
      </c>
      <c r="P2015">
        <v>0</v>
      </c>
      <c r="Q2015">
        <v>0</v>
      </c>
      <c r="R2015">
        <v>0</v>
      </c>
      <c r="T2015" s="29">
        <v>35000</v>
      </c>
      <c r="U2015" s="29">
        <v>704550</v>
      </c>
      <c r="V2015" t="s">
        <v>1262</v>
      </c>
      <c r="W2015" t="s">
        <v>1262</v>
      </c>
      <c r="X2015" s="29">
        <v>704550</v>
      </c>
      <c r="AA2015" s="30">
        <v>45772.583333333336</v>
      </c>
      <c r="AB2015" s="30">
        <v>45775.5</v>
      </c>
      <c r="AC2015" s="30">
        <v>45772.583333333336</v>
      </c>
      <c r="AD2015" s="30">
        <v>45775.5</v>
      </c>
      <c r="AE2015" s="30">
        <v>45824.541666666664</v>
      </c>
      <c r="AF2015" s="30">
        <v>45825.458333333336</v>
      </c>
      <c r="AG2015" t="s">
        <v>1266</v>
      </c>
      <c r="AK2015" t="s">
        <v>1265</v>
      </c>
      <c r="AL2015" t="s">
        <v>2660</v>
      </c>
      <c r="AM2015" t="s">
        <v>1263</v>
      </c>
      <c r="AN2015" t="s">
        <v>1262</v>
      </c>
      <c r="AO2015">
        <v>0</v>
      </c>
      <c r="AQ2015" t="s">
        <v>1261</v>
      </c>
      <c r="AR2015" t="s">
        <v>1260</v>
      </c>
      <c r="AS2015" t="s">
        <v>1259</v>
      </c>
      <c r="AT2015" s="30">
        <v>46069.518055555556</v>
      </c>
    </row>
    <row r="2016" spans="1:46" x14ac:dyDescent="0.25">
      <c r="A2016" t="s">
        <v>1248</v>
      </c>
      <c r="B2016">
        <v>247855</v>
      </c>
      <c r="C2016">
        <v>352089</v>
      </c>
      <c r="D2016">
        <v>405</v>
      </c>
      <c r="E2016" t="s">
        <v>1266</v>
      </c>
      <c r="H2016">
        <v>1855</v>
      </c>
      <c r="K2016" t="s">
        <v>1437</v>
      </c>
      <c r="L2016" t="s">
        <v>1437</v>
      </c>
      <c r="M2016" s="29">
        <v>287571428</v>
      </c>
      <c r="N2016">
        <v>0</v>
      </c>
      <c r="O2016" s="29">
        <v>287571428</v>
      </c>
      <c r="P2016">
        <v>0</v>
      </c>
      <c r="Q2016">
        <v>0</v>
      </c>
      <c r="R2016">
        <v>0</v>
      </c>
      <c r="T2016" s="29">
        <v>35000</v>
      </c>
      <c r="U2016" s="29">
        <v>704550</v>
      </c>
      <c r="V2016" t="s">
        <v>1262</v>
      </c>
      <c r="W2016" t="s">
        <v>1262</v>
      </c>
      <c r="X2016" s="29">
        <v>704550</v>
      </c>
      <c r="AA2016" s="30">
        <v>45776.541666666664</v>
      </c>
      <c r="AB2016" s="30">
        <v>45777.458333333336</v>
      </c>
      <c r="AC2016" s="30">
        <v>45776.541666666664</v>
      </c>
      <c r="AD2016" s="30">
        <v>45777.458333333336</v>
      </c>
      <c r="AE2016" s="30">
        <v>45828.541666666664</v>
      </c>
      <c r="AF2016" s="30">
        <v>45831.458333333336</v>
      </c>
      <c r="AG2016" t="s">
        <v>1266</v>
      </c>
      <c r="AK2016" t="s">
        <v>1265</v>
      </c>
      <c r="AL2016" t="s">
        <v>2659</v>
      </c>
      <c r="AM2016" t="s">
        <v>1263</v>
      </c>
      <c r="AN2016" t="s">
        <v>1262</v>
      </c>
      <c r="AO2016">
        <v>0</v>
      </c>
      <c r="AQ2016" t="s">
        <v>1261</v>
      </c>
      <c r="AR2016" t="s">
        <v>1260</v>
      </c>
      <c r="AS2016" t="s">
        <v>1259</v>
      </c>
      <c r="AT2016" s="30">
        <v>46069.518055555556</v>
      </c>
    </row>
    <row r="2017" spans="1:46" x14ac:dyDescent="0.25">
      <c r="A2017" t="s">
        <v>1248</v>
      </c>
      <c r="B2017">
        <v>247856</v>
      </c>
      <c r="C2017">
        <v>352082</v>
      </c>
      <c r="D2017">
        <v>405</v>
      </c>
      <c r="E2017" t="s">
        <v>1266</v>
      </c>
      <c r="H2017">
        <v>1855</v>
      </c>
      <c r="K2017" t="s">
        <v>1437</v>
      </c>
      <c r="L2017" t="s">
        <v>1437</v>
      </c>
      <c r="M2017" s="29">
        <v>287571428</v>
      </c>
      <c r="N2017">
        <v>0</v>
      </c>
      <c r="O2017" s="29">
        <v>287571428</v>
      </c>
      <c r="P2017">
        <v>0</v>
      </c>
      <c r="Q2017">
        <v>0</v>
      </c>
      <c r="R2017">
        <v>0</v>
      </c>
      <c r="T2017" s="29">
        <v>35000</v>
      </c>
      <c r="U2017" s="29">
        <v>704550</v>
      </c>
      <c r="V2017" t="s">
        <v>1262</v>
      </c>
      <c r="W2017" t="s">
        <v>1262</v>
      </c>
      <c r="X2017" s="29">
        <v>704550</v>
      </c>
      <c r="AA2017" s="30">
        <v>45778.458333333336</v>
      </c>
      <c r="AB2017" s="30">
        <v>45779.416666666664</v>
      </c>
      <c r="AC2017" s="30">
        <v>45778.458333333336</v>
      </c>
      <c r="AD2017" s="30">
        <v>45779.416666666664</v>
      </c>
      <c r="AE2017" s="30">
        <v>45834.541666666664</v>
      </c>
      <c r="AF2017" s="30">
        <v>45835.458333333336</v>
      </c>
      <c r="AG2017" t="s">
        <v>1266</v>
      </c>
      <c r="AK2017" t="s">
        <v>1265</v>
      </c>
      <c r="AL2017" t="s">
        <v>2658</v>
      </c>
      <c r="AM2017" t="s">
        <v>1263</v>
      </c>
      <c r="AN2017" t="s">
        <v>1262</v>
      </c>
      <c r="AO2017">
        <v>0</v>
      </c>
      <c r="AQ2017" t="s">
        <v>1261</v>
      </c>
      <c r="AR2017" t="s">
        <v>1260</v>
      </c>
      <c r="AS2017" t="s">
        <v>1259</v>
      </c>
      <c r="AT2017" s="30">
        <v>46069.518055555556</v>
      </c>
    </row>
    <row r="2018" spans="1:46" x14ac:dyDescent="0.25">
      <c r="A2018" t="s">
        <v>1248</v>
      </c>
      <c r="B2018">
        <v>247857</v>
      </c>
      <c r="C2018">
        <v>352075</v>
      </c>
      <c r="D2018">
        <v>405</v>
      </c>
      <c r="E2018" t="s">
        <v>1266</v>
      </c>
      <c r="H2018">
        <v>1855</v>
      </c>
      <c r="K2018" t="s">
        <v>1437</v>
      </c>
      <c r="L2018" t="s">
        <v>1437</v>
      </c>
      <c r="M2018" s="29">
        <v>287571428</v>
      </c>
      <c r="N2018">
        <v>0</v>
      </c>
      <c r="O2018" s="29">
        <v>287571428</v>
      </c>
      <c r="P2018">
        <v>0</v>
      </c>
      <c r="Q2018">
        <v>0</v>
      </c>
      <c r="R2018">
        <v>0</v>
      </c>
      <c r="T2018" s="29">
        <v>35000</v>
      </c>
      <c r="U2018" s="29">
        <v>704550</v>
      </c>
      <c r="V2018" t="s">
        <v>1262</v>
      </c>
      <c r="W2018" t="s">
        <v>1262</v>
      </c>
      <c r="X2018" s="29">
        <v>704550</v>
      </c>
      <c r="AA2018" s="30">
        <v>45782.416666666664</v>
      </c>
      <c r="AB2018" s="30">
        <v>45783.375</v>
      </c>
      <c r="AC2018" s="30">
        <v>45782.416666666664</v>
      </c>
      <c r="AD2018" s="30">
        <v>45783.375</v>
      </c>
      <c r="AE2018" s="30">
        <v>45840.541666666664</v>
      </c>
      <c r="AF2018" s="30">
        <v>45841.458333333336</v>
      </c>
      <c r="AG2018" t="s">
        <v>1266</v>
      </c>
      <c r="AK2018" t="s">
        <v>1265</v>
      </c>
      <c r="AL2018" t="s">
        <v>2657</v>
      </c>
      <c r="AM2018" t="s">
        <v>1263</v>
      </c>
      <c r="AN2018" t="s">
        <v>1262</v>
      </c>
      <c r="AO2018">
        <v>0</v>
      </c>
      <c r="AQ2018" t="s">
        <v>1261</v>
      </c>
      <c r="AR2018" t="s">
        <v>1260</v>
      </c>
      <c r="AS2018" t="s">
        <v>1259</v>
      </c>
      <c r="AT2018" s="30">
        <v>46069.518055555556</v>
      </c>
    </row>
    <row r="2019" spans="1:46" x14ac:dyDescent="0.25">
      <c r="A2019" t="s">
        <v>1248</v>
      </c>
      <c r="B2019">
        <v>247858</v>
      </c>
      <c r="C2019">
        <v>352068</v>
      </c>
      <c r="D2019">
        <v>405</v>
      </c>
      <c r="E2019" t="s">
        <v>1266</v>
      </c>
      <c r="H2019">
        <v>1855</v>
      </c>
      <c r="K2019" s="29">
        <v>23005714</v>
      </c>
      <c r="L2019" s="29">
        <v>23005714</v>
      </c>
      <c r="M2019" s="29">
        <v>287571428</v>
      </c>
      <c r="N2019">
        <v>0</v>
      </c>
      <c r="O2019" s="29">
        <v>287571428</v>
      </c>
      <c r="P2019">
        <v>0</v>
      </c>
      <c r="Q2019">
        <v>0</v>
      </c>
      <c r="R2019">
        <v>0</v>
      </c>
      <c r="T2019" s="29">
        <v>35000</v>
      </c>
      <c r="U2019" s="29">
        <v>805200</v>
      </c>
      <c r="V2019" t="s">
        <v>1262</v>
      </c>
      <c r="W2019" t="s">
        <v>1262</v>
      </c>
      <c r="X2019" s="29">
        <v>805200</v>
      </c>
      <c r="AA2019" s="30">
        <v>45784.458333333336</v>
      </c>
      <c r="AB2019" s="30">
        <v>45785.458333333336</v>
      </c>
      <c r="AC2019" s="30">
        <v>45784.458333333336</v>
      </c>
      <c r="AD2019" s="30">
        <v>45785.458333333336</v>
      </c>
      <c r="AE2019" s="30">
        <v>45853.333333333336</v>
      </c>
      <c r="AF2019" s="30">
        <v>45853.708333333336</v>
      </c>
      <c r="AG2019" t="s">
        <v>1266</v>
      </c>
      <c r="AK2019" t="s">
        <v>1265</v>
      </c>
      <c r="AL2019" t="s">
        <v>2656</v>
      </c>
      <c r="AM2019" t="s">
        <v>1263</v>
      </c>
      <c r="AN2019" t="s">
        <v>1262</v>
      </c>
      <c r="AO2019">
        <v>0</v>
      </c>
      <c r="AQ2019" t="s">
        <v>1261</v>
      </c>
      <c r="AR2019" t="s">
        <v>1260</v>
      </c>
      <c r="AS2019" t="s">
        <v>1259</v>
      </c>
      <c r="AT2019" s="30">
        <v>46069.518055555556</v>
      </c>
    </row>
    <row r="2020" spans="1:46" x14ac:dyDescent="0.25">
      <c r="A2020" t="s">
        <v>1248</v>
      </c>
      <c r="B2020">
        <v>247859</v>
      </c>
      <c r="C2020">
        <v>352061</v>
      </c>
      <c r="D2020">
        <v>405</v>
      </c>
      <c r="E2020" t="s">
        <v>1266</v>
      </c>
      <c r="H2020">
        <v>1855</v>
      </c>
      <c r="K2020" t="s">
        <v>1437</v>
      </c>
      <c r="L2020" t="s">
        <v>1437</v>
      </c>
      <c r="M2020" s="29">
        <v>287571428</v>
      </c>
      <c r="N2020">
        <v>0</v>
      </c>
      <c r="O2020" s="29">
        <v>287571428</v>
      </c>
      <c r="P2020">
        <v>0</v>
      </c>
      <c r="Q2020">
        <v>0</v>
      </c>
      <c r="R2020">
        <v>0</v>
      </c>
      <c r="T2020" s="29">
        <v>35000</v>
      </c>
      <c r="U2020" s="29">
        <v>704550</v>
      </c>
      <c r="V2020" t="s">
        <v>1262</v>
      </c>
      <c r="W2020" t="s">
        <v>1262</v>
      </c>
      <c r="X2020" s="29">
        <v>704550</v>
      </c>
      <c r="AA2020" s="30">
        <v>45796.625</v>
      </c>
      <c r="AB2020" s="30">
        <v>45797.583333333336</v>
      </c>
      <c r="AC2020" s="30">
        <v>45796.625</v>
      </c>
      <c r="AD2020" s="30">
        <v>45797.583333333336</v>
      </c>
      <c r="AE2020" s="30">
        <v>45856.583333333336</v>
      </c>
      <c r="AF2020" s="30">
        <v>45859.5</v>
      </c>
      <c r="AG2020" t="s">
        <v>1266</v>
      </c>
      <c r="AK2020" t="s">
        <v>1265</v>
      </c>
      <c r="AL2020" t="s">
        <v>2655</v>
      </c>
      <c r="AM2020" t="s">
        <v>1263</v>
      </c>
      <c r="AN2020" t="s">
        <v>1262</v>
      </c>
      <c r="AO2020">
        <v>0</v>
      </c>
      <c r="AQ2020" t="s">
        <v>1261</v>
      </c>
      <c r="AR2020" t="s">
        <v>1260</v>
      </c>
      <c r="AS2020" t="s">
        <v>1259</v>
      </c>
      <c r="AT2020" s="30">
        <v>46069.518055555556</v>
      </c>
    </row>
    <row r="2021" spans="1:46" x14ac:dyDescent="0.25">
      <c r="A2021" t="s">
        <v>1248</v>
      </c>
      <c r="B2021">
        <v>247860</v>
      </c>
      <c r="C2021">
        <v>352047</v>
      </c>
      <c r="D2021">
        <v>405</v>
      </c>
      <c r="E2021" t="s">
        <v>1266</v>
      </c>
      <c r="H2021">
        <v>1855</v>
      </c>
      <c r="K2021" s="29">
        <v>23005714</v>
      </c>
      <c r="L2021" s="29">
        <v>23005714</v>
      </c>
      <c r="M2021" s="29">
        <v>287571428</v>
      </c>
      <c r="N2021">
        <v>0</v>
      </c>
      <c r="O2021" s="29">
        <v>287571428</v>
      </c>
      <c r="P2021">
        <v>0</v>
      </c>
      <c r="Q2021">
        <v>0</v>
      </c>
      <c r="R2021">
        <v>0</v>
      </c>
      <c r="T2021" s="29">
        <v>35000</v>
      </c>
      <c r="U2021" s="29">
        <v>805200</v>
      </c>
      <c r="V2021" t="s">
        <v>1262</v>
      </c>
      <c r="W2021" t="s">
        <v>1262</v>
      </c>
      <c r="X2021" s="29">
        <v>805200</v>
      </c>
      <c r="AA2021" s="30">
        <v>45800.625</v>
      </c>
      <c r="AB2021" s="30">
        <v>45803.625</v>
      </c>
      <c r="AC2021" s="30">
        <v>45800.625</v>
      </c>
      <c r="AD2021" s="30">
        <v>45803.625</v>
      </c>
      <c r="AE2021" s="30">
        <v>45868.333333333336</v>
      </c>
      <c r="AF2021" s="30">
        <v>45868.708333333336</v>
      </c>
      <c r="AG2021" t="s">
        <v>1266</v>
      </c>
      <c r="AK2021" t="s">
        <v>1265</v>
      </c>
      <c r="AL2021" t="s">
        <v>2654</v>
      </c>
      <c r="AM2021" t="s">
        <v>1263</v>
      </c>
      <c r="AN2021" t="s">
        <v>1262</v>
      </c>
      <c r="AO2021">
        <v>0</v>
      </c>
      <c r="AQ2021" t="s">
        <v>1261</v>
      </c>
      <c r="AR2021" t="s">
        <v>1260</v>
      </c>
      <c r="AS2021" t="s">
        <v>1259</v>
      </c>
      <c r="AT2021" s="30">
        <v>46069.518055555556</v>
      </c>
    </row>
    <row r="2022" spans="1:46" x14ac:dyDescent="0.25">
      <c r="A2022" t="s">
        <v>1248</v>
      </c>
      <c r="B2022">
        <v>247924</v>
      </c>
      <c r="C2022">
        <v>352190</v>
      </c>
      <c r="D2022">
        <v>405</v>
      </c>
      <c r="E2022" t="s">
        <v>1266</v>
      </c>
      <c r="H2022">
        <v>1858</v>
      </c>
      <c r="K2022" s="29">
        <v>45273191</v>
      </c>
      <c r="L2022" s="29">
        <v>45273191</v>
      </c>
      <c r="M2022" t="s">
        <v>2284</v>
      </c>
      <c r="N2022">
        <v>0</v>
      </c>
      <c r="O2022" t="s">
        <v>2284</v>
      </c>
      <c r="P2022">
        <v>0</v>
      </c>
      <c r="Q2022">
        <v>0</v>
      </c>
      <c r="R2022">
        <v>0</v>
      </c>
      <c r="T2022" s="29">
        <v>230000</v>
      </c>
      <c r="U2022" s="29">
        <v>10412834</v>
      </c>
      <c r="V2022" t="s">
        <v>1262</v>
      </c>
      <c r="W2022" t="s">
        <v>1262</v>
      </c>
      <c r="X2022" s="29">
        <v>10412834</v>
      </c>
      <c r="AA2022" s="30">
        <v>45735.333333333336</v>
      </c>
      <c r="AB2022" s="30">
        <v>45742.708333333336</v>
      </c>
      <c r="AC2022" s="30">
        <v>45735.333333333336</v>
      </c>
      <c r="AD2022" s="30">
        <v>45742.708333333336</v>
      </c>
      <c r="AE2022" s="30">
        <v>45761.333333333336</v>
      </c>
      <c r="AF2022" s="30">
        <v>45768.708333333336</v>
      </c>
      <c r="AG2022" t="s">
        <v>1266</v>
      </c>
      <c r="AK2022" t="s">
        <v>1265</v>
      </c>
      <c r="AL2022" t="s">
        <v>2653</v>
      </c>
      <c r="AM2022" t="s">
        <v>1263</v>
      </c>
      <c r="AN2022" t="s">
        <v>1262</v>
      </c>
      <c r="AO2022">
        <v>0</v>
      </c>
      <c r="AQ2022" t="s">
        <v>1261</v>
      </c>
      <c r="AR2022" t="s">
        <v>1260</v>
      </c>
      <c r="AS2022" t="s">
        <v>1259</v>
      </c>
      <c r="AT2022" s="30">
        <v>46069.518055555556</v>
      </c>
    </row>
    <row r="2023" spans="1:46" x14ac:dyDescent="0.25">
      <c r="A2023" t="s">
        <v>1248</v>
      </c>
      <c r="B2023">
        <v>247925</v>
      </c>
      <c r="C2023">
        <v>352183</v>
      </c>
      <c r="D2023">
        <v>405</v>
      </c>
      <c r="E2023" t="s">
        <v>1266</v>
      </c>
      <c r="H2023">
        <v>1858</v>
      </c>
      <c r="K2023" t="s">
        <v>1466</v>
      </c>
      <c r="L2023" t="s">
        <v>1466</v>
      </c>
      <c r="M2023" t="s">
        <v>2284</v>
      </c>
      <c r="N2023">
        <v>0</v>
      </c>
      <c r="O2023" t="s">
        <v>2284</v>
      </c>
      <c r="P2023">
        <v>0</v>
      </c>
      <c r="Q2023">
        <v>0</v>
      </c>
      <c r="R2023">
        <v>0</v>
      </c>
      <c r="T2023" s="29">
        <v>230000</v>
      </c>
      <c r="U2023" s="29">
        <v>10195900</v>
      </c>
      <c r="V2023" t="s">
        <v>1262</v>
      </c>
      <c r="W2023" t="s">
        <v>1262</v>
      </c>
      <c r="X2023" s="29">
        <v>10195900</v>
      </c>
      <c r="AA2023" s="30">
        <v>45737.541666666664</v>
      </c>
      <c r="AB2023" s="30">
        <v>45747.458333333336</v>
      </c>
      <c r="AC2023" s="30">
        <v>45737.541666666664</v>
      </c>
      <c r="AD2023" s="30">
        <v>45747.458333333336</v>
      </c>
      <c r="AE2023" s="30">
        <v>45765.375</v>
      </c>
      <c r="AF2023" s="30">
        <v>45772.708333333336</v>
      </c>
      <c r="AG2023" t="s">
        <v>1266</v>
      </c>
      <c r="AK2023" t="s">
        <v>1265</v>
      </c>
      <c r="AL2023" t="s">
        <v>2652</v>
      </c>
      <c r="AM2023" t="s">
        <v>1263</v>
      </c>
      <c r="AN2023" t="s">
        <v>1262</v>
      </c>
      <c r="AO2023">
        <v>0</v>
      </c>
      <c r="AQ2023" t="s">
        <v>1261</v>
      </c>
      <c r="AR2023" t="s">
        <v>1260</v>
      </c>
      <c r="AS2023" t="s">
        <v>1259</v>
      </c>
      <c r="AT2023" s="30">
        <v>46069.518055555556</v>
      </c>
    </row>
    <row r="2024" spans="1:46" x14ac:dyDescent="0.25">
      <c r="A2024" t="s">
        <v>1248</v>
      </c>
      <c r="B2024">
        <v>247926</v>
      </c>
      <c r="C2024">
        <v>352176</v>
      </c>
      <c r="D2024">
        <v>405</v>
      </c>
      <c r="E2024" t="s">
        <v>1266</v>
      </c>
      <c r="H2024">
        <v>1858</v>
      </c>
      <c r="K2024" t="s">
        <v>1466</v>
      </c>
      <c r="L2024" t="s">
        <v>1466</v>
      </c>
      <c r="M2024" t="s">
        <v>2284</v>
      </c>
      <c r="N2024">
        <v>0</v>
      </c>
      <c r="O2024" t="s">
        <v>2284</v>
      </c>
      <c r="P2024">
        <v>0</v>
      </c>
      <c r="Q2024">
        <v>0</v>
      </c>
      <c r="R2024">
        <v>0</v>
      </c>
      <c r="T2024" s="29">
        <v>230000</v>
      </c>
      <c r="U2024" s="29">
        <v>10195900</v>
      </c>
      <c r="V2024" t="s">
        <v>1262</v>
      </c>
      <c r="W2024" t="s">
        <v>1262</v>
      </c>
      <c r="X2024" s="29">
        <v>10195900</v>
      </c>
      <c r="AA2024" s="30">
        <v>45734.458333333336</v>
      </c>
      <c r="AB2024" s="30">
        <v>45742.416666666664</v>
      </c>
      <c r="AC2024" s="30">
        <v>45734.458333333336</v>
      </c>
      <c r="AD2024" s="30">
        <v>45742.416666666664</v>
      </c>
      <c r="AE2024" s="30">
        <v>45771.375</v>
      </c>
      <c r="AF2024" s="30">
        <v>45778.708333333336</v>
      </c>
      <c r="AG2024" t="s">
        <v>1266</v>
      </c>
      <c r="AK2024" t="s">
        <v>1265</v>
      </c>
      <c r="AL2024" t="s">
        <v>2651</v>
      </c>
      <c r="AM2024" t="s">
        <v>1263</v>
      </c>
      <c r="AN2024" t="s">
        <v>1262</v>
      </c>
      <c r="AO2024">
        <v>0</v>
      </c>
      <c r="AQ2024" t="s">
        <v>1261</v>
      </c>
      <c r="AR2024" t="s">
        <v>1260</v>
      </c>
      <c r="AS2024" t="s">
        <v>1259</v>
      </c>
      <c r="AT2024" s="30">
        <v>46069.518055555556</v>
      </c>
    </row>
    <row r="2025" spans="1:46" x14ac:dyDescent="0.25">
      <c r="A2025" t="s">
        <v>1248</v>
      </c>
      <c r="B2025">
        <v>247927</v>
      </c>
      <c r="C2025">
        <v>352169</v>
      </c>
      <c r="D2025">
        <v>405</v>
      </c>
      <c r="E2025" t="s">
        <v>1266</v>
      </c>
      <c r="H2025">
        <v>1858</v>
      </c>
      <c r="K2025" t="s">
        <v>1466</v>
      </c>
      <c r="L2025" t="s">
        <v>1466</v>
      </c>
      <c r="M2025" t="s">
        <v>2284</v>
      </c>
      <c r="N2025">
        <v>0</v>
      </c>
      <c r="O2025" t="s">
        <v>2284</v>
      </c>
      <c r="P2025">
        <v>0</v>
      </c>
      <c r="Q2025">
        <v>0</v>
      </c>
      <c r="R2025">
        <v>0</v>
      </c>
      <c r="T2025" s="29">
        <v>230000</v>
      </c>
      <c r="U2025" s="29">
        <v>10195900</v>
      </c>
      <c r="V2025" t="s">
        <v>1262</v>
      </c>
      <c r="W2025" t="s">
        <v>1262</v>
      </c>
      <c r="X2025" s="29">
        <v>10195900</v>
      </c>
      <c r="AA2025" s="30">
        <v>45737.416666666664</v>
      </c>
      <c r="AB2025" s="30">
        <v>45747.375</v>
      </c>
      <c r="AC2025" s="30">
        <v>45737.416666666664</v>
      </c>
      <c r="AD2025" s="30">
        <v>45747.375</v>
      </c>
      <c r="AE2025" s="30">
        <v>45777.375</v>
      </c>
      <c r="AF2025" s="30">
        <v>45784.708333333336</v>
      </c>
      <c r="AG2025" t="s">
        <v>1266</v>
      </c>
      <c r="AK2025" t="s">
        <v>1265</v>
      </c>
      <c r="AL2025" t="s">
        <v>2650</v>
      </c>
      <c r="AM2025" t="s">
        <v>1263</v>
      </c>
      <c r="AN2025" t="s">
        <v>1262</v>
      </c>
      <c r="AO2025">
        <v>0</v>
      </c>
      <c r="AQ2025" t="s">
        <v>1261</v>
      </c>
      <c r="AR2025" t="s">
        <v>1260</v>
      </c>
      <c r="AS2025" t="s">
        <v>1259</v>
      </c>
      <c r="AT2025" s="30">
        <v>46069.518055555556</v>
      </c>
    </row>
    <row r="2026" spans="1:46" x14ac:dyDescent="0.25">
      <c r="A2026" t="s">
        <v>1248</v>
      </c>
      <c r="B2026">
        <v>247928</v>
      </c>
      <c r="C2026">
        <v>352162</v>
      </c>
      <c r="D2026">
        <v>405</v>
      </c>
      <c r="E2026" t="s">
        <v>1266</v>
      </c>
      <c r="H2026">
        <v>1858</v>
      </c>
      <c r="K2026" t="s">
        <v>1466</v>
      </c>
      <c r="L2026" t="s">
        <v>1466</v>
      </c>
      <c r="M2026" t="s">
        <v>2284</v>
      </c>
      <c r="N2026">
        <v>0</v>
      </c>
      <c r="O2026" t="s">
        <v>2284</v>
      </c>
      <c r="P2026">
        <v>0</v>
      </c>
      <c r="Q2026">
        <v>0</v>
      </c>
      <c r="R2026">
        <v>0</v>
      </c>
      <c r="T2026" s="29">
        <v>230000</v>
      </c>
      <c r="U2026" s="29">
        <v>10195900</v>
      </c>
      <c r="V2026" t="s">
        <v>1262</v>
      </c>
      <c r="W2026" t="s">
        <v>1262</v>
      </c>
      <c r="X2026" s="29">
        <v>10195900</v>
      </c>
      <c r="AA2026" s="30">
        <v>45750.458333333336</v>
      </c>
      <c r="AB2026" s="30">
        <v>45758.416666666664</v>
      </c>
      <c r="AC2026" s="30">
        <v>45750.458333333336</v>
      </c>
      <c r="AD2026" s="30">
        <v>45758.416666666664</v>
      </c>
      <c r="AE2026" s="30">
        <v>45783.375</v>
      </c>
      <c r="AF2026" s="30">
        <v>45790.708333333336</v>
      </c>
      <c r="AG2026" t="s">
        <v>1266</v>
      </c>
      <c r="AK2026" t="s">
        <v>1265</v>
      </c>
      <c r="AL2026" t="s">
        <v>2649</v>
      </c>
      <c r="AM2026" t="s">
        <v>1263</v>
      </c>
      <c r="AN2026" t="s">
        <v>1262</v>
      </c>
      <c r="AO2026">
        <v>0</v>
      </c>
      <c r="AQ2026" t="s">
        <v>1261</v>
      </c>
      <c r="AR2026" t="s">
        <v>1260</v>
      </c>
      <c r="AS2026" t="s">
        <v>1259</v>
      </c>
      <c r="AT2026" s="30">
        <v>46069.518055555556</v>
      </c>
    </row>
    <row r="2027" spans="1:46" x14ac:dyDescent="0.25">
      <c r="A2027" t="s">
        <v>1248</v>
      </c>
      <c r="B2027">
        <v>247929</v>
      </c>
      <c r="C2027">
        <v>352155</v>
      </c>
      <c r="D2027">
        <v>405</v>
      </c>
      <c r="E2027" t="s">
        <v>1266</v>
      </c>
      <c r="H2027">
        <v>1858</v>
      </c>
      <c r="K2027" t="s">
        <v>1466</v>
      </c>
      <c r="L2027" t="s">
        <v>1466</v>
      </c>
      <c r="M2027" t="s">
        <v>2284</v>
      </c>
      <c r="N2027">
        <v>0</v>
      </c>
      <c r="O2027" t="s">
        <v>2284</v>
      </c>
      <c r="P2027">
        <v>0</v>
      </c>
      <c r="Q2027">
        <v>0</v>
      </c>
      <c r="R2027">
        <v>0</v>
      </c>
      <c r="T2027" s="29">
        <v>230000</v>
      </c>
      <c r="U2027" s="29">
        <v>10195900</v>
      </c>
      <c r="V2027" t="s">
        <v>1262</v>
      </c>
      <c r="W2027" t="s">
        <v>1262</v>
      </c>
      <c r="X2027" s="29">
        <v>10195900</v>
      </c>
      <c r="AA2027" s="30">
        <v>45754.416666666664</v>
      </c>
      <c r="AB2027" s="30">
        <v>45762.375</v>
      </c>
      <c r="AC2027" s="30">
        <v>45754.416666666664</v>
      </c>
      <c r="AD2027" s="30">
        <v>45762.375</v>
      </c>
      <c r="AE2027" s="30">
        <v>45789.375</v>
      </c>
      <c r="AF2027" s="30">
        <v>45796.708333333336</v>
      </c>
      <c r="AG2027" t="s">
        <v>1266</v>
      </c>
      <c r="AK2027" t="s">
        <v>1265</v>
      </c>
      <c r="AL2027" t="s">
        <v>2648</v>
      </c>
      <c r="AM2027" t="s">
        <v>1263</v>
      </c>
      <c r="AN2027" t="s">
        <v>1262</v>
      </c>
      <c r="AO2027">
        <v>0</v>
      </c>
      <c r="AQ2027" t="s">
        <v>1261</v>
      </c>
      <c r="AR2027" t="s">
        <v>1260</v>
      </c>
      <c r="AS2027" t="s">
        <v>1259</v>
      </c>
      <c r="AT2027" s="30">
        <v>46069.518055555556</v>
      </c>
    </row>
    <row r="2028" spans="1:46" x14ac:dyDescent="0.25">
      <c r="A2028" t="s">
        <v>1248</v>
      </c>
      <c r="B2028">
        <v>247930</v>
      </c>
      <c r="C2028">
        <v>352148</v>
      </c>
      <c r="D2028">
        <v>405</v>
      </c>
      <c r="E2028" t="s">
        <v>1266</v>
      </c>
      <c r="H2028">
        <v>1858</v>
      </c>
      <c r="K2028" t="s">
        <v>1466</v>
      </c>
      <c r="L2028" t="s">
        <v>1466</v>
      </c>
      <c r="M2028" t="s">
        <v>2284</v>
      </c>
      <c r="N2028">
        <v>0</v>
      </c>
      <c r="O2028" t="s">
        <v>2284</v>
      </c>
      <c r="P2028">
        <v>0</v>
      </c>
      <c r="Q2028">
        <v>0</v>
      </c>
      <c r="R2028">
        <v>0</v>
      </c>
      <c r="T2028" s="29">
        <v>230000</v>
      </c>
      <c r="U2028" s="29">
        <v>10195900</v>
      </c>
      <c r="V2028" t="s">
        <v>1262</v>
      </c>
      <c r="W2028" t="s">
        <v>1262</v>
      </c>
      <c r="X2028" s="29">
        <v>10195900</v>
      </c>
      <c r="AA2028" s="30">
        <v>45756.375</v>
      </c>
      <c r="AB2028" s="30">
        <v>45763.708333333336</v>
      </c>
      <c r="AC2028" s="30">
        <v>45756.375</v>
      </c>
      <c r="AD2028" s="30">
        <v>45763.708333333336</v>
      </c>
      <c r="AE2028" s="30">
        <v>45793.375</v>
      </c>
      <c r="AF2028" s="30">
        <v>45800.708333333336</v>
      </c>
      <c r="AG2028" t="s">
        <v>1266</v>
      </c>
      <c r="AK2028" t="s">
        <v>1265</v>
      </c>
      <c r="AL2028" t="s">
        <v>2647</v>
      </c>
      <c r="AM2028" t="s">
        <v>1263</v>
      </c>
      <c r="AN2028" t="s">
        <v>1262</v>
      </c>
      <c r="AO2028">
        <v>0</v>
      </c>
      <c r="AQ2028" t="s">
        <v>1261</v>
      </c>
      <c r="AR2028" t="s">
        <v>1260</v>
      </c>
      <c r="AS2028" t="s">
        <v>1259</v>
      </c>
      <c r="AT2028" s="30">
        <v>46069.518055555556</v>
      </c>
    </row>
    <row r="2029" spans="1:46" x14ac:dyDescent="0.25">
      <c r="A2029" t="s">
        <v>1248</v>
      </c>
      <c r="B2029">
        <v>247931</v>
      </c>
      <c r="C2029">
        <v>352141</v>
      </c>
      <c r="D2029">
        <v>405</v>
      </c>
      <c r="E2029" t="s">
        <v>1266</v>
      </c>
      <c r="H2029">
        <v>1858</v>
      </c>
      <c r="K2029" t="s">
        <v>1466</v>
      </c>
      <c r="L2029" t="s">
        <v>1466</v>
      </c>
      <c r="M2029" t="s">
        <v>2284</v>
      </c>
      <c r="N2029">
        <v>0</v>
      </c>
      <c r="O2029" t="s">
        <v>2284</v>
      </c>
      <c r="P2029">
        <v>0</v>
      </c>
      <c r="Q2029">
        <v>0</v>
      </c>
      <c r="R2029">
        <v>0</v>
      </c>
      <c r="T2029" s="29">
        <v>230000</v>
      </c>
      <c r="U2029" s="29">
        <v>10195900</v>
      </c>
      <c r="V2029" t="s">
        <v>1262</v>
      </c>
      <c r="W2029" t="s">
        <v>1262</v>
      </c>
      <c r="X2029" s="29">
        <v>10195900</v>
      </c>
      <c r="AA2029" s="30">
        <v>45758.333333333336</v>
      </c>
      <c r="AB2029" s="30">
        <v>45765.666666666664</v>
      </c>
      <c r="AC2029" s="30">
        <v>45758.333333333336</v>
      </c>
      <c r="AD2029" s="30">
        <v>45765.666666666664</v>
      </c>
      <c r="AE2029" s="30">
        <v>45799.375</v>
      </c>
      <c r="AF2029" s="30">
        <v>45806.708333333336</v>
      </c>
      <c r="AG2029" t="s">
        <v>1266</v>
      </c>
      <c r="AK2029" t="s">
        <v>1265</v>
      </c>
      <c r="AL2029" t="s">
        <v>2646</v>
      </c>
      <c r="AM2029" t="s">
        <v>1263</v>
      </c>
      <c r="AN2029" t="s">
        <v>1262</v>
      </c>
      <c r="AO2029">
        <v>0</v>
      </c>
      <c r="AQ2029" t="s">
        <v>1261</v>
      </c>
      <c r="AR2029" t="s">
        <v>1260</v>
      </c>
      <c r="AS2029" t="s">
        <v>1259</v>
      </c>
      <c r="AT2029" s="30">
        <v>46069.518055555556</v>
      </c>
    </row>
    <row r="2030" spans="1:46" x14ac:dyDescent="0.25">
      <c r="A2030" t="s">
        <v>1248</v>
      </c>
      <c r="B2030">
        <v>247932</v>
      </c>
      <c r="C2030">
        <v>352134</v>
      </c>
      <c r="D2030">
        <v>405</v>
      </c>
      <c r="E2030" t="s">
        <v>1266</v>
      </c>
      <c r="H2030">
        <v>1858</v>
      </c>
      <c r="K2030" t="s">
        <v>1466</v>
      </c>
      <c r="L2030" t="s">
        <v>1466</v>
      </c>
      <c r="M2030" t="s">
        <v>2284</v>
      </c>
      <c r="N2030">
        <v>0</v>
      </c>
      <c r="O2030" t="s">
        <v>2284</v>
      </c>
      <c r="P2030">
        <v>0</v>
      </c>
      <c r="Q2030">
        <v>0</v>
      </c>
      <c r="R2030">
        <v>0</v>
      </c>
      <c r="T2030" s="29">
        <v>230000</v>
      </c>
      <c r="U2030" s="29">
        <v>10195900</v>
      </c>
      <c r="V2030" t="s">
        <v>1262</v>
      </c>
      <c r="W2030" t="s">
        <v>1262</v>
      </c>
      <c r="X2030" s="29">
        <v>10195900</v>
      </c>
      <c r="AA2030" s="30">
        <v>45761.666666666664</v>
      </c>
      <c r="AB2030" s="30">
        <v>45769.625</v>
      </c>
      <c r="AC2030" s="30">
        <v>45761.666666666664</v>
      </c>
      <c r="AD2030" s="30">
        <v>45769.625</v>
      </c>
      <c r="AE2030" s="30">
        <v>45805.375</v>
      </c>
      <c r="AF2030" s="30">
        <v>45812.708333333336</v>
      </c>
      <c r="AG2030" t="s">
        <v>1266</v>
      </c>
      <c r="AK2030" t="s">
        <v>1265</v>
      </c>
      <c r="AL2030" t="s">
        <v>2645</v>
      </c>
      <c r="AM2030" t="s">
        <v>1263</v>
      </c>
      <c r="AN2030" t="s">
        <v>1262</v>
      </c>
      <c r="AO2030">
        <v>0</v>
      </c>
      <c r="AQ2030" t="s">
        <v>1261</v>
      </c>
      <c r="AR2030" t="s">
        <v>1260</v>
      </c>
      <c r="AS2030" t="s">
        <v>1259</v>
      </c>
      <c r="AT2030" s="30">
        <v>46069.518055555556</v>
      </c>
    </row>
    <row r="2031" spans="1:46" x14ac:dyDescent="0.25">
      <c r="A2031" t="s">
        <v>1248</v>
      </c>
      <c r="B2031">
        <v>247933</v>
      </c>
      <c r="C2031">
        <v>352127</v>
      </c>
      <c r="D2031">
        <v>405</v>
      </c>
      <c r="E2031" t="s">
        <v>1266</v>
      </c>
      <c r="H2031">
        <v>1858</v>
      </c>
      <c r="K2031" t="s">
        <v>1466</v>
      </c>
      <c r="L2031" t="s">
        <v>1466</v>
      </c>
      <c r="M2031" t="s">
        <v>2284</v>
      </c>
      <c r="N2031">
        <v>0</v>
      </c>
      <c r="O2031" t="s">
        <v>2284</v>
      </c>
      <c r="P2031">
        <v>0</v>
      </c>
      <c r="Q2031">
        <v>0</v>
      </c>
      <c r="R2031">
        <v>0</v>
      </c>
      <c r="T2031" s="29">
        <v>230000</v>
      </c>
      <c r="U2031" s="29">
        <v>10195900</v>
      </c>
      <c r="V2031" t="s">
        <v>1262</v>
      </c>
      <c r="W2031" t="s">
        <v>1262</v>
      </c>
      <c r="X2031" s="29">
        <v>10195900</v>
      </c>
      <c r="AA2031" s="30">
        <v>45763.625</v>
      </c>
      <c r="AB2031" s="30">
        <v>45771.583333333336</v>
      </c>
      <c r="AC2031" s="30">
        <v>45763.625</v>
      </c>
      <c r="AD2031" s="30">
        <v>45771.583333333336</v>
      </c>
      <c r="AE2031" s="30">
        <v>45811.375</v>
      </c>
      <c r="AF2031" s="30">
        <v>45818.708333333336</v>
      </c>
      <c r="AG2031" t="s">
        <v>1266</v>
      </c>
      <c r="AK2031" t="s">
        <v>1265</v>
      </c>
      <c r="AL2031" t="s">
        <v>2644</v>
      </c>
      <c r="AM2031" t="s">
        <v>1263</v>
      </c>
      <c r="AN2031" t="s">
        <v>1262</v>
      </c>
      <c r="AO2031">
        <v>0</v>
      </c>
      <c r="AQ2031" t="s">
        <v>1261</v>
      </c>
      <c r="AR2031" t="s">
        <v>1260</v>
      </c>
      <c r="AS2031" t="s">
        <v>1259</v>
      </c>
      <c r="AT2031" s="30">
        <v>46069.518055555556</v>
      </c>
    </row>
    <row r="2032" spans="1:46" x14ac:dyDescent="0.25">
      <c r="A2032" t="s">
        <v>1248</v>
      </c>
      <c r="B2032">
        <v>247934</v>
      </c>
      <c r="C2032">
        <v>352120</v>
      </c>
      <c r="D2032">
        <v>405</v>
      </c>
      <c r="E2032" t="s">
        <v>1266</v>
      </c>
      <c r="H2032">
        <v>1858</v>
      </c>
      <c r="K2032" t="s">
        <v>1466</v>
      </c>
      <c r="L2032" t="s">
        <v>1466</v>
      </c>
      <c r="M2032" t="s">
        <v>2284</v>
      </c>
      <c r="N2032">
        <v>0</v>
      </c>
      <c r="O2032" t="s">
        <v>2284</v>
      </c>
      <c r="P2032">
        <v>0</v>
      </c>
      <c r="Q2032">
        <v>0</v>
      </c>
      <c r="R2032">
        <v>0</v>
      </c>
      <c r="T2032" s="29">
        <v>230000</v>
      </c>
      <c r="U2032" s="29">
        <v>10195900</v>
      </c>
      <c r="V2032" t="s">
        <v>1262</v>
      </c>
      <c r="W2032" t="s">
        <v>1262</v>
      </c>
      <c r="X2032" s="29">
        <v>10195900</v>
      </c>
      <c r="AA2032" s="30">
        <v>45765.583333333336</v>
      </c>
      <c r="AB2032" s="30">
        <v>45775.5</v>
      </c>
      <c r="AC2032" s="30">
        <v>45765.583333333336</v>
      </c>
      <c r="AD2032" s="30">
        <v>45775.5</v>
      </c>
      <c r="AE2032" s="30">
        <v>45817.375</v>
      </c>
      <c r="AF2032" s="30">
        <v>45824.708333333336</v>
      </c>
      <c r="AG2032" t="s">
        <v>1266</v>
      </c>
      <c r="AK2032" t="s">
        <v>1265</v>
      </c>
      <c r="AL2032" t="s">
        <v>2643</v>
      </c>
      <c r="AM2032" t="s">
        <v>1263</v>
      </c>
      <c r="AN2032" t="s">
        <v>1262</v>
      </c>
      <c r="AO2032">
        <v>0</v>
      </c>
      <c r="AQ2032" t="s">
        <v>1261</v>
      </c>
      <c r="AR2032" t="s">
        <v>1260</v>
      </c>
      <c r="AS2032" t="s">
        <v>1259</v>
      </c>
      <c r="AT2032" s="30">
        <v>46069.518055555556</v>
      </c>
    </row>
    <row r="2033" spans="1:46" x14ac:dyDescent="0.25">
      <c r="A2033" t="s">
        <v>1248</v>
      </c>
      <c r="B2033">
        <v>247935</v>
      </c>
      <c r="C2033">
        <v>352113</v>
      </c>
      <c r="D2033">
        <v>405</v>
      </c>
      <c r="E2033" t="s">
        <v>1266</v>
      </c>
      <c r="H2033">
        <v>1858</v>
      </c>
      <c r="K2033" t="s">
        <v>1466</v>
      </c>
      <c r="L2033" t="s">
        <v>1466</v>
      </c>
      <c r="M2033" t="s">
        <v>2284</v>
      </c>
      <c r="N2033">
        <v>0</v>
      </c>
      <c r="O2033" t="s">
        <v>2284</v>
      </c>
      <c r="P2033">
        <v>0</v>
      </c>
      <c r="Q2033">
        <v>0</v>
      </c>
      <c r="R2033">
        <v>0</v>
      </c>
      <c r="T2033" s="29">
        <v>230000</v>
      </c>
      <c r="U2033" s="29">
        <v>10195900</v>
      </c>
      <c r="V2033" t="s">
        <v>1262</v>
      </c>
      <c r="W2033" t="s">
        <v>1262</v>
      </c>
      <c r="X2033" s="29">
        <v>10195900</v>
      </c>
      <c r="AA2033" s="30">
        <v>45769.541666666664</v>
      </c>
      <c r="AB2033" s="30">
        <v>45777.458333333336</v>
      </c>
      <c r="AC2033" s="30">
        <v>45769.541666666664</v>
      </c>
      <c r="AD2033" s="30">
        <v>45777.458333333336</v>
      </c>
      <c r="AE2033" s="30">
        <v>45821.375</v>
      </c>
      <c r="AF2033" s="30">
        <v>45828.708333333336</v>
      </c>
      <c r="AG2033" t="s">
        <v>1266</v>
      </c>
      <c r="AK2033" t="s">
        <v>1265</v>
      </c>
      <c r="AL2033" t="s">
        <v>2642</v>
      </c>
      <c r="AM2033" t="s">
        <v>1263</v>
      </c>
      <c r="AN2033" t="s">
        <v>1262</v>
      </c>
      <c r="AO2033">
        <v>0</v>
      </c>
      <c r="AQ2033" t="s">
        <v>1261</v>
      </c>
      <c r="AR2033" t="s">
        <v>1260</v>
      </c>
      <c r="AS2033" t="s">
        <v>1259</v>
      </c>
      <c r="AT2033" s="30">
        <v>46069.518055555556</v>
      </c>
    </row>
    <row r="2034" spans="1:46" x14ac:dyDescent="0.25">
      <c r="A2034" t="s">
        <v>1248</v>
      </c>
      <c r="B2034">
        <v>247936</v>
      </c>
      <c r="C2034">
        <v>352106</v>
      </c>
      <c r="D2034">
        <v>405</v>
      </c>
      <c r="E2034" t="s">
        <v>1266</v>
      </c>
      <c r="H2034">
        <v>1858</v>
      </c>
      <c r="K2034" t="s">
        <v>1466</v>
      </c>
      <c r="L2034" t="s">
        <v>1466</v>
      </c>
      <c r="M2034" t="s">
        <v>2284</v>
      </c>
      <c r="N2034">
        <v>0</v>
      </c>
      <c r="O2034" t="s">
        <v>2284</v>
      </c>
      <c r="P2034">
        <v>0</v>
      </c>
      <c r="Q2034">
        <v>0</v>
      </c>
      <c r="R2034">
        <v>0</v>
      </c>
      <c r="T2034" s="29">
        <v>230000</v>
      </c>
      <c r="U2034" s="29">
        <v>10195900</v>
      </c>
      <c r="V2034" t="s">
        <v>1262</v>
      </c>
      <c r="W2034" t="s">
        <v>1262</v>
      </c>
      <c r="X2034" s="29">
        <v>10195900</v>
      </c>
      <c r="AA2034" s="30">
        <v>45779.458333333336</v>
      </c>
      <c r="AB2034" s="30">
        <v>45789.416666666664</v>
      </c>
      <c r="AC2034" s="30">
        <v>45779.458333333336</v>
      </c>
      <c r="AD2034" s="30">
        <v>45789.416666666664</v>
      </c>
      <c r="AE2034" s="30">
        <v>45827.375</v>
      </c>
      <c r="AF2034" s="30">
        <v>45834.708333333336</v>
      </c>
      <c r="AG2034" t="s">
        <v>1266</v>
      </c>
      <c r="AK2034" t="s">
        <v>1265</v>
      </c>
      <c r="AL2034" t="s">
        <v>2641</v>
      </c>
      <c r="AM2034" t="s">
        <v>1263</v>
      </c>
      <c r="AN2034" t="s">
        <v>1262</v>
      </c>
      <c r="AO2034">
        <v>0</v>
      </c>
      <c r="AQ2034" t="s">
        <v>1261</v>
      </c>
      <c r="AR2034" t="s">
        <v>1260</v>
      </c>
      <c r="AS2034" t="s">
        <v>1259</v>
      </c>
      <c r="AT2034" s="30">
        <v>46069.518055555556</v>
      </c>
    </row>
    <row r="2035" spans="1:46" x14ac:dyDescent="0.25">
      <c r="A2035" t="s">
        <v>1248</v>
      </c>
      <c r="B2035">
        <v>247937</v>
      </c>
      <c r="C2035">
        <v>352099</v>
      </c>
      <c r="D2035">
        <v>405</v>
      </c>
      <c r="E2035" t="s">
        <v>1266</v>
      </c>
      <c r="H2035">
        <v>1858</v>
      </c>
      <c r="K2035" t="s">
        <v>1466</v>
      </c>
      <c r="L2035" t="s">
        <v>1466</v>
      </c>
      <c r="M2035" t="s">
        <v>2284</v>
      </c>
      <c r="N2035">
        <v>0</v>
      </c>
      <c r="O2035" t="s">
        <v>2284</v>
      </c>
      <c r="P2035">
        <v>0</v>
      </c>
      <c r="Q2035">
        <v>0</v>
      </c>
      <c r="R2035">
        <v>0</v>
      </c>
      <c r="T2035" s="29">
        <v>230000</v>
      </c>
      <c r="U2035" s="29">
        <v>10195900</v>
      </c>
      <c r="V2035" t="s">
        <v>1262</v>
      </c>
      <c r="W2035" t="s">
        <v>1262</v>
      </c>
      <c r="X2035" s="29">
        <v>10195900</v>
      </c>
      <c r="AA2035" s="30">
        <v>45783.416666666664</v>
      </c>
      <c r="AB2035" s="30">
        <v>45791.375</v>
      </c>
      <c r="AC2035" s="30">
        <v>45783.416666666664</v>
      </c>
      <c r="AD2035" s="30">
        <v>45791.375</v>
      </c>
      <c r="AE2035" s="30">
        <v>45833.375</v>
      </c>
      <c r="AF2035" s="30">
        <v>45840.708333333336</v>
      </c>
      <c r="AG2035" t="s">
        <v>1266</v>
      </c>
      <c r="AK2035" t="s">
        <v>1265</v>
      </c>
      <c r="AL2035" t="s">
        <v>2640</v>
      </c>
      <c r="AM2035" t="s">
        <v>1263</v>
      </c>
      <c r="AN2035" t="s">
        <v>1262</v>
      </c>
      <c r="AO2035">
        <v>0</v>
      </c>
      <c r="AQ2035" t="s">
        <v>1261</v>
      </c>
      <c r="AR2035" t="s">
        <v>1260</v>
      </c>
      <c r="AS2035" t="s">
        <v>1259</v>
      </c>
      <c r="AT2035" s="30">
        <v>46069.518055555556</v>
      </c>
    </row>
    <row r="2036" spans="1:46" x14ac:dyDescent="0.25">
      <c r="A2036" t="s">
        <v>1248</v>
      </c>
      <c r="B2036">
        <v>247938</v>
      </c>
      <c r="C2036">
        <v>352092</v>
      </c>
      <c r="D2036">
        <v>405</v>
      </c>
      <c r="E2036" t="s">
        <v>1266</v>
      </c>
      <c r="H2036">
        <v>1858</v>
      </c>
      <c r="K2036" t="s">
        <v>1466</v>
      </c>
      <c r="L2036" t="s">
        <v>1466</v>
      </c>
      <c r="M2036" t="s">
        <v>2284</v>
      </c>
      <c r="N2036">
        <v>0</v>
      </c>
      <c r="O2036" t="s">
        <v>2284</v>
      </c>
      <c r="P2036">
        <v>0</v>
      </c>
      <c r="Q2036">
        <v>0</v>
      </c>
      <c r="R2036">
        <v>0</v>
      </c>
      <c r="T2036" s="29">
        <v>230000</v>
      </c>
      <c r="U2036" s="29">
        <v>10195900</v>
      </c>
      <c r="V2036" t="s">
        <v>1262</v>
      </c>
      <c r="W2036" t="s">
        <v>1262</v>
      </c>
      <c r="X2036" s="29">
        <v>10195900</v>
      </c>
      <c r="AA2036" s="30">
        <v>45785.375</v>
      </c>
      <c r="AB2036" s="30">
        <v>45792.708333333336</v>
      </c>
      <c r="AC2036" s="30">
        <v>45785.375</v>
      </c>
      <c r="AD2036" s="30">
        <v>45792.708333333336</v>
      </c>
      <c r="AE2036" s="30">
        <v>45839.375</v>
      </c>
      <c r="AF2036" s="30">
        <v>45846.708333333336</v>
      </c>
      <c r="AG2036" t="s">
        <v>1266</v>
      </c>
      <c r="AK2036" t="s">
        <v>1265</v>
      </c>
      <c r="AL2036" t="s">
        <v>2639</v>
      </c>
      <c r="AM2036" t="s">
        <v>1263</v>
      </c>
      <c r="AN2036" t="s">
        <v>1262</v>
      </c>
      <c r="AO2036">
        <v>0</v>
      </c>
      <c r="AQ2036" t="s">
        <v>1261</v>
      </c>
      <c r="AR2036" t="s">
        <v>1260</v>
      </c>
      <c r="AS2036" t="s">
        <v>1259</v>
      </c>
      <c r="AT2036" s="30">
        <v>46069.518055555556</v>
      </c>
    </row>
    <row r="2037" spans="1:46" x14ac:dyDescent="0.25">
      <c r="A2037" t="s">
        <v>1248</v>
      </c>
      <c r="B2037">
        <v>247939</v>
      </c>
      <c r="C2037">
        <v>352085</v>
      </c>
      <c r="D2037">
        <v>405</v>
      </c>
      <c r="E2037" t="s">
        <v>1266</v>
      </c>
      <c r="H2037">
        <v>1858</v>
      </c>
      <c r="K2037" t="s">
        <v>1466</v>
      </c>
      <c r="L2037" t="s">
        <v>1466</v>
      </c>
      <c r="M2037" t="s">
        <v>2284</v>
      </c>
      <c r="N2037">
        <v>0</v>
      </c>
      <c r="O2037" t="s">
        <v>2284</v>
      </c>
      <c r="P2037">
        <v>0</v>
      </c>
      <c r="Q2037">
        <v>0</v>
      </c>
      <c r="R2037">
        <v>0</v>
      </c>
      <c r="T2037" s="29">
        <v>230000</v>
      </c>
      <c r="U2037" s="29">
        <v>10195900</v>
      </c>
      <c r="V2037" t="s">
        <v>1262</v>
      </c>
      <c r="W2037" t="s">
        <v>1262</v>
      </c>
      <c r="X2037" s="29">
        <v>10195900</v>
      </c>
      <c r="AA2037" s="30">
        <v>45789.333333333336</v>
      </c>
      <c r="AB2037" s="30">
        <v>45796.666666666664</v>
      </c>
      <c r="AC2037" s="30">
        <v>45789.333333333336</v>
      </c>
      <c r="AD2037" s="30">
        <v>45796.666666666664</v>
      </c>
      <c r="AE2037" s="30">
        <v>45845.375</v>
      </c>
      <c r="AF2037" s="30">
        <v>45852.708333333336</v>
      </c>
      <c r="AG2037" t="s">
        <v>1266</v>
      </c>
      <c r="AK2037" t="s">
        <v>1265</v>
      </c>
      <c r="AL2037" t="s">
        <v>2638</v>
      </c>
      <c r="AM2037" t="s">
        <v>1263</v>
      </c>
      <c r="AN2037" t="s">
        <v>1262</v>
      </c>
      <c r="AO2037">
        <v>0</v>
      </c>
      <c r="AQ2037" t="s">
        <v>1261</v>
      </c>
      <c r="AR2037" t="s">
        <v>1260</v>
      </c>
      <c r="AS2037" t="s">
        <v>1259</v>
      </c>
      <c r="AT2037" s="30">
        <v>46069.518055555556</v>
      </c>
    </row>
    <row r="2038" spans="1:46" x14ac:dyDescent="0.25">
      <c r="A2038" t="s">
        <v>1248</v>
      </c>
      <c r="B2038">
        <v>247940</v>
      </c>
      <c r="C2038">
        <v>352078</v>
      </c>
      <c r="D2038">
        <v>405</v>
      </c>
      <c r="E2038" t="s">
        <v>1266</v>
      </c>
      <c r="H2038">
        <v>1858</v>
      </c>
      <c r="K2038" t="s">
        <v>1466</v>
      </c>
      <c r="L2038" t="s">
        <v>1466</v>
      </c>
      <c r="M2038" t="s">
        <v>2284</v>
      </c>
      <c r="N2038">
        <v>0</v>
      </c>
      <c r="O2038" t="s">
        <v>2284</v>
      </c>
      <c r="P2038">
        <v>0</v>
      </c>
      <c r="Q2038">
        <v>0</v>
      </c>
      <c r="R2038">
        <v>0</v>
      </c>
      <c r="T2038" s="29">
        <v>230000</v>
      </c>
      <c r="U2038" s="29">
        <v>10195900</v>
      </c>
      <c r="V2038" t="s">
        <v>1262</v>
      </c>
      <c r="W2038" t="s">
        <v>1262</v>
      </c>
      <c r="X2038" s="29">
        <v>10195900</v>
      </c>
      <c r="AA2038" s="30">
        <v>45790.666666666664</v>
      </c>
      <c r="AB2038" s="30">
        <v>45798.625</v>
      </c>
      <c r="AC2038" s="30">
        <v>45790.666666666664</v>
      </c>
      <c r="AD2038" s="30">
        <v>45798.625</v>
      </c>
      <c r="AE2038" s="30">
        <v>45849.375</v>
      </c>
      <c r="AF2038" s="30">
        <v>45856.708333333336</v>
      </c>
      <c r="AG2038" t="s">
        <v>1266</v>
      </c>
      <c r="AK2038" t="s">
        <v>1265</v>
      </c>
      <c r="AL2038" t="s">
        <v>2637</v>
      </c>
      <c r="AM2038" t="s">
        <v>1263</v>
      </c>
      <c r="AN2038" t="s">
        <v>1262</v>
      </c>
      <c r="AO2038">
        <v>0</v>
      </c>
      <c r="AQ2038" t="s">
        <v>1261</v>
      </c>
      <c r="AR2038" t="s">
        <v>1260</v>
      </c>
      <c r="AS2038" t="s">
        <v>1259</v>
      </c>
      <c r="AT2038" s="30">
        <v>46069.518055555556</v>
      </c>
    </row>
    <row r="2039" spans="1:46" x14ac:dyDescent="0.25">
      <c r="A2039" t="s">
        <v>1248</v>
      </c>
      <c r="B2039">
        <v>247941</v>
      </c>
      <c r="C2039">
        <v>352071</v>
      </c>
      <c r="D2039">
        <v>405</v>
      </c>
      <c r="E2039" t="s">
        <v>1266</v>
      </c>
      <c r="H2039">
        <v>1858</v>
      </c>
      <c r="K2039" s="29">
        <v>45273191</v>
      </c>
      <c r="L2039" s="29">
        <v>45273191</v>
      </c>
      <c r="M2039" t="s">
        <v>2284</v>
      </c>
      <c r="N2039">
        <v>0</v>
      </c>
      <c r="O2039" t="s">
        <v>2284</v>
      </c>
      <c r="P2039">
        <v>0</v>
      </c>
      <c r="Q2039">
        <v>0</v>
      </c>
      <c r="R2039">
        <v>0</v>
      </c>
      <c r="T2039" s="29">
        <v>230000</v>
      </c>
      <c r="U2039" s="29">
        <v>10412834</v>
      </c>
      <c r="V2039" t="s">
        <v>1262</v>
      </c>
      <c r="W2039" t="s">
        <v>1262</v>
      </c>
      <c r="X2039" s="29">
        <v>10412834</v>
      </c>
      <c r="AA2039" s="30">
        <v>45793.458333333336</v>
      </c>
      <c r="AB2039" s="30">
        <v>45803.458333333336</v>
      </c>
      <c r="AC2039" s="30">
        <v>45793.458333333336</v>
      </c>
      <c r="AD2039" s="30">
        <v>45803.458333333336</v>
      </c>
      <c r="AE2039" s="30">
        <v>45862.333333333336</v>
      </c>
      <c r="AF2039" s="30">
        <v>45869.708333333336</v>
      </c>
      <c r="AG2039" t="s">
        <v>1266</v>
      </c>
      <c r="AK2039" t="s">
        <v>1265</v>
      </c>
      <c r="AL2039" t="s">
        <v>2636</v>
      </c>
      <c r="AM2039" t="s">
        <v>1263</v>
      </c>
      <c r="AN2039" t="s">
        <v>1262</v>
      </c>
      <c r="AO2039">
        <v>0</v>
      </c>
      <c r="AQ2039" t="s">
        <v>1261</v>
      </c>
      <c r="AR2039" t="s">
        <v>1260</v>
      </c>
      <c r="AS2039" t="s">
        <v>1259</v>
      </c>
      <c r="AT2039" s="30">
        <v>46069.518055555556</v>
      </c>
    </row>
    <row r="2040" spans="1:46" x14ac:dyDescent="0.25">
      <c r="A2040" t="s">
        <v>1248</v>
      </c>
      <c r="B2040">
        <v>247942</v>
      </c>
      <c r="C2040">
        <v>352064</v>
      </c>
      <c r="D2040">
        <v>405</v>
      </c>
      <c r="E2040" t="s">
        <v>1266</v>
      </c>
      <c r="H2040">
        <v>1858</v>
      </c>
      <c r="K2040" t="s">
        <v>1466</v>
      </c>
      <c r="L2040" t="s">
        <v>1466</v>
      </c>
      <c r="M2040" t="s">
        <v>2284</v>
      </c>
      <c r="N2040">
        <v>0</v>
      </c>
      <c r="O2040" t="s">
        <v>2284</v>
      </c>
      <c r="P2040">
        <v>0</v>
      </c>
      <c r="Q2040">
        <v>0</v>
      </c>
      <c r="R2040">
        <v>0</v>
      </c>
      <c r="T2040" s="29">
        <v>230000</v>
      </c>
      <c r="U2040" s="29">
        <v>10195900</v>
      </c>
      <c r="V2040" t="s">
        <v>1262</v>
      </c>
      <c r="W2040" t="s">
        <v>1262</v>
      </c>
      <c r="X2040" s="29">
        <v>10195900</v>
      </c>
      <c r="AA2040" s="30">
        <v>45805.458333333336</v>
      </c>
      <c r="AB2040" s="30">
        <v>45813.416666666664</v>
      </c>
      <c r="AC2040" s="30">
        <v>45805.458333333336</v>
      </c>
      <c r="AD2040" s="30">
        <v>45813.416666666664</v>
      </c>
      <c r="AE2040" s="30">
        <v>45867.416666666664</v>
      </c>
      <c r="AF2040" s="30">
        <v>45875.375</v>
      </c>
      <c r="AG2040" t="s">
        <v>1266</v>
      </c>
      <c r="AK2040" t="s">
        <v>1265</v>
      </c>
      <c r="AL2040" t="s">
        <v>2635</v>
      </c>
      <c r="AM2040" t="s">
        <v>1263</v>
      </c>
      <c r="AN2040" t="s">
        <v>1262</v>
      </c>
      <c r="AO2040">
        <v>0</v>
      </c>
      <c r="AQ2040" t="s">
        <v>1261</v>
      </c>
      <c r="AR2040" t="s">
        <v>1260</v>
      </c>
      <c r="AS2040" t="s">
        <v>1259</v>
      </c>
      <c r="AT2040" s="30">
        <v>46069.518055555556</v>
      </c>
    </row>
    <row r="2041" spans="1:46" x14ac:dyDescent="0.25">
      <c r="A2041" t="s">
        <v>1248</v>
      </c>
      <c r="B2041">
        <v>247943</v>
      </c>
      <c r="C2041">
        <v>352057</v>
      </c>
      <c r="D2041">
        <v>405</v>
      </c>
      <c r="E2041" t="s">
        <v>1266</v>
      </c>
      <c r="H2041">
        <v>1858</v>
      </c>
      <c r="K2041" t="s">
        <v>1466</v>
      </c>
      <c r="L2041" t="s">
        <v>1466</v>
      </c>
      <c r="M2041" t="s">
        <v>2284</v>
      </c>
      <c r="N2041">
        <v>0</v>
      </c>
      <c r="O2041" t="s">
        <v>2284</v>
      </c>
      <c r="P2041">
        <v>0</v>
      </c>
      <c r="Q2041">
        <v>0</v>
      </c>
      <c r="R2041">
        <v>0</v>
      </c>
      <c r="T2041" s="29">
        <v>230000</v>
      </c>
      <c r="U2041" s="29">
        <v>10195900</v>
      </c>
      <c r="V2041" t="s">
        <v>1262</v>
      </c>
      <c r="W2041" t="s">
        <v>1262</v>
      </c>
      <c r="X2041" s="29">
        <v>10195900</v>
      </c>
      <c r="AA2041" s="30">
        <v>45807.416666666664</v>
      </c>
      <c r="AB2041" s="30">
        <v>45817.375</v>
      </c>
      <c r="AC2041" s="30">
        <v>45807.416666666664</v>
      </c>
      <c r="AD2041" s="30">
        <v>45817.375</v>
      </c>
      <c r="AE2041" s="30">
        <v>45873.416666666664</v>
      </c>
      <c r="AF2041" s="30">
        <v>45881.375</v>
      </c>
      <c r="AG2041" t="s">
        <v>1266</v>
      </c>
      <c r="AK2041" t="s">
        <v>1265</v>
      </c>
      <c r="AL2041" t="s">
        <v>2634</v>
      </c>
      <c r="AM2041" t="s">
        <v>1263</v>
      </c>
      <c r="AN2041" t="s">
        <v>1262</v>
      </c>
      <c r="AO2041">
        <v>0</v>
      </c>
      <c r="AQ2041" t="s">
        <v>1261</v>
      </c>
      <c r="AR2041" t="s">
        <v>1260</v>
      </c>
      <c r="AS2041" t="s">
        <v>1259</v>
      </c>
      <c r="AT2041" s="30">
        <v>46069.518055555556</v>
      </c>
    </row>
    <row r="2042" spans="1:46" x14ac:dyDescent="0.25">
      <c r="A2042" t="s">
        <v>1248</v>
      </c>
      <c r="B2042">
        <v>247944</v>
      </c>
      <c r="C2042">
        <v>352050</v>
      </c>
      <c r="D2042">
        <v>405</v>
      </c>
      <c r="E2042" t="s">
        <v>1266</v>
      </c>
      <c r="H2042">
        <v>1858</v>
      </c>
      <c r="K2042" s="29">
        <v>45273191</v>
      </c>
      <c r="L2042" s="29">
        <v>45273191</v>
      </c>
      <c r="M2042" t="s">
        <v>2284</v>
      </c>
      <c r="N2042">
        <v>0</v>
      </c>
      <c r="O2042" t="s">
        <v>2284</v>
      </c>
      <c r="P2042">
        <v>0</v>
      </c>
      <c r="Q2042">
        <v>0</v>
      </c>
      <c r="R2042">
        <v>0</v>
      </c>
      <c r="T2042" s="29">
        <v>230000</v>
      </c>
      <c r="U2042" s="29">
        <v>10412834</v>
      </c>
      <c r="V2042" t="s">
        <v>1262</v>
      </c>
      <c r="W2042" t="s">
        <v>1262</v>
      </c>
      <c r="X2042" s="29">
        <v>10412834</v>
      </c>
      <c r="AA2042" s="30">
        <v>45811.625</v>
      </c>
      <c r="AB2042" s="30">
        <v>45819.625</v>
      </c>
      <c r="AC2042" s="30">
        <v>45811.625</v>
      </c>
      <c r="AD2042" s="30">
        <v>45819.625</v>
      </c>
      <c r="AE2042" s="30">
        <v>45877.333333333336</v>
      </c>
      <c r="AF2042" s="30">
        <v>45884.708333333336</v>
      </c>
      <c r="AG2042" t="s">
        <v>1266</v>
      </c>
      <c r="AK2042" t="s">
        <v>1265</v>
      </c>
      <c r="AL2042" t="s">
        <v>2633</v>
      </c>
      <c r="AM2042" t="s">
        <v>1263</v>
      </c>
      <c r="AN2042" t="s">
        <v>1262</v>
      </c>
      <c r="AO2042">
        <v>0</v>
      </c>
      <c r="AQ2042" t="s">
        <v>1261</v>
      </c>
      <c r="AR2042" t="s">
        <v>1260</v>
      </c>
      <c r="AS2042" t="s">
        <v>1259</v>
      </c>
      <c r="AT2042" s="30">
        <v>46069.518055555556</v>
      </c>
    </row>
    <row r="2043" spans="1:46" x14ac:dyDescent="0.25">
      <c r="A2043" t="s">
        <v>1248</v>
      </c>
      <c r="B2043">
        <v>247946</v>
      </c>
      <c r="C2043">
        <v>352045</v>
      </c>
      <c r="D2043">
        <v>405</v>
      </c>
      <c r="E2043" t="s">
        <v>1266</v>
      </c>
      <c r="H2043">
        <v>1892</v>
      </c>
      <c r="K2043">
        <v>16</v>
      </c>
      <c r="L2043">
        <v>16</v>
      </c>
      <c r="M2043">
        <v>1</v>
      </c>
      <c r="N2043">
        <v>0</v>
      </c>
      <c r="O2043">
        <v>1</v>
      </c>
      <c r="P2043">
        <v>0</v>
      </c>
      <c r="Q2043">
        <v>0</v>
      </c>
      <c r="R2043">
        <v>0</v>
      </c>
      <c r="T2043" s="29">
        <v>568953</v>
      </c>
      <c r="U2043" s="29">
        <v>9103248</v>
      </c>
      <c r="V2043" t="s">
        <v>1262</v>
      </c>
      <c r="W2043" t="s">
        <v>1262</v>
      </c>
      <c r="X2043" s="29">
        <v>9103248</v>
      </c>
      <c r="AA2043" s="30">
        <v>45793.625</v>
      </c>
      <c r="AB2043" s="30">
        <v>45797.625</v>
      </c>
      <c r="AC2043" s="30">
        <v>45793.625</v>
      </c>
      <c r="AD2043" s="30">
        <v>45797.625</v>
      </c>
      <c r="AE2043" s="30">
        <v>45855.60833333333</v>
      </c>
      <c r="AF2043" s="30">
        <v>45859.60833333333</v>
      </c>
      <c r="AG2043" t="s">
        <v>1266</v>
      </c>
      <c r="AK2043" t="s">
        <v>1265</v>
      </c>
      <c r="AL2043" t="s">
        <v>2632</v>
      </c>
      <c r="AM2043" t="s">
        <v>1263</v>
      </c>
      <c r="AN2043" t="s">
        <v>1262</v>
      </c>
      <c r="AO2043">
        <v>0</v>
      </c>
      <c r="AQ2043" t="s">
        <v>1261</v>
      </c>
      <c r="AR2043" t="s">
        <v>1260</v>
      </c>
      <c r="AS2043" t="s">
        <v>1259</v>
      </c>
      <c r="AT2043" s="30">
        <v>46069.518055555556</v>
      </c>
    </row>
    <row r="2044" spans="1:46" x14ac:dyDescent="0.25">
      <c r="A2044" t="s">
        <v>1248</v>
      </c>
      <c r="B2044">
        <v>247947</v>
      </c>
      <c r="C2044">
        <v>352051</v>
      </c>
      <c r="D2044">
        <v>405</v>
      </c>
      <c r="E2044" t="s">
        <v>1266</v>
      </c>
      <c r="H2044">
        <v>1892</v>
      </c>
      <c r="K2044">
        <v>8</v>
      </c>
      <c r="L2044">
        <v>8</v>
      </c>
      <c r="M2044">
        <v>1</v>
      </c>
      <c r="N2044">
        <v>0</v>
      </c>
      <c r="O2044">
        <v>1</v>
      </c>
      <c r="P2044">
        <v>0</v>
      </c>
      <c r="Q2044">
        <v>0</v>
      </c>
      <c r="R2044">
        <v>0</v>
      </c>
      <c r="T2044" s="29">
        <v>568953</v>
      </c>
      <c r="U2044" s="29">
        <v>4551624</v>
      </c>
      <c r="V2044" t="s">
        <v>1262</v>
      </c>
      <c r="W2044" t="s">
        <v>1262</v>
      </c>
      <c r="X2044" s="29">
        <v>4551624</v>
      </c>
      <c r="AA2044" s="30">
        <v>45819.625</v>
      </c>
      <c r="AB2044" s="30">
        <v>45820.625</v>
      </c>
      <c r="AC2044" s="30">
        <v>45819.625</v>
      </c>
      <c r="AD2044" s="30">
        <v>45820.625</v>
      </c>
      <c r="AE2044" s="30">
        <v>45887.333333333336</v>
      </c>
      <c r="AF2044" s="30">
        <v>45887.708333333336</v>
      </c>
      <c r="AG2044" t="s">
        <v>1266</v>
      </c>
      <c r="AK2044" t="s">
        <v>1265</v>
      </c>
      <c r="AL2044" t="s">
        <v>2631</v>
      </c>
      <c r="AM2044" t="s">
        <v>1263</v>
      </c>
      <c r="AN2044" t="s">
        <v>1262</v>
      </c>
      <c r="AO2044">
        <v>0</v>
      </c>
      <c r="AQ2044" t="s">
        <v>1261</v>
      </c>
      <c r="AR2044" t="s">
        <v>1260</v>
      </c>
      <c r="AS2044" t="s">
        <v>1259</v>
      </c>
      <c r="AT2044" s="30">
        <v>46069.518055555556</v>
      </c>
    </row>
    <row r="2045" spans="1:46" x14ac:dyDescent="0.25">
      <c r="A2045" t="s">
        <v>1248</v>
      </c>
      <c r="B2045">
        <v>247948</v>
      </c>
      <c r="C2045">
        <v>352052</v>
      </c>
      <c r="D2045">
        <v>405</v>
      </c>
      <c r="E2045" t="s">
        <v>1266</v>
      </c>
      <c r="H2045">
        <v>1892</v>
      </c>
      <c r="K2045">
        <v>15</v>
      </c>
      <c r="L2045">
        <v>15</v>
      </c>
      <c r="M2045">
        <v>1</v>
      </c>
      <c r="N2045">
        <v>0</v>
      </c>
      <c r="O2045">
        <v>1</v>
      </c>
      <c r="P2045">
        <v>0</v>
      </c>
      <c r="Q2045">
        <v>0</v>
      </c>
      <c r="R2045">
        <v>0</v>
      </c>
      <c r="T2045" s="29">
        <v>568953</v>
      </c>
      <c r="U2045" s="29">
        <v>8534295</v>
      </c>
      <c r="V2045" t="s">
        <v>1262</v>
      </c>
      <c r="W2045" t="s">
        <v>1262</v>
      </c>
      <c r="X2045" s="29">
        <v>8534295</v>
      </c>
      <c r="AA2045" s="30">
        <v>45791.666666666664</v>
      </c>
      <c r="AB2045" s="30">
        <v>45793.625</v>
      </c>
      <c r="AC2045" s="30">
        <v>45791.666666666664</v>
      </c>
      <c r="AD2045" s="30">
        <v>45793.625</v>
      </c>
      <c r="AE2045" s="30">
        <v>45853.65</v>
      </c>
      <c r="AF2045" s="30">
        <v>45855.60833333333</v>
      </c>
      <c r="AG2045" t="s">
        <v>1266</v>
      </c>
      <c r="AK2045" t="s">
        <v>1265</v>
      </c>
      <c r="AL2045" t="s">
        <v>2630</v>
      </c>
      <c r="AM2045" t="s">
        <v>1263</v>
      </c>
      <c r="AN2045" t="s">
        <v>1262</v>
      </c>
      <c r="AO2045">
        <v>0</v>
      </c>
      <c r="AQ2045" t="s">
        <v>1261</v>
      </c>
      <c r="AR2045" t="s">
        <v>1260</v>
      </c>
      <c r="AS2045" t="s">
        <v>1259</v>
      </c>
      <c r="AT2045" s="30">
        <v>46069.518055555556</v>
      </c>
    </row>
    <row r="2046" spans="1:46" x14ac:dyDescent="0.25">
      <c r="A2046" t="s">
        <v>1248</v>
      </c>
      <c r="B2046">
        <v>247949</v>
      </c>
      <c r="C2046">
        <v>352058</v>
      </c>
      <c r="D2046">
        <v>405</v>
      </c>
      <c r="E2046" t="s">
        <v>1266</v>
      </c>
      <c r="H2046">
        <v>1892</v>
      </c>
      <c r="K2046">
        <v>7</v>
      </c>
      <c r="L2046">
        <v>7</v>
      </c>
      <c r="M2046">
        <v>1</v>
      </c>
      <c r="N2046">
        <v>0</v>
      </c>
      <c r="O2046">
        <v>1</v>
      </c>
      <c r="P2046">
        <v>0</v>
      </c>
      <c r="Q2046">
        <v>0</v>
      </c>
      <c r="R2046">
        <v>0</v>
      </c>
      <c r="T2046" s="29">
        <v>568953</v>
      </c>
      <c r="U2046" s="29">
        <v>3982671</v>
      </c>
      <c r="V2046" t="s">
        <v>1262</v>
      </c>
      <c r="W2046" t="s">
        <v>1262</v>
      </c>
      <c r="X2046" s="29">
        <v>3982671</v>
      </c>
      <c r="AA2046" s="30">
        <v>45817.375</v>
      </c>
      <c r="AB2046" s="30">
        <v>45817.708333333336</v>
      </c>
      <c r="AC2046" s="30">
        <v>45817.375</v>
      </c>
      <c r="AD2046" s="30">
        <v>45817.708333333336</v>
      </c>
      <c r="AE2046" s="30">
        <v>45881.375</v>
      </c>
      <c r="AF2046" s="30">
        <v>45881.708333333336</v>
      </c>
      <c r="AG2046" t="s">
        <v>1266</v>
      </c>
      <c r="AK2046" t="s">
        <v>1265</v>
      </c>
      <c r="AL2046" t="s">
        <v>2629</v>
      </c>
      <c r="AM2046" t="s">
        <v>1263</v>
      </c>
      <c r="AN2046" t="s">
        <v>1262</v>
      </c>
      <c r="AO2046">
        <v>0</v>
      </c>
      <c r="AQ2046" t="s">
        <v>1261</v>
      </c>
      <c r="AR2046" t="s">
        <v>1260</v>
      </c>
      <c r="AS2046" t="s">
        <v>1259</v>
      </c>
      <c r="AT2046" s="30">
        <v>46069.518055555556</v>
      </c>
    </row>
    <row r="2047" spans="1:46" x14ac:dyDescent="0.25">
      <c r="A2047" t="s">
        <v>1248</v>
      </c>
      <c r="B2047">
        <v>247950</v>
      </c>
      <c r="C2047">
        <v>352059</v>
      </c>
      <c r="D2047">
        <v>405</v>
      </c>
      <c r="E2047" t="s">
        <v>1266</v>
      </c>
      <c r="H2047">
        <v>1892</v>
      </c>
      <c r="K2047">
        <v>15</v>
      </c>
      <c r="L2047">
        <v>15</v>
      </c>
      <c r="M2047">
        <v>1</v>
      </c>
      <c r="N2047">
        <v>0</v>
      </c>
      <c r="O2047">
        <v>1</v>
      </c>
      <c r="P2047">
        <v>0</v>
      </c>
      <c r="Q2047">
        <v>0</v>
      </c>
      <c r="R2047">
        <v>0</v>
      </c>
      <c r="T2047" s="29">
        <v>568953</v>
      </c>
      <c r="U2047" s="29">
        <v>8534295</v>
      </c>
      <c r="V2047" t="s">
        <v>1262</v>
      </c>
      <c r="W2047" t="s">
        <v>1262</v>
      </c>
      <c r="X2047" s="29">
        <v>8534295</v>
      </c>
      <c r="AA2047" s="30">
        <v>45790.333333333336</v>
      </c>
      <c r="AB2047" s="30">
        <v>45791.666666666664</v>
      </c>
      <c r="AC2047" s="30">
        <v>45790.333333333336</v>
      </c>
      <c r="AD2047" s="30">
        <v>45791.666666666664</v>
      </c>
      <c r="AE2047" s="30">
        <v>45849.666666666664</v>
      </c>
      <c r="AF2047" s="30">
        <v>45853.625</v>
      </c>
      <c r="AG2047" t="s">
        <v>1266</v>
      </c>
      <c r="AK2047" t="s">
        <v>1265</v>
      </c>
      <c r="AL2047" t="s">
        <v>2628</v>
      </c>
      <c r="AM2047" t="s">
        <v>1263</v>
      </c>
      <c r="AN2047" t="s">
        <v>1262</v>
      </c>
      <c r="AO2047">
        <v>0</v>
      </c>
      <c r="AQ2047" t="s">
        <v>1261</v>
      </c>
      <c r="AR2047" t="s">
        <v>1260</v>
      </c>
      <c r="AS2047" t="s">
        <v>1259</v>
      </c>
      <c r="AT2047" s="30">
        <v>46069.518055555556</v>
      </c>
    </row>
    <row r="2048" spans="1:46" x14ac:dyDescent="0.25">
      <c r="A2048" t="s">
        <v>1248</v>
      </c>
      <c r="B2048">
        <v>247951</v>
      </c>
      <c r="C2048">
        <v>352065</v>
      </c>
      <c r="D2048">
        <v>405</v>
      </c>
      <c r="E2048" t="s">
        <v>1266</v>
      </c>
      <c r="H2048">
        <v>1892</v>
      </c>
      <c r="K2048">
        <v>7</v>
      </c>
      <c r="L2048">
        <v>7</v>
      </c>
      <c r="M2048">
        <v>1</v>
      </c>
      <c r="N2048">
        <v>0</v>
      </c>
      <c r="O2048">
        <v>1</v>
      </c>
      <c r="P2048">
        <v>0</v>
      </c>
      <c r="Q2048">
        <v>0</v>
      </c>
      <c r="R2048">
        <v>0</v>
      </c>
      <c r="T2048" s="29">
        <v>568953</v>
      </c>
      <c r="U2048" s="29">
        <v>3982671</v>
      </c>
      <c r="V2048" t="s">
        <v>1262</v>
      </c>
      <c r="W2048" t="s">
        <v>1262</v>
      </c>
      <c r="X2048" s="29">
        <v>3982671</v>
      </c>
      <c r="AA2048" s="30">
        <v>45813.416666666664</v>
      </c>
      <c r="AB2048" s="30">
        <v>45814.375</v>
      </c>
      <c r="AC2048" s="30">
        <v>45813.416666666664</v>
      </c>
      <c r="AD2048" s="30">
        <v>45814.375</v>
      </c>
      <c r="AE2048" s="30">
        <v>45875.375</v>
      </c>
      <c r="AF2048" s="30">
        <v>45875.708333333336</v>
      </c>
      <c r="AG2048" t="s">
        <v>1266</v>
      </c>
      <c r="AK2048" t="s">
        <v>1265</v>
      </c>
      <c r="AL2048" t="s">
        <v>2627</v>
      </c>
      <c r="AM2048" t="s">
        <v>1263</v>
      </c>
      <c r="AN2048" t="s">
        <v>1262</v>
      </c>
      <c r="AO2048">
        <v>0</v>
      </c>
      <c r="AQ2048" t="s">
        <v>1261</v>
      </c>
      <c r="AR2048" t="s">
        <v>1260</v>
      </c>
      <c r="AS2048" t="s">
        <v>1259</v>
      </c>
      <c r="AT2048" s="30">
        <v>46069.518055555556</v>
      </c>
    </row>
    <row r="2049" spans="1:46" x14ac:dyDescent="0.25">
      <c r="A2049" t="s">
        <v>1248</v>
      </c>
      <c r="B2049">
        <v>247952</v>
      </c>
      <c r="C2049">
        <v>352066</v>
      </c>
      <c r="D2049">
        <v>405</v>
      </c>
      <c r="E2049" t="s">
        <v>1266</v>
      </c>
      <c r="H2049">
        <v>1892</v>
      </c>
      <c r="K2049">
        <v>16</v>
      </c>
      <c r="L2049">
        <v>16</v>
      </c>
      <c r="M2049">
        <v>1</v>
      </c>
      <c r="N2049">
        <v>0</v>
      </c>
      <c r="O2049">
        <v>1</v>
      </c>
      <c r="P2049">
        <v>0</v>
      </c>
      <c r="Q2049">
        <v>0</v>
      </c>
      <c r="R2049">
        <v>0</v>
      </c>
      <c r="T2049" s="29">
        <v>568953</v>
      </c>
      <c r="U2049" s="29">
        <v>9103248</v>
      </c>
      <c r="V2049" t="s">
        <v>1262</v>
      </c>
      <c r="W2049" t="s">
        <v>1262</v>
      </c>
      <c r="X2049" s="29">
        <v>9103248</v>
      </c>
      <c r="AA2049" s="30">
        <v>45777.458333333336</v>
      </c>
      <c r="AB2049" s="30">
        <v>45779.458333333336</v>
      </c>
      <c r="AC2049" s="30">
        <v>45777.458333333336</v>
      </c>
      <c r="AD2049" s="30">
        <v>45779.458333333336</v>
      </c>
      <c r="AE2049" s="30">
        <v>45846.333333333336</v>
      </c>
      <c r="AF2049" s="30">
        <v>45847.708333333336</v>
      </c>
      <c r="AG2049" t="s">
        <v>1266</v>
      </c>
      <c r="AK2049" t="s">
        <v>1265</v>
      </c>
      <c r="AL2049" t="s">
        <v>2626</v>
      </c>
      <c r="AM2049" t="s">
        <v>1263</v>
      </c>
      <c r="AN2049" t="s">
        <v>1262</v>
      </c>
      <c r="AO2049">
        <v>0</v>
      </c>
      <c r="AQ2049" t="s">
        <v>1261</v>
      </c>
      <c r="AR2049" t="s">
        <v>1260</v>
      </c>
      <c r="AS2049" t="s">
        <v>1259</v>
      </c>
      <c r="AT2049" s="30">
        <v>46069.518055555556</v>
      </c>
    </row>
    <row r="2050" spans="1:46" x14ac:dyDescent="0.25">
      <c r="A2050" t="s">
        <v>1248</v>
      </c>
      <c r="B2050">
        <v>247953</v>
      </c>
      <c r="C2050">
        <v>352072</v>
      </c>
      <c r="D2050">
        <v>405</v>
      </c>
      <c r="E2050" t="s">
        <v>1266</v>
      </c>
      <c r="H2050">
        <v>1892</v>
      </c>
      <c r="K2050">
        <v>8</v>
      </c>
      <c r="L2050">
        <v>8</v>
      </c>
      <c r="M2050">
        <v>1</v>
      </c>
      <c r="N2050">
        <v>0</v>
      </c>
      <c r="O2050">
        <v>1</v>
      </c>
      <c r="P2050">
        <v>0</v>
      </c>
      <c r="Q2050">
        <v>0</v>
      </c>
      <c r="R2050">
        <v>0</v>
      </c>
      <c r="T2050" s="29">
        <v>568953</v>
      </c>
      <c r="U2050" s="29">
        <v>4551624</v>
      </c>
      <c r="V2050" t="s">
        <v>1262</v>
      </c>
      <c r="W2050" t="s">
        <v>1262</v>
      </c>
      <c r="X2050" s="29">
        <v>4551624</v>
      </c>
      <c r="AA2050" s="30">
        <v>45803.458333333336</v>
      </c>
      <c r="AB2050" s="30">
        <v>45804.458333333336</v>
      </c>
      <c r="AC2050" s="30">
        <v>45803.458333333336</v>
      </c>
      <c r="AD2050" s="30">
        <v>45804.458333333336</v>
      </c>
      <c r="AE2050" s="30">
        <v>45874.375</v>
      </c>
      <c r="AF2050" s="30">
        <v>45875.375</v>
      </c>
      <c r="AG2050" t="s">
        <v>1266</v>
      </c>
      <c r="AK2050" t="s">
        <v>1265</v>
      </c>
      <c r="AL2050" t="s">
        <v>2625</v>
      </c>
      <c r="AM2050" t="s">
        <v>1263</v>
      </c>
      <c r="AN2050" t="s">
        <v>1262</v>
      </c>
      <c r="AO2050">
        <v>0</v>
      </c>
      <c r="AQ2050" t="s">
        <v>1261</v>
      </c>
      <c r="AR2050" t="s">
        <v>1260</v>
      </c>
      <c r="AS2050" t="s">
        <v>1259</v>
      </c>
      <c r="AT2050" s="30">
        <v>46069.518055555556</v>
      </c>
    </row>
    <row r="2051" spans="1:46" x14ac:dyDescent="0.25">
      <c r="A2051" t="s">
        <v>1248</v>
      </c>
      <c r="B2051">
        <v>247954</v>
      </c>
      <c r="C2051">
        <v>352073</v>
      </c>
      <c r="D2051">
        <v>405</v>
      </c>
      <c r="E2051" t="s">
        <v>1266</v>
      </c>
      <c r="H2051">
        <v>1892</v>
      </c>
      <c r="K2051">
        <v>15</v>
      </c>
      <c r="L2051">
        <v>15</v>
      </c>
      <c r="M2051">
        <v>1</v>
      </c>
      <c r="N2051">
        <v>0</v>
      </c>
      <c r="O2051">
        <v>1</v>
      </c>
      <c r="P2051">
        <v>0</v>
      </c>
      <c r="Q2051">
        <v>0</v>
      </c>
      <c r="R2051">
        <v>0</v>
      </c>
      <c r="T2051" s="29">
        <v>568953</v>
      </c>
      <c r="U2051" s="29">
        <v>8534295</v>
      </c>
      <c r="V2051" t="s">
        <v>1262</v>
      </c>
      <c r="W2051" t="s">
        <v>1262</v>
      </c>
      <c r="X2051" s="29">
        <v>8534295</v>
      </c>
      <c r="AA2051" s="30">
        <v>45775.541666666664</v>
      </c>
      <c r="AB2051" s="30">
        <v>45777.458333333336</v>
      </c>
      <c r="AC2051" s="30">
        <v>45775.541666666664</v>
      </c>
      <c r="AD2051" s="30">
        <v>45777.458333333336</v>
      </c>
      <c r="AE2051" s="30">
        <v>45833.625</v>
      </c>
      <c r="AF2051" s="30">
        <v>45835.583333333336</v>
      </c>
      <c r="AG2051" t="s">
        <v>1266</v>
      </c>
      <c r="AK2051" t="s">
        <v>1265</v>
      </c>
      <c r="AL2051" t="s">
        <v>2624</v>
      </c>
      <c r="AM2051" t="s">
        <v>1263</v>
      </c>
      <c r="AN2051" t="s">
        <v>1262</v>
      </c>
      <c r="AO2051">
        <v>0</v>
      </c>
      <c r="AQ2051" t="s">
        <v>1261</v>
      </c>
      <c r="AR2051" t="s">
        <v>1260</v>
      </c>
      <c r="AS2051" t="s">
        <v>1259</v>
      </c>
      <c r="AT2051" s="30">
        <v>46069.518055555556</v>
      </c>
    </row>
    <row r="2052" spans="1:46" x14ac:dyDescent="0.25">
      <c r="A2052" t="s">
        <v>1248</v>
      </c>
      <c r="B2052">
        <v>247955</v>
      </c>
      <c r="C2052">
        <v>352079</v>
      </c>
      <c r="D2052">
        <v>405</v>
      </c>
      <c r="E2052" t="s">
        <v>1266</v>
      </c>
      <c r="H2052">
        <v>1892</v>
      </c>
      <c r="K2052">
        <v>7</v>
      </c>
      <c r="L2052">
        <v>7</v>
      </c>
      <c r="M2052">
        <v>1</v>
      </c>
      <c r="N2052">
        <v>0</v>
      </c>
      <c r="O2052">
        <v>1</v>
      </c>
      <c r="P2052">
        <v>0</v>
      </c>
      <c r="Q2052">
        <v>0</v>
      </c>
      <c r="R2052">
        <v>0</v>
      </c>
      <c r="T2052" s="29">
        <v>568953</v>
      </c>
      <c r="U2052" s="29">
        <v>3982671</v>
      </c>
      <c r="V2052" t="s">
        <v>1262</v>
      </c>
      <c r="W2052" t="s">
        <v>1262</v>
      </c>
      <c r="X2052" s="29">
        <v>3982671</v>
      </c>
      <c r="AA2052" s="30">
        <v>45798.625</v>
      </c>
      <c r="AB2052" s="30">
        <v>45799.583333333336</v>
      </c>
      <c r="AC2052" s="30">
        <v>45798.625</v>
      </c>
      <c r="AD2052" s="30">
        <v>45799.583333333336</v>
      </c>
      <c r="AE2052" s="30">
        <v>45873.416666666664</v>
      </c>
      <c r="AF2052" s="30">
        <v>45874.375</v>
      </c>
      <c r="AG2052" t="s">
        <v>1266</v>
      </c>
      <c r="AK2052" t="s">
        <v>1265</v>
      </c>
      <c r="AL2052" t="s">
        <v>2623</v>
      </c>
      <c r="AM2052" t="s">
        <v>1263</v>
      </c>
      <c r="AN2052" t="s">
        <v>1262</v>
      </c>
      <c r="AO2052">
        <v>0</v>
      </c>
      <c r="AQ2052" t="s">
        <v>1261</v>
      </c>
      <c r="AR2052" t="s">
        <v>1260</v>
      </c>
      <c r="AS2052" t="s">
        <v>1259</v>
      </c>
      <c r="AT2052" s="30">
        <v>46069.518055555556</v>
      </c>
    </row>
    <row r="2053" spans="1:46" x14ac:dyDescent="0.25">
      <c r="A2053" t="s">
        <v>1248</v>
      </c>
      <c r="B2053">
        <v>247956</v>
      </c>
      <c r="C2053">
        <v>352080</v>
      </c>
      <c r="D2053">
        <v>405</v>
      </c>
      <c r="E2053" t="s">
        <v>1266</v>
      </c>
      <c r="H2053">
        <v>1892</v>
      </c>
      <c r="K2053">
        <v>15</v>
      </c>
      <c r="L2053">
        <v>15</v>
      </c>
      <c r="M2053">
        <v>1</v>
      </c>
      <c r="N2053">
        <v>0</v>
      </c>
      <c r="O2053">
        <v>1</v>
      </c>
      <c r="P2053">
        <v>0</v>
      </c>
      <c r="Q2053">
        <v>0</v>
      </c>
      <c r="R2053">
        <v>0</v>
      </c>
      <c r="T2053" s="29">
        <v>568953</v>
      </c>
      <c r="U2053" s="29">
        <v>8534295</v>
      </c>
      <c r="V2053" t="s">
        <v>1262</v>
      </c>
      <c r="W2053" t="s">
        <v>1262</v>
      </c>
      <c r="X2053" s="29">
        <v>8534295</v>
      </c>
      <c r="AA2053" s="30">
        <v>45771.583333333336</v>
      </c>
      <c r="AB2053" s="30">
        <v>45775.5</v>
      </c>
      <c r="AC2053" s="30">
        <v>45771.583333333336</v>
      </c>
      <c r="AD2053" s="30">
        <v>45775.5</v>
      </c>
      <c r="AE2053" s="30">
        <v>45827.625</v>
      </c>
      <c r="AF2053" s="30">
        <v>45831.583333333336</v>
      </c>
      <c r="AG2053" t="s">
        <v>1266</v>
      </c>
      <c r="AK2053" t="s">
        <v>1265</v>
      </c>
      <c r="AL2053" t="s">
        <v>2622</v>
      </c>
      <c r="AM2053" t="s">
        <v>1263</v>
      </c>
      <c r="AN2053" t="s">
        <v>1262</v>
      </c>
      <c r="AO2053">
        <v>0</v>
      </c>
      <c r="AQ2053" t="s">
        <v>1261</v>
      </c>
      <c r="AR2053" t="s">
        <v>1260</v>
      </c>
      <c r="AS2053" t="s">
        <v>1259</v>
      </c>
      <c r="AT2053" s="30">
        <v>46069.518055555556</v>
      </c>
    </row>
    <row r="2054" spans="1:46" x14ac:dyDescent="0.25">
      <c r="A2054" t="s">
        <v>1248</v>
      </c>
      <c r="B2054">
        <v>247957</v>
      </c>
      <c r="C2054">
        <v>352086</v>
      </c>
      <c r="D2054">
        <v>405</v>
      </c>
      <c r="E2054" t="s">
        <v>1266</v>
      </c>
      <c r="H2054">
        <v>1892</v>
      </c>
      <c r="K2054">
        <v>7</v>
      </c>
      <c r="L2054">
        <v>7</v>
      </c>
      <c r="M2054">
        <v>1</v>
      </c>
      <c r="N2054">
        <v>0</v>
      </c>
      <c r="O2054">
        <v>1</v>
      </c>
      <c r="P2054">
        <v>0</v>
      </c>
      <c r="Q2054">
        <v>0</v>
      </c>
      <c r="R2054">
        <v>0</v>
      </c>
      <c r="T2054" s="29">
        <v>568953</v>
      </c>
      <c r="U2054" s="29">
        <v>3982671</v>
      </c>
      <c r="V2054" t="s">
        <v>1262</v>
      </c>
      <c r="W2054" t="s">
        <v>1262</v>
      </c>
      <c r="X2054" s="29">
        <v>3982671</v>
      </c>
      <c r="AA2054" s="30">
        <v>45796.666666666664</v>
      </c>
      <c r="AB2054" s="30">
        <v>45797.625</v>
      </c>
      <c r="AC2054" s="30">
        <v>45796.666666666664</v>
      </c>
      <c r="AD2054" s="30">
        <v>45797.625</v>
      </c>
      <c r="AE2054" s="30">
        <v>45870.458333333336</v>
      </c>
      <c r="AF2054" s="30">
        <v>45873.416666666664</v>
      </c>
      <c r="AG2054" t="s">
        <v>1266</v>
      </c>
      <c r="AK2054" t="s">
        <v>1265</v>
      </c>
      <c r="AL2054" t="s">
        <v>2621</v>
      </c>
      <c r="AM2054" t="s">
        <v>1263</v>
      </c>
      <c r="AN2054" t="s">
        <v>1262</v>
      </c>
      <c r="AO2054">
        <v>0</v>
      </c>
      <c r="AQ2054" t="s">
        <v>1261</v>
      </c>
      <c r="AR2054" t="s">
        <v>1260</v>
      </c>
      <c r="AS2054" t="s">
        <v>1259</v>
      </c>
      <c r="AT2054" s="30">
        <v>46069.518055555556</v>
      </c>
    </row>
    <row r="2055" spans="1:46" x14ac:dyDescent="0.25">
      <c r="A2055" t="s">
        <v>1248</v>
      </c>
      <c r="B2055">
        <v>247958</v>
      </c>
      <c r="C2055">
        <v>352087</v>
      </c>
      <c r="D2055">
        <v>405</v>
      </c>
      <c r="E2055" t="s">
        <v>1266</v>
      </c>
      <c r="H2055">
        <v>1892</v>
      </c>
      <c r="K2055">
        <v>15</v>
      </c>
      <c r="L2055">
        <v>15</v>
      </c>
      <c r="M2055">
        <v>1</v>
      </c>
      <c r="N2055">
        <v>0</v>
      </c>
      <c r="O2055">
        <v>1</v>
      </c>
      <c r="P2055">
        <v>0</v>
      </c>
      <c r="Q2055">
        <v>0</v>
      </c>
      <c r="R2055">
        <v>0</v>
      </c>
      <c r="T2055" s="29">
        <v>568953</v>
      </c>
      <c r="U2055" s="29">
        <v>8534295</v>
      </c>
      <c r="V2055" t="s">
        <v>1262</v>
      </c>
      <c r="W2055" t="s">
        <v>1262</v>
      </c>
      <c r="X2055" s="29">
        <v>8534295</v>
      </c>
      <c r="AA2055" s="30">
        <v>45769.625</v>
      </c>
      <c r="AB2055" s="30">
        <v>45771.583333333336</v>
      </c>
      <c r="AC2055" s="30">
        <v>45769.625</v>
      </c>
      <c r="AD2055" s="30">
        <v>45771.583333333336</v>
      </c>
      <c r="AE2055" s="30">
        <v>45821.625</v>
      </c>
      <c r="AF2055" s="30">
        <v>45825.583333333336</v>
      </c>
      <c r="AG2055" t="s">
        <v>1266</v>
      </c>
      <c r="AK2055" t="s">
        <v>1265</v>
      </c>
      <c r="AL2055" t="s">
        <v>2620</v>
      </c>
      <c r="AM2055" t="s">
        <v>1263</v>
      </c>
      <c r="AN2055" t="s">
        <v>1262</v>
      </c>
      <c r="AO2055">
        <v>0</v>
      </c>
      <c r="AQ2055" t="s">
        <v>1261</v>
      </c>
      <c r="AR2055" t="s">
        <v>1260</v>
      </c>
      <c r="AS2055" t="s">
        <v>1259</v>
      </c>
      <c r="AT2055" s="30">
        <v>46069.518055555556</v>
      </c>
    </row>
    <row r="2056" spans="1:46" x14ac:dyDescent="0.25">
      <c r="A2056" t="s">
        <v>1248</v>
      </c>
      <c r="B2056">
        <v>247959</v>
      </c>
      <c r="C2056">
        <v>352093</v>
      </c>
      <c r="D2056">
        <v>405</v>
      </c>
      <c r="E2056" t="s">
        <v>1266</v>
      </c>
      <c r="H2056">
        <v>1892</v>
      </c>
      <c r="K2056">
        <v>7</v>
      </c>
      <c r="L2056">
        <v>7</v>
      </c>
      <c r="M2056">
        <v>1</v>
      </c>
      <c r="N2056">
        <v>0</v>
      </c>
      <c r="O2056">
        <v>1</v>
      </c>
      <c r="P2056">
        <v>0</v>
      </c>
      <c r="Q2056">
        <v>0</v>
      </c>
      <c r="R2056">
        <v>0</v>
      </c>
      <c r="T2056" s="29">
        <v>568953</v>
      </c>
      <c r="U2056" s="29">
        <v>3982671</v>
      </c>
      <c r="V2056" t="s">
        <v>1262</v>
      </c>
      <c r="W2056" t="s">
        <v>1262</v>
      </c>
      <c r="X2056" s="29">
        <v>3982671</v>
      </c>
      <c r="AA2056" s="30">
        <v>45793.333333333336</v>
      </c>
      <c r="AB2056" s="30">
        <v>45793.666666666664</v>
      </c>
      <c r="AC2056" s="30">
        <v>45793.333333333336</v>
      </c>
      <c r="AD2056" s="30">
        <v>45793.666666666664</v>
      </c>
      <c r="AE2056" s="30">
        <v>45869.541666666664</v>
      </c>
      <c r="AF2056" s="30">
        <v>45870.458333333336</v>
      </c>
      <c r="AG2056" t="s">
        <v>1266</v>
      </c>
      <c r="AK2056" t="s">
        <v>1265</v>
      </c>
      <c r="AL2056" t="s">
        <v>2619</v>
      </c>
      <c r="AM2056" t="s">
        <v>1263</v>
      </c>
      <c r="AN2056" t="s">
        <v>1262</v>
      </c>
      <c r="AO2056">
        <v>0</v>
      </c>
      <c r="AQ2056" t="s">
        <v>1261</v>
      </c>
      <c r="AR2056" t="s">
        <v>1260</v>
      </c>
      <c r="AS2056" t="s">
        <v>1259</v>
      </c>
      <c r="AT2056" s="30">
        <v>46069.518055555556</v>
      </c>
    </row>
    <row r="2057" spans="1:46" x14ac:dyDescent="0.25">
      <c r="A2057" t="s">
        <v>1248</v>
      </c>
      <c r="B2057">
        <v>247960</v>
      </c>
      <c r="C2057">
        <v>352094</v>
      </c>
      <c r="D2057">
        <v>405</v>
      </c>
      <c r="E2057" t="s">
        <v>1266</v>
      </c>
      <c r="H2057">
        <v>1892</v>
      </c>
      <c r="K2057">
        <v>15</v>
      </c>
      <c r="L2057">
        <v>15</v>
      </c>
      <c r="M2057">
        <v>1</v>
      </c>
      <c r="N2057">
        <v>0</v>
      </c>
      <c r="O2057">
        <v>1</v>
      </c>
      <c r="P2057">
        <v>0</v>
      </c>
      <c r="Q2057">
        <v>0</v>
      </c>
      <c r="R2057">
        <v>0</v>
      </c>
      <c r="T2057" s="29">
        <v>568953</v>
      </c>
      <c r="U2057" s="29">
        <v>8534295</v>
      </c>
      <c r="V2057" t="s">
        <v>1262</v>
      </c>
      <c r="W2057" t="s">
        <v>1262</v>
      </c>
      <c r="X2057" s="29">
        <v>8534295</v>
      </c>
      <c r="AA2057" s="30">
        <v>45765.666666666664</v>
      </c>
      <c r="AB2057" s="30">
        <v>45769.625</v>
      </c>
      <c r="AC2057" s="30">
        <v>45765.666666666664</v>
      </c>
      <c r="AD2057" s="30">
        <v>45769.625</v>
      </c>
      <c r="AE2057" s="30">
        <v>45817.625</v>
      </c>
      <c r="AF2057" s="30">
        <v>45819.583333333336</v>
      </c>
      <c r="AG2057" t="s">
        <v>1266</v>
      </c>
      <c r="AK2057" t="s">
        <v>1265</v>
      </c>
      <c r="AL2057" t="s">
        <v>2618</v>
      </c>
      <c r="AM2057" t="s">
        <v>1263</v>
      </c>
      <c r="AN2057" t="s">
        <v>1262</v>
      </c>
      <c r="AO2057">
        <v>0</v>
      </c>
      <c r="AQ2057" t="s">
        <v>1261</v>
      </c>
      <c r="AR2057" t="s">
        <v>1260</v>
      </c>
      <c r="AS2057" t="s">
        <v>1259</v>
      </c>
      <c r="AT2057" s="30">
        <v>46069.518055555556</v>
      </c>
    </row>
    <row r="2058" spans="1:46" x14ac:dyDescent="0.25">
      <c r="A2058" t="s">
        <v>1248</v>
      </c>
      <c r="B2058">
        <v>247961</v>
      </c>
      <c r="C2058">
        <v>352100</v>
      </c>
      <c r="D2058">
        <v>405</v>
      </c>
      <c r="E2058" t="s">
        <v>1266</v>
      </c>
      <c r="H2058">
        <v>1892</v>
      </c>
      <c r="K2058">
        <v>7</v>
      </c>
      <c r="L2058">
        <v>7</v>
      </c>
      <c r="M2058">
        <v>1</v>
      </c>
      <c r="N2058">
        <v>0</v>
      </c>
      <c r="O2058">
        <v>1</v>
      </c>
      <c r="P2058">
        <v>0</v>
      </c>
      <c r="Q2058">
        <v>0</v>
      </c>
      <c r="R2058">
        <v>0</v>
      </c>
      <c r="T2058" s="29">
        <v>568953</v>
      </c>
      <c r="U2058" s="29">
        <v>3982671</v>
      </c>
      <c r="V2058" t="s">
        <v>1262</v>
      </c>
      <c r="W2058" t="s">
        <v>1262</v>
      </c>
      <c r="X2058" s="29">
        <v>3982671</v>
      </c>
      <c r="AA2058" s="30">
        <v>45791.375</v>
      </c>
      <c r="AB2058" s="30">
        <v>45791.708333333336</v>
      </c>
      <c r="AC2058" s="30">
        <v>45791.375</v>
      </c>
      <c r="AD2058" s="30">
        <v>45791.708333333336</v>
      </c>
      <c r="AE2058" s="30">
        <v>45868.583333333336</v>
      </c>
      <c r="AF2058" s="30">
        <v>45869.5</v>
      </c>
      <c r="AG2058" t="s">
        <v>1266</v>
      </c>
      <c r="AK2058" t="s">
        <v>1265</v>
      </c>
      <c r="AL2058" t="s">
        <v>2617</v>
      </c>
      <c r="AM2058" t="s">
        <v>1263</v>
      </c>
      <c r="AN2058" t="s">
        <v>1262</v>
      </c>
      <c r="AO2058">
        <v>0</v>
      </c>
      <c r="AQ2058" t="s">
        <v>1261</v>
      </c>
      <c r="AR2058" t="s">
        <v>1260</v>
      </c>
      <c r="AS2058" t="s">
        <v>1259</v>
      </c>
      <c r="AT2058" s="30">
        <v>46069.518055555556</v>
      </c>
    </row>
    <row r="2059" spans="1:46" x14ac:dyDescent="0.25">
      <c r="A2059" t="s">
        <v>1248</v>
      </c>
      <c r="B2059">
        <v>247962</v>
      </c>
      <c r="C2059">
        <v>352101</v>
      </c>
      <c r="D2059">
        <v>405</v>
      </c>
      <c r="E2059" t="s">
        <v>1266</v>
      </c>
      <c r="H2059">
        <v>1892</v>
      </c>
      <c r="K2059">
        <v>15</v>
      </c>
      <c r="L2059">
        <v>15</v>
      </c>
      <c r="M2059">
        <v>1</v>
      </c>
      <c r="N2059">
        <v>0</v>
      </c>
      <c r="O2059">
        <v>1</v>
      </c>
      <c r="P2059">
        <v>0</v>
      </c>
      <c r="Q2059">
        <v>0</v>
      </c>
      <c r="R2059">
        <v>0</v>
      </c>
      <c r="T2059" s="29">
        <v>568953</v>
      </c>
      <c r="U2059" s="29">
        <v>8534295</v>
      </c>
      <c r="V2059" t="s">
        <v>1262</v>
      </c>
      <c r="W2059" t="s">
        <v>1262</v>
      </c>
      <c r="X2059" s="29">
        <v>8534295</v>
      </c>
      <c r="AA2059" s="30">
        <v>45764.333333333336</v>
      </c>
      <c r="AB2059" s="30">
        <v>45765.666666666664</v>
      </c>
      <c r="AC2059" s="30">
        <v>45764.333333333336</v>
      </c>
      <c r="AD2059" s="30">
        <v>45765.666666666664</v>
      </c>
      <c r="AE2059" s="30">
        <v>45811.625</v>
      </c>
      <c r="AF2059" s="30">
        <v>45813.583333333336</v>
      </c>
      <c r="AG2059" t="s">
        <v>1266</v>
      </c>
      <c r="AK2059" t="s">
        <v>1265</v>
      </c>
      <c r="AL2059" t="s">
        <v>2616</v>
      </c>
      <c r="AM2059" t="s">
        <v>1263</v>
      </c>
      <c r="AN2059" t="s">
        <v>1262</v>
      </c>
      <c r="AO2059">
        <v>0</v>
      </c>
      <c r="AQ2059" t="s">
        <v>1261</v>
      </c>
      <c r="AR2059" t="s">
        <v>1260</v>
      </c>
      <c r="AS2059" t="s">
        <v>1259</v>
      </c>
      <c r="AT2059" s="30">
        <v>46069.518055555556</v>
      </c>
    </row>
    <row r="2060" spans="1:46" x14ac:dyDescent="0.25">
      <c r="A2060" t="s">
        <v>1248</v>
      </c>
      <c r="B2060">
        <v>247963</v>
      </c>
      <c r="C2060">
        <v>352107</v>
      </c>
      <c r="D2060">
        <v>405</v>
      </c>
      <c r="E2060" t="s">
        <v>1266</v>
      </c>
      <c r="H2060">
        <v>1892</v>
      </c>
      <c r="K2060">
        <v>7</v>
      </c>
      <c r="L2060">
        <v>7</v>
      </c>
      <c r="M2060">
        <v>1</v>
      </c>
      <c r="N2060">
        <v>0</v>
      </c>
      <c r="O2060">
        <v>1</v>
      </c>
      <c r="P2060">
        <v>0</v>
      </c>
      <c r="Q2060">
        <v>0</v>
      </c>
      <c r="R2060">
        <v>0</v>
      </c>
      <c r="T2060" s="29">
        <v>568953</v>
      </c>
      <c r="U2060" s="29">
        <v>3982671</v>
      </c>
      <c r="V2060" t="s">
        <v>1262</v>
      </c>
      <c r="W2060" t="s">
        <v>1262</v>
      </c>
      <c r="X2060" s="29">
        <v>3982671</v>
      </c>
      <c r="AA2060" s="30">
        <v>45789.416666666664</v>
      </c>
      <c r="AB2060" s="30">
        <v>45790.375</v>
      </c>
      <c r="AC2060" s="30">
        <v>45789.416666666664</v>
      </c>
      <c r="AD2060" s="30">
        <v>45790.375</v>
      </c>
      <c r="AE2060" s="30">
        <v>45867.625</v>
      </c>
      <c r="AF2060" s="30">
        <v>45868.583333333336</v>
      </c>
      <c r="AG2060" t="s">
        <v>1266</v>
      </c>
      <c r="AK2060" t="s">
        <v>1265</v>
      </c>
      <c r="AL2060" t="s">
        <v>2615</v>
      </c>
      <c r="AM2060" t="s">
        <v>1263</v>
      </c>
      <c r="AN2060" t="s">
        <v>1262</v>
      </c>
      <c r="AO2060">
        <v>0</v>
      </c>
      <c r="AQ2060" t="s">
        <v>1261</v>
      </c>
      <c r="AR2060" t="s">
        <v>1260</v>
      </c>
      <c r="AS2060" t="s">
        <v>1259</v>
      </c>
      <c r="AT2060" s="30">
        <v>46069.518055555556</v>
      </c>
    </row>
    <row r="2061" spans="1:46" x14ac:dyDescent="0.25">
      <c r="A2061" t="s">
        <v>1248</v>
      </c>
      <c r="B2061">
        <v>247964</v>
      </c>
      <c r="C2061">
        <v>352108</v>
      </c>
      <c r="D2061">
        <v>405</v>
      </c>
      <c r="E2061" t="s">
        <v>1266</v>
      </c>
      <c r="H2061">
        <v>1892</v>
      </c>
      <c r="K2061">
        <v>15</v>
      </c>
      <c r="L2061">
        <v>15</v>
      </c>
      <c r="M2061">
        <v>1</v>
      </c>
      <c r="N2061">
        <v>0</v>
      </c>
      <c r="O2061">
        <v>1</v>
      </c>
      <c r="P2061">
        <v>0</v>
      </c>
      <c r="Q2061">
        <v>0</v>
      </c>
      <c r="R2061">
        <v>0</v>
      </c>
      <c r="T2061" s="29">
        <v>568953</v>
      </c>
      <c r="U2061" s="29">
        <v>8534295</v>
      </c>
      <c r="V2061" t="s">
        <v>1262</v>
      </c>
      <c r="W2061" t="s">
        <v>1262</v>
      </c>
      <c r="X2061" s="29">
        <v>8534295</v>
      </c>
      <c r="AA2061" s="30">
        <v>45754.375</v>
      </c>
      <c r="AB2061" s="30">
        <v>45755.708333333336</v>
      </c>
      <c r="AC2061" s="30">
        <v>45754.375</v>
      </c>
      <c r="AD2061" s="30">
        <v>45755.708333333336</v>
      </c>
      <c r="AE2061" s="30">
        <v>45805.625</v>
      </c>
      <c r="AF2061" s="30">
        <v>45807.583333333336</v>
      </c>
      <c r="AG2061" t="s">
        <v>1266</v>
      </c>
      <c r="AK2061" t="s">
        <v>1265</v>
      </c>
      <c r="AL2061" t="s">
        <v>2614</v>
      </c>
      <c r="AM2061" t="s">
        <v>1263</v>
      </c>
      <c r="AN2061" t="s">
        <v>1262</v>
      </c>
      <c r="AO2061">
        <v>0</v>
      </c>
      <c r="AQ2061" t="s">
        <v>1261</v>
      </c>
      <c r="AR2061" t="s">
        <v>1260</v>
      </c>
      <c r="AS2061" t="s">
        <v>1259</v>
      </c>
      <c r="AT2061" s="30">
        <v>46069.518055555556</v>
      </c>
    </row>
    <row r="2062" spans="1:46" x14ac:dyDescent="0.25">
      <c r="A2062" t="s">
        <v>1248</v>
      </c>
      <c r="B2062">
        <v>247965</v>
      </c>
      <c r="C2062">
        <v>352114</v>
      </c>
      <c r="D2062">
        <v>405</v>
      </c>
      <c r="E2062" t="s">
        <v>1266</v>
      </c>
      <c r="H2062">
        <v>1892</v>
      </c>
      <c r="K2062">
        <v>7</v>
      </c>
      <c r="L2062">
        <v>7</v>
      </c>
      <c r="M2062">
        <v>1</v>
      </c>
      <c r="N2062">
        <v>0</v>
      </c>
      <c r="O2062">
        <v>1</v>
      </c>
      <c r="P2062">
        <v>0</v>
      </c>
      <c r="Q2062">
        <v>0</v>
      </c>
      <c r="R2062">
        <v>0</v>
      </c>
      <c r="T2062" s="29">
        <v>568953</v>
      </c>
      <c r="U2062" s="29">
        <v>3982671</v>
      </c>
      <c r="V2062" t="s">
        <v>1262</v>
      </c>
      <c r="W2062" t="s">
        <v>1262</v>
      </c>
      <c r="X2062" s="29">
        <v>3982671</v>
      </c>
      <c r="AA2062" s="30">
        <v>45777.458333333336</v>
      </c>
      <c r="AB2062" s="30">
        <v>45778.416666666664</v>
      </c>
      <c r="AC2062" s="30">
        <v>45777.458333333336</v>
      </c>
      <c r="AD2062" s="30">
        <v>45778.416666666664</v>
      </c>
      <c r="AE2062" s="30">
        <v>45866.666666666664</v>
      </c>
      <c r="AF2062" s="30">
        <v>45867.625</v>
      </c>
      <c r="AG2062" t="s">
        <v>1266</v>
      </c>
      <c r="AK2062" t="s">
        <v>1265</v>
      </c>
      <c r="AL2062" t="s">
        <v>2613</v>
      </c>
      <c r="AM2062" t="s">
        <v>1263</v>
      </c>
      <c r="AN2062" t="s">
        <v>1262</v>
      </c>
      <c r="AO2062">
        <v>0</v>
      </c>
      <c r="AQ2062" t="s">
        <v>1261</v>
      </c>
      <c r="AR2062" t="s">
        <v>1260</v>
      </c>
      <c r="AS2062" t="s">
        <v>1259</v>
      </c>
      <c r="AT2062" s="30">
        <v>46069.518055555556</v>
      </c>
    </row>
    <row r="2063" spans="1:46" x14ac:dyDescent="0.25">
      <c r="A2063" t="s">
        <v>1248</v>
      </c>
      <c r="B2063">
        <v>247966</v>
      </c>
      <c r="C2063">
        <v>352115</v>
      </c>
      <c r="D2063">
        <v>405</v>
      </c>
      <c r="E2063" t="s">
        <v>1266</v>
      </c>
      <c r="H2063">
        <v>1892</v>
      </c>
      <c r="K2063">
        <v>15</v>
      </c>
      <c r="L2063">
        <v>15</v>
      </c>
      <c r="M2063">
        <v>1</v>
      </c>
      <c r="N2063">
        <v>0</v>
      </c>
      <c r="O2063">
        <v>1</v>
      </c>
      <c r="P2063">
        <v>0</v>
      </c>
      <c r="Q2063">
        <v>0</v>
      </c>
      <c r="R2063">
        <v>0</v>
      </c>
      <c r="T2063" s="29">
        <v>568953</v>
      </c>
      <c r="U2063" s="29">
        <v>8534295</v>
      </c>
      <c r="V2063" t="s">
        <v>1262</v>
      </c>
      <c r="W2063" t="s">
        <v>1262</v>
      </c>
      <c r="X2063" s="29">
        <v>8534295</v>
      </c>
      <c r="AA2063" s="30">
        <v>45750.416666666664</v>
      </c>
      <c r="AB2063" s="30">
        <v>45754.375</v>
      </c>
      <c r="AC2063" s="30">
        <v>45750.416666666664</v>
      </c>
      <c r="AD2063" s="30">
        <v>45754.375</v>
      </c>
      <c r="AE2063" s="30">
        <v>45799.625</v>
      </c>
      <c r="AF2063" s="30">
        <v>45803.583333333336</v>
      </c>
      <c r="AG2063" t="s">
        <v>1266</v>
      </c>
      <c r="AK2063" t="s">
        <v>1265</v>
      </c>
      <c r="AL2063" t="s">
        <v>2612</v>
      </c>
      <c r="AM2063" t="s">
        <v>1263</v>
      </c>
      <c r="AN2063" t="s">
        <v>1262</v>
      </c>
      <c r="AO2063">
        <v>0</v>
      </c>
      <c r="AQ2063" t="s">
        <v>1261</v>
      </c>
      <c r="AR2063" t="s">
        <v>1260</v>
      </c>
      <c r="AS2063" t="s">
        <v>1259</v>
      </c>
      <c r="AT2063" s="30">
        <v>46069.518055555556</v>
      </c>
    </row>
    <row r="2064" spans="1:46" x14ac:dyDescent="0.25">
      <c r="A2064" t="s">
        <v>1248</v>
      </c>
      <c r="B2064">
        <v>247967</v>
      </c>
      <c r="C2064">
        <v>352121</v>
      </c>
      <c r="D2064">
        <v>405</v>
      </c>
      <c r="E2064" t="s">
        <v>1266</v>
      </c>
      <c r="H2064">
        <v>1892</v>
      </c>
      <c r="K2064">
        <v>7</v>
      </c>
      <c r="L2064">
        <v>7</v>
      </c>
      <c r="M2064">
        <v>1</v>
      </c>
      <c r="N2064">
        <v>0</v>
      </c>
      <c r="O2064">
        <v>1</v>
      </c>
      <c r="P2064">
        <v>0</v>
      </c>
      <c r="Q2064">
        <v>0</v>
      </c>
      <c r="R2064">
        <v>0</v>
      </c>
      <c r="T2064" s="29">
        <v>568953</v>
      </c>
      <c r="U2064" s="29">
        <v>3982671</v>
      </c>
      <c r="V2064" t="s">
        <v>1262</v>
      </c>
      <c r="W2064" t="s">
        <v>1262</v>
      </c>
      <c r="X2064" s="29">
        <v>3982671</v>
      </c>
      <c r="AA2064" s="30">
        <v>45775.541666666664</v>
      </c>
      <c r="AB2064" s="30">
        <v>45776.458333333336</v>
      </c>
      <c r="AC2064" s="30">
        <v>45775.541666666664</v>
      </c>
      <c r="AD2064" s="30">
        <v>45776.458333333336</v>
      </c>
      <c r="AE2064" s="30">
        <v>45866.333333333336</v>
      </c>
      <c r="AF2064" s="30">
        <v>45866.666666666664</v>
      </c>
      <c r="AG2064" t="s">
        <v>1266</v>
      </c>
      <c r="AK2064" t="s">
        <v>1265</v>
      </c>
      <c r="AL2064" t="s">
        <v>2611</v>
      </c>
      <c r="AM2064" t="s">
        <v>1263</v>
      </c>
      <c r="AN2064" t="s">
        <v>1262</v>
      </c>
      <c r="AO2064">
        <v>0</v>
      </c>
      <c r="AQ2064" t="s">
        <v>1261</v>
      </c>
      <c r="AR2064" t="s">
        <v>1260</v>
      </c>
      <c r="AS2064" t="s">
        <v>1259</v>
      </c>
      <c r="AT2064" s="30">
        <v>46069.518055555556</v>
      </c>
    </row>
    <row r="2065" spans="1:46" x14ac:dyDescent="0.25">
      <c r="A2065" t="s">
        <v>1248</v>
      </c>
      <c r="B2065">
        <v>247968</v>
      </c>
      <c r="C2065">
        <v>352122</v>
      </c>
      <c r="D2065">
        <v>405</v>
      </c>
      <c r="E2065" t="s">
        <v>1266</v>
      </c>
      <c r="H2065">
        <v>1892</v>
      </c>
      <c r="K2065">
        <v>15</v>
      </c>
      <c r="L2065">
        <v>15</v>
      </c>
      <c r="M2065">
        <v>1</v>
      </c>
      <c r="N2065">
        <v>0</v>
      </c>
      <c r="O2065">
        <v>1</v>
      </c>
      <c r="P2065">
        <v>0</v>
      </c>
      <c r="Q2065">
        <v>0</v>
      </c>
      <c r="R2065">
        <v>0</v>
      </c>
      <c r="T2065" s="29">
        <v>568953</v>
      </c>
      <c r="U2065" s="29">
        <v>8534295</v>
      </c>
      <c r="V2065" t="s">
        <v>1262</v>
      </c>
      <c r="W2065" t="s">
        <v>1262</v>
      </c>
      <c r="X2065" s="29">
        <v>8534295</v>
      </c>
      <c r="AA2065" s="30">
        <v>45748.458333333336</v>
      </c>
      <c r="AB2065" s="30">
        <v>45750.416666666664</v>
      </c>
      <c r="AC2065" s="30">
        <v>45748.458333333336</v>
      </c>
      <c r="AD2065" s="30">
        <v>45750.416666666664</v>
      </c>
      <c r="AE2065" s="30">
        <v>45793.625</v>
      </c>
      <c r="AF2065" s="30">
        <v>45797.583333333336</v>
      </c>
      <c r="AG2065" t="s">
        <v>1266</v>
      </c>
      <c r="AK2065" t="s">
        <v>1265</v>
      </c>
      <c r="AL2065" t="s">
        <v>2610</v>
      </c>
      <c r="AM2065" t="s">
        <v>1263</v>
      </c>
      <c r="AN2065" t="s">
        <v>1262</v>
      </c>
      <c r="AO2065">
        <v>0</v>
      </c>
      <c r="AQ2065" t="s">
        <v>1261</v>
      </c>
      <c r="AR2065" t="s">
        <v>1260</v>
      </c>
      <c r="AS2065" t="s">
        <v>1259</v>
      </c>
      <c r="AT2065" s="30">
        <v>46069.518055555556</v>
      </c>
    </row>
    <row r="2066" spans="1:46" x14ac:dyDescent="0.25">
      <c r="A2066" t="s">
        <v>1248</v>
      </c>
      <c r="B2066">
        <v>247969</v>
      </c>
      <c r="C2066">
        <v>352128</v>
      </c>
      <c r="D2066">
        <v>405</v>
      </c>
      <c r="E2066" t="s">
        <v>1266</v>
      </c>
      <c r="H2066">
        <v>1892</v>
      </c>
      <c r="K2066">
        <v>7</v>
      </c>
      <c r="L2066">
        <v>7</v>
      </c>
      <c r="M2066">
        <v>1</v>
      </c>
      <c r="N2066">
        <v>0</v>
      </c>
      <c r="O2066">
        <v>1</v>
      </c>
      <c r="P2066">
        <v>0</v>
      </c>
      <c r="Q2066">
        <v>0</v>
      </c>
      <c r="R2066">
        <v>0</v>
      </c>
      <c r="T2066" s="29">
        <v>568953</v>
      </c>
      <c r="U2066" s="29">
        <v>3982671</v>
      </c>
      <c r="V2066" t="s">
        <v>1262</v>
      </c>
      <c r="W2066" t="s">
        <v>1262</v>
      </c>
      <c r="X2066" s="29">
        <v>3982671</v>
      </c>
      <c r="AA2066" s="30">
        <v>45771.583333333336</v>
      </c>
      <c r="AB2066" s="30">
        <v>45772.5</v>
      </c>
      <c r="AC2066" s="30">
        <v>45771.583333333336</v>
      </c>
      <c r="AD2066" s="30">
        <v>45772.5</v>
      </c>
      <c r="AE2066" s="30">
        <v>45863.375</v>
      </c>
      <c r="AF2066" s="30">
        <v>45863.708333333336</v>
      </c>
      <c r="AG2066" t="s">
        <v>1266</v>
      </c>
      <c r="AK2066" t="s">
        <v>1265</v>
      </c>
      <c r="AL2066" t="s">
        <v>2609</v>
      </c>
      <c r="AM2066" t="s">
        <v>1263</v>
      </c>
      <c r="AN2066" t="s">
        <v>1262</v>
      </c>
      <c r="AO2066">
        <v>0</v>
      </c>
      <c r="AQ2066" t="s">
        <v>1261</v>
      </c>
      <c r="AR2066" t="s">
        <v>1260</v>
      </c>
      <c r="AS2066" t="s">
        <v>1259</v>
      </c>
      <c r="AT2066" s="30">
        <v>46069.518055555556</v>
      </c>
    </row>
    <row r="2067" spans="1:46" x14ac:dyDescent="0.25">
      <c r="A2067" t="s">
        <v>1248</v>
      </c>
      <c r="B2067">
        <v>247970</v>
      </c>
      <c r="C2067">
        <v>352129</v>
      </c>
      <c r="D2067">
        <v>405</v>
      </c>
      <c r="E2067" t="s">
        <v>1266</v>
      </c>
      <c r="H2067">
        <v>1892</v>
      </c>
      <c r="K2067">
        <v>15</v>
      </c>
      <c r="L2067">
        <v>15</v>
      </c>
      <c r="M2067">
        <v>1</v>
      </c>
      <c r="N2067">
        <v>0</v>
      </c>
      <c r="O2067">
        <v>1</v>
      </c>
      <c r="P2067">
        <v>0</v>
      </c>
      <c r="Q2067">
        <v>0</v>
      </c>
      <c r="R2067">
        <v>0</v>
      </c>
      <c r="T2067" s="29">
        <v>568953</v>
      </c>
      <c r="U2067" s="29">
        <v>8534295</v>
      </c>
      <c r="V2067" t="s">
        <v>1262</v>
      </c>
      <c r="W2067" t="s">
        <v>1262</v>
      </c>
      <c r="X2067" s="29">
        <v>8534295</v>
      </c>
      <c r="AA2067" s="30">
        <v>45744.541666666664</v>
      </c>
      <c r="AB2067" s="30">
        <v>45748.458333333336</v>
      </c>
      <c r="AC2067" s="30">
        <v>45744.541666666664</v>
      </c>
      <c r="AD2067" s="30">
        <v>45748.458333333336</v>
      </c>
      <c r="AE2067" s="30">
        <v>45789.625</v>
      </c>
      <c r="AF2067" s="30">
        <v>45791.583333333336</v>
      </c>
      <c r="AG2067" t="s">
        <v>1266</v>
      </c>
      <c r="AK2067" t="s">
        <v>1265</v>
      </c>
      <c r="AL2067" t="s">
        <v>2608</v>
      </c>
      <c r="AM2067" t="s">
        <v>1263</v>
      </c>
      <c r="AN2067" t="s">
        <v>1262</v>
      </c>
      <c r="AO2067">
        <v>0</v>
      </c>
      <c r="AQ2067" t="s">
        <v>1261</v>
      </c>
      <c r="AR2067" t="s">
        <v>1260</v>
      </c>
      <c r="AS2067" t="s">
        <v>1259</v>
      </c>
      <c r="AT2067" s="30">
        <v>46069.518055555556</v>
      </c>
    </row>
    <row r="2068" spans="1:46" x14ac:dyDescent="0.25">
      <c r="A2068" t="s">
        <v>1248</v>
      </c>
      <c r="B2068">
        <v>247971</v>
      </c>
      <c r="C2068">
        <v>352135</v>
      </c>
      <c r="D2068">
        <v>405</v>
      </c>
      <c r="E2068" t="s">
        <v>1266</v>
      </c>
      <c r="H2068">
        <v>1892</v>
      </c>
      <c r="K2068">
        <v>7</v>
      </c>
      <c r="L2068">
        <v>7</v>
      </c>
      <c r="M2068">
        <v>1</v>
      </c>
      <c r="N2068">
        <v>0</v>
      </c>
      <c r="O2068">
        <v>1</v>
      </c>
      <c r="P2068">
        <v>0</v>
      </c>
      <c r="Q2068">
        <v>0</v>
      </c>
      <c r="R2068">
        <v>0</v>
      </c>
      <c r="T2068" s="29">
        <v>568953</v>
      </c>
      <c r="U2068" s="29">
        <v>3982671</v>
      </c>
      <c r="V2068" t="s">
        <v>1262</v>
      </c>
      <c r="W2068" t="s">
        <v>1262</v>
      </c>
      <c r="X2068" s="29">
        <v>3982671</v>
      </c>
      <c r="AA2068" s="30">
        <v>45769.625</v>
      </c>
      <c r="AB2068" s="30">
        <v>45770.583333333336</v>
      </c>
      <c r="AC2068" s="30">
        <v>45769.625</v>
      </c>
      <c r="AD2068" s="30">
        <v>45770.583333333336</v>
      </c>
      <c r="AE2068" s="30">
        <v>45862.416666666664</v>
      </c>
      <c r="AF2068" s="30">
        <v>45863.375</v>
      </c>
      <c r="AG2068" t="s">
        <v>1266</v>
      </c>
      <c r="AK2068" t="s">
        <v>1265</v>
      </c>
      <c r="AL2068" t="s">
        <v>2607</v>
      </c>
      <c r="AM2068" t="s">
        <v>1263</v>
      </c>
      <c r="AN2068" t="s">
        <v>1262</v>
      </c>
      <c r="AO2068">
        <v>0</v>
      </c>
      <c r="AQ2068" t="s">
        <v>1261</v>
      </c>
      <c r="AR2068" t="s">
        <v>1260</v>
      </c>
      <c r="AS2068" t="s">
        <v>1259</v>
      </c>
      <c r="AT2068" s="30">
        <v>46069.518055555556</v>
      </c>
    </row>
    <row r="2069" spans="1:46" x14ac:dyDescent="0.25">
      <c r="A2069" t="s">
        <v>1248</v>
      </c>
      <c r="B2069">
        <v>247972</v>
      </c>
      <c r="C2069">
        <v>352136</v>
      </c>
      <c r="D2069">
        <v>405</v>
      </c>
      <c r="E2069" t="s">
        <v>1266</v>
      </c>
      <c r="H2069">
        <v>1892</v>
      </c>
      <c r="K2069">
        <v>15</v>
      </c>
      <c r="L2069">
        <v>15</v>
      </c>
      <c r="M2069">
        <v>1</v>
      </c>
      <c r="N2069">
        <v>0</v>
      </c>
      <c r="O2069">
        <v>1</v>
      </c>
      <c r="P2069">
        <v>0</v>
      </c>
      <c r="Q2069">
        <v>0</v>
      </c>
      <c r="R2069">
        <v>0</v>
      </c>
      <c r="T2069" s="29">
        <v>568953</v>
      </c>
      <c r="U2069" s="29">
        <v>8534295</v>
      </c>
      <c r="V2069" t="s">
        <v>1262</v>
      </c>
      <c r="W2069" t="s">
        <v>1262</v>
      </c>
      <c r="X2069" s="29">
        <v>8534295</v>
      </c>
      <c r="AA2069" s="30">
        <v>45742.583333333336</v>
      </c>
      <c r="AB2069" s="30">
        <v>45744.5</v>
      </c>
      <c r="AC2069" s="30">
        <v>45742.583333333336</v>
      </c>
      <c r="AD2069" s="30">
        <v>45744.5</v>
      </c>
      <c r="AE2069" s="30">
        <v>45783.625</v>
      </c>
      <c r="AF2069" s="30">
        <v>45785.583333333336</v>
      </c>
      <c r="AG2069" t="s">
        <v>1266</v>
      </c>
      <c r="AK2069" t="s">
        <v>1265</v>
      </c>
      <c r="AL2069" t="s">
        <v>2606</v>
      </c>
      <c r="AM2069" t="s">
        <v>1263</v>
      </c>
      <c r="AN2069" t="s">
        <v>1262</v>
      </c>
      <c r="AO2069">
        <v>0</v>
      </c>
      <c r="AQ2069" t="s">
        <v>1261</v>
      </c>
      <c r="AR2069" t="s">
        <v>1260</v>
      </c>
      <c r="AS2069" t="s">
        <v>1259</v>
      </c>
      <c r="AT2069" s="30">
        <v>46069.518055555556</v>
      </c>
    </row>
    <row r="2070" spans="1:46" x14ac:dyDescent="0.25">
      <c r="A2070" t="s">
        <v>1248</v>
      </c>
      <c r="B2070">
        <v>247973</v>
      </c>
      <c r="C2070">
        <v>352142</v>
      </c>
      <c r="D2070">
        <v>405</v>
      </c>
      <c r="E2070" t="s">
        <v>1266</v>
      </c>
      <c r="H2070">
        <v>1892</v>
      </c>
      <c r="K2070">
        <v>7</v>
      </c>
      <c r="L2070">
        <v>7</v>
      </c>
      <c r="M2070">
        <v>1</v>
      </c>
      <c r="N2070">
        <v>0</v>
      </c>
      <c r="O2070">
        <v>1</v>
      </c>
      <c r="P2070">
        <v>0</v>
      </c>
      <c r="Q2070">
        <v>0</v>
      </c>
      <c r="R2070">
        <v>0</v>
      </c>
      <c r="T2070" s="29">
        <v>568953</v>
      </c>
      <c r="U2070" s="29">
        <v>3982671</v>
      </c>
      <c r="V2070" t="s">
        <v>1262</v>
      </c>
      <c r="W2070" t="s">
        <v>1262</v>
      </c>
      <c r="X2070" s="29">
        <v>3982671</v>
      </c>
      <c r="AA2070" s="30">
        <v>45765.666666666664</v>
      </c>
      <c r="AB2070" s="30">
        <v>45768.625</v>
      </c>
      <c r="AC2070" s="30">
        <v>45765.666666666664</v>
      </c>
      <c r="AD2070" s="30">
        <v>45768.625</v>
      </c>
      <c r="AE2070" s="30">
        <v>45861.458333333336</v>
      </c>
      <c r="AF2070" s="30">
        <v>45862.416666666664</v>
      </c>
      <c r="AG2070" t="s">
        <v>1266</v>
      </c>
      <c r="AK2070" t="s">
        <v>1265</v>
      </c>
      <c r="AL2070" t="s">
        <v>2605</v>
      </c>
      <c r="AM2070" t="s">
        <v>1263</v>
      </c>
      <c r="AN2070" t="s">
        <v>1262</v>
      </c>
      <c r="AO2070">
        <v>0</v>
      </c>
      <c r="AQ2070" t="s">
        <v>1261</v>
      </c>
      <c r="AR2070" t="s">
        <v>1260</v>
      </c>
      <c r="AS2070" t="s">
        <v>1259</v>
      </c>
      <c r="AT2070" s="30">
        <v>46069.518055555556</v>
      </c>
    </row>
    <row r="2071" spans="1:46" x14ac:dyDescent="0.25">
      <c r="A2071" t="s">
        <v>1248</v>
      </c>
      <c r="B2071">
        <v>247974</v>
      </c>
      <c r="C2071">
        <v>352143</v>
      </c>
      <c r="D2071">
        <v>405</v>
      </c>
      <c r="E2071" t="s">
        <v>1266</v>
      </c>
      <c r="H2071">
        <v>1892</v>
      </c>
      <c r="K2071">
        <v>15</v>
      </c>
      <c r="L2071">
        <v>15</v>
      </c>
      <c r="M2071">
        <v>1</v>
      </c>
      <c r="N2071">
        <v>0</v>
      </c>
      <c r="O2071">
        <v>1</v>
      </c>
      <c r="P2071">
        <v>0</v>
      </c>
      <c r="Q2071">
        <v>0</v>
      </c>
      <c r="R2071">
        <v>0</v>
      </c>
      <c r="T2071" s="29">
        <v>568953</v>
      </c>
      <c r="U2071" s="29">
        <v>8534295</v>
      </c>
      <c r="V2071" t="s">
        <v>1262</v>
      </c>
      <c r="W2071" t="s">
        <v>1262</v>
      </c>
      <c r="X2071" s="29">
        <v>8534295</v>
      </c>
      <c r="AA2071" s="30">
        <v>45740.625</v>
      </c>
      <c r="AB2071" s="30">
        <v>45742.583333333336</v>
      </c>
      <c r="AC2071" s="30">
        <v>45740.625</v>
      </c>
      <c r="AD2071" s="30">
        <v>45742.583333333336</v>
      </c>
      <c r="AE2071" s="30">
        <v>45777.625</v>
      </c>
      <c r="AF2071" s="30">
        <v>45779.583333333336</v>
      </c>
      <c r="AG2071" t="s">
        <v>1266</v>
      </c>
      <c r="AK2071" t="s">
        <v>1265</v>
      </c>
      <c r="AL2071" t="s">
        <v>2604</v>
      </c>
      <c r="AM2071" t="s">
        <v>1263</v>
      </c>
      <c r="AN2071" t="s">
        <v>1262</v>
      </c>
      <c r="AO2071">
        <v>0</v>
      </c>
      <c r="AQ2071" t="s">
        <v>1261</v>
      </c>
      <c r="AR2071" t="s">
        <v>1260</v>
      </c>
      <c r="AS2071" t="s">
        <v>1259</v>
      </c>
      <c r="AT2071" s="30">
        <v>46069.518055555556</v>
      </c>
    </row>
    <row r="2072" spans="1:46" x14ac:dyDescent="0.25">
      <c r="A2072" t="s">
        <v>1248</v>
      </c>
      <c r="B2072">
        <v>247975</v>
      </c>
      <c r="C2072">
        <v>352149</v>
      </c>
      <c r="D2072">
        <v>405</v>
      </c>
      <c r="E2072" t="s">
        <v>1266</v>
      </c>
      <c r="H2072">
        <v>1892</v>
      </c>
      <c r="K2072">
        <v>7</v>
      </c>
      <c r="L2072">
        <v>7</v>
      </c>
      <c r="M2072">
        <v>1</v>
      </c>
      <c r="N2072">
        <v>0</v>
      </c>
      <c r="O2072">
        <v>1</v>
      </c>
      <c r="P2072">
        <v>0</v>
      </c>
      <c r="Q2072">
        <v>0</v>
      </c>
      <c r="R2072">
        <v>0</v>
      </c>
      <c r="T2072" s="29">
        <v>568953</v>
      </c>
      <c r="U2072" s="29">
        <v>3982671</v>
      </c>
      <c r="V2072" t="s">
        <v>1262</v>
      </c>
      <c r="W2072" t="s">
        <v>1262</v>
      </c>
      <c r="X2072" s="29">
        <v>3982671</v>
      </c>
      <c r="AA2072" s="30">
        <v>45764.333333333336</v>
      </c>
      <c r="AB2072" s="30">
        <v>45764.666666666664</v>
      </c>
      <c r="AC2072" s="30">
        <v>45764.333333333336</v>
      </c>
      <c r="AD2072" s="30">
        <v>45764.666666666664</v>
      </c>
      <c r="AE2072" s="30">
        <v>45860.541666666664</v>
      </c>
      <c r="AF2072" s="30">
        <v>45861.458333333336</v>
      </c>
      <c r="AG2072" t="s">
        <v>1266</v>
      </c>
      <c r="AK2072" t="s">
        <v>1265</v>
      </c>
      <c r="AL2072" t="s">
        <v>2603</v>
      </c>
      <c r="AM2072" t="s">
        <v>1263</v>
      </c>
      <c r="AN2072" t="s">
        <v>1262</v>
      </c>
      <c r="AO2072">
        <v>0</v>
      </c>
      <c r="AQ2072" t="s">
        <v>1261</v>
      </c>
      <c r="AR2072" t="s">
        <v>1260</v>
      </c>
      <c r="AS2072" t="s">
        <v>1259</v>
      </c>
      <c r="AT2072" s="30">
        <v>46069.518055555556</v>
      </c>
    </row>
    <row r="2073" spans="1:46" x14ac:dyDescent="0.25">
      <c r="A2073" t="s">
        <v>1248</v>
      </c>
      <c r="B2073">
        <v>247976</v>
      </c>
      <c r="C2073">
        <v>352150</v>
      </c>
      <c r="D2073">
        <v>405</v>
      </c>
      <c r="E2073" t="s">
        <v>1266</v>
      </c>
      <c r="H2073">
        <v>1892</v>
      </c>
      <c r="K2073">
        <v>15</v>
      </c>
      <c r="L2073">
        <v>15</v>
      </c>
      <c r="M2073">
        <v>1</v>
      </c>
      <c r="N2073">
        <v>0</v>
      </c>
      <c r="O2073">
        <v>1</v>
      </c>
      <c r="P2073">
        <v>0</v>
      </c>
      <c r="Q2073">
        <v>0</v>
      </c>
      <c r="R2073">
        <v>0</v>
      </c>
      <c r="T2073" s="29">
        <v>568953</v>
      </c>
      <c r="U2073" s="29">
        <v>8534295</v>
      </c>
      <c r="V2073" t="s">
        <v>1262</v>
      </c>
      <c r="W2073" t="s">
        <v>1262</v>
      </c>
      <c r="X2073" s="29">
        <v>8534295</v>
      </c>
      <c r="AA2073" s="30">
        <v>45736.666666666664</v>
      </c>
      <c r="AB2073" s="30">
        <v>45740.625</v>
      </c>
      <c r="AC2073" s="30">
        <v>45736.666666666664</v>
      </c>
      <c r="AD2073" s="30">
        <v>45740.625</v>
      </c>
      <c r="AE2073" s="30">
        <v>45771.625</v>
      </c>
      <c r="AF2073" s="30">
        <v>45775.583333333336</v>
      </c>
      <c r="AG2073" t="s">
        <v>1266</v>
      </c>
      <c r="AK2073" t="s">
        <v>1265</v>
      </c>
      <c r="AL2073" t="s">
        <v>2602</v>
      </c>
      <c r="AM2073" t="s">
        <v>1263</v>
      </c>
      <c r="AN2073" t="s">
        <v>1262</v>
      </c>
      <c r="AO2073">
        <v>0</v>
      </c>
      <c r="AQ2073" t="s">
        <v>1261</v>
      </c>
      <c r="AR2073" t="s">
        <v>1260</v>
      </c>
      <c r="AS2073" t="s">
        <v>1259</v>
      </c>
      <c r="AT2073" s="30">
        <v>46069.518055555556</v>
      </c>
    </row>
    <row r="2074" spans="1:46" x14ac:dyDescent="0.25">
      <c r="A2074" t="s">
        <v>1248</v>
      </c>
      <c r="B2074">
        <v>247977</v>
      </c>
      <c r="C2074">
        <v>352156</v>
      </c>
      <c r="D2074">
        <v>405</v>
      </c>
      <c r="E2074" t="s">
        <v>1266</v>
      </c>
      <c r="H2074">
        <v>1892</v>
      </c>
      <c r="K2074">
        <v>7</v>
      </c>
      <c r="L2074">
        <v>7</v>
      </c>
      <c r="M2074">
        <v>1</v>
      </c>
      <c r="N2074">
        <v>0</v>
      </c>
      <c r="O2074">
        <v>1</v>
      </c>
      <c r="P2074">
        <v>0</v>
      </c>
      <c r="Q2074">
        <v>0</v>
      </c>
      <c r="R2074">
        <v>0</v>
      </c>
      <c r="T2074" s="29">
        <v>568953</v>
      </c>
      <c r="U2074" s="29">
        <v>3982671</v>
      </c>
      <c r="V2074" t="s">
        <v>1262</v>
      </c>
      <c r="W2074" t="s">
        <v>1262</v>
      </c>
      <c r="X2074" s="29">
        <v>3982671</v>
      </c>
      <c r="AA2074" s="30">
        <v>45762.375</v>
      </c>
      <c r="AB2074" s="30">
        <v>45762.708333333336</v>
      </c>
      <c r="AC2074" s="30">
        <v>45762.375</v>
      </c>
      <c r="AD2074" s="30">
        <v>45762.708333333336</v>
      </c>
      <c r="AE2074" s="30">
        <v>45859.583333333336</v>
      </c>
      <c r="AF2074" s="30">
        <v>45860.5</v>
      </c>
      <c r="AG2074" t="s">
        <v>1266</v>
      </c>
      <c r="AK2074" t="s">
        <v>1265</v>
      </c>
      <c r="AL2074" t="s">
        <v>2601</v>
      </c>
      <c r="AM2074" t="s">
        <v>1263</v>
      </c>
      <c r="AN2074" t="s">
        <v>1262</v>
      </c>
      <c r="AO2074">
        <v>0</v>
      </c>
      <c r="AQ2074" t="s">
        <v>1261</v>
      </c>
      <c r="AR2074" t="s">
        <v>1260</v>
      </c>
      <c r="AS2074" t="s">
        <v>1259</v>
      </c>
      <c r="AT2074" s="30">
        <v>46069.518055555556</v>
      </c>
    </row>
    <row r="2075" spans="1:46" x14ac:dyDescent="0.25">
      <c r="A2075" t="s">
        <v>1248</v>
      </c>
      <c r="B2075">
        <v>247978</v>
      </c>
      <c r="C2075">
        <v>352157</v>
      </c>
      <c r="D2075">
        <v>405</v>
      </c>
      <c r="E2075" t="s">
        <v>1266</v>
      </c>
      <c r="H2075">
        <v>1892</v>
      </c>
      <c r="K2075">
        <v>15</v>
      </c>
      <c r="L2075">
        <v>15</v>
      </c>
      <c r="M2075">
        <v>1</v>
      </c>
      <c r="N2075">
        <v>0</v>
      </c>
      <c r="O2075">
        <v>1</v>
      </c>
      <c r="P2075">
        <v>0</v>
      </c>
      <c r="Q2075">
        <v>0</v>
      </c>
      <c r="R2075">
        <v>0</v>
      </c>
      <c r="T2075" s="29">
        <v>568953</v>
      </c>
      <c r="U2075" s="29">
        <v>8534295</v>
      </c>
      <c r="V2075" t="s">
        <v>1262</v>
      </c>
      <c r="W2075" t="s">
        <v>1262</v>
      </c>
      <c r="X2075" s="29">
        <v>8534295</v>
      </c>
      <c r="AA2075" s="30">
        <v>45735.333333333336</v>
      </c>
      <c r="AB2075" s="30">
        <v>45736.666666666664</v>
      </c>
      <c r="AC2075" s="30">
        <v>45735.333333333336</v>
      </c>
      <c r="AD2075" s="30">
        <v>45736.666666666664</v>
      </c>
      <c r="AE2075" s="30">
        <v>45765.625</v>
      </c>
      <c r="AF2075" s="30">
        <v>45769.583333333336</v>
      </c>
      <c r="AG2075" t="s">
        <v>1266</v>
      </c>
      <c r="AK2075" t="s">
        <v>1265</v>
      </c>
      <c r="AL2075" t="s">
        <v>2600</v>
      </c>
      <c r="AM2075" t="s">
        <v>1263</v>
      </c>
      <c r="AN2075" t="s">
        <v>1262</v>
      </c>
      <c r="AO2075">
        <v>0</v>
      </c>
      <c r="AQ2075" t="s">
        <v>1261</v>
      </c>
      <c r="AR2075" t="s">
        <v>1260</v>
      </c>
      <c r="AS2075" t="s">
        <v>1259</v>
      </c>
      <c r="AT2075" s="30">
        <v>46069.518055555556</v>
      </c>
    </row>
    <row r="2076" spans="1:46" x14ac:dyDescent="0.25">
      <c r="A2076" t="s">
        <v>1248</v>
      </c>
      <c r="B2076">
        <v>247979</v>
      </c>
      <c r="C2076">
        <v>352163</v>
      </c>
      <c r="D2076">
        <v>405</v>
      </c>
      <c r="E2076" t="s">
        <v>1266</v>
      </c>
      <c r="H2076">
        <v>1892</v>
      </c>
      <c r="K2076">
        <v>7</v>
      </c>
      <c r="L2076">
        <v>7</v>
      </c>
      <c r="M2076">
        <v>1</v>
      </c>
      <c r="N2076">
        <v>0</v>
      </c>
      <c r="O2076">
        <v>1</v>
      </c>
      <c r="P2076">
        <v>0</v>
      </c>
      <c r="Q2076">
        <v>0</v>
      </c>
      <c r="R2076">
        <v>0</v>
      </c>
      <c r="T2076" s="29">
        <v>568953</v>
      </c>
      <c r="U2076" s="29">
        <v>3982671</v>
      </c>
      <c r="V2076" t="s">
        <v>1262</v>
      </c>
      <c r="W2076" t="s">
        <v>1262</v>
      </c>
      <c r="X2076" s="29">
        <v>3982671</v>
      </c>
      <c r="AA2076" s="30">
        <v>45758.416666666664</v>
      </c>
      <c r="AB2076" s="30">
        <v>45761.375</v>
      </c>
      <c r="AC2076" s="30">
        <v>45758.416666666664</v>
      </c>
      <c r="AD2076" s="30">
        <v>45761.375</v>
      </c>
      <c r="AE2076" s="30">
        <v>45856.625</v>
      </c>
      <c r="AF2076" s="30">
        <v>45859.583333333336</v>
      </c>
      <c r="AG2076" t="s">
        <v>1266</v>
      </c>
      <c r="AK2076" t="s">
        <v>1265</v>
      </c>
      <c r="AL2076" t="s">
        <v>2599</v>
      </c>
      <c r="AM2076" t="s">
        <v>1263</v>
      </c>
      <c r="AN2076" t="s">
        <v>1262</v>
      </c>
      <c r="AO2076">
        <v>0</v>
      </c>
      <c r="AQ2076" t="s">
        <v>1261</v>
      </c>
      <c r="AR2076" t="s">
        <v>1260</v>
      </c>
      <c r="AS2076" t="s">
        <v>1259</v>
      </c>
      <c r="AT2076" s="30">
        <v>46069.518055555556</v>
      </c>
    </row>
    <row r="2077" spans="1:46" x14ac:dyDescent="0.25">
      <c r="A2077" t="s">
        <v>1248</v>
      </c>
      <c r="B2077">
        <v>247980</v>
      </c>
      <c r="C2077">
        <v>352164</v>
      </c>
      <c r="D2077">
        <v>405</v>
      </c>
      <c r="E2077" t="s">
        <v>1266</v>
      </c>
      <c r="H2077">
        <v>1892</v>
      </c>
      <c r="K2077">
        <v>15</v>
      </c>
      <c r="L2077">
        <v>15</v>
      </c>
      <c r="M2077">
        <v>1</v>
      </c>
      <c r="N2077">
        <v>0</v>
      </c>
      <c r="O2077">
        <v>1</v>
      </c>
      <c r="P2077">
        <v>0</v>
      </c>
      <c r="Q2077">
        <v>0</v>
      </c>
      <c r="R2077">
        <v>0</v>
      </c>
      <c r="T2077" s="29">
        <v>568953</v>
      </c>
      <c r="U2077" s="29">
        <v>8534295</v>
      </c>
      <c r="V2077" t="s">
        <v>1262</v>
      </c>
      <c r="W2077" t="s">
        <v>1262</v>
      </c>
      <c r="X2077" s="29">
        <v>8534295</v>
      </c>
      <c r="AA2077" s="30">
        <v>45720.666666666664</v>
      </c>
      <c r="AB2077" s="30">
        <v>45722.625</v>
      </c>
      <c r="AC2077" s="30">
        <v>45720.666666666664</v>
      </c>
      <c r="AD2077" s="30">
        <v>45722.625</v>
      </c>
      <c r="AE2077" s="30">
        <v>45761.625</v>
      </c>
      <c r="AF2077" s="30">
        <v>45763.583333333336</v>
      </c>
      <c r="AG2077" t="s">
        <v>1266</v>
      </c>
      <c r="AK2077" t="s">
        <v>1265</v>
      </c>
      <c r="AL2077" t="s">
        <v>2598</v>
      </c>
      <c r="AM2077" t="s">
        <v>1263</v>
      </c>
      <c r="AN2077" t="s">
        <v>1262</v>
      </c>
      <c r="AO2077">
        <v>0</v>
      </c>
      <c r="AQ2077" t="s">
        <v>1261</v>
      </c>
      <c r="AR2077" t="s">
        <v>1260</v>
      </c>
      <c r="AS2077" t="s">
        <v>1259</v>
      </c>
      <c r="AT2077" s="30">
        <v>46069.518055555556</v>
      </c>
    </row>
    <row r="2078" spans="1:46" x14ac:dyDescent="0.25">
      <c r="A2078" t="s">
        <v>1248</v>
      </c>
      <c r="B2078">
        <v>247981</v>
      </c>
      <c r="C2078">
        <v>352170</v>
      </c>
      <c r="D2078">
        <v>405</v>
      </c>
      <c r="E2078" t="s">
        <v>1266</v>
      </c>
      <c r="H2078">
        <v>1892</v>
      </c>
      <c r="K2078">
        <v>7</v>
      </c>
      <c r="L2078">
        <v>7</v>
      </c>
      <c r="M2078">
        <v>1</v>
      </c>
      <c r="N2078">
        <v>0</v>
      </c>
      <c r="O2078">
        <v>1</v>
      </c>
      <c r="P2078">
        <v>0</v>
      </c>
      <c r="Q2078">
        <v>0</v>
      </c>
      <c r="R2078">
        <v>0</v>
      </c>
      <c r="T2078" s="29">
        <v>568953</v>
      </c>
      <c r="U2078" s="29">
        <v>3982671</v>
      </c>
      <c r="V2078" t="s">
        <v>1262</v>
      </c>
      <c r="W2078" t="s">
        <v>1262</v>
      </c>
      <c r="X2078" s="29">
        <v>3982671</v>
      </c>
      <c r="AA2078" s="30">
        <v>45749.375</v>
      </c>
      <c r="AB2078" s="30">
        <v>45749.708333333336</v>
      </c>
      <c r="AC2078" s="30">
        <v>45749.375</v>
      </c>
      <c r="AD2078" s="30">
        <v>45749.708333333336</v>
      </c>
      <c r="AE2078" s="30">
        <v>45855.666666666664</v>
      </c>
      <c r="AF2078" s="30">
        <v>45856.625</v>
      </c>
      <c r="AG2078" t="s">
        <v>1266</v>
      </c>
      <c r="AK2078" t="s">
        <v>1265</v>
      </c>
      <c r="AL2078" t="s">
        <v>2597</v>
      </c>
      <c r="AM2078" t="s">
        <v>1263</v>
      </c>
      <c r="AN2078" t="s">
        <v>1262</v>
      </c>
      <c r="AO2078">
        <v>0</v>
      </c>
      <c r="AQ2078" t="s">
        <v>1261</v>
      </c>
      <c r="AR2078" t="s">
        <v>1260</v>
      </c>
      <c r="AS2078" t="s">
        <v>1259</v>
      </c>
      <c r="AT2078" s="30">
        <v>46069.518055555556</v>
      </c>
    </row>
    <row r="2079" spans="1:46" x14ac:dyDescent="0.25">
      <c r="A2079" t="s">
        <v>1248</v>
      </c>
      <c r="B2079">
        <v>247982</v>
      </c>
      <c r="C2079">
        <v>352171</v>
      </c>
      <c r="D2079">
        <v>405</v>
      </c>
      <c r="E2079" t="s">
        <v>1266</v>
      </c>
      <c r="H2079">
        <v>1892</v>
      </c>
      <c r="K2079">
        <v>15</v>
      </c>
      <c r="L2079">
        <v>15</v>
      </c>
      <c r="M2079">
        <v>1</v>
      </c>
      <c r="N2079">
        <v>0</v>
      </c>
      <c r="O2079">
        <v>1</v>
      </c>
      <c r="P2079">
        <v>0</v>
      </c>
      <c r="Q2079">
        <v>0</v>
      </c>
      <c r="R2079">
        <v>0</v>
      </c>
      <c r="T2079" s="29">
        <v>568953</v>
      </c>
      <c r="U2079" s="29">
        <v>8534295</v>
      </c>
      <c r="V2079" t="s">
        <v>1262</v>
      </c>
      <c r="W2079" t="s">
        <v>1262</v>
      </c>
      <c r="X2079" s="29">
        <v>8534295</v>
      </c>
      <c r="AA2079" s="30">
        <v>45719.333333333336</v>
      </c>
      <c r="AB2079" s="30">
        <v>45720.666666666664</v>
      </c>
      <c r="AC2079" s="30">
        <v>45719.333333333336</v>
      </c>
      <c r="AD2079" s="30">
        <v>45720.666666666664</v>
      </c>
      <c r="AE2079" s="30">
        <v>45755.625</v>
      </c>
      <c r="AF2079" s="30">
        <v>45757.583333333336</v>
      </c>
      <c r="AG2079" t="s">
        <v>1266</v>
      </c>
      <c r="AK2079" t="s">
        <v>1265</v>
      </c>
      <c r="AL2079" t="s">
        <v>2596</v>
      </c>
      <c r="AM2079" t="s">
        <v>1263</v>
      </c>
      <c r="AN2079" t="s">
        <v>1262</v>
      </c>
      <c r="AO2079">
        <v>0</v>
      </c>
      <c r="AQ2079" t="s">
        <v>1261</v>
      </c>
      <c r="AR2079" t="s">
        <v>1260</v>
      </c>
      <c r="AS2079" t="s">
        <v>1259</v>
      </c>
      <c r="AT2079" s="30">
        <v>46069.518055555556</v>
      </c>
    </row>
    <row r="2080" spans="1:46" x14ac:dyDescent="0.25">
      <c r="A2080" t="s">
        <v>1248</v>
      </c>
      <c r="B2080">
        <v>247983</v>
      </c>
      <c r="C2080">
        <v>352177</v>
      </c>
      <c r="D2080">
        <v>405</v>
      </c>
      <c r="E2080" t="s">
        <v>1266</v>
      </c>
      <c r="H2080">
        <v>1892</v>
      </c>
      <c r="K2080">
        <v>7</v>
      </c>
      <c r="L2080">
        <v>7</v>
      </c>
      <c r="M2080">
        <v>1</v>
      </c>
      <c r="N2080">
        <v>0</v>
      </c>
      <c r="O2080">
        <v>1</v>
      </c>
      <c r="P2080">
        <v>0</v>
      </c>
      <c r="Q2080">
        <v>0</v>
      </c>
      <c r="R2080">
        <v>0</v>
      </c>
      <c r="T2080" s="29">
        <v>568953</v>
      </c>
      <c r="U2080" s="29">
        <v>3982671</v>
      </c>
      <c r="V2080" t="s">
        <v>1262</v>
      </c>
      <c r="W2080" t="s">
        <v>1262</v>
      </c>
      <c r="X2080" s="29">
        <v>3982671</v>
      </c>
      <c r="AA2080" s="30">
        <v>45748.416666666664</v>
      </c>
      <c r="AB2080" s="30">
        <v>45749.375</v>
      </c>
      <c r="AC2080" s="30">
        <v>45748.416666666664</v>
      </c>
      <c r="AD2080" s="30">
        <v>45749.375</v>
      </c>
      <c r="AE2080" s="30">
        <v>45855.333333333336</v>
      </c>
      <c r="AF2080" s="30">
        <v>45855.666666666664</v>
      </c>
      <c r="AG2080" t="s">
        <v>1266</v>
      </c>
      <c r="AK2080" t="s">
        <v>1265</v>
      </c>
      <c r="AL2080" t="s">
        <v>2595</v>
      </c>
      <c r="AM2080" t="s">
        <v>1263</v>
      </c>
      <c r="AN2080" t="s">
        <v>1262</v>
      </c>
      <c r="AO2080">
        <v>0</v>
      </c>
      <c r="AQ2080" t="s">
        <v>1261</v>
      </c>
      <c r="AR2080" t="s">
        <v>1260</v>
      </c>
      <c r="AS2080" t="s">
        <v>1259</v>
      </c>
      <c r="AT2080" s="30">
        <v>46069.518055555556</v>
      </c>
    </row>
    <row r="2081" spans="1:46" x14ac:dyDescent="0.25">
      <c r="A2081" t="s">
        <v>1248</v>
      </c>
      <c r="B2081">
        <v>247984</v>
      </c>
      <c r="C2081">
        <v>352178</v>
      </c>
      <c r="D2081">
        <v>405</v>
      </c>
      <c r="E2081" t="s">
        <v>1266</v>
      </c>
      <c r="H2081">
        <v>1892</v>
      </c>
      <c r="K2081">
        <v>15</v>
      </c>
      <c r="L2081">
        <v>15</v>
      </c>
      <c r="M2081">
        <v>1</v>
      </c>
      <c r="N2081">
        <v>0</v>
      </c>
      <c r="O2081">
        <v>1</v>
      </c>
      <c r="P2081">
        <v>0</v>
      </c>
      <c r="Q2081">
        <v>0</v>
      </c>
      <c r="R2081">
        <v>0</v>
      </c>
      <c r="T2081" s="29">
        <v>568953</v>
      </c>
      <c r="U2081" s="29">
        <v>8534295</v>
      </c>
      <c r="V2081" t="s">
        <v>1262</v>
      </c>
      <c r="W2081" t="s">
        <v>1262</v>
      </c>
      <c r="X2081" s="29">
        <v>8534295</v>
      </c>
      <c r="AA2081" s="30">
        <v>45721.333333333336</v>
      </c>
      <c r="AB2081" s="30">
        <v>45722.666666666664</v>
      </c>
      <c r="AC2081" s="30">
        <v>45721.333333333336</v>
      </c>
      <c r="AD2081" s="30">
        <v>45722.666666666664</v>
      </c>
      <c r="AE2081" s="30">
        <v>45749.625</v>
      </c>
      <c r="AF2081" s="30">
        <v>45751.583333333336</v>
      </c>
      <c r="AG2081" t="s">
        <v>1266</v>
      </c>
      <c r="AK2081" t="s">
        <v>1265</v>
      </c>
      <c r="AL2081" t="s">
        <v>2594</v>
      </c>
      <c r="AM2081" t="s">
        <v>1263</v>
      </c>
      <c r="AN2081" t="s">
        <v>1262</v>
      </c>
      <c r="AO2081">
        <v>0</v>
      </c>
      <c r="AQ2081" t="s">
        <v>1261</v>
      </c>
      <c r="AR2081" t="s">
        <v>1260</v>
      </c>
      <c r="AS2081" t="s">
        <v>1259</v>
      </c>
      <c r="AT2081" s="30">
        <v>46069.518055555556</v>
      </c>
    </row>
    <row r="2082" spans="1:46" x14ac:dyDescent="0.25">
      <c r="A2082" t="s">
        <v>1248</v>
      </c>
      <c r="B2082">
        <v>247985</v>
      </c>
      <c r="C2082">
        <v>352184</v>
      </c>
      <c r="D2082">
        <v>405</v>
      </c>
      <c r="E2082" t="s">
        <v>1266</v>
      </c>
      <c r="H2082">
        <v>1892</v>
      </c>
      <c r="K2082">
        <v>7</v>
      </c>
      <c r="L2082">
        <v>7</v>
      </c>
      <c r="M2082">
        <v>1</v>
      </c>
      <c r="N2082">
        <v>0</v>
      </c>
      <c r="O2082">
        <v>1</v>
      </c>
      <c r="P2082">
        <v>0</v>
      </c>
      <c r="Q2082">
        <v>0</v>
      </c>
      <c r="R2082">
        <v>0</v>
      </c>
      <c r="T2082" s="29">
        <v>568953</v>
      </c>
      <c r="U2082" s="29">
        <v>3982671</v>
      </c>
      <c r="V2082" t="s">
        <v>1262</v>
      </c>
      <c r="W2082" t="s">
        <v>1262</v>
      </c>
      <c r="X2082" s="29">
        <v>3982671</v>
      </c>
      <c r="AA2082" s="30">
        <v>45747.458333333336</v>
      </c>
      <c r="AB2082" s="30">
        <v>45748.416666666664</v>
      </c>
      <c r="AC2082" s="30">
        <v>45747.458333333336</v>
      </c>
      <c r="AD2082" s="30">
        <v>45748.416666666664</v>
      </c>
      <c r="AE2082" s="30">
        <v>45854.375</v>
      </c>
      <c r="AF2082" s="30">
        <v>45854.708333333336</v>
      </c>
      <c r="AG2082" t="s">
        <v>1266</v>
      </c>
      <c r="AK2082" t="s">
        <v>1265</v>
      </c>
      <c r="AL2082" t="s">
        <v>2593</v>
      </c>
      <c r="AM2082" t="s">
        <v>1263</v>
      </c>
      <c r="AN2082" t="s">
        <v>1262</v>
      </c>
      <c r="AO2082">
        <v>0</v>
      </c>
      <c r="AQ2082" t="s">
        <v>1261</v>
      </c>
      <c r="AR2082" t="s">
        <v>1260</v>
      </c>
      <c r="AS2082" t="s">
        <v>1259</v>
      </c>
      <c r="AT2082" s="30">
        <v>46069.518055555556</v>
      </c>
    </row>
    <row r="2083" spans="1:46" x14ac:dyDescent="0.25">
      <c r="A2083" t="s">
        <v>1248</v>
      </c>
      <c r="B2083">
        <v>247986</v>
      </c>
      <c r="C2083">
        <v>352185</v>
      </c>
      <c r="D2083">
        <v>405</v>
      </c>
      <c r="E2083" t="s">
        <v>1266</v>
      </c>
      <c r="H2083">
        <v>1892</v>
      </c>
      <c r="K2083">
        <v>16</v>
      </c>
      <c r="L2083">
        <v>16</v>
      </c>
      <c r="M2083">
        <v>1</v>
      </c>
      <c r="N2083">
        <v>0</v>
      </c>
      <c r="O2083">
        <v>1</v>
      </c>
      <c r="P2083">
        <v>0</v>
      </c>
      <c r="Q2083">
        <v>0</v>
      </c>
      <c r="R2083">
        <v>0</v>
      </c>
      <c r="T2083" s="29">
        <v>568953</v>
      </c>
      <c r="U2083" s="29">
        <v>9103248</v>
      </c>
      <c r="V2083" t="s">
        <v>1262</v>
      </c>
      <c r="W2083" t="s">
        <v>1262</v>
      </c>
      <c r="X2083" s="29">
        <v>9103248</v>
      </c>
      <c r="AA2083" s="30">
        <v>45719.333333333336</v>
      </c>
      <c r="AB2083" s="30">
        <v>45720.708333333336</v>
      </c>
      <c r="AC2083" s="30">
        <v>45719.333333333336</v>
      </c>
      <c r="AD2083" s="30">
        <v>45720.708333333336</v>
      </c>
      <c r="AE2083" s="30">
        <v>45743.333333333336</v>
      </c>
      <c r="AF2083" s="30">
        <v>45744.708333333336</v>
      </c>
      <c r="AG2083" t="s">
        <v>1266</v>
      </c>
      <c r="AK2083" t="s">
        <v>1265</v>
      </c>
      <c r="AL2083" t="s">
        <v>2592</v>
      </c>
      <c r="AM2083" t="s">
        <v>1263</v>
      </c>
      <c r="AN2083" t="s">
        <v>1262</v>
      </c>
      <c r="AO2083">
        <v>0</v>
      </c>
      <c r="AQ2083" t="s">
        <v>1261</v>
      </c>
      <c r="AR2083" t="s">
        <v>1260</v>
      </c>
      <c r="AS2083" t="s">
        <v>1259</v>
      </c>
      <c r="AT2083" s="30">
        <v>46069.518055555556</v>
      </c>
    </row>
    <row r="2084" spans="1:46" x14ac:dyDescent="0.25">
      <c r="A2084" t="s">
        <v>1248</v>
      </c>
      <c r="B2084">
        <v>247987</v>
      </c>
      <c r="C2084">
        <v>352191</v>
      </c>
      <c r="D2084">
        <v>405</v>
      </c>
      <c r="E2084" t="s">
        <v>1266</v>
      </c>
      <c r="H2084">
        <v>1892</v>
      </c>
      <c r="K2084">
        <v>7</v>
      </c>
      <c r="L2084">
        <v>7</v>
      </c>
      <c r="M2084" t="s">
        <v>2591</v>
      </c>
      <c r="N2084">
        <v>0</v>
      </c>
      <c r="O2084" t="s">
        <v>2591</v>
      </c>
      <c r="P2084">
        <v>0</v>
      </c>
      <c r="Q2084">
        <v>0</v>
      </c>
      <c r="R2084">
        <v>0</v>
      </c>
      <c r="T2084" s="29">
        <v>568953</v>
      </c>
      <c r="U2084" s="29">
        <v>3982671</v>
      </c>
      <c r="V2084" t="s">
        <v>1262</v>
      </c>
      <c r="W2084" t="s">
        <v>1262</v>
      </c>
      <c r="X2084" s="29">
        <v>3982671</v>
      </c>
      <c r="AA2084" s="30">
        <v>45743.333333333336</v>
      </c>
      <c r="AB2084" s="30">
        <v>45743.708333333336</v>
      </c>
      <c r="AC2084" s="30">
        <v>45743.333333333336</v>
      </c>
      <c r="AD2084" s="30">
        <v>45743.708333333336</v>
      </c>
      <c r="AE2084" s="30">
        <v>45853.375</v>
      </c>
      <c r="AF2084" s="30">
        <v>45854.375</v>
      </c>
      <c r="AG2084" t="s">
        <v>1266</v>
      </c>
      <c r="AK2084" t="s">
        <v>1265</v>
      </c>
      <c r="AL2084" t="s">
        <v>2590</v>
      </c>
      <c r="AM2084" t="s">
        <v>1263</v>
      </c>
      <c r="AN2084" t="s">
        <v>1262</v>
      </c>
      <c r="AO2084">
        <v>0</v>
      </c>
      <c r="AQ2084" t="s">
        <v>1261</v>
      </c>
      <c r="AR2084" t="s">
        <v>1260</v>
      </c>
      <c r="AS2084" t="s">
        <v>1259</v>
      </c>
      <c r="AT2084" s="30">
        <v>46069.518055555556</v>
      </c>
    </row>
    <row r="2085" spans="1:46" x14ac:dyDescent="0.25">
      <c r="A2085" t="s">
        <v>1248</v>
      </c>
      <c r="B2085">
        <v>248029</v>
      </c>
      <c r="C2085">
        <v>352046</v>
      </c>
      <c r="D2085">
        <v>405</v>
      </c>
      <c r="E2085" t="s">
        <v>1266</v>
      </c>
      <c r="H2085">
        <v>1812</v>
      </c>
      <c r="K2085" s="29">
        <v>21026086</v>
      </c>
      <c r="L2085" s="29">
        <v>21026086</v>
      </c>
      <c r="M2085" t="s">
        <v>2427</v>
      </c>
      <c r="N2085">
        <v>0</v>
      </c>
      <c r="O2085" t="s">
        <v>2427</v>
      </c>
      <c r="P2085">
        <v>0</v>
      </c>
      <c r="Q2085">
        <v>0</v>
      </c>
      <c r="R2085">
        <v>0</v>
      </c>
      <c r="T2085" s="29">
        <v>345000</v>
      </c>
      <c r="U2085" s="29">
        <v>7254000</v>
      </c>
      <c r="V2085" t="s">
        <v>1262</v>
      </c>
      <c r="W2085" t="s">
        <v>1262</v>
      </c>
      <c r="X2085" s="29">
        <v>7254000</v>
      </c>
      <c r="AA2085" s="30">
        <v>45797.625</v>
      </c>
      <c r="AB2085" s="30">
        <v>45800.625</v>
      </c>
      <c r="AC2085" s="30">
        <v>45797.625</v>
      </c>
      <c r="AD2085" s="30">
        <v>45800.625</v>
      </c>
      <c r="AE2085" s="30">
        <v>45863.333333333336</v>
      </c>
      <c r="AF2085" s="30">
        <v>45867.708333333336</v>
      </c>
      <c r="AG2085" t="s">
        <v>1266</v>
      </c>
      <c r="AK2085" t="s">
        <v>1265</v>
      </c>
      <c r="AL2085" t="s">
        <v>2589</v>
      </c>
      <c r="AM2085" t="s">
        <v>1263</v>
      </c>
      <c r="AN2085" t="s">
        <v>1262</v>
      </c>
      <c r="AO2085">
        <v>0</v>
      </c>
      <c r="AQ2085" t="s">
        <v>1261</v>
      </c>
      <c r="AR2085" t="s">
        <v>1260</v>
      </c>
      <c r="AS2085" t="s">
        <v>1259</v>
      </c>
      <c r="AT2085" s="30">
        <v>46069.518055555556</v>
      </c>
    </row>
    <row r="2086" spans="1:46" x14ac:dyDescent="0.25">
      <c r="A2086" t="s">
        <v>1248</v>
      </c>
      <c r="B2086">
        <v>248030</v>
      </c>
      <c r="C2086">
        <v>352053</v>
      </c>
      <c r="D2086">
        <v>405</v>
      </c>
      <c r="E2086" t="s">
        <v>1266</v>
      </c>
      <c r="H2086">
        <v>1812</v>
      </c>
      <c r="K2086" t="s">
        <v>2174</v>
      </c>
      <c r="L2086" t="s">
        <v>2174</v>
      </c>
      <c r="M2086" t="s">
        <v>2427</v>
      </c>
      <c r="N2086">
        <v>0</v>
      </c>
      <c r="O2086" t="s">
        <v>2427</v>
      </c>
      <c r="P2086">
        <v>0</v>
      </c>
      <c r="Q2086">
        <v>0</v>
      </c>
      <c r="R2086">
        <v>0</v>
      </c>
      <c r="T2086" s="29">
        <v>345000</v>
      </c>
      <c r="U2086" s="29">
        <v>6951750</v>
      </c>
      <c r="V2086" t="s">
        <v>1262</v>
      </c>
      <c r="W2086" t="s">
        <v>1262</v>
      </c>
      <c r="X2086" s="29">
        <v>6951750</v>
      </c>
      <c r="AA2086" s="30">
        <v>45793.625</v>
      </c>
      <c r="AB2086" s="30">
        <v>45798.583333333336</v>
      </c>
      <c r="AC2086" s="30">
        <v>45793.625</v>
      </c>
      <c r="AD2086" s="30">
        <v>45798.583333333336</v>
      </c>
      <c r="AE2086" s="30">
        <v>45859.625</v>
      </c>
      <c r="AF2086" s="30">
        <v>45862.583333333336</v>
      </c>
      <c r="AG2086" t="s">
        <v>1266</v>
      </c>
      <c r="AK2086" t="s">
        <v>1265</v>
      </c>
      <c r="AL2086" t="s">
        <v>2588</v>
      </c>
      <c r="AM2086" t="s">
        <v>1263</v>
      </c>
      <c r="AN2086" t="s">
        <v>1262</v>
      </c>
      <c r="AO2086">
        <v>0</v>
      </c>
      <c r="AQ2086" t="s">
        <v>1261</v>
      </c>
      <c r="AR2086" t="s">
        <v>1260</v>
      </c>
      <c r="AS2086" t="s">
        <v>1259</v>
      </c>
      <c r="AT2086" s="30">
        <v>46069.518055555556</v>
      </c>
    </row>
    <row r="2087" spans="1:46" x14ac:dyDescent="0.25">
      <c r="A2087" t="s">
        <v>1248</v>
      </c>
      <c r="B2087">
        <v>248031</v>
      </c>
      <c r="C2087">
        <v>352060</v>
      </c>
      <c r="D2087">
        <v>405</v>
      </c>
      <c r="E2087" t="s">
        <v>1266</v>
      </c>
      <c r="H2087">
        <v>1812</v>
      </c>
      <c r="K2087" t="s">
        <v>2174</v>
      </c>
      <c r="L2087" t="s">
        <v>2174</v>
      </c>
      <c r="M2087" t="s">
        <v>2427</v>
      </c>
      <c r="N2087">
        <v>0</v>
      </c>
      <c r="O2087" t="s">
        <v>2427</v>
      </c>
      <c r="P2087">
        <v>0</v>
      </c>
      <c r="Q2087">
        <v>0</v>
      </c>
      <c r="R2087">
        <v>0</v>
      </c>
      <c r="T2087" s="29">
        <v>345000</v>
      </c>
      <c r="U2087" s="29">
        <v>6951750</v>
      </c>
      <c r="V2087" t="s">
        <v>1262</v>
      </c>
      <c r="W2087" t="s">
        <v>1262</v>
      </c>
      <c r="X2087" s="29">
        <v>6951750</v>
      </c>
      <c r="AA2087" s="30">
        <v>45791.666666666664</v>
      </c>
      <c r="AB2087" s="30">
        <v>45796.625</v>
      </c>
      <c r="AC2087" s="30">
        <v>45791.666666666664</v>
      </c>
      <c r="AD2087" s="30">
        <v>45796.625</v>
      </c>
      <c r="AE2087" s="30">
        <v>45853.625</v>
      </c>
      <c r="AF2087" s="30">
        <v>45856.583333333336</v>
      </c>
      <c r="AG2087" t="s">
        <v>1266</v>
      </c>
      <c r="AK2087" t="s">
        <v>1265</v>
      </c>
      <c r="AL2087" t="s">
        <v>2587</v>
      </c>
      <c r="AM2087" t="s">
        <v>1263</v>
      </c>
      <c r="AN2087" t="s">
        <v>1262</v>
      </c>
      <c r="AO2087">
        <v>0</v>
      </c>
      <c r="AQ2087" t="s">
        <v>1261</v>
      </c>
      <c r="AR2087" t="s">
        <v>1260</v>
      </c>
      <c r="AS2087" t="s">
        <v>1259</v>
      </c>
      <c r="AT2087" s="30">
        <v>46069.518055555556</v>
      </c>
    </row>
    <row r="2088" spans="1:46" x14ac:dyDescent="0.25">
      <c r="A2088" t="s">
        <v>1248</v>
      </c>
      <c r="B2088">
        <v>248032</v>
      </c>
      <c r="C2088">
        <v>352067</v>
      </c>
      <c r="D2088">
        <v>405</v>
      </c>
      <c r="E2088" t="s">
        <v>1266</v>
      </c>
      <c r="H2088">
        <v>1812</v>
      </c>
      <c r="K2088" s="29">
        <v>21026086</v>
      </c>
      <c r="L2088" s="29">
        <v>21026086</v>
      </c>
      <c r="M2088" t="s">
        <v>2427</v>
      </c>
      <c r="N2088">
        <v>0</v>
      </c>
      <c r="O2088" t="s">
        <v>2427</v>
      </c>
      <c r="P2088">
        <v>0</v>
      </c>
      <c r="Q2088">
        <v>0</v>
      </c>
      <c r="R2088">
        <v>0</v>
      </c>
      <c r="T2088" s="29">
        <v>345000</v>
      </c>
      <c r="U2088" s="29">
        <v>7254000</v>
      </c>
      <c r="V2088" t="s">
        <v>1262</v>
      </c>
      <c r="W2088" t="s">
        <v>1262</v>
      </c>
      <c r="X2088" s="29">
        <v>7254000</v>
      </c>
      <c r="AA2088" s="30">
        <v>45779.458333333336</v>
      </c>
      <c r="AB2088" s="30">
        <v>45784.458333333336</v>
      </c>
      <c r="AC2088" s="30">
        <v>45779.458333333336</v>
      </c>
      <c r="AD2088" s="30">
        <v>45784.458333333336</v>
      </c>
      <c r="AE2088" s="30">
        <v>45848.333333333336</v>
      </c>
      <c r="AF2088" s="30">
        <v>45852.708333333336</v>
      </c>
      <c r="AG2088" t="s">
        <v>1266</v>
      </c>
      <c r="AK2088" t="s">
        <v>1265</v>
      </c>
      <c r="AL2088" t="s">
        <v>2586</v>
      </c>
      <c r="AM2088" t="s">
        <v>1263</v>
      </c>
      <c r="AN2088" t="s">
        <v>1262</v>
      </c>
      <c r="AO2088">
        <v>0</v>
      </c>
      <c r="AQ2088" t="s">
        <v>1261</v>
      </c>
      <c r="AR2088" t="s">
        <v>1260</v>
      </c>
      <c r="AS2088" t="s">
        <v>1259</v>
      </c>
      <c r="AT2088" s="30">
        <v>46069.518055555556</v>
      </c>
    </row>
    <row r="2089" spans="1:46" x14ac:dyDescent="0.25">
      <c r="A2089" t="s">
        <v>1248</v>
      </c>
      <c r="B2089">
        <v>248033</v>
      </c>
      <c r="C2089">
        <v>352074</v>
      </c>
      <c r="D2089">
        <v>405</v>
      </c>
      <c r="E2089" t="s">
        <v>1266</v>
      </c>
      <c r="H2089">
        <v>1812</v>
      </c>
      <c r="K2089" t="s">
        <v>2174</v>
      </c>
      <c r="L2089" t="s">
        <v>2174</v>
      </c>
      <c r="M2089" t="s">
        <v>2427</v>
      </c>
      <c r="N2089">
        <v>0</v>
      </c>
      <c r="O2089" t="s">
        <v>2427</v>
      </c>
      <c r="P2089">
        <v>0</v>
      </c>
      <c r="Q2089">
        <v>0</v>
      </c>
      <c r="R2089">
        <v>0</v>
      </c>
      <c r="T2089" s="29">
        <v>345000</v>
      </c>
      <c r="U2089" s="29">
        <v>6951750</v>
      </c>
      <c r="V2089" t="s">
        <v>1262</v>
      </c>
      <c r="W2089" t="s">
        <v>1262</v>
      </c>
      <c r="X2089" s="29">
        <v>6951750</v>
      </c>
      <c r="AA2089" s="30">
        <v>45777.458333333336</v>
      </c>
      <c r="AB2089" s="30">
        <v>45782.416666666664</v>
      </c>
      <c r="AC2089" s="30">
        <v>45777.458333333336</v>
      </c>
      <c r="AD2089" s="30">
        <v>45782.416666666664</v>
      </c>
      <c r="AE2089" s="30">
        <v>45835.583333333336</v>
      </c>
      <c r="AF2089" s="30">
        <v>45840.5</v>
      </c>
      <c r="AG2089" t="s">
        <v>1266</v>
      </c>
      <c r="AK2089" t="s">
        <v>1265</v>
      </c>
      <c r="AL2089" t="s">
        <v>2585</v>
      </c>
      <c r="AM2089" t="s">
        <v>1263</v>
      </c>
      <c r="AN2089" t="s">
        <v>1262</v>
      </c>
      <c r="AO2089">
        <v>0</v>
      </c>
      <c r="AQ2089" t="s">
        <v>1261</v>
      </c>
      <c r="AR2089" t="s">
        <v>1260</v>
      </c>
      <c r="AS2089" t="s">
        <v>1259</v>
      </c>
      <c r="AT2089" s="30">
        <v>46069.518055555556</v>
      </c>
    </row>
    <row r="2090" spans="1:46" x14ac:dyDescent="0.25">
      <c r="A2090" t="s">
        <v>1248</v>
      </c>
      <c r="B2090">
        <v>248034</v>
      </c>
      <c r="C2090">
        <v>352081</v>
      </c>
      <c r="D2090">
        <v>405</v>
      </c>
      <c r="E2090" t="s">
        <v>1266</v>
      </c>
      <c r="H2090">
        <v>1812</v>
      </c>
      <c r="K2090" t="s">
        <v>2174</v>
      </c>
      <c r="L2090" t="s">
        <v>2174</v>
      </c>
      <c r="M2090" t="s">
        <v>2427</v>
      </c>
      <c r="N2090">
        <v>0</v>
      </c>
      <c r="O2090" t="s">
        <v>2427</v>
      </c>
      <c r="P2090">
        <v>0</v>
      </c>
      <c r="Q2090">
        <v>0</v>
      </c>
      <c r="R2090">
        <v>0</v>
      </c>
      <c r="T2090" s="29">
        <v>345000</v>
      </c>
      <c r="U2090" s="29">
        <v>6951750</v>
      </c>
      <c r="V2090" t="s">
        <v>1262</v>
      </c>
      <c r="W2090" t="s">
        <v>1262</v>
      </c>
      <c r="X2090" s="29">
        <v>6951750</v>
      </c>
      <c r="AA2090" s="30">
        <v>45775.541666666664</v>
      </c>
      <c r="AB2090" s="30">
        <v>45778.458333333336</v>
      </c>
      <c r="AC2090" s="30">
        <v>45775.541666666664</v>
      </c>
      <c r="AD2090" s="30">
        <v>45778.458333333336</v>
      </c>
      <c r="AE2090" s="30">
        <v>45831.583333333336</v>
      </c>
      <c r="AF2090" s="30">
        <v>45834.5</v>
      </c>
      <c r="AG2090" t="s">
        <v>1266</v>
      </c>
      <c r="AK2090" t="s">
        <v>1265</v>
      </c>
      <c r="AL2090" t="s">
        <v>2584</v>
      </c>
      <c r="AM2090" t="s">
        <v>1263</v>
      </c>
      <c r="AN2090" t="s">
        <v>1262</v>
      </c>
      <c r="AO2090">
        <v>0</v>
      </c>
      <c r="AQ2090" t="s">
        <v>1261</v>
      </c>
      <c r="AR2090" t="s">
        <v>1260</v>
      </c>
      <c r="AS2090" t="s">
        <v>1259</v>
      </c>
      <c r="AT2090" s="30">
        <v>46069.518055555556</v>
      </c>
    </row>
    <row r="2091" spans="1:46" x14ac:dyDescent="0.25">
      <c r="A2091" t="s">
        <v>1248</v>
      </c>
      <c r="B2091">
        <v>248035</v>
      </c>
      <c r="C2091">
        <v>352088</v>
      </c>
      <c r="D2091">
        <v>405</v>
      </c>
      <c r="E2091" t="s">
        <v>1266</v>
      </c>
      <c r="H2091">
        <v>1812</v>
      </c>
      <c r="K2091" t="s">
        <v>2174</v>
      </c>
      <c r="L2091" t="s">
        <v>2174</v>
      </c>
      <c r="M2091" t="s">
        <v>2427</v>
      </c>
      <c r="N2091">
        <v>0</v>
      </c>
      <c r="O2091" t="s">
        <v>2427</v>
      </c>
      <c r="P2091">
        <v>0</v>
      </c>
      <c r="Q2091">
        <v>0</v>
      </c>
      <c r="R2091">
        <v>0</v>
      </c>
      <c r="T2091" s="29">
        <v>345000</v>
      </c>
      <c r="U2091" s="29">
        <v>6951750</v>
      </c>
      <c r="V2091" t="s">
        <v>1262</v>
      </c>
      <c r="W2091" t="s">
        <v>1262</v>
      </c>
      <c r="X2091" s="29">
        <v>6951750</v>
      </c>
      <c r="AA2091" s="30">
        <v>45771.583333333336</v>
      </c>
      <c r="AB2091" s="30">
        <v>45776.5</v>
      </c>
      <c r="AC2091" s="30">
        <v>45771.583333333336</v>
      </c>
      <c r="AD2091" s="30">
        <v>45776.5</v>
      </c>
      <c r="AE2091" s="30">
        <v>45825.583333333336</v>
      </c>
      <c r="AF2091" s="30">
        <v>45828.5</v>
      </c>
      <c r="AG2091" t="s">
        <v>1266</v>
      </c>
      <c r="AK2091" t="s">
        <v>1265</v>
      </c>
      <c r="AL2091" t="s">
        <v>2583</v>
      </c>
      <c r="AM2091" t="s">
        <v>1263</v>
      </c>
      <c r="AN2091" t="s">
        <v>1262</v>
      </c>
      <c r="AO2091">
        <v>0</v>
      </c>
      <c r="AQ2091" t="s">
        <v>1261</v>
      </c>
      <c r="AR2091" t="s">
        <v>1260</v>
      </c>
      <c r="AS2091" t="s">
        <v>1259</v>
      </c>
      <c r="AT2091" s="30">
        <v>46069.518055555556</v>
      </c>
    </row>
    <row r="2092" spans="1:46" x14ac:dyDescent="0.25">
      <c r="A2092" t="s">
        <v>1248</v>
      </c>
      <c r="B2092">
        <v>248036</v>
      </c>
      <c r="C2092">
        <v>352095</v>
      </c>
      <c r="D2092">
        <v>405</v>
      </c>
      <c r="E2092" t="s">
        <v>1266</v>
      </c>
      <c r="H2092">
        <v>1812</v>
      </c>
      <c r="K2092" t="s">
        <v>2174</v>
      </c>
      <c r="L2092" t="s">
        <v>2174</v>
      </c>
      <c r="M2092" t="s">
        <v>2427</v>
      </c>
      <c r="N2092">
        <v>0</v>
      </c>
      <c r="O2092" t="s">
        <v>2427</v>
      </c>
      <c r="P2092">
        <v>0</v>
      </c>
      <c r="Q2092">
        <v>0</v>
      </c>
      <c r="R2092">
        <v>0</v>
      </c>
      <c r="T2092" s="29">
        <v>345000</v>
      </c>
      <c r="U2092" s="29">
        <v>6951750</v>
      </c>
      <c r="V2092" t="s">
        <v>1262</v>
      </c>
      <c r="W2092" t="s">
        <v>1262</v>
      </c>
      <c r="X2092" s="29">
        <v>6951750</v>
      </c>
      <c r="AA2092" s="30">
        <v>45769.625</v>
      </c>
      <c r="AB2092" s="30">
        <v>45772.583333333336</v>
      </c>
      <c r="AC2092" s="30">
        <v>45769.625</v>
      </c>
      <c r="AD2092" s="30">
        <v>45772.583333333336</v>
      </c>
      <c r="AE2092" s="30">
        <v>45819.583333333336</v>
      </c>
      <c r="AF2092" s="30">
        <v>45824.5</v>
      </c>
      <c r="AG2092" t="s">
        <v>1266</v>
      </c>
      <c r="AK2092" t="s">
        <v>1265</v>
      </c>
      <c r="AL2092" t="s">
        <v>2582</v>
      </c>
      <c r="AM2092" t="s">
        <v>1263</v>
      </c>
      <c r="AN2092" t="s">
        <v>1262</v>
      </c>
      <c r="AO2092">
        <v>0</v>
      </c>
      <c r="AQ2092" t="s">
        <v>1261</v>
      </c>
      <c r="AR2092" t="s">
        <v>1260</v>
      </c>
      <c r="AS2092" t="s">
        <v>1259</v>
      </c>
      <c r="AT2092" s="30">
        <v>46069.518055555556</v>
      </c>
    </row>
    <row r="2093" spans="1:46" x14ac:dyDescent="0.25">
      <c r="A2093" t="s">
        <v>1248</v>
      </c>
      <c r="B2093">
        <v>248037</v>
      </c>
      <c r="C2093">
        <v>352102</v>
      </c>
      <c r="D2093">
        <v>405</v>
      </c>
      <c r="E2093" t="s">
        <v>1266</v>
      </c>
      <c r="H2093">
        <v>1812</v>
      </c>
      <c r="K2093" t="s">
        <v>2174</v>
      </c>
      <c r="L2093" t="s">
        <v>2174</v>
      </c>
      <c r="M2093" t="s">
        <v>2427</v>
      </c>
      <c r="N2093">
        <v>0</v>
      </c>
      <c r="O2093" t="s">
        <v>2427</v>
      </c>
      <c r="P2093">
        <v>0</v>
      </c>
      <c r="Q2093">
        <v>0</v>
      </c>
      <c r="R2093">
        <v>0</v>
      </c>
      <c r="T2093" s="29">
        <v>345000</v>
      </c>
      <c r="U2093" s="29">
        <v>6951750</v>
      </c>
      <c r="V2093" t="s">
        <v>1262</v>
      </c>
      <c r="W2093" t="s">
        <v>1262</v>
      </c>
      <c r="X2093" s="29">
        <v>6951750</v>
      </c>
      <c r="AA2093" s="30">
        <v>45765.666666666664</v>
      </c>
      <c r="AB2093" s="30">
        <v>45770.625</v>
      </c>
      <c r="AC2093" s="30">
        <v>45765.666666666664</v>
      </c>
      <c r="AD2093" s="30">
        <v>45770.625</v>
      </c>
      <c r="AE2093" s="30">
        <v>45813.583333333336</v>
      </c>
      <c r="AF2093" s="30">
        <v>45818.5</v>
      </c>
      <c r="AG2093" t="s">
        <v>1266</v>
      </c>
      <c r="AK2093" t="s">
        <v>1265</v>
      </c>
      <c r="AL2093" t="s">
        <v>2581</v>
      </c>
      <c r="AM2093" t="s">
        <v>1263</v>
      </c>
      <c r="AN2093" t="s">
        <v>1262</v>
      </c>
      <c r="AO2093">
        <v>0</v>
      </c>
      <c r="AQ2093" t="s">
        <v>1261</v>
      </c>
      <c r="AR2093" t="s">
        <v>1260</v>
      </c>
      <c r="AS2093" t="s">
        <v>1259</v>
      </c>
      <c r="AT2093" s="30">
        <v>46069.518055555556</v>
      </c>
    </row>
    <row r="2094" spans="1:46" x14ac:dyDescent="0.25">
      <c r="A2094" t="s">
        <v>1248</v>
      </c>
      <c r="B2094">
        <v>248038</v>
      </c>
      <c r="C2094">
        <v>352109</v>
      </c>
      <c r="D2094">
        <v>405</v>
      </c>
      <c r="E2094" t="s">
        <v>1266</v>
      </c>
      <c r="H2094">
        <v>1812</v>
      </c>
      <c r="K2094" t="s">
        <v>2174</v>
      </c>
      <c r="L2094" t="s">
        <v>2174</v>
      </c>
      <c r="M2094" t="s">
        <v>2427</v>
      </c>
      <c r="N2094">
        <v>0</v>
      </c>
      <c r="O2094" t="s">
        <v>2427</v>
      </c>
      <c r="P2094">
        <v>0</v>
      </c>
      <c r="Q2094">
        <v>0</v>
      </c>
      <c r="R2094">
        <v>0</v>
      </c>
      <c r="T2094" s="29">
        <v>345000</v>
      </c>
      <c r="U2094" s="29">
        <v>6951750</v>
      </c>
      <c r="V2094" t="s">
        <v>1262</v>
      </c>
      <c r="W2094" t="s">
        <v>1262</v>
      </c>
      <c r="X2094" s="29">
        <v>6951750</v>
      </c>
      <c r="AA2094" s="30">
        <v>45756.333333333336</v>
      </c>
      <c r="AB2094" s="30">
        <v>45758.666666666664</v>
      </c>
      <c r="AC2094" s="30">
        <v>45756.333333333336</v>
      </c>
      <c r="AD2094" s="30">
        <v>45758.666666666664</v>
      </c>
      <c r="AE2094" s="30">
        <v>45807.583333333336</v>
      </c>
      <c r="AF2094" s="30">
        <v>45812.5</v>
      </c>
      <c r="AG2094" t="s">
        <v>1266</v>
      </c>
      <c r="AK2094" t="s">
        <v>1265</v>
      </c>
      <c r="AL2094" t="e">
        <f>+vKim+xUTEKeRWgI0kmLzg</f>
        <v>#NAME?</v>
      </c>
      <c r="AM2094" t="s">
        <v>1263</v>
      </c>
      <c r="AN2094" t="s">
        <v>1262</v>
      </c>
      <c r="AO2094">
        <v>0</v>
      </c>
      <c r="AQ2094" t="s">
        <v>1261</v>
      </c>
      <c r="AR2094" t="s">
        <v>1260</v>
      </c>
      <c r="AS2094" t="s">
        <v>1259</v>
      </c>
      <c r="AT2094" s="30">
        <v>46069.518055555556</v>
      </c>
    </row>
    <row r="2095" spans="1:46" x14ac:dyDescent="0.25">
      <c r="A2095" t="s">
        <v>1248</v>
      </c>
      <c r="B2095">
        <v>248039</v>
      </c>
      <c r="C2095">
        <v>352116</v>
      </c>
      <c r="D2095">
        <v>405</v>
      </c>
      <c r="E2095" t="s">
        <v>1266</v>
      </c>
      <c r="H2095">
        <v>1812</v>
      </c>
      <c r="K2095" t="s">
        <v>2174</v>
      </c>
      <c r="L2095" t="s">
        <v>2174</v>
      </c>
      <c r="M2095" t="s">
        <v>2427</v>
      </c>
      <c r="N2095">
        <v>0</v>
      </c>
      <c r="O2095" t="s">
        <v>2427</v>
      </c>
      <c r="P2095">
        <v>0</v>
      </c>
      <c r="Q2095">
        <v>0</v>
      </c>
      <c r="R2095">
        <v>0</v>
      </c>
      <c r="T2095" s="29">
        <v>345000</v>
      </c>
      <c r="U2095" s="29">
        <v>6951750</v>
      </c>
      <c r="V2095" t="s">
        <v>1262</v>
      </c>
      <c r="W2095" t="s">
        <v>1262</v>
      </c>
      <c r="X2095" s="29">
        <v>6951750</v>
      </c>
      <c r="AA2095" s="30">
        <v>45754.375</v>
      </c>
      <c r="AB2095" s="30">
        <v>45756.708333333336</v>
      </c>
      <c r="AC2095" s="30">
        <v>45754.375</v>
      </c>
      <c r="AD2095" s="30">
        <v>45756.708333333336</v>
      </c>
      <c r="AE2095" s="30">
        <v>45803.583333333336</v>
      </c>
      <c r="AF2095" s="30">
        <v>45806.5</v>
      </c>
      <c r="AG2095" t="s">
        <v>1266</v>
      </c>
      <c r="AK2095" t="s">
        <v>1265</v>
      </c>
      <c r="AL2095" t="s">
        <v>2580</v>
      </c>
      <c r="AM2095" t="s">
        <v>1263</v>
      </c>
      <c r="AN2095" t="s">
        <v>1262</v>
      </c>
      <c r="AO2095">
        <v>0</v>
      </c>
      <c r="AQ2095" t="s">
        <v>1261</v>
      </c>
      <c r="AR2095" t="s">
        <v>1260</v>
      </c>
      <c r="AS2095" t="s">
        <v>1259</v>
      </c>
      <c r="AT2095" s="30">
        <v>46069.518055555556</v>
      </c>
    </row>
    <row r="2096" spans="1:46" x14ac:dyDescent="0.25">
      <c r="A2096" t="s">
        <v>1248</v>
      </c>
      <c r="B2096">
        <v>248040</v>
      </c>
      <c r="C2096">
        <v>352123</v>
      </c>
      <c r="D2096">
        <v>405</v>
      </c>
      <c r="E2096" t="s">
        <v>1266</v>
      </c>
      <c r="H2096">
        <v>1812</v>
      </c>
      <c r="K2096" t="s">
        <v>2174</v>
      </c>
      <c r="L2096" t="s">
        <v>2174</v>
      </c>
      <c r="M2096" t="s">
        <v>2427</v>
      </c>
      <c r="N2096">
        <v>0</v>
      </c>
      <c r="O2096" t="s">
        <v>2427</v>
      </c>
      <c r="P2096">
        <v>0</v>
      </c>
      <c r="Q2096">
        <v>0</v>
      </c>
      <c r="R2096">
        <v>0</v>
      </c>
      <c r="T2096" s="29">
        <v>345000</v>
      </c>
      <c r="U2096" s="29">
        <v>6951750</v>
      </c>
      <c r="V2096" t="s">
        <v>1262</v>
      </c>
      <c r="W2096" t="s">
        <v>1262</v>
      </c>
      <c r="X2096" s="29">
        <v>6951750</v>
      </c>
      <c r="AA2096" s="30">
        <v>45750.416666666664</v>
      </c>
      <c r="AB2096" s="30">
        <v>45755.375</v>
      </c>
      <c r="AC2096" s="30">
        <v>45750.416666666664</v>
      </c>
      <c r="AD2096" s="30">
        <v>45755.375</v>
      </c>
      <c r="AE2096" s="30">
        <v>45797.583333333336</v>
      </c>
      <c r="AF2096" s="30">
        <v>45800.5</v>
      </c>
      <c r="AG2096" t="s">
        <v>1266</v>
      </c>
      <c r="AK2096" t="s">
        <v>1265</v>
      </c>
      <c r="AL2096" t="s">
        <v>2579</v>
      </c>
      <c r="AM2096" t="s">
        <v>1263</v>
      </c>
      <c r="AN2096" t="s">
        <v>1262</v>
      </c>
      <c r="AO2096">
        <v>0</v>
      </c>
      <c r="AQ2096" t="s">
        <v>1261</v>
      </c>
      <c r="AR2096" t="s">
        <v>1260</v>
      </c>
      <c r="AS2096" t="s">
        <v>1259</v>
      </c>
      <c r="AT2096" s="30">
        <v>46069.518055555556</v>
      </c>
    </row>
    <row r="2097" spans="1:46" x14ac:dyDescent="0.25">
      <c r="A2097" t="s">
        <v>1248</v>
      </c>
      <c r="B2097">
        <v>248041</v>
      </c>
      <c r="C2097">
        <v>352130</v>
      </c>
      <c r="D2097">
        <v>405</v>
      </c>
      <c r="E2097" t="s">
        <v>1266</v>
      </c>
      <c r="H2097">
        <v>1812</v>
      </c>
      <c r="K2097" t="s">
        <v>2174</v>
      </c>
      <c r="L2097" t="s">
        <v>2174</v>
      </c>
      <c r="M2097" t="s">
        <v>2427</v>
      </c>
      <c r="N2097">
        <v>0</v>
      </c>
      <c r="O2097" t="s">
        <v>2427</v>
      </c>
      <c r="P2097">
        <v>0</v>
      </c>
      <c r="Q2097">
        <v>0</v>
      </c>
      <c r="R2097">
        <v>0</v>
      </c>
      <c r="T2097" s="29">
        <v>345000</v>
      </c>
      <c r="U2097" s="29">
        <v>6951750</v>
      </c>
      <c r="V2097" t="s">
        <v>1262</v>
      </c>
      <c r="W2097" t="s">
        <v>1262</v>
      </c>
      <c r="X2097" s="29">
        <v>6951750</v>
      </c>
      <c r="AA2097" s="30">
        <v>45748.458333333336</v>
      </c>
      <c r="AB2097" s="30">
        <v>45751.416666666664</v>
      </c>
      <c r="AC2097" s="30">
        <v>45748.458333333336</v>
      </c>
      <c r="AD2097" s="30">
        <v>45751.416666666664</v>
      </c>
      <c r="AE2097" s="30">
        <v>45791.583333333336</v>
      </c>
      <c r="AF2097" s="30">
        <v>45796.5</v>
      </c>
      <c r="AG2097" t="s">
        <v>1266</v>
      </c>
      <c r="AK2097" t="s">
        <v>1265</v>
      </c>
      <c r="AL2097" t="s">
        <v>2578</v>
      </c>
      <c r="AM2097" t="s">
        <v>1263</v>
      </c>
      <c r="AN2097" t="s">
        <v>1262</v>
      </c>
      <c r="AO2097">
        <v>0</v>
      </c>
      <c r="AQ2097" t="s">
        <v>1261</v>
      </c>
      <c r="AR2097" t="s">
        <v>1260</v>
      </c>
      <c r="AS2097" t="s">
        <v>1259</v>
      </c>
      <c r="AT2097" s="30">
        <v>46069.518055555556</v>
      </c>
    </row>
    <row r="2098" spans="1:46" x14ac:dyDescent="0.25">
      <c r="A2098" t="s">
        <v>1248</v>
      </c>
      <c r="B2098">
        <v>248042</v>
      </c>
      <c r="C2098">
        <v>352137</v>
      </c>
      <c r="D2098">
        <v>405</v>
      </c>
      <c r="E2098" t="s">
        <v>1266</v>
      </c>
      <c r="H2098">
        <v>1812</v>
      </c>
      <c r="K2098" t="s">
        <v>2174</v>
      </c>
      <c r="L2098" t="s">
        <v>2174</v>
      </c>
      <c r="M2098" t="s">
        <v>2427</v>
      </c>
      <c r="N2098">
        <v>0</v>
      </c>
      <c r="O2098" t="s">
        <v>2427</v>
      </c>
      <c r="P2098">
        <v>0</v>
      </c>
      <c r="Q2098">
        <v>0</v>
      </c>
      <c r="R2098">
        <v>0</v>
      </c>
      <c r="T2098" s="29">
        <v>345000</v>
      </c>
      <c r="U2098" s="29">
        <v>6951750</v>
      </c>
      <c r="V2098" t="s">
        <v>1262</v>
      </c>
      <c r="W2098" t="s">
        <v>1262</v>
      </c>
      <c r="X2098" s="29">
        <v>6951750</v>
      </c>
      <c r="AA2098" s="30">
        <v>45744.541666666664</v>
      </c>
      <c r="AB2098" s="30">
        <v>45749.458333333336</v>
      </c>
      <c r="AC2098" s="30">
        <v>45744.541666666664</v>
      </c>
      <c r="AD2098" s="30">
        <v>45749.458333333336</v>
      </c>
      <c r="AE2098" s="30">
        <v>45785.583333333336</v>
      </c>
      <c r="AF2098" s="30">
        <v>45790.5</v>
      </c>
      <c r="AG2098" t="s">
        <v>1266</v>
      </c>
      <c r="AK2098" t="s">
        <v>1265</v>
      </c>
      <c r="AL2098" t="s">
        <v>2577</v>
      </c>
      <c r="AM2098" t="s">
        <v>1263</v>
      </c>
      <c r="AN2098" t="s">
        <v>1262</v>
      </c>
      <c r="AO2098">
        <v>0</v>
      </c>
      <c r="AQ2098" t="s">
        <v>1261</v>
      </c>
      <c r="AR2098" t="s">
        <v>1260</v>
      </c>
      <c r="AS2098" t="s">
        <v>1259</v>
      </c>
      <c r="AT2098" s="30">
        <v>46069.518055555556</v>
      </c>
    </row>
    <row r="2099" spans="1:46" x14ac:dyDescent="0.25">
      <c r="A2099" t="s">
        <v>1248</v>
      </c>
      <c r="B2099">
        <v>248043</v>
      </c>
      <c r="C2099">
        <v>352144</v>
      </c>
      <c r="D2099">
        <v>405</v>
      </c>
      <c r="E2099" t="s">
        <v>1266</v>
      </c>
      <c r="H2099">
        <v>1812</v>
      </c>
      <c r="K2099" t="s">
        <v>2174</v>
      </c>
      <c r="L2099" t="s">
        <v>2174</v>
      </c>
      <c r="M2099" t="s">
        <v>2427</v>
      </c>
      <c r="N2099">
        <v>0</v>
      </c>
      <c r="O2099" t="s">
        <v>2427</v>
      </c>
      <c r="P2099">
        <v>0</v>
      </c>
      <c r="Q2099">
        <v>0</v>
      </c>
      <c r="R2099">
        <v>0</v>
      </c>
      <c r="T2099" s="29">
        <v>345000</v>
      </c>
      <c r="U2099" s="29">
        <v>6951750</v>
      </c>
      <c r="V2099" t="s">
        <v>1262</v>
      </c>
      <c r="W2099" t="s">
        <v>1262</v>
      </c>
      <c r="X2099" s="29">
        <v>6951750</v>
      </c>
      <c r="AA2099" s="30">
        <v>45742.583333333336</v>
      </c>
      <c r="AB2099" s="30">
        <v>45747.5</v>
      </c>
      <c r="AC2099" s="30">
        <v>45742.583333333336</v>
      </c>
      <c r="AD2099" s="30">
        <v>45747.5</v>
      </c>
      <c r="AE2099" s="30">
        <v>45779.583333333336</v>
      </c>
      <c r="AF2099" s="30">
        <v>45784.5</v>
      </c>
      <c r="AG2099" t="s">
        <v>1266</v>
      </c>
      <c r="AK2099" t="s">
        <v>1265</v>
      </c>
      <c r="AL2099" t="s">
        <v>2576</v>
      </c>
      <c r="AM2099" t="s">
        <v>1263</v>
      </c>
      <c r="AN2099" t="s">
        <v>1262</v>
      </c>
      <c r="AO2099">
        <v>0</v>
      </c>
      <c r="AQ2099" t="s">
        <v>1261</v>
      </c>
      <c r="AR2099" t="s">
        <v>1260</v>
      </c>
      <c r="AS2099" t="s">
        <v>1259</v>
      </c>
      <c r="AT2099" s="30">
        <v>46069.518055555556</v>
      </c>
    </row>
    <row r="2100" spans="1:46" x14ac:dyDescent="0.25">
      <c r="A2100" t="s">
        <v>1248</v>
      </c>
      <c r="B2100">
        <v>248044</v>
      </c>
      <c r="C2100">
        <v>352151</v>
      </c>
      <c r="D2100">
        <v>405</v>
      </c>
      <c r="E2100" t="s">
        <v>1266</v>
      </c>
      <c r="H2100">
        <v>1812</v>
      </c>
      <c r="K2100" t="s">
        <v>2174</v>
      </c>
      <c r="L2100" t="s">
        <v>2174</v>
      </c>
      <c r="M2100" t="s">
        <v>2427</v>
      </c>
      <c r="N2100">
        <v>0</v>
      </c>
      <c r="O2100" t="s">
        <v>2427</v>
      </c>
      <c r="P2100">
        <v>0</v>
      </c>
      <c r="Q2100">
        <v>0</v>
      </c>
      <c r="R2100">
        <v>0</v>
      </c>
      <c r="T2100" s="29">
        <v>345000</v>
      </c>
      <c r="U2100" s="29">
        <v>6951750</v>
      </c>
      <c r="V2100" t="s">
        <v>1262</v>
      </c>
      <c r="W2100" t="s">
        <v>1262</v>
      </c>
      <c r="X2100" s="29">
        <v>6951750</v>
      </c>
      <c r="AA2100" s="30">
        <v>45740.625</v>
      </c>
      <c r="AB2100" s="30">
        <v>45743.583333333336</v>
      </c>
      <c r="AC2100" s="30">
        <v>45740.625</v>
      </c>
      <c r="AD2100" s="30">
        <v>45743.583333333336</v>
      </c>
      <c r="AE2100" s="30">
        <v>45775.583333333336</v>
      </c>
      <c r="AF2100" s="30">
        <v>45778.5</v>
      </c>
      <c r="AG2100" t="s">
        <v>1266</v>
      </c>
      <c r="AK2100" t="s">
        <v>1265</v>
      </c>
      <c r="AL2100" t="s">
        <v>2575</v>
      </c>
      <c r="AM2100" t="s">
        <v>1263</v>
      </c>
      <c r="AN2100" t="s">
        <v>1262</v>
      </c>
      <c r="AO2100">
        <v>0</v>
      </c>
      <c r="AQ2100" t="s">
        <v>1261</v>
      </c>
      <c r="AR2100" t="s">
        <v>1260</v>
      </c>
      <c r="AS2100" t="s">
        <v>1259</v>
      </c>
      <c r="AT2100" s="30">
        <v>46069.518055555556</v>
      </c>
    </row>
    <row r="2101" spans="1:46" x14ac:dyDescent="0.25">
      <c r="A2101" t="s">
        <v>1248</v>
      </c>
      <c r="B2101">
        <v>248045</v>
      </c>
      <c r="C2101">
        <v>352158</v>
      </c>
      <c r="D2101">
        <v>405</v>
      </c>
      <c r="E2101" t="s">
        <v>1266</v>
      </c>
      <c r="H2101">
        <v>1812</v>
      </c>
      <c r="K2101" t="s">
        <v>2174</v>
      </c>
      <c r="L2101" t="s">
        <v>2174</v>
      </c>
      <c r="M2101" t="s">
        <v>2427</v>
      </c>
      <c r="N2101">
        <v>0</v>
      </c>
      <c r="O2101" t="s">
        <v>2427</v>
      </c>
      <c r="P2101">
        <v>0</v>
      </c>
      <c r="Q2101">
        <v>0</v>
      </c>
      <c r="R2101">
        <v>0</v>
      </c>
      <c r="T2101" s="29">
        <v>345000</v>
      </c>
      <c r="U2101" s="29">
        <v>6951750</v>
      </c>
      <c r="V2101" t="s">
        <v>1262</v>
      </c>
      <c r="W2101" t="s">
        <v>1262</v>
      </c>
      <c r="X2101" s="29">
        <v>6951750</v>
      </c>
      <c r="AA2101" s="30">
        <v>45736.666666666664</v>
      </c>
      <c r="AB2101" s="30">
        <v>45741.625</v>
      </c>
      <c r="AC2101" s="30">
        <v>45736.666666666664</v>
      </c>
      <c r="AD2101" s="30">
        <v>45741.625</v>
      </c>
      <c r="AE2101" s="30">
        <v>45769.583333333336</v>
      </c>
      <c r="AF2101" s="30">
        <v>45772.5</v>
      </c>
      <c r="AG2101" t="s">
        <v>1266</v>
      </c>
      <c r="AK2101" t="s">
        <v>1265</v>
      </c>
      <c r="AL2101" t="s">
        <v>2574</v>
      </c>
      <c r="AM2101" t="s">
        <v>1263</v>
      </c>
      <c r="AN2101" t="s">
        <v>1262</v>
      </c>
      <c r="AO2101">
        <v>0</v>
      </c>
      <c r="AQ2101" t="s">
        <v>1261</v>
      </c>
      <c r="AR2101" t="s">
        <v>1260</v>
      </c>
      <c r="AS2101" t="s">
        <v>1259</v>
      </c>
      <c r="AT2101" s="30">
        <v>46069.518055555556</v>
      </c>
    </row>
    <row r="2102" spans="1:46" x14ac:dyDescent="0.25">
      <c r="A2102" t="s">
        <v>1248</v>
      </c>
      <c r="B2102">
        <v>248046</v>
      </c>
      <c r="C2102">
        <v>352165</v>
      </c>
      <c r="D2102">
        <v>405</v>
      </c>
      <c r="E2102" t="s">
        <v>1266</v>
      </c>
      <c r="H2102">
        <v>1812</v>
      </c>
      <c r="K2102" t="s">
        <v>2174</v>
      </c>
      <c r="L2102" t="s">
        <v>2174</v>
      </c>
      <c r="M2102" t="s">
        <v>2427</v>
      </c>
      <c r="N2102">
        <v>0</v>
      </c>
      <c r="O2102" t="s">
        <v>2427</v>
      </c>
      <c r="P2102">
        <v>0</v>
      </c>
      <c r="Q2102">
        <v>0</v>
      </c>
      <c r="R2102">
        <v>0</v>
      </c>
      <c r="T2102" s="29">
        <v>345000</v>
      </c>
      <c r="U2102" s="29">
        <v>6951750</v>
      </c>
      <c r="V2102" t="s">
        <v>1262</v>
      </c>
      <c r="W2102" t="s">
        <v>1262</v>
      </c>
      <c r="X2102" s="29">
        <v>6951750</v>
      </c>
      <c r="AA2102" s="30">
        <v>45723.625</v>
      </c>
      <c r="AB2102" s="30">
        <v>45728.583333333336</v>
      </c>
      <c r="AC2102" s="30">
        <v>45723.625</v>
      </c>
      <c r="AD2102" s="30">
        <v>45728.583333333336</v>
      </c>
      <c r="AE2102" s="30">
        <v>45763.583333333336</v>
      </c>
      <c r="AF2102" s="30">
        <v>45768.5</v>
      </c>
      <c r="AG2102" t="s">
        <v>1266</v>
      </c>
      <c r="AK2102" t="s">
        <v>1265</v>
      </c>
      <c r="AL2102" t="s">
        <v>2573</v>
      </c>
      <c r="AM2102" t="s">
        <v>1263</v>
      </c>
      <c r="AN2102" t="s">
        <v>1262</v>
      </c>
      <c r="AO2102">
        <v>0</v>
      </c>
      <c r="AQ2102" t="s">
        <v>1261</v>
      </c>
      <c r="AR2102" t="s">
        <v>1260</v>
      </c>
      <c r="AS2102" t="s">
        <v>1259</v>
      </c>
      <c r="AT2102" s="30">
        <v>46069.518055555556</v>
      </c>
    </row>
    <row r="2103" spans="1:46" x14ac:dyDescent="0.25">
      <c r="A2103" t="s">
        <v>1248</v>
      </c>
      <c r="B2103">
        <v>248047</v>
      </c>
      <c r="C2103">
        <v>352172</v>
      </c>
      <c r="D2103">
        <v>405</v>
      </c>
      <c r="E2103" t="s">
        <v>1266</v>
      </c>
      <c r="H2103">
        <v>1812</v>
      </c>
      <c r="K2103" t="s">
        <v>2174</v>
      </c>
      <c r="L2103" t="s">
        <v>2174</v>
      </c>
      <c r="M2103" t="s">
        <v>2427</v>
      </c>
      <c r="N2103">
        <v>0</v>
      </c>
      <c r="O2103" t="s">
        <v>2427</v>
      </c>
      <c r="P2103">
        <v>0</v>
      </c>
      <c r="Q2103">
        <v>0</v>
      </c>
      <c r="R2103">
        <v>0</v>
      </c>
      <c r="T2103" s="29">
        <v>345000</v>
      </c>
      <c r="U2103" s="29">
        <v>6951750</v>
      </c>
      <c r="V2103" t="s">
        <v>1262</v>
      </c>
      <c r="W2103" t="s">
        <v>1262</v>
      </c>
      <c r="X2103" s="29">
        <v>6951750</v>
      </c>
      <c r="AA2103" s="30">
        <v>45720.666666666664</v>
      </c>
      <c r="AB2103" s="30">
        <v>45723.625</v>
      </c>
      <c r="AC2103" s="30">
        <v>45720.666666666664</v>
      </c>
      <c r="AD2103" s="30">
        <v>45723.625</v>
      </c>
      <c r="AE2103" s="30">
        <v>45757.583333333336</v>
      </c>
      <c r="AF2103" s="30">
        <v>45762.5</v>
      </c>
      <c r="AG2103" t="s">
        <v>1266</v>
      </c>
      <c r="AK2103" t="s">
        <v>1265</v>
      </c>
      <c r="AL2103" t="s">
        <v>2572</v>
      </c>
      <c r="AM2103" t="s">
        <v>1263</v>
      </c>
      <c r="AN2103" t="s">
        <v>1262</v>
      </c>
      <c r="AO2103">
        <v>0</v>
      </c>
      <c r="AQ2103" t="s">
        <v>1261</v>
      </c>
      <c r="AR2103" t="s">
        <v>1260</v>
      </c>
      <c r="AS2103" t="s">
        <v>1259</v>
      </c>
      <c r="AT2103" s="30">
        <v>46069.518055555556</v>
      </c>
    </row>
    <row r="2104" spans="1:46" x14ac:dyDescent="0.25">
      <c r="A2104" t="s">
        <v>1248</v>
      </c>
      <c r="B2104">
        <v>248048</v>
      </c>
      <c r="C2104">
        <v>352179</v>
      </c>
      <c r="D2104">
        <v>405</v>
      </c>
      <c r="E2104" t="s">
        <v>1266</v>
      </c>
      <c r="H2104">
        <v>1812</v>
      </c>
      <c r="K2104" t="s">
        <v>2174</v>
      </c>
      <c r="L2104" t="s">
        <v>2174</v>
      </c>
      <c r="M2104" t="s">
        <v>2427</v>
      </c>
      <c r="N2104">
        <v>0</v>
      </c>
      <c r="O2104" t="s">
        <v>2427</v>
      </c>
      <c r="P2104">
        <v>0</v>
      </c>
      <c r="Q2104">
        <v>0</v>
      </c>
      <c r="R2104">
        <v>0</v>
      </c>
      <c r="T2104" s="29">
        <v>345000</v>
      </c>
      <c r="U2104" s="29">
        <v>6951750</v>
      </c>
      <c r="V2104" t="s">
        <v>1262</v>
      </c>
      <c r="W2104" t="s">
        <v>1262</v>
      </c>
      <c r="X2104" s="29">
        <v>6951750</v>
      </c>
      <c r="AA2104" s="30">
        <v>45726.333333333336</v>
      </c>
      <c r="AB2104" s="30">
        <v>45728.666666666664</v>
      </c>
      <c r="AC2104" s="30">
        <v>45726.333333333336</v>
      </c>
      <c r="AD2104" s="30">
        <v>45728.666666666664</v>
      </c>
      <c r="AE2104" s="30">
        <v>45751.583333333336</v>
      </c>
      <c r="AF2104" s="30">
        <v>45756.5</v>
      </c>
      <c r="AG2104" t="s">
        <v>1266</v>
      </c>
      <c r="AK2104" t="s">
        <v>1265</v>
      </c>
      <c r="AL2104" t="s">
        <v>2571</v>
      </c>
      <c r="AM2104" t="s">
        <v>1263</v>
      </c>
      <c r="AN2104" t="s">
        <v>1262</v>
      </c>
      <c r="AO2104">
        <v>0</v>
      </c>
      <c r="AQ2104" t="s">
        <v>1261</v>
      </c>
      <c r="AR2104" t="s">
        <v>1260</v>
      </c>
      <c r="AS2104" t="s">
        <v>1259</v>
      </c>
      <c r="AT2104" s="30">
        <v>46069.518055555556</v>
      </c>
    </row>
    <row r="2105" spans="1:46" x14ac:dyDescent="0.25">
      <c r="A2105" t="s">
        <v>1248</v>
      </c>
      <c r="B2105">
        <v>248049</v>
      </c>
      <c r="C2105">
        <v>352186</v>
      </c>
      <c r="D2105">
        <v>405</v>
      </c>
      <c r="E2105" t="s">
        <v>1266</v>
      </c>
      <c r="H2105">
        <v>1812</v>
      </c>
      <c r="K2105" s="29">
        <v>21026086</v>
      </c>
      <c r="L2105" s="29">
        <v>21026086</v>
      </c>
      <c r="M2105" t="s">
        <v>2427</v>
      </c>
      <c r="N2105">
        <v>0</v>
      </c>
      <c r="O2105" t="s">
        <v>2427</v>
      </c>
      <c r="P2105">
        <v>0</v>
      </c>
      <c r="Q2105">
        <v>0</v>
      </c>
      <c r="R2105">
        <v>0</v>
      </c>
      <c r="T2105" s="29">
        <v>345000</v>
      </c>
      <c r="U2105" s="29">
        <v>7254000</v>
      </c>
      <c r="V2105" t="s">
        <v>1262</v>
      </c>
      <c r="W2105" t="s">
        <v>1262</v>
      </c>
      <c r="X2105" s="29">
        <v>7254000</v>
      </c>
      <c r="AA2105" s="30">
        <v>45721.333333333336</v>
      </c>
      <c r="AB2105" s="30">
        <v>45723.708333333336</v>
      </c>
      <c r="AC2105" s="30">
        <v>45721.333333333336</v>
      </c>
      <c r="AD2105" s="30">
        <v>45723.708333333336</v>
      </c>
      <c r="AE2105" s="30">
        <v>45747.333333333336</v>
      </c>
      <c r="AF2105" s="30">
        <v>45749.708333333336</v>
      </c>
      <c r="AG2105" t="s">
        <v>1266</v>
      </c>
      <c r="AK2105" t="s">
        <v>1265</v>
      </c>
      <c r="AL2105" t="e">
        <f>+s6P7pR/qkGi3iSM8tP92A</f>
        <v>#NAME?</v>
      </c>
      <c r="AM2105" t="s">
        <v>1263</v>
      </c>
      <c r="AN2105" t="s">
        <v>1262</v>
      </c>
      <c r="AO2105">
        <v>0</v>
      </c>
      <c r="AQ2105" t="s">
        <v>1261</v>
      </c>
      <c r="AR2105" t="s">
        <v>1260</v>
      </c>
      <c r="AS2105" t="s">
        <v>1259</v>
      </c>
      <c r="AT2105" s="30">
        <v>46069.518055555556</v>
      </c>
    </row>
    <row r="2106" spans="1:46" x14ac:dyDescent="0.25">
      <c r="A2106" t="s">
        <v>1248</v>
      </c>
      <c r="B2106">
        <v>248050</v>
      </c>
      <c r="C2106">
        <v>352047</v>
      </c>
      <c r="D2106">
        <v>405</v>
      </c>
      <c r="E2106" t="s">
        <v>1266</v>
      </c>
      <c r="H2106">
        <v>1852</v>
      </c>
      <c r="K2106" s="29">
        <v>23028571</v>
      </c>
      <c r="L2106" s="29">
        <v>23028571</v>
      </c>
      <c r="M2106" s="29">
        <v>287857142</v>
      </c>
      <c r="N2106">
        <v>0</v>
      </c>
      <c r="O2106" s="29">
        <v>287857142</v>
      </c>
      <c r="P2106">
        <v>0</v>
      </c>
      <c r="Q2106">
        <v>0</v>
      </c>
      <c r="R2106">
        <v>0</v>
      </c>
      <c r="T2106" s="29">
        <v>21600</v>
      </c>
      <c r="U2106" s="29">
        <v>497417</v>
      </c>
      <c r="V2106" t="s">
        <v>1262</v>
      </c>
      <c r="W2106" t="s">
        <v>1262</v>
      </c>
      <c r="X2106" s="29">
        <v>497417</v>
      </c>
      <c r="AA2106" s="30">
        <v>45800.625</v>
      </c>
      <c r="AB2106" s="30">
        <v>45803.625</v>
      </c>
      <c r="AC2106" s="30">
        <v>45800.625</v>
      </c>
      <c r="AD2106" s="30">
        <v>45803.625</v>
      </c>
      <c r="AE2106" s="30">
        <v>45868.333333333336</v>
      </c>
      <c r="AF2106" s="30">
        <v>45868.708333333336</v>
      </c>
      <c r="AG2106" t="s">
        <v>1266</v>
      </c>
      <c r="AK2106" t="s">
        <v>1265</v>
      </c>
      <c r="AL2106" t="s">
        <v>2570</v>
      </c>
      <c r="AM2106" t="s">
        <v>1263</v>
      </c>
      <c r="AN2106" t="s">
        <v>1262</v>
      </c>
      <c r="AO2106">
        <v>0</v>
      </c>
      <c r="AQ2106" t="s">
        <v>1261</v>
      </c>
      <c r="AR2106" t="s">
        <v>1260</v>
      </c>
      <c r="AS2106" t="s">
        <v>1259</v>
      </c>
      <c r="AT2106" s="30">
        <v>46069.518055555556</v>
      </c>
    </row>
    <row r="2107" spans="1:46" x14ac:dyDescent="0.25">
      <c r="A2107" t="s">
        <v>1248</v>
      </c>
      <c r="B2107">
        <v>248051</v>
      </c>
      <c r="C2107">
        <v>352054</v>
      </c>
      <c r="D2107">
        <v>405</v>
      </c>
      <c r="E2107" t="s">
        <v>1266</v>
      </c>
      <c r="H2107">
        <v>1852</v>
      </c>
      <c r="K2107" t="s">
        <v>2174</v>
      </c>
      <c r="L2107" t="s">
        <v>2174</v>
      </c>
      <c r="M2107" s="29">
        <v>287857142</v>
      </c>
      <c r="N2107">
        <v>0</v>
      </c>
      <c r="O2107" s="29">
        <v>287857142</v>
      </c>
      <c r="P2107">
        <v>0</v>
      </c>
      <c r="Q2107">
        <v>0</v>
      </c>
      <c r="R2107">
        <v>0</v>
      </c>
      <c r="T2107" s="29">
        <v>21600</v>
      </c>
      <c r="U2107" s="29">
        <v>435240</v>
      </c>
      <c r="V2107" t="s">
        <v>1262</v>
      </c>
      <c r="W2107" t="s">
        <v>1262</v>
      </c>
      <c r="X2107" s="29">
        <v>435240</v>
      </c>
      <c r="AA2107" s="30">
        <v>45798.583333333336</v>
      </c>
      <c r="AB2107" s="30">
        <v>45799.5</v>
      </c>
      <c r="AC2107" s="30">
        <v>45798.583333333336</v>
      </c>
      <c r="AD2107" s="30">
        <v>45799.5</v>
      </c>
      <c r="AE2107" s="30">
        <v>45862.583333333336</v>
      </c>
      <c r="AF2107" s="30">
        <v>45863.5</v>
      </c>
      <c r="AG2107" t="s">
        <v>1266</v>
      </c>
      <c r="AK2107" t="s">
        <v>1265</v>
      </c>
      <c r="AL2107" t="s">
        <v>2569</v>
      </c>
      <c r="AM2107" t="s">
        <v>1263</v>
      </c>
      <c r="AN2107" t="s">
        <v>1262</v>
      </c>
      <c r="AO2107">
        <v>0</v>
      </c>
      <c r="AQ2107" t="s">
        <v>1261</v>
      </c>
      <c r="AR2107" t="s">
        <v>1260</v>
      </c>
      <c r="AS2107" t="s">
        <v>1259</v>
      </c>
      <c r="AT2107" s="30">
        <v>46069.518055555556</v>
      </c>
    </row>
    <row r="2108" spans="1:46" x14ac:dyDescent="0.25">
      <c r="A2108" t="s">
        <v>1248</v>
      </c>
      <c r="B2108">
        <v>248052</v>
      </c>
      <c r="C2108">
        <v>352061</v>
      </c>
      <c r="D2108">
        <v>405</v>
      </c>
      <c r="E2108" t="s">
        <v>1266</v>
      </c>
      <c r="H2108">
        <v>1852</v>
      </c>
      <c r="K2108" t="s">
        <v>2174</v>
      </c>
      <c r="L2108" t="s">
        <v>2174</v>
      </c>
      <c r="M2108" s="29">
        <v>287857142</v>
      </c>
      <c r="N2108">
        <v>0</v>
      </c>
      <c r="O2108" s="29">
        <v>287857142</v>
      </c>
      <c r="P2108">
        <v>0</v>
      </c>
      <c r="Q2108">
        <v>0</v>
      </c>
      <c r="R2108">
        <v>0</v>
      </c>
      <c r="T2108" s="29">
        <v>21600</v>
      </c>
      <c r="U2108" s="29">
        <v>435240</v>
      </c>
      <c r="V2108" t="s">
        <v>1262</v>
      </c>
      <c r="W2108" t="s">
        <v>1262</v>
      </c>
      <c r="X2108" s="29">
        <v>435240</v>
      </c>
      <c r="AA2108" s="30">
        <v>45796.625</v>
      </c>
      <c r="AB2108" s="30">
        <v>45797.583333333336</v>
      </c>
      <c r="AC2108" s="30">
        <v>45796.625</v>
      </c>
      <c r="AD2108" s="30">
        <v>45797.583333333336</v>
      </c>
      <c r="AE2108" s="30">
        <v>45856.583333333336</v>
      </c>
      <c r="AF2108" s="30">
        <v>45859.5</v>
      </c>
      <c r="AG2108" t="s">
        <v>1266</v>
      </c>
      <c r="AK2108" t="s">
        <v>1265</v>
      </c>
      <c r="AL2108" t="s">
        <v>2568</v>
      </c>
      <c r="AM2108" t="s">
        <v>1263</v>
      </c>
      <c r="AN2108" t="s">
        <v>1262</v>
      </c>
      <c r="AO2108">
        <v>0</v>
      </c>
      <c r="AQ2108" t="s">
        <v>1261</v>
      </c>
      <c r="AR2108" t="s">
        <v>1260</v>
      </c>
      <c r="AS2108" t="s">
        <v>1259</v>
      </c>
      <c r="AT2108" s="30">
        <v>46069.518055555556</v>
      </c>
    </row>
    <row r="2109" spans="1:46" x14ac:dyDescent="0.25">
      <c r="A2109" t="s">
        <v>1248</v>
      </c>
      <c r="B2109">
        <v>248053</v>
      </c>
      <c r="C2109">
        <v>352068</v>
      </c>
      <c r="D2109">
        <v>405</v>
      </c>
      <c r="E2109" t="s">
        <v>1266</v>
      </c>
      <c r="H2109">
        <v>1852</v>
      </c>
      <c r="K2109" s="29">
        <v>23028571</v>
      </c>
      <c r="L2109" s="29">
        <v>23028571</v>
      </c>
      <c r="M2109" s="29">
        <v>287857142</v>
      </c>
      <c r="N2109">
        <v>0</v>
      </c>
      <c r="O2109" s="29">
        <v>287857142</v>
      </c>
      <c r="P2109">
        <v>0</v>
      </c>
      <c r="Q2109">
        <v>0</v>
      </c>
      <c r="R2109">
        <v>0</v>
      </c>
      <c r="T2109" s="29">
        <v>21600</v>
      </c>
      <c r="U2109" s="29">
        <v>497417</v>
      </c>
      <c r="V2109" t="s">
        <v>1262</v>
      </c>
      <c r="W2109" t="s">
        <v>1262</v>
      </c>
      <c r="X2109" s="29">
        <v>497417</v>
      </c>
      <c r="AA2109" s="30">
        <v>45784.458333333336</v>
      </c>
      <c r="AB2109" s="30">
        <v>45785.458333333336</v>
      </c>
      <c r="AC2109" s="30">
        <v>45784.458333333336</v>
      </c>
      <c r="AD2109" s="30">
        <v>45785.458333333336</v>
      </c>
      <c r="AE2109" s="30">
        <v>45853.333333333336</v>
      </c>
      <c r="AF2109" s="30">
        <v>45853.708333333336</v>
      </c>
      <c r="AG2109" t="s">
        <v>1266</v>
      </c>
      <c r="AK2109" t="s">
        <v>1265</v>
      </c>
      <c r="AL2109" t="s">
        <v>2567</v>
      </c>
      <c r="AM2109" t="s">
        <v>1263</v>
      </c>
      <c r="AN2109" t="s">
        <v>1262</v>
      </c>
      <c r="AO2109">
        <v>0</v>
      </c>
      <c r="AQ2109" t="s">
        <v>1261</v>
      </c>
      <c r="AR2109" t="s">
        <v>1260</v>
      </c>
      <c r="AS2109" t="s">
        <v>1259</v>
      </c>
      <c r="AT2109" s="30">
        <v>46069.518055555556</v>
      </c>
    </row>
    <row r="2110" spans="1:46" x14ac:dyDescent="0.25">
      <c r="A2110" t="s">
        <v>1248</v>
      </c>
      <c r="B2110">
        <v>248054</v>
      </c>
      <c r="C2110">
        <v>352075</v>
      </c>
      <c r="D2110">
        <v>405</v>
      </c>
      <c r="E2110" t="s">
        <v>1266</v>
      </c>
      <c r="H2110">
        <v>1852</v>
      </c>
      <c r="K2110" t="s">
        <v>2174</v>
      </c>
      <c r="L2110" t="s">
        <v>2174</v>
      </c>
      <c r="M2110" s="29">
        <v>287857142</v>
      </c>
      <c r="N2110">
        <v>0</v>
      </c>
      <c r="O2110" s="29">
        <v>287857142</v>
      </c>
      <c r="P2110">
        <v>0</v>
      </c>
      <c r="Q2110">
        <v>0</v>
      </c>
      <c r="R2110">
        <v>0</v>
      </c>
      <c r="T2110" s="29">
        <v>21600</v>
      </c>
      <c r="U2110" s="29">
        <v>435240</v>
      </c>
      <c r="V2110" t="s">
        <v>1262</v>
      </c>
      <c r="W2110" t="s">
        <v>1262</v>
      </c>
      <c r="X2110" s="29">
        <v>435240</v>
      </c>
      <c r="AA2110" s="30">
        <v>45782.416666666664</v>
      </c>
      <c r="AB2110" s="30">
        <v>45783.375</v>
      </c>
      <c r="AC2110" s="30">
        <v>45782.416666666664</v>
      </c>
      <c r="AD2110" s="30">
        <v>45783.375</v>
      </c>
      <c r="AE2110" s="30">
        <v>45840.541666666664</v>
      </c>
      <c r="AF2110" s="30">
        <v>45841.458333333336</v>
      </c>
      <c r="AG2110" t="s">
        <v>1266</v>
      </c>
      <c r="AK2110" t="s">
        <v>1265</v>
      </c>
      <c r="AL2110" t="s">
        <v>2566</v>
      </c>
      <c r="AM2110" t="s">
        <v>1263</v>
      </c>
      <c r="AN2110" t="s">
        <v>1262</v>
      </c>
      <c r="AO2110">
        <v>0</v>
      </c>
      <c r="AQ2110" t="s">
        <v>1261</v>
      </c>
      <c r="AR2110" t="s">
        <v>1260</v>
      </c>
      <c r="AS2110" t="s">
        <v>1259</v>
      </c>
      <c r="AT2110" s="30">
        <v>46069.518055555556</v>
      </c>
    </row>
    <row r="2111" spans="1:46" x14ac:dyDescent="0.25">
      <c r="A2111" t="s">
        <v>1248</v>
      </c>
      <c r="B2111">
        <v>248055</v>
      </c>
      <c r="C2111">
        <v>352082</v>
      </c>
      <c r="D2111">
        <v>405</v>
      </c>
      <c r="E2111" t="s">
        <v>1266</v>
      </c>
      <c r="H2111">
        <v>1852</v>
      </c>
      <c r="K2111" t="s">
        <v>2174</v>
      </c>
      <c r="L2111" t="s">
        <v>2174</v>
      </c>
      <c r="M2111" s="29">
        <v>287857142</v>
      </c>
      <c r="N2111">
        <v>0</v>
      </c>
      <c r="O2111" s="29">
        <v>287857142</v>
      </c>
      <c r="P2111">
        <v>0</v>
      </c>
      <c r="Q2111">
        <v>0</v>
      </c>
      <c r="R2111">
        <v>0</v>
      </c>
      <c r="T2111" s="29">
        <v>21600</v>
      </c>
      <c r="U2111" s="29">
        <v>435240</v>
      </c>
      <c r="V2111" t="s">
        <v>1262</v>
      </c>
      <c r="W2111" t="s">
        <v>1262</v>
      </c>
      <c r="X2111" s="29">
        <v>435240</v>
      </c>
      <c r="AA2111" s="30">
        <v>45778.458333333336</v>
      </c>
      <c r="AB2111" s="30">
        <v>45779.416666666664</v>
      </c>
      <c r="AC2111" s="30">
        <v>45778.458333333336</v>
      </c>
      <c r="AD2111" s="30">
        <v>45779.416666666664</v>
      </c>
      <c r="AE2111" s="30">
        <v>45834.541666666664</v>
      </c>
      <c r="AF2111" s="30">
        <v>45835.458333333336</v>
      </c>
      <c r="AG2111" t="s">
        <v>1266</v>
      </c>
      <c r="AK2111" t="s">
        <v>1265</v>
      </c>
      <c r="AL2111" t="s">
        <v>2565</v>
      </c>
      <c r="AM2111" t="s">
        <v>1263</v>
      </c>
      <c r="AN2111" t="s">
        <v>1262</v>
      </c>
      <c r="AO2111">
        <v>0</v>
      </c>
      <c r="AQ2111" t="s">
        <v>1261</v>
      </c>
      <c r="AR2111" t="s">
        <v>1260</v>
      </c>
      <c r="AS2111" t="s">
        <v>1259</v>
      </c>
      <c r="AT2111" s="30">
        <v>46069.518055555556</v>
      </c>
    </row>
    <row r="2112" spans="1:46" x14ac:dyDescent="0.25">
      <c r="A2112" t="s">
        <v>1248</v>
      </c>
      <c r="B2112">
        <v>248056</v>
      </c>
      <c r="C2112">
        <v>352089</v>
      </c>
      <c r="D2112">
        <v>405</v>
      </c>
      <c r="E2112" t="s">
        <v>1266</v>
      </c>
      <c r="H2112">
        <v>1852</v>
      </c>
      <c r="K2112" t="s">
        <v>2174</v>
      </c>
      <c r="L2112" t="s">
        <v>2174</v>
      </c>
      <c r="M2112" s="29">
        <v>287857142</v>
      </c>
      <c r="N2112">
        <v>0</v>
      </c>
      <c r="O2112" s="29">
        <v>287857142</v>
      </c>
      <c r="P2112">
        <v>0</v>
      </c>
      <c r="Q2112">
        <v>0</v>
      </c>
      <c r="R2112">
        <v>0</v>
      </c>
      <c r="T2112" s="29">
        <v>21600</v>
      </c>
      <c r="U2112" s="29">
        <v>435240</v>
      </c>
      <c r="V2112" t="s">
        <v>1262</v>
      </c>
      <c r="W2112" t="s">
        <v>1262</v>
      </c>
      <c r="X2112" s="29">
        <v>435240</v>
      </c>
      <c r="AA2112" s="30">
        <v>45776.541666666664</v>
      </c>
      <c r="AB2112" s="30">
        <v>45777.458333333336</v>
      </c>
      <c r="AC2112" s="30">
        <v>45776.541666666664</v>
      </c>
      <c r="AD2112" s="30">
        <v>45777.458333333336</v>
      </c>
      <c r="AE2112" s="30">
        <v>45828.541666666664</v>
      </c>
      <c r="AF2112" s="30">
        <v>45831.458333333336</v>
      </c>
      <c r="AG2112" t="s">
        <v>1266</v>
      </c>
      <c r="AK2112" t="s">
        <v>1265</v>
      </c>
      <c r="AL2112" t="s">
        <v>2564</v>
      </c>
      <c r="AM2112" t="s">
        <v>1263</v>
      </c>
      <c r="AN2112" t="s">
        <v>1262</v>
      </c>
      <c r="AO2112">
        <v>0</v>
      </c>
      <c r="AQ2112" t="s">
        <v>1261</v>
      </c>
      <c r="AR2112" t="s">
        <v>1260</v>
      </c>
      <c r="AS2112" t="s">
        <v>1259</v>
      </c>
      <c r="AT2112" s="30">
        <v>46069.518055555556</v>
      </c>
    </row>
    <row r="2113" spans="1:46" x14ac:dyDescent="0.25">
      <c r="A2113" t="s">
        <v>1248</v>
      </c>
      <c r="B2113">
        <v>248057</v>
      </c>
      <c r="C2113">
        <v>352096</v>
      </c>
      <c r="D2113">
        <v>405</v>
      </c>
      <c r="E2113" t="s">
        <v>1266</v>
      </c>
      <c r="H2113">
        <v>1852</v>
      </c>
      <c r="K2113" t="s">
        <v>2174</v>
      </c>
      <c r="L2113" t="s">
        <v>2174</v>
      </c>
      <c r="M2113" s="29">
        <v>287857142</v>
      </c>
      <c r="N2113">
        <v>0</v>
      </c>
      <c r="O2113" s="29">
        <v>287857142</v>
      </c>
      <c r="P2113">
        <v>0</v>
      </c>
      <c r="Q2113">
        <v>0</v>
      </c>
      <c r="R2113">
        <v>0</v>
      </c>
      <c r="T2113" s="29">
        <v>21600</v>
      </c>
      <c r="U2113" s="29">
        <v>435240</v>
      </c>
      <c r="V2113" t="s">
        <v>1262</v>
      </c>
      <c r="W2113" t="s">
        <v>1262</v>
      </c>
      <c r="X2113" s="29">
        <v>435240</v>
      </c>
      <c r="AA2113" s="30">
        <v>45772.583333333336</v>
      </c>
      <c r="AB2113" s="30">
        <v>45775.5</v>
      </c>
      <c r="AC2113" s="30">
        <v>45772.583333333336</v>
      </c>
      <c r="AD2113" s="30">
        <v>45775.5</v>
      </c>
      <c r="AE2113" s="30">
        <v>45824.541666666664</v>
      </c>
      <c r="AF2113" s="30">
        <v>45825.458333333336</v>
      </c>
      <c r="AG2113" t="s">
        <v>1266</v>
      </c>
      <c r="AK2113" t="s">
        <v>1265</v>
      </c>
      <c r="AL2113" t="s">
        <v>2563</v>
      </c>
      <c r="AM2113" t="s">
        <v>1263</v>
      </c>
      <c r="AN2113" t="s">
        <v>1262</v>
      </c>
      <c r="AO2113">
        <v>0</v>
      </c>
      <c r="AQ2113" t="s">
        <v>1261</v>
      </c>
      <c r="AR2113" t="s">
        <v>1260</v>
      </c>
      <c r="AS2113" t="s">
        <v>1259</v>
      </c>
      <c r="AT2113" s="30">
        <v>46069.518055555556</v>
      </c>
    </row>
    <row r="2114" spans="1:46" x14ac:dyDescent="0.25">
      <c r="A2114" t="s">
        <v>1248</v>
      </c>
      <c r="B2114">
        <v>248058</v>
      </c>
      <c r="C2114">
        <v>352103</v>
      </c>
      <c r="D2114">
        <v>405</v>
      </c>
      <c r="E2114" t="s">
        <v>1266</v>
      </c>
      <c r="H2114">
        <v>1852</v>
      </c>
      <c r="K2114" t="s">
        <v>2174</v>
      </c>
      <c r="L2114" t="s">
        <v>2174</v>
      </c>
      <c r="M2114" s="29">
        <v>287857142</v>
      </c>
      <c r="N2114">
        <v>0</v>
      </c>
      <c r="O2114" s="29">
        <v>287857142</v>
      </c>
      <c r="P2114">
        <v>0</v>
      </c>
      <c r="Q2114">
        <v>0</v>
      </c>
      <c r="R2114">
        <v>0</v>
      </c>
      <c r="T2114" s="29">
        <v>21600</v>
      </c>
      <c r="U2114" s="29">
        <v>435240</v>
      </c>
      <c r="V2114" t="s">
        <v>1262</v>
      </c>
      <c r="W2114" t="s">
        <v>1262</v>
      </c>
      <c r="X2114" s="29">
        <v>435240</v>
      </c>
      <c r="AA2114" s="30">
        <v>45770.625</v>
      </c>
      <c r="AB2114" s="30">
        <v>45771.583333333336</v>
      </c>
      <c r="AC2114" s="30">
        <v>45770.625</v>
      </c>
      <c r="AD2114" s="30">
        <v>45771.583333333336</v>
      </c>
      <c r="AE2114" s="30">
        <v>45818.541666666664</v>
      </c>
      <c r="AF2114" s="30">
        <v>45819.458333333336</v>
      </c>
      <c r="AG2114" t="s">
        <v>1266</v>
      </c>
      <c r="AK2114" t="s">
        <v>1265</v>
      </c>
      <c r="AL2114" t="s">
        <v>2562</v>
      </c>
      <c r="AM2114" t="s">
        <v>1263</v>
      </c>
      <c r="AN2114" t="s">
        <v>1262</v>
      </c>
      <c r="AO2114">
        <v>0</v>
      </c>
      <c r="AQ2114" t="s">
        <v>1261</v>
      </c>
      <c r="AR2114" t="s">
        <v>1260</v>
      </c>
      <c r="AS2114" t="s">
        <v>1259</v>
      </c>
      <c r="AT2114" s="30">
        <v>46069.518055555556</v>
      </c>
    </row>
    <row r="2115" spans="1:46" x14ac:dyDescent="0.25">
      <c r="A2115" t="s">
        <v>1248</v>
      </c>
      <c r="B2115">
        <v>248059</v>
      </c>
      <c r="C2115">
        <v>352110</v>
      </c>
      <c r="D2115">
        <v>405</v>
      </c>
      <c r="E2115" t="s">
        <v>1266</v>
      </c>
      <c r="H2115">
        <v>1852</v>
      </c>
      <c r="K2115" t="s">
        <v>2174</v>
      </c>
      <c r="L2115" t="s">
        <v>2174</v>
      </c>
      <c r="M2115" s="29">
        <v>287857142</v>
      </c>
      <c r="N2115">
        <v>0</v>
      </c>
      <c r="O2115" s="29">
        <v>287857142</v>
      </c>
      <c r="P2115">
        <v>0</v>
      </c>
      <c r="Q2115">
        <v>0</v>
      </c>
      <c r="R2115">
        <v>0</v>
      </c>
      <c r="T2115" s="29">
        <v>21600</v>
      </c>
      <c r="U2115" s="29">
        <v>435240</v>
      </c>
      <c r="V2115" t="s">
        <v>1262</v>
      </c>
      <c r="W2115" t="s">
        <v>1262</v>
      </c>
      <c r="X2115" s="29">
        <v>435240</v>
      </c>
      <c r="AA2115" s="30">
        <v>45758.666666666664</v>
      </c>
      <c r="AB2115" s="30">
        <v>45761.625</v>
      </c>
      <c r="AC2115" s="30">
        <v>45758.666666666664</v>
      </c>
      <c r="AD2115" s="30">
        <v>45761.625</v>
      </c>
      <c r="AE2115" s="30">
        <v>45812.541666666664</v>
      </c>
      <c r="AF2115" s="30">
        <v>45813.458333333336</v>
      </c>
      <c r="AG2115" t="s">
        <v>1266</v>
      </c>
      <c r="AK2115" t="s">
        <v>1265</v>
      </c>
      <c r="AL2115" t="s">
        <v>2561</v>
      </c>
      <c r="AM2115" t="s">
        <v>1263</v>
      </c>
      <c r="AN2115" t="s">
        <v>1262</v>
      </c>
      <c r="AO2115">
        <v>0</v>
      </c>
      <c r="AQ2115" t="s">
        <v>1261</v>
      </c>
      <c r="AR2115" t="s">
        <v>1260</v>
      </c>
      <c r="AS2115" t="s">
        <v>1259</v>
      </c>
      <c r="AT2115" s="30">
        <v>46069.518055555556</v>
      </c>
    </row>
    <row r="2116" spans="1:46" x14ac:dyDescent="0.25">
      <c r="A2116" t="s">
        <v>1248</v>
      </c>
      <c r="B2116">
        <v>248060</v>
      </c>
      <c r="C2116">
        <v>352117</v>
      </c>
      <c r="D2116">
        <v>405</v>
      </c>
      <c r="E2116" t="s">
        <v>1266</v>
      </c>
      <c r="H2116">
        <v>1852</v>
      </c>
      <c r="K2116" t="s">
        <v>2174</v>
      </c>
      <c r="L2116" t="s">
        <v>2174</v>
      </c>
      <c r="M2116" s="29">
        <v>287857142</v>
      </c>
      <c r="N2116">
        <v>0</v>
      </c>
      <c r="O2116" s="29">
        <v>287857142</v>
      </c>
      <c r="P2116">
        <v>0</v>
      </c>
      <c r="Q2116">
        <v>0</v>
      </c>
      <c r="R2116">
        <v>0</v>
      </c>
      <c r="T2116" s="29">
        <v>21600</v>
      </c>
      <c r="U2116" s="29">
        <v>435240</v>
      </c>
      <c r="V2116" t="s">
        <v>1262</v>
      </c>
      <c r="W2116" t="s">
        <v>1262</v>
      </c>
      <c r="X2116" s="29">
        <v>435240</v>
      </c>
      <c r="AA2116" s="30">
        <v>45757.333333333336</v>
      </c>
      <c r="AB2116" s="30">
        <v>45757.666666666664</v>
      </c>
      <c r="AC2116" s="30">
        <v>45757.333333333336</v>
      </c>
      <c r="AD2116" s="30">
        <v>45757.666666666664</v>
      </c>
      <c r="AE2116" s="30">
        <v>45806.541666666664</v>
      </c>
      <c r="AF2116" s="30">
        <v>45807.458333333336</v>
      </c>
      <c r="AG2116" t="s">
        <v>1266</v>
      </c>
      <c r="AK2116" t="s">
        <v>1265</v>
      </c>
      <c r="AL2116" t="s">
        <v>2560</v>
      </c>
      <c r="AM2116" t="s">
        <v>1263</v>
      </c>
      <c r="AN2116" t="s">
        <v>1262</v>
      </c>
      <c r="AO2116">
        <v>0</v>
      </c>
      <c r="AQ2116" t="s">
        <v>1261</v>
      </c>
      <c r="AR2116" t="s">
        <v>1260</v>
      </c>
      <c r="AS2116" t="s">
        <v>1259</v>
      </c>
      <c r="AT2116" s="30">
        <v>46069.518055555556</v>
      </c>
    </row>
    <row r="2117" spans="1:46" x14ac:dyDescent="0.25">
      <c r="A2117" t="s">
        <v>1248</v>
      </c>
      <c r="B2117">
        <v>248061</v>
      </c>
      <c r="C2117">
        <v>352124</v>
      </c>
      <c r="D2117">
        <v>405</v>
      </c>
      <c r="E2117" t="s">
        <v>1266</v>
      </c>
      <c r="H2117">
        <v>1852</v>
      </c>
      <c r="K2117" t="s">
        <v>2174</v>
      </c>
      <c r="L2117" t="s">
        <v>2174</v>
      </c>
      <c r="M2117" s="29">
        <v>287857142</v>
      </c>
      <c r="N2117">
        <v>0</v>
      </c>
      <c r="O2117" s="29">
        <v>287857142</v>
      </c>
      <c r="P2117">
        <v>0</v>
      </c>
      <c r="Q2117">
        <v>0</v>
      </c>
      <c r="R2117">
        <v>0</v>
      </c>
      <c r="T2117" s="29">
        <v>21600</v>
      </c>
      <c r="U2117" s="29">
        <v>435240</v>
      </c>
      <c r="V2117" t="s">
        <v>1262</v>
      </c>
      <c r="W2117" t="s">
        <v>1262</v>
      </c>
      <c r="X2117" s="29">
        <v>435240</v>
      </c>
      <c r="AA2117" s="30">
        <v>45755.375</v>
      </c>
      <c r="AB2117" s="30">
        <v>45755.708333333336</v>
      </c>
      <c r="AC2117" s="30">
        <v>45755.375</v>
      </c>
      <c r="AD2117" s="30">
        <v>45755.708333333336</v>
      </c>
      <c r="AE2117" s="30">
        <v>45800.541666666664</v>
      </c>
      <c r="AF2117" s="30">
        <v>45803.458333333336</v>
      </c>
      <c r="AG2117" t="s">
        <v>1266</v>
      </c>
      <c r="AK2117" t="s">
        <v>1265</v>
      </c>
      <c r="AL2117" t="s">
        <v>2559</v>
      </c>
      <c r="AM2117" t="s">
        <v>1263</v>
      </c>
      <c r="AN2117" t="s">
        <v>1262</v>
      </c>
      <c r="AO2117">
        <v>0</v>
      </c>
      <c r="AQ2117" t="s">
        <v>1261</v>
      </c>
      <c r="AR2117" t="s">
        <v>1260</v>
      </c>
      <c r="AS2117" t="s">
        <v>1259</v>
      </c>
      <c r="AT2117" s="30">
        <v>46069.518055555556</v>
      </c>
    </row>
    <row r="2118" spans="1:46" x14ac:dyDescent="0.25">
      <c r="A2118" t="s">
        <v>1248</v>
      </c>
      <c r="B2118">
        <v>248062</v>
      </c>
      <c r="C2118">
        <v>352131</v>
      </c>
      <c r="D2118">
        <v>405</v>
      </c>
      <c r="E2118" t="s">
        <v>1266</v>
      </c>
      <c r="H2118">
        <v>1852</v>
      </c>
      <c r="K2118" t="s">
        <v>2174</v>
      </c>
      <c r="L2118" t="s">
        <v>2174</v>
      </c>
      <c r="M2118" s="29">
        <v>287857142</v>
      </c>
      <c r="N2118">
        <v>0</v>
      </c>
      <c r="O2118" s="29">
        <v>287857142</v>
      </c>
      <c r="P2118">
        <v>0</v>
      </c>
      <c r="Q2118">
        <v>0</v>
      </c>
      <c r="R2118">
        <v>0</v>
      </c>
      <c r="T2118" s="29">
        <v>21600</v>
      </c>
      <c r="U2118" s="29">
        <v>435240</v>
      </c>
      <c r="V2118" t="s">
        <v>1262</v>
      </c>
      <c r="W2118" t="s">
        <v>1262</v>
      </c>
      <c r="X2118" s="29">
        <v>435240</v>
      </c>
      <c r="AA2118" s="30">
        <v>45751.416666666664</v>
      </c>
      <c r="AB2118" s="30">
        <v>45754.375</v>
      </c>
      <c r="AC2118" s="30">
        <v>45751.416666666664</v>
      </c>
      <c r="AD2118" s="30">
        <v>45754.375</v>
      </c>
      <c r="AE2118" s="30">
        <v>45796.541666666664</v>
      </c>
      <c r="AF2118" s="30">
        <v>45797.458333333336</v>
      </c>
      <c r="AG2118" t="s">
        <v>1266</v>
      </c>
      <c r="AK2118" t="s">
        <v>1265</v>
      </c>
      <c r="AL2118" t="s">
        <v>2558</v>
      </c>
      <c r="AM2118" t="s">
        <v>1263</v>
      </c>
      <c r="AN2118" t="s">
        <v>1262</v>
      </c>
      <c r="AO2118">
        <v>0</v>
      </c>
      <c r="AQ2118" t="s">
        <v>1261</v>
      </c>
      <c r="AR2118" t="s">
        <v>1260</v>
      </c>
      <c r="AS2118" t="s">
        <v>1259</v>
      </c>
      <c r="AT2118" s="30">
        <v>46069.518055555556</v>
      </c>
    </row>
    <row r="2119" spans="1:46" x14ac:dyDescent="0.25">
      <c r="A2119" t="s">
        <v>1248</v>
      </c>
      <c r="B2119">
        <v>248063</v>
      </c>
      <c r="C2119">
        <v>352138</v>
      </c>
      <c r="D2119">
        <v>405</v>
      </c>
      <c r="E2119" t="s">
        <v>1266</v>
      </c>
      <c r="H2119">
        <v>1852</v>
      </c>
      <c r="K2119" t="s">
        <v>2174</v>
      </c>
      <c r="L2119" t="s">
        <v>2174</v>
      </c>
      <c r="M2119" s="29">
        <v>287857142</v>
      </c>
      <c r="N2119">
        <v>0</v>
      </c>
      <c r="O2119" s="29">
        <v>287857142</v>
      </c>
      <c r="P2119">
        <v>0</v>
      </c>
      <c r="Q2119">
        <v>0</v>
      </c>
      <c r="R2119">
        <v>0</v>
      </c>
      <c r="T2119" s="29">
        <v>21600</v>
      </c>
      <c r="U2119" s="29">
        <v>435240</v>
      </c>
      <c r="V2119" t="s">
        <v>1262</v>
      </c>
      <c r="W2119" t="s">
        <v>1262</v>
      </c>
      <c r="X2119" s="29">
        <v>435240</v>
      </c>
      <c r="AA2119" s="30">
        <v>45749.458333333336</v>
      </c>
      <c r="AB2119" s="30">
        <v>45750.416666666664</v>
      </c>
      <c r="AC2119" s="30">
        <v>45749.458333333336</v>
      </c>
      <c r="AD2119" s="30">
        <v>45750.416666666664</v>
      </c>
      <c r="AE2119" s="30">
        <v>45790.541666666664</v>
      </c>
      <c r="AF2119" s="30">
        <v>45791.458333333336</v>
      </c>
      <c r="AG2119" t="s">
        <v>1266</v>
      </c>
      <c r="AK2119" t="s">
        <v>1265</v>
      </c>
      <c r="AL2119" t="s">
        <v>2557</v>
      </c>
      <c r="AM2119" t="s">
        <v>1263</v>
      </c>
      <c r="AN2119" t="s">
        <v>1262</v>
      </c>
      <c r="AO2119">
        <v>0</v>
      </c>
      <c r="AQ2119" t="s">
        <v>1261</v>
      </c>
      <c r="AR2119" t="s">
        <v>1260</v>
      </c>
      <c r="AS2119" t="s">
        <v>1259</v>
      </c>
      <c r="AT2119" s="30">
        <v>46069.518055555556</v>
      </c>
    </row>
    <row r="2120" spans="1:46" x14ac:dyDescent="0.25">
      <c r="A2120" t="s">
        <v>1248</v>
      </c>
      <c r="B2120">
        <v>248064</v>
      </c>
      <c r="C2120">
        <v>352145</v>
      </c>
      <c r="D2120">
        <v>405</v>
      </c>
      <c r="E2120" t="s">
        <v>1266</v>
      </c>
      <c r="H2120">
        <v>1852</v>
      </c>
      <c r="K2120" t="s">
        <v>2174</v>
      </c>
      <c r="L2120" t="s">
        <v>2174</v>
      </c>
      <c r="M2120" s="29">
        <v>287857142</v>
      </c>
      <c r="N2120">
        <v>0</v>
      </c>
      <c r="O2120" s="29">
        <v>287857142</v>
      </c>
      <c r="P2120">
        <v>0</v>
      </c>
      <c r="Q2120">
        <v>0</v>
      </c>
      <c r="R2120">
        <v>0</v>
      </c>
      <c r="T2120" s="29">
        <v>21600</v>
      </c>
      <c r="U2120" s="29">
        <v>435240</v>
      </c>
      <c r="V2120" t="s">
        <v>1262</v>
      </c>
      <c r="W2120" t="s">
        <v>1262</v>
      </c>
      <c r="X2120" s="29">
        <v>435240</v>
      </c>
      <c r="AA2120" s="30">
        <v>45747.541666666664</v>
      </c>
      <c r="AB2120" s="30">
        <v>45748.458333333336</v>
      </c>
      <c r="AC2120" s="30">
        <v>45747.541666666664</v>
      </c>
      <c r="AD2120" s="30">
        <v>45748.458333333336</v>
      </c>
      <c r="AE2120" s="30">
        <v>45784.541666666664</v>
      </c>
      <c r="AF2120" s="30">
        <v>45785.458333333336</v>
      </c>
      <c r="AG2120" t="s">
        <v>1266</v>
      </c>
      <c r="AK2120" t="s">
        <v>1265</v>
      </c>
      <c r="AL2120" t="s">
        <v>2556</v>
      </c>
      <c r="AM2120" t="s">
        <v>1263</v>
      </c>
      <c r="AN2120" t="s">
        <v>1262</v>
      </c>
      <c r="AO2120">
        <v>0</v>
      </c>
      <c r="AQ2120" t="s">
        <v>1261</v>
      </c>
      <c r="AR2120" t="s">
        <v>1260</v>
      </c>
      <c r="AS2120" t="s">
        <v>1259</v>
      </c>
      <c r="AT2120" s="30">
        <v>46069.518055555556</v>
      </c>
    </row>
    <row r="2121" spans="1:46" x14ac:dyDescent="0.25">
      <c r="A2121" t="s">
        <v>1248</v>
      </c>
      <c r="B2121">
        <v>248065</v>
      </c>
      <c r="C2121">
        <v>352152</v>
      </c>
      <c r="D2121">
        <v>405</v>
      </c>
      <c r="E2121" t="s">
        <v>1266</v>
      </c>
      <c r="H2121">
        <v>1852</v>
      </c>
      <c r="K2121" t="s">
        <v>2174</v>
      </c>
      <c r="L2121" t="s">
        <v>2174</v>
      </c>
      <c r="M2121" s="29">
        <v>287857142</v>
      </c>
      <c r="N2121">
        <v>0</v>
      </c>
      <c r="O2121" s="29">
        <v>287857142</v>
      </c>
      <c r="P2121">
        <v>0</v>
      </c>
      <c r="Q2121">
        <v>0</v>
      </c>
      <c r="R2121">
        <v>0</v>
      </c>
      <c r="T2121" s="29">
        <v>21600</v>
      </c>
      <c r="U2121" s="29">
        <v>435240</v>
      </c>
      <c r="V2121" t="s">
        <v>1262</v>
      </c>
      <c r="W2121" t="s">
        <v>1262</v>
      </c>
      <c r="X2121" s="29">
        <v>435240</v>
      </c>
      <c r="AA2121" s="30">
        <v>45743.583333333336</v>
      </c>
      <c r="AB2121" s="30">
        <v>45744.5</v>
      </c>
      <c r="AC2121" s="30">
        <v>45743.583333333336</v>
      </c>
      <c r="AD2121" s="30">
        <v>45744.5</v>
      </c>
      <c r="AE2121" s="30">
        <v>45778.541666666664</v>
      </c>
      <c r="AF2121" s="30">
        <v>45779.458333333336</v>
      </c>
      <c r="AG2121" t="s">
        <v>1266</v>
      </c>
      <c r="AK2121" t="s">
        <v>1265</v>
      </c>
      <c r="AL2121" t="s">
        <v>2555</v>
      </c>
      <c r="AM2121" t="s">
        <v>1263</v>
      </c>
      <c r="AN2121" t="s">
        <v>1262</v>
      </c>
      <c r="AO2121">
        <v>0</v>
      </c>
      <c r="AQ2121" t="s">
        <v>1261</v>
      </c>
      <c r="AR2121" t="s">
        <v>1260</v>
      </c>
      <c r="AS2121" t="s">
        <v>1259</v>
      </c>
      <c r="AT2121" s="30">
        <v>46069.518055555556</v>
      </c>
    </row>
    <row r="2122" spans="1:46" x14ac:dyDescent="0.25">
      <c r="A2122" t="s">
        <v>1248</v>
      </c>
      <c r="B2122">
        <v>248066</v>
      </c>
      <c r="C2122">
        <v>352159</v>
      </c>
      <c r="D2122">
        <v>405</v>
      </c>
      <c r="E2122" t="s">
        <v>1266</v>
      </c>
      <c r="H2122">
        <v>1852</v>
      </c>
      <c r="K2122" t="s">
        <v>2174</v>
      </c>
      <c r="L2122" t="s">
        <v>2174</v>
      </c>
      <c r="M2122" s="29">
        <v>287857142</v>
      </c>
      <c r="N2122">
        <v>0</v>
      </c>
      <c r="O2122" s="29">
        <v>287857142</v>
      </c>
      <c r="P2122">
        <v>0</v>
      </c>
      <c r="Q2122">
        <v>0</v>
      </c>
      <c r="R2122">
        <v>0</v>
      </c>
      <c r="T2122" s="29">
        <v>21600</v>
      </c>
      <c r="U2122" s="29">
        <v>435240</v>
      </c>
      <c r="V2122" t="s">
        <v>1262</v>
      </c>
      <c r="W2122" t="s">
        <v>1262</v>
      </c>
      <c r="X2122" s="29">
        <v>435240</v>
      </c>
      <c r="AA2122" s="30">
        <v>45741.625</v>
      </c>
      <c r="AB2122" s="30">
        <v>45742.583333333336</v>
      </c>
      <c r="AC2122" s="30">
        <v>45741.625</v>
      </c>
      <c r="AD2122" s="30">
        <v>45742.583333333336</v>
      </c>
      <c r="AE2122" s="30">
        <v>45772.541666666664</v>
      </c>
      <c r="AF2122" s="30">
        <v>45775.458333333336</v>
      </c>
      <c r="AG2122" t="s">
        <v>1266</v>
      </c>
      <c r="AK2122" t="s">
        <v>1265</v>
      </c>
      <c r="AL2122" t="s">
        <v>2554</v>
      </c>
      <c r="AM2122" t="s">
        <v>1263</v>
      </c>
      <c r="AN2122" t="s">
        <v>1262</v>
      </c>
      <c r="AO2122">
        <v>0</v>
      </c>
      <c r="AQ2122" t="s">
        <v>1261</v>
      </c>
      <c r="AR2122" t="s">
        <v>1260</v>
      </c>
      <c r="AS2122" t="s">
        <v>1259</v>
      </c>
      <c r="AT2122" s="30">
        <v>46069.518055555556</v>
      </c>
    </row>
    <row r="2123" spans="1:46" x14ac:dyDescent="0.25">
      <c r="A2123" t="s">
        <v>1248</v>
      </c>
      <c r="B2123">
        <v>248067</v>
      </c>
      <c r="C2123">
        <v>352166</v>
      </c>
      <c r="D2123">
        <v>405</v>
      </c>
      <c r="E2123" t="s">
        <v>1266</v>
      </c>
      <c r="H2123">
        <v>1852</v>
      </c>
      <c r="K2123" t="s">
        <v>2174</v>
      </c>
      <c r="L2123" t="s">
        <v>2174</v>
      </c>
      <c r="M2123" s="29">
        <v>287857142</v>
      </c>
      <c r="N2123">
        <v>0</v>
      </c>
      <c r="O2123" s="29">
        <v>287857142</v>
      </c>
      <c r="P2123">
        <v>0</v>
      </c>
      <c r="Q2123">
        <v>0</v>
      </c>
      <c r="R2123">
        <v>0</v>
      </c>
      <c r="T2123" s="29">
        <v>21600</v>
      </c>
      <c r="U2123" s="29">
        <v>435240</v>
      </c>
      <c r="V2123" t="s">
        <v>1262</v>
      </c>
      <c r="W2123" t="s">
        <v>1262</v>
      </c>
      <c r="X2123" s="29">
        <v>435240</v>
      </c>
      <c r="AA2123" s="30">
        <v>45728.583333333336</v>
      </c>
      <c r="AB2123" s="30">
        <v>45729.5</v>
      </c>
      <c r="AC2123" s="30">
        <v>45728.583333333336</v>
      </c>
      <c r="AD2123" s="30">
        <v>45729.5</v>
      </c>
      <c r="AE2123" s="30">
        <v>45768.541666666664</v>
      </c>
      <c r="AF2123" s="30">
        <v>45769.458333333336</v>
      </c>
      <c r="AG2123" t="s">
        <v>1266</v>
      </c>
      <c r="AK2123" t="s">
        <v>1265</v>
      </c>
      <c r="AL2123" t="s">
        <v>2553</v>
      </c>
      <c r="AM2123" t="s">
        <v>1263</v>
      </c>
      <c r="AN2123" t="s">
        <v>1262</v>
      </c>
      <c r="AO2123">
        <v>0</v>
      </c>
      <c r="AQ2123" t="s">
        <v>1261</v>
      </c>
      <c r="AR2123" t="s">
        <v>1260</v>
      </c>
      <c r="AS2123" t="s">
        <v>1259</v>
      </c>
      <c r="AT2123" s="30">
        <v>46069.518055555556</v>
      </c>
    </row>
    <row r="2124" spans="1:46" x14ac:dyDescent="0.25">
      <c r="A2124" t="s">
        <v>1248</v>
      </c>
      <c r="B2124">
        <v>248068</v>
      </c>
      <c r="C2124">
        <v>352173</v>
      </c>
      <c r="D2124">
        <v>405</v>
      </c>
      <c r="E2124" t="s">
        <v>1266</v>
      </c>
      <c r="H2124">
        <v>1852</v>
      </c>
      <c r="K2124" t="s">
        <v>2174</v>
      </c>
      <c r="L2124" t="s">
        <v>2174</v>
      </c>
      <c r="M2124" s="29">
        <v>287857142</v>
      </c>
      <c r="N2124">
        <v>0</v>
      </c>
      <c r="O2124" s="29">
        <v>287857142</v>
      </c>
      <c r="P2124">
        <v>0</v>
      </c>
      <c r="Q2124">
        <v>0</v>
      </c>
      <c r="R2124">
        <v>0</v>
      </c>
      <c r="T2124" s="29">
        <v>21600</v>
      </c>
      <c r="U2124" s="29">
        <v>435240</v>
      </c>
      <c r="V2124" t="s">
        <v>1262</v>
      </c>
      <c r="W2124" t="s">
        <v>1262</v>
      </c>
      <c r="X2124" s="29">
        <v>435240</v>
      </c>
      <c r="AA2124" s="30">
        <v>45723.625</v>
      </c>
      <c r="AB2124" s="30">
        <v>45726.583333333336</v>
      </c>
      <c r="AC2124" s="30">
        <v>45723.625</v>
      </c>
      <c r="AD2124" s="30">
        <v>45726.583333333336</v>
      </c>
      <c r="AE2124" s="30">
        <v>45762.541666666664</v>
      </c>
      <c r="AF2124" s="30">
        <v>45763.458333333336</v>
      </c>
      <c r="AG2124" t="s">
        <v>1266</v>
      </c>
      <c r="AK2124" t="s">
        <v>1265</v>
      </c>
      <c r="AL2124" t="s">
        <v>2552</v>
      </c>
      <c r="AM2124" t="s">
        <v>1263</v>
      </c>
      <c r="AN2124" t="s">
        <v>1262</v>
      </c>
      <c r="AO2124">
        <v>0</v>
      </c>
      <c r="AQ2124" t="s">
        <v>1261</v>
      </c>
      <c r="AR2124" t="s">
        <v>1260</v>
      </c>
      <c r="AS2124" t="s">
        <v>1259</v>
      </c>
      <c r="AT2124" s="30">
        <v>46069.518055555556</v>
      </c>
    </row>
    <row r="2125" spans="1:46" x14ac:dyDescent="0.25">
      <c r="A2125" t="s">
        <v>1248</v>
      </c>
      <c r="B2125">
        <v>248069</v>
      </c>
      <c r="C2125">
        <v>352180</v>
      </c>
      <c r="D2125">
        <v>405</v>
      </c>
      <c r="E2125" t="s">
        <v>1266</v>
      </c>
      <c r="H2125">
        <v>1852</v>
      </c>
      <c r="K2125" t="s">
        <v>2174</v>
      </c>
      <c r="L2125" t="s">
        <v>2174</v>
      </c>
      <c r="M2125" s="29">
        <v>287857142</v>
      </c>
      <c r="N2125">
        <v>0</v>
      </c>
      <c r="O2125" s="29">
        <v>287857142</v>
      </c>
      <c r="P2125">
        <v>0</v>
      </c>
      <c r="Q2125">
        <v>0</v>
      </c>
      <c r="R2125">
        <v>0</v>
      </c>
      <c r="T2125" s="29">
        <v>21600</v>
      </c>
      <c r="U2125" s="29">
        <v>435240</v>
      </c>
      <c r="V2125" t="s">
        <v>1262</v>
      </c>
      <c r="W2125" t="s">
        <v>1262</v>
      </c>
      <c r="X2125" s="29">
        <v>435240</v>
      </c>
      <c r="AA2125" s="30">
        <v>45728.666666666664</v>
      </c>
      <c r="AB2125" s="30">
        <v>45729.625</v>
      </c>
      <c r="AC2125" s="30">
        <v>45728.666666666664</v>
      </c>
      <c r="AD2125" s="30">
        <v>45729.625</v>
      </c>
      <c r="AE2125" s="30">
        <v>45756.541666666664</v>
      </c>
      <c r="AF2125" s="30">
        <v>45757.458333333336</v>
      </c>
      <c r="AG2125" t="s">
        <v>1266</v>
      </c>
      <c r="AK2125" t="s">
        <v>1265</v>
      </c>
      <c r="AL2125" t="s">
        <v>2551</v>
      </c>
      <c r="AM2125" t="s">
        <v>1263</v>
      </c>
      <c r="AN2125" t="s">
        <v>1262</v>
      </c>
      <c r="AO2125">
        <v>0</v>
      </c>
      <c r="AQ2125" t="s">
        <v>1261</v>
      </c>
      <c r="AR2125" t="s">
        <v>1260</v>
      </c>
      <c r="AS2125" t="s">
        <v>1259</v>
      </c>
      <c r="AT2125" s="30">
        <v>46069.518055555556</v>
      </c>
    </row>
    <row r="2126" spans="1:46" x14ac:dyDescent="0.25">
      <c r="A2126" t="s">
        <v>1248</v>
      </c>
      <c r="B2126">
        <v>248070</v>
      </c>
      <c r="C2126">
        <v>352187</v>
      </c>
      <c r="D2126">
        <v>405</v>
      </c>
      <c r="E2126" t="s">
        <v>1266</v>
      </c>
      <c r="H2126">
        <v>1852</v>
      </c>
      <c r="K2126" s="29">
        <v>23028571</v>
      </c>
      <c r="L2126" s="29">
        <v>23028571</v>
      </c>
      <c r="M2126" s="29">
        <v>287857142</v>
      </c>
      <c r="N2126">
        <v>0</v>
      </c>
      <c r="O2126" s="29">
        <v>287857142</v>
      </c>
      <c r="P2126">
        <v>0</v>
      </c>
      <c r="Q2126">
        <v>0</v>
      </c>
      <c r="R2126">
        <v>0</v>
      </c>
      <c r="T2126" s="29">
        <v>21600</v>
      </c>
      <c r="U2126" s="29">
        <v>497417</v>
      </c>
      <c r="V2126" t="s">
        <v>1262</v>
      </c>
      <c r="W2126" t="s">
        <v>1262</v>
      </c>
      <c r="X2126" s="29">
        <v>497417</v>
      </c>
      <c r="AA2126" s="30">
        <v>45726.333333333336</v>
      </c>
      <c r="AB2126" s="30">
        <v>45726.708333333336</v>
      </c>
      <c r="AC2126" s="30">
        <v>45726.333333333336</v>
      </c>
      <c r="AD2126" s="30">
        <v>45726.708333333336</v>
      </c>
      <c r="AE2126" s="30">
        <v>45750.333333333336</v>
      </c>
      <c r="AF2126" s="30">
        <v>45750.708333333336</v>
      </c>
      <c r="AG2126" t="s">
        <v>1266</v>
      </c>
      <c r="AK2126" t="s">
        <v>1265</v>
      </c>
      <c r="AL2126" t="s">
        <v>2550</v>
      </c>
      <c r="AM2126" t="s">
        <v>1263</v>
      </c>
      <c r="AN2126" t="s">
        <v>1262</v>
      </c>
      <c r="AO2126">
        <v>0</v>
      </c>
      <c r="AQ2126" t="s">
        <v>1261</v>
      </c>
      <c r="AR2126" t="s">
        <v>1260</v>
      </c>
      <c r="AS2126" t="s">
        <v>1259</v>
      </c>
      <c r="AT2126" s="30">
        <v>46069.518055555556</v>
      </c>
    </row>
    <row r="2127" spans="1:46" x14ac:dyDescent="0.25">
      <c r="A2127" t="s">
        <v>1248</v>
      </c>
      <c r="B2127">
        <v>248071</v>
      </c>
      <c r="C2127">
        <v>352054</v>
      </c>
      <c r="D2127">
        <v>405</v>
      </c>
      <c r="E2127" t="s">
        <v>1266</v>
      </c>
      <c r="H2127">
        <v>1855</v>
      </c>
      <c r="K2127" t="s">
        <v>1437</v>
      </c>
      <c r="L2127" t="s">
        <v>1437</v>
      </c>
      <c r="M2127" s="29">
        <v>287571428</v>
      </c>
      <c r="N2127">
        <v>0</v>
      </c>
      <c r="O2127" s="29">
        <v>287571428</v>
      </c>
      <c r="P2127">
        <v>0</v>
      </c>
      <c r="Q2127">
        <v>0</v>
      </c>
      <c r="R2127">
        <v>0</v>
      </c>
      <c r="T2127" s="29">
        <v>35000</v>
      </c>
      <c r="U2127" s="29">
        <v>704550</v>
      </c>
      <c r="V2127" t="s">
        <v>1262</v>
      </c>
      <c r="W2127" t="s">
        <v>1262</v>
      </c>
      <c r="X2127" s="29">
        <v>704550</v>
      </c>
      <c r="AA2127" s="30">
        <v>45798.583333333336</v>
      </c>
      <c r="AB2127" s="30">
        <v>45799.5</v>
      </c>
      <c r="AC2127" s="30">
        <v>45798.583333333336</v>
      </c>
      <c r="AD2127" s="30">
        <v>45799.5</v>
      </c>
      <c r="AE2127" s="30">
        <v>45862.583333333336</v>
      </c>
      <c r="AF2127" s="30">
        <v>45863.5</v>
      </c>
      <c r="AG2127" t="s">
        <v>1266</v>
      </c>
      <c r="AK2127" t="s">
        <v>1265</v>
      </c>
      <c r="AL2127" t="s">
        <v>2549</v>
      </c>
      <c r="AM2127" t="s">
        <v>1263</v>
      </c>
      <c r="AN2127" t="s">
        <v>1262</v>
      </c>
      <c r="AO2127">
        <v>0</v>
      </c>
      <c r="AQ2127" t="s">
        <v>1261</v>
      </c>
      <c r="AR2127" t="s">
        <v>1260</v>
      </c>
      <c r="AS2127" t="s">
        <v>1259</v>
      </c>
      <c r="AT2127" s="30">
        <v>46069.518055555556</v>
      </c>
    </row>
    <row r="2128" spans="1:46" x14ac:dyDescent="0.25">
      <c r="A2128" t="s">
        <v>1248</v>
      </c>
      <c r="B2128">
        <v>248072</v>
      </c>
      <c r="C2128">
        <v>352049</v>
      </c>
      <c r="D2128">
        <v>405</v>
      </c>
      <c r="E2128" t="s">
        <v>1266</v>
      </c>
      <c r="H2128">
        <v>1834</v>
      </c>
      <c r="K2128" s="29">
        <v>4680258</v>
      </c>
      <c r="L2128" s="29">
        <v>4680258</v>
      </c>
      <c r="M2128" s="29">
        <v>146258064</v>
      </c>
      <c r="N2128">
        <v>0</v>
      </c>
      <c r="O2128" s="29">
        <v>146258064</v>
      </c>
      <c r="P2128">
        <v>0</v>
      </c>
      <c r="Q2128">
        <v>0</v>
      </c>
      <c r="R2128">
        <v>0</v>
      </c>
      <c r="T2128" s="29">
        <v>10300</v>
      </c>
      <c r="U2128" s="29">
        <v>482067</v>
      </c>
      <c r="V2128" t="s">
        <v>1262</v>
      </c>
      <c r="W2128" t="s">
        <v>1262</v>
      </c>
      <c r="X2128" s="29">
        <v>482067</v>
      </c>
      <c r="AA2128" s="30">
        <v>45805.625</v>
      </c>
      <c r="AB2128" s="30">
        <v>45811.625</v>
      </c>
      <c r="AC2128" s="30">
        <v>45805.625</v>
      </c>
      <c r="AD2128" s="30">
        <v>45811.625</v>
      </c>
      <c r="AE2128" s="30">
        <v>45873.333333333336</v>
      </c>
      <c r="AF2128" s="30">
        <v>45876.708333333336</v>
      </c>
      <c r="AG2128" t="s">
        <v>1266</v>
      </c>
      <c r="AK2128" t="s">
        <v>1265</v>
      </c>
      <c r="AL2128" t="s">
        <v>2548</v>
      </c>
      <c r="AM2128" t="s">
        <v>1263</v>
      </c>
      <c r="AN2128" t="s">
        <v>1262</v>
      </c>
      <c r="AO2128">
        <v>0</v>
      </c>
      <c r="AQ2128" t="s">
        <v>1261</v>
      </c>
      <c r="AR2128" t="s">
        <v>1260</v>
      </c>
      <c r="AS2128" t="s">
        <v>1259</v>
      </c>
      <c r="AT2128" s="30">
        <v>46069.518055555556</v>
      </c>
    </row>
    <row r="2129" spans="1:46" x14ac:dyDescent="0.25">
      <c r="A2129" t="s">
        <v>1248</v>
      </c>
      <c r="B2129">
        <v>248073</v>
      </c>
      <c r="C2129">
        <v>352056</v>
      </c>
      <c r="D2129">
        <v>405</v>
      </c>
      <c r="E2129" t="s">
        <v>1266</v>
      </c>
      <c r="H2129">
        <v>1834</v>
      </c>
      <c r="K2129" t="s">
        <v>2331</v>
      </c>
      <c r="L2129" t="s">
        <v>2331</v>
      </c>
      <c r="M2129" s="29">
        <v>146258064</v>
      </c>
      <c r="N2129">
        <v>0</v>
      </c>
      <c r="O2129" s="29">
        <v>146258064</v>
      </c>
      <c r="P2129">
        <v>0</v>
      </c>
      <c r="Q2129">
        <v>0</v>
      </c>
      <c r="R2129">
        <v>0</v>
      </c>
      <c r="T2129" s="29">
        <v>10300</v>
      </c>
      <c r="U2129" s="29">
        <v>467002</v>
      </c>
      <c r="V2129" t="s">
        <v>1262</v>
      </c>
      <c r="W2129" t="s">
        <v>1262</v>
      </c>
      <c r="X2129" s="29">
        <v>467002</v>
      </c>
      <c r="AA2129" s="30">
        <v>45803.458333333336</v>
      </c>
      <c r="AB2129" s="30">
        <v>45807.416666666664</v>
      </c>
      <c r="AC2129" s="30">
        <v>45803.458333333336</v>
      </c>
      <c r="AD2129" s="30">
        <v>45807.416666666664</v>
      </c>
      <c r="AE2129" s="30">
        <v>45867.458333333336</v>
      </c>
      <c r="AF2129" s="30">
        <v>45873.416666666664</v>
      </c>
      <c r="AG2129" t="s">
        <v>1266</v>
      </c>
      <c r="AK2129" t="s">
        <v>1265</v>
      </c>
      <c r="AL2129" t="s">
        <v>2547</v>
      </c>
      <c r="AM2129" t="s">
        <v>1263</v>
      </c>
      <c r="AN2129" t="s">
        <v>1262</v>
      </c>
      <c r="AO2129">
        <v>0</v>
      </c>
      <c r="AQ2129" t="s">
        <v>1261</v>
      </c>
      <c r="AR2129" t="s">
        <v>1260</v>
      </c>
      <c r="AS2129" t="s">
        <v>1259</v>
      </c>
      <c r="AT2129" s="30">
        <v>46069.518055555556</v>
      </c>
    </row>
    <row r="2130" spans="1:46" x14ac:dyDescent="0.25">
      <c r="A2130" t="s">
        <v>1248</v>
      </c>
      <c r="B2130">
        <v>248074</v>
      </c>
      <c r="C2130">
        <v>352063</v>
      </c>
      <c r="D2130">
        <v>405</v>
      </c>
      <c r="E2130" t="s">
        <v>1266</v>
      </c>
      <c r="H2130">
        <v>1834</v>
      </c>
      <c r="K2130" t="s">
        <v>2331</v>
      </c>
      <c r="L2130" t="s">
        <v>2331</v>
      </c>
      <c r="M2130" s="29">
        <v>146258064</v>
      </c>
      <c r="N2130">
        <v>0</v>
      </c>
      <c r="O2130" s="29">
        <v>146258064</v>
      </c>
      <c r="P2130">
        <v>0</v>
      </c>
      <c r="Q2130">
        <v>0</v>
      </c>
      <c r="R2130">
        <v>0</v>
      </c>
      <c r="T2130" s="29">
        <v>10300</v>
      </c>
      <c r="U2130" s="29">
        <v>467002</v>
      </c>
      <c r="V2130" t="s">
        <v>1262</v>
      </c>
      <c r="W2130" t="s">
        <v>1262</v>
      </c>
      <c r="X2130" s="29">
        <v>467002</v>
      </c>
      <c r="AA2130" s="30">
        <v>45799.541666666664</v>
      </c>
      <c r="AB2130" s="30">
        <v>45805.458333333336</v>
      </c>
      <c r="AC2130" s="30">
        <v>45799.541666666664</v>
      </c>
      <c r="AD2130" s="30">
        <v>45805.458333333336</v>
      </c>
      <c r="AE2130" s="30">
        <v>45861.458333333336</v>
      </c>
      <c r="AF2130" s="30">
        <v>45867.416666666664</v>
      </c>
      <c r="AG2130" t="s">
        <v>1266</v>
      </c>
      <c r="AK2130" t="s">
        <v>1265</v>
      </c>
      <c r="AL2130" t="e">
        <f>+KciJqv7iEq0Cqymo7X3xA</f>
        <v>#NAME?</v>
      </c>
      <c r="AM2130" t="s">
        <v>1263</v>
      </c>
      <c r="AN2130" t="s">
        <v>1262</v>
      </c>
      <c r="AO2130">
        <v>0</v>
      </c>
      <c r="AQ2130" t="s">
        <v>1261</v>
      </c>
      <c r="AR2130" t="s">
        <v>1260</v>
      </c>
      <c r="AS2130" t="s">
        <v>1259</v>
      </c>
      <c r="AT2130" s="30">
        <v>46069.518055555556</v>
      </c>
    </row>
    <row r="2131" spans="1:46" x14ac:dyDescent="0.25">
      <c r="A2131" t="s">
        <v>1248</v>
      </c>
      <c r="B2131">
        <v>248075</v>
      </c>
      <c r="C2131">
        <v>352070</v>
      </c>
      <c r="D2131">
        <v>405</v>
      </c>
      <c r="E2131" t="s">
        <v>1266</v>
      </c>
      <c r="H2131">
        <v>1834</v>
      </c>
      <c r="K2131" s="29">
        <v>4680258</v>
      </c>
      <c r="L2131" s="29">
        <v>4680258</v>
      </c>
      <c r="M2131" s="29">
        <v>146258064</v>
      </c>
      <c r="N2131">
        <v>0</v>
      </c>
      <c r="O2131" s="29">
        <v>146258064</v>
      </c>
      <c r="P2131">
        <v>0</v>
      </c>
      <c r="Q2131">
        <v>0</v>
      </c>
      <c r="R2131">
        <v>0</v>
      </c>
      <c r="T2131" s="29">
        <v>10300</v>
      </c>
      <c r="U2131" s="29">
        <v>482067</v>
      </c>
      <c r="V2131" t="s">
        <v>1262</v>
      </c>
      <c r="W2131" t="s">
        <v>1262</v>
      </c>
      <c r="X2131" s="29">
        <v>482067</v>
      </c>
      <c r="AA2131" s="30">
        <v>45789.458333333336</v>
      </c>
      <c r="AB2131" s="30">
        <v>45793.458333333336</v>
      </c>
      <c r="AC2131" s="30">
        <v>45789.458333333336</v>
      </c>
      <c r="AD2131" s="30">
        <v>45793.458333333336</v>
      </c>
      <c r="AE2131" s="30">
        <v>45856.333333333336</v>
      </c>
      <c r="AF2131" s="30">
        <v>45861.708333333336</v>
      </c>
      <c r="AG2131" t="s">
        <v>1266</v>
      </c>
      <c r="AK2131" t="s">
        <v>1265</v>
      </c>
      <c r="AL2131" t="s">
        <v>2546</v>
      </c>
      <c r="AM2131" t="s">
        <v>1263</v>
      </c>
      <c r="AN2131" t="s">
        <v>1262</v>
      </c>
      <c r="AO2131">
        <v>0</v>
      </c>
      <c r="AQ2131" t="s">
        <v>1261</v>
      </c>
      <c r="AR2131" t="s">
        <v>1260</v>
      </c>
      <c r="AS2131" t="s">
        <v>1259</v>
      </c>
      <c r="AT2131" s="30">
        <v>46069.518055555556</v>
      </c>
    </row>
    <row r="2132" spans="1:46" x14ac:dyDescent="0.25">
      <c r="A2132" t="s">
        <v>1248</v>
      </c>
      <c r="B2132">
        <v>248076</v>
      </c>
      <c r="C2132">
        <v>352077</v>
      </c>
      <c r="D2132">
        <v>405</v>
      </c>
      <c r="E2132" t="s">
        <v>1266</v>
      </c>
      <c r="H2132">
        <v>1834</v>
      </c>
      <c r="K2132" t="s">
        <v>2331</v>
      </c>
      <c r="L2132" t="s">
        <v>2331</v>
      </c>
      <c r="M2132" s="29">
        <v>146258064</v>
      </c>
      <c r="N2132">
        <v>0</v>
      </c>
      <c r="O2132" s="29">
        <v>146258064</v>
      </c>
      <c r="P2132">
        <v>0</v>
      </c>
      <c r="Q2132">
        <v>0</v>
      </c>
      <c r="R2132">
        <v>0</v>
      </c>
      <c r="T2132" s="29">
        <v>10300</v>
      </c>
      <c r="U2132" s="29">
        <v>467002</v>
      </c>
      <c r="V2132" t="s">
        <v>1262</v>
      </c>
      <c r="W2132" t="s">
        <v>1262</v>
      </c>
      <c r="X2132" s="29">
        <v>467002</v>
      </c>
      <c r="AA2132" s="30">
        <v>45785.333333333336</v>
      </c>
      <c r="AB2132" s="30">
        <v>45790.666666666664</v>
      </c>
      <c r="AC2132" s="30">
        <v>45785.333333333336</v>
      </c>
      <c r="AD2132" s="30">
        <v>45790.666666666664</v>
      </c>
      <c r="AE2132" s="30">
        <v>45845.416666666664</v>
      </c>
      <c r="AF2132" s="30">
        <v>45849.375</v>
      </c>
      <c r="AG2132" t="s">
        <v>1266</v>
      </c>
      <c r="AK2132" t="s">
        <v>1265</v>
      </c>
      <c r="AL2132" t="s">
        <v>2545</v>
      </c>
      <c r="AM2132" t="s">
        <v>1263</v>
      </c>
      <c r="AN2132" t="s">
        <v>1262</v>
      </c>
      <c r="AO2132">
        <v>0</v>
      </c>
      <c r="AQ2132" t="s">
        <v>1261</v>
      </c>
      <c r="AR2132" t="s">
        <v>1260</v>
      </c>
      <c r="AS2132" t="s">
        <v>1259</v>
      </c>
      <c r="AT2132" s="30">
        <v>46069.518055555556</v>
      </c>
    </row>
    <row r="2133" spans="1:46" x14ac:dyDescent="0.25">
      <c r="A2133" t="s">
        <v>1248</v>
      </c>
      <c r="B2133">
        <v>248077</v>
      </c>
      <c r="C2133">
        <v>352084</v>
      </c>
      <c r="D2133">
        <v>405</v>
      </c>
      <c r="E2133" t="s">
        <v>1266</v>
      </c>
      <c r="H2133">
        <v>1834</v>
      </c>
      <c r="K2133" t="s">
        <v>2331</v>
      </c>
      <c r="L2133" t="s">
        <v>2331</v>
      </c>
      <c r="M2133" s="29">
        <v>146258064</v>
      </c>
      <c r="N2133">
        <v>0</v>
      </c>
      <c r="O2133" s="29">
        <v>146258064</v>
      </c>
      <c r="P2133">
        <v>0</v>
      </c>
      <c r="Q2133">
        <v>0</v>
      </c>
      <c r="R2133">
        <v>0</v>
      </c>
      <c r="T2133" s="29">
        <v>10300</v>
      </c>
      <c r="U2133" s="29">
        <v>467002</v>
      </c>
      <c r="V2133" t="s">
        <v>1262</v>
      </c>
      <c r="W2133" t="s">
        <v>1262</v>
      </c>
      <c r="X2133" s="29">
        <v>467002</v>
      </c>
      <c r="AA2133" s="30">
        <v>45783.375</v>
      </c>
      <c r="AB2133" s="30">
        <v>45786.708333333336</v>
      </c>
      <c r="AC2133" s="30">
        <v>45783.375</v>
      </c>
      <c r="AD2133" s="30">
        <v>45786.708333333336</v>
      </c>
      <c r="AE2133" s="30">
        <v>45839.416666666664</v>
      </c>
      <c r="AF2133" s="30">
        <v>45845.375</v>
      </c>
      <c r="AG2133" t="s">
        <v>1266</v>
      </c>
      <c r="AK2133" t="s">
        <v>1265</v>
      </c>
      <c r="AL2133" t="s">
        <v>2544</v>
      </c>
      <c r="AM2133" t="s">
        <v>1263</v>
      </c>
      <c r="AN2133" t="s">
        <v>1262</v>
      </c>
      <c r="AO2133">
        <v>0</v>
      </c>
      <c r="AQ2133" t="s">
        <v>1261</v>
      </c>
      <c r="AR2133" t="s">
        <v>1260</v>
      </c>
      <c r="AS2133" t="s">
        <v>1259</v>
      </c>
      <c r="AT2133" s="30">
        <v>46069.518055555556</v>
      </c>
    </row>
    <row r="2134" spans="1:46" x14ac:dyDescent="0.25">
      <c r="A2134" t="s">
        <v>1248</v>
      </c>
      <c r="B2134">
        <v>248078</v>
      </c>
      <c r="C2134">
        <v>352091</v>
      </c>
      <c r="D2134">
        <v>405</v>
      </c>
      <c r="E2134" t="s">
        <v>1266</v>
      </c>
      <c r="H2134">
        <v>1834</v>
      </c>
      <c r="K2134" t="s">
        <v>2331</v>
      </c>
      <c r="L2134" t="s">
        <v>2331</v>
      </c>
      <c r="M2134" s="29">
        <v>146258064</v>
      </c>
      <c r="N2134">
        <v>0</v>
      </c>
      <c r="O2134" s="29">
        <v>146258064</v>
      </c>
      <c r="P2134">
        <v>0</v>
      </c>
      <c r="Q2134">
        <v>0</v>
      </c>
      <c r="R2134">
        <v>0</v>
      </c>
      <c r="T2134" s="29">
        <v>10300</v>
      </c>
      <c r="U2134" s="29">
        <v>467002</v>
      </c>
      <c r="V2134" t="s">
        <v>1262</v>
      </c>
      <c r="W2134" t="s">
        <v>1262</v>
      </c>
      <c r="X2134" s="29">
        <v>467002</v>
      </c>
      <c r="AA2134" s="30">
        <v>45779.416666666664</v>
      </c>
      <c r="AB2134" s="30">
        <v>45785.375</v>
      </c>
      <c r="AC2134" s="30">
        <v>45779.416666666664</v>
      </c>
      <c r="AD2134" s="30">
        <v>45785.375</v>
      </c>
      <c r="AE2134" s="30">
        <v>45833.416666666664</v>
      </c>
      <c r="AF2134" s="30">
        <v>45839.375</v>
      </c>
      <c r="AG2134" t="s">
        <v>1266</v>
      </c>
      <c r="AK2134" t="s">
        <v>1265</v>
      </c>
      <c r="AL2134" t="s">
        <v>2543</v>
      </c>
      <c r="AM2134" t="s">
        <v>1263</v>
      </c>
      <c r="AN2134" t="s">
        <v>1262</v>
      </c>
      <c r="AO2134">
        <v>0</v>
      </c>
      <c r="AQ2134" t="s">
        <v>1261</v>
      </c>
      <c r="AR2134" t="s">
        <v>1260</v>
      </c>
      <c r="AS2134" t="s">
        <v>1259</v>
      </c>
      <c r="AT2134" s="30">
        <v>46069.518055555556</v>
      </c>
    </row>
    <row r="2135" spans="1:46" x14ac:dyDescent="0.25">
      <c r="A2135" t="s">
        <v>1248</v>
      </c>
      <c r="B2135">
        <v>248079</v>
      </c>
      <c r="C2135">
        <v>352098</v>
      </c>
      <c r="D2135">
        <v>405</v>
      </c>
      <c r="E2135" t="s">
        <v>1266</v>
      </c>
      <c r="H2135">
        <v>1834</v>
      </c>
      <c r="K2135" t="s">
        <v>2331</v>
      </c>
      <c r="L2135" t="s">
        <v>2331</v>
      </c>
      <c r="M2135" s="29">
        <v>146258064</v>
      </c>
      <c r="N2135">
        <v>0</v>
      </c>
      <c r="O2135" s="29">
        <v>146258064</v>
      </c>
      <c r="P2135">
        <v>0</v>
      </c>
      <c r="Q2135">
        <v>0</v>
      </c>
      <c r="R2135">
        <v>0</v>
      </c>
      <c r="T2135" s="29">
        <v>10300</v>
      </c>
      <c r="U2135" s="29">
        <v>467002</v>
      </c>
      <c r="V2135" t="s">
        <v>1262</v>
      </c>
      <c r="W2135" t="s">
        <v>1262</v>
      </c>
      <c r="X2135" s="29">
        <v>467002</v>
      </c>
      <c r="AA2135" s="30">
        <v>45777.458333333336</v>
      </c>
      <c r="AB2135" s="30">
        <v>45783.416666666664</v>
      </c>
      <c r="AC2135" s="30">
        <v>45777.458333333336</v>
      </c>
      <c r="AD2135" s="30">
        <v>45783.416666666664</v>
      </c>
      <c r="AE2135" s="30">
        <v>45827.416666666664</v>
      </c>
      <c r="AF2135" s="30">
        <v>45833.375</v>
      </c>
      <c r="AG2135" t="s">
        <v>1266</v>
      </c>
      <c r="AK2135" t="s">
        <v>1265</v>
      </c>
      <c r="AL2135" t="s">
        <v>2542</v>
      </c>
      <c r="AM2135" t="s">
        <v>1263</v>
      </c>
      <c r="AN2135" t="s">
        <v>1262</v>
      </c>
      <c r="AO2135">
        <v>0</v>
      </c>
      <c r="AQ2135" t="s">
        <v>1261</v>
      </c>
      <c r="AR2135" t="s">
        <v>1260</v>
      </c>
      <c r="AS2135" t="s">
        <v>1259</v>
      </c>
      <c r="AT2135" s="30">
        <v>46069.518055555556</v>
      </c>
    </row>
    <row r="2136" spans="1:46" x14ac:dyDescent="0.25">
      <c r="A2136" t="s">
        <v>1248</v>
      </c>
      <c r="B2136">
        <v>248080</v>
      </c>
      <c r="C2136">
        <v>352105</v>
      </c>
      <c r="D2136">
        <v>405</v>
      </c>
      <c r="E2136" t="s">
        <v>1266</v>
      </c>
      <c r="H2136">
        <v>1834</v>
      </c>
      <c r="K2136" t="s">
        <v>2331</v>
      </c>
      <c r="L2136" t="s">
        <v>2331</v>
      </c>
      <c r="M2136" s="29">
        <v>146258064</v>
      </c>
      <c r="N2136">
        <v>0</v>
      </c>
      <c r="O2136" s="29">
        <v>146258064</v>
      </c>
      <c r="P2136">
        <v>0</v>
      </c>
      <c r="Q2136">
        <v>0</v>
      </c>
      <c r="R2136">
        <v>0</v>
      </c>
      <c r="T2136" s="29">
        <v>10300</v>
      </c>
      <c r="U2136" s="29">
        <v>467002</v>
      </c>
      <c r="V2136" t="s">
        <v>1262</v>
      </c>
      <c r="W2136" t="s">
        <v>1262</v>
      </c>
      <c r="X2136" s="29">
        <v>467002</v>
      </c>
      <c r="AA2136" s="30">
        <v>45775.541666666664</v>
      </c>
      <c r="AB2136" s="30">
        <v>45779.458333333336</v>
      </c>
      <c r="AC2136" s="30">
        <v>45775.541666666664</v>
      </c>
      <c r="AD2136" s="30">
        <v>45779.458333333336</v>
      </c>
      <c r="AE2136" s="30">
        <v>45821.416666666664</v>
      </c>
      <c r="AF2136" s="30">
        <v>45827.375</v>
      </c>
      <c r="AG2136" t="s">
        <v>1266</v>
      </c>
      <c r="AK2136" t="s">
        <v>1265</v>
      </c>
      <c r="AL2136" t="s">
        <v>2541</v>
      </c>
      <c r="AM2136" t="s">
        <v>1263</v>
      </c>
      <c r="AN2136" t="s">
        <v>1262</v>
      </c>
      <c r="AO2136">
        <v>0</v>
      </c>
      <c r="AQ2136" t="s">
        <v>1261</v>
      </c>
      <c r="AR2136" t="s">
        <v>1260</v>
      </c>
      <c r="AS2136" t="s">
        <v>1259</v>
      </c>
      <c r="AT2136" s="30">
        <v>46069.518055555556</v>
      </c>
    </row>
    <row r="2137" spans="1:46" x14ac:dyDescent="0.25">
      <c r="A2137" t="s">
        <v>1248</v>
      </c>
      <c r="B2137">
        <v>248081</v>
      </c>
      <c r="C2137">
        <v>352112</v>
      </c>
      <c r="D2137">
        <v>405</v>
      </c>
      <c r="E2137" t="s">
        <v>1266</v>
      </c>
      <c r="H2137">
        <v>1834</v>
      </c>
      <c r="K2137" t="s">
        <v>2331</v>
      </c>
      <c r="L2137" t="s">
        <v>2331</v>
      </c>
      <c r="M2137" s="29">
        <v>146258064</v>
      </c>
      <c r="N2137">
        <v>0</v>
      </c>
      <c r="O2137" s="29">
        <v>146258064</v>
      </c>
      <c r="P2137">
        <v>0</v>
      </c>
      <c r="Q2137">
        <v>0</v>
      </c>
      <c r="R2137">
        <v>0</v>
      </c>
      <c r="T2137" s="29">
        <v>10300</v>
      </c>
      <c r="U2137" s="29">
        <v>467002</v>
      </c>
      <c r="V2137" t="s">
        <v>1262</v>
      </c>
      <c r="W2137" t="s">
        <v>1262</v>
      </c>
      <c r="X2137" s="29">
        <v>467002</v>
      </c>
      <c r="AA2137" s="30">
        <v>45763.583333333336</v>
      </c>
      <c r="AB2137" s="30">
        <v>45769.5</v>
      </c>
      <c r="AC2137" s="30">
        <v>45763.583333333336</v>
      </c>
      <c r="AD2137" s="30">
        <v>45769.5</v>
      </c>
      <c r="AE2137" s="30">
        <v>45817.416666666664</v>
      </c>
      <c r="AF2137" s="30">
        <v>45821.375</v>
      </c>
      <c r="AG2137" t="s">
        <v>1266</v>
      </c>
      <c r="AK2137" t="s">
        <v>1265</v>
      </c>
      <c r="AL2137" t="s">
        <v>2540</v>
      </c>
      <c r="AM2137" t="s">
        <v>1263</v>
      </c>
      <c r="AN2137" t="s">
        <v>1262</v>
      </c>
      <c r="AO2137">
        <v>0</v>
      </c>
      <c r="AQ2137" t="s">
        <v>1261</v>
      </c>
      <c r="AR2137" t="s">
        <v>1260</v>
      </c>
      <c r="AS2137" t="s">
        <v>1259</v>
      </c>
      <c r="AT2137" s="30">
        <v>46069.518055555556</v>
      </c>
    </row>
    <row r="2138" spans="1:46" x14ac:dyDescent="0.25">
      <c r="A2138" t="s">
        <v>1248</v>
      </c>
      <c r="B2138">
        <v>248082</v>
      </c>
      <c r="C2138">
        <v>352119</v>
      </c>
      <c r="D2138">
        <v>405</v>
      </c>
      <c r="E2138" t="s">
        <v>1266</v>
      </c>
      <c r="H2138">
        <v>1834</v>
      </c>
      <c r="K2138" t="s">
        <v>2331</v>
      </c>
      <c r="L2138" t="s">
        <v>2331</v>
      </c>
      <c r="M2138" s="29">
        <v>146258064</v>
      </c>
      <c r="N2138">
        <v>0</v>
      </c>
      <c r="O2138" s="29">
        <v>146258064</v>
      </c>
      <c r="P2138">
        <v>0</v>
      </c>
      <c r="Q2138">
        <v>0</v>
      </c>
      <c r="R2138">
        <v>0</v>
      </c>
      <c r="T2138" s="29">
        <v>10300</v>
      </c>
      <c r="U2138" s="29">
        <v>467002</v>
      </c>
      <c r="V2138" t="s">
        <v>1262</v>
      </c>
      <c r="W2138" t="s">
        <v>1262</v>
      </c>
      <c r="X2138" s="29">
        <v>467002</v>
      </c>
      <c r="AA2138" s="30">
        <v>45761.625</v>
      </c>
      <c r="AB2138" s="30">
        <v>45765.583333333336</v>
      </c>
      <c r="AC2138" s="30">
        <v>45761.625</v>
      </c>
      <c r="AD2138" s="30">
        <v>45765.583333333336</v>
      </c>
      <c r="AE2138" s="30">
        <v>45811.416666666664</v>
      </c>
      <c r="AF2138" s="30">
        <v>45817.375</v>
      </c>
      <c r="AG2138" t="s">
        <v>1266</v>
      </c>
      <c r="AK2138" t="s">
        <v>1265</v>
      </c>
      <c r="AL2138" t="s">
        <v>2539</v>
      </c>
      <c r="AM2138" t="s">
        <v>1263</v>
      </c>
      <c r="AN2138" t="s">
        <v>1262</v>
      </c>
      <c r="AO2138">
        <v>0</v>
      </c>
      <c r="AQ2138" t="s">
        <v>1261</v>
      </c>
      <c r="AR2138" t="s">
        <v>1260</v>
      </c>
      <c r="AS2138" t="s">
        <v>1259</v>
      </c>
      <c r="AT2138" s="30">
        <v>46069.518055555556</v>
      </c>
    </row>
    <row r="2139" spans="1:46" x14ac:dyDescent="0.25">
      <c r="A2139" t="s">
        <v>1248</v>
      </c>
      <c r="B2139">
        <v>248083</v>
      </c>
      <c r="C2139">
        <v>352126</v>
      </c>
      <c r="D2139">
        <v>405</v>
      </c>
      <c r="E2139" t="s">
        <v>1266</v>
      </c>
      <c r="H2139">
        <v>1834</v>
      </c>
      <c r="K2139" t="s">
        <v>2331</v>
      </c>
      <c r="L2139" t="s">
        <v>2331</v>
      </c>
      <c r="M2139" s="29">
        <v>146258064</v>
      </c>
      <c r="N2139">
        <v>0</v>
      </c>
      <c r="O2139" s="29">
        <v>146258064</v>
      </c>
      <c r="P2139">
        <v>0</v>
      </c>
      <c r="Q2139">
        <v>0</v>
      </c>
      <c r="R2139">
        <v>0</v>
      </c>
      <c r="T2139" s="29">
        <v>10300</v>
      </c>
      <c r="U2139" s="29">
        <v>467002</v>
      </c>
      <c r="V2139" t="s">
        <v>1262</v>
      </c>
      <c r="W2139" t="s">
        <v>1262</v>
      </c>
      <c r="X2139" s="29">
        <v>467002</v>
      </c>
      <c r="AA2139" s="30">
        <v>45757.666666666664</v>
      </c>
      <c r="AB2139" s="30">
        <v>45763.625</v>
      </c>
      <c r="AC2139" s="30">
        <v>45757.666666666664</v>
      </c>
      <c r="AD2139" s="30">
        <v>45763.625</v>
      </c>
      <c r="AE2139" s="30">
        <v>45805.416666666664</v>
      </c>
      <c r="AF2139" s="30">
        <v>45811.375</v>
      </c>
      <c r="AG2139" t="s">
        <v>1266</v>
      </c>
      <c r="AK2139" t="s">
        <v>1265</v>
      </c>
      <c r="AL2139" t="s">
        <v>2538</v>
      </c>
      <c r="AM2139" t="s">
        <v>1263</v>
      </c>
      <c r="AN2139" t="s">
        <v>1262</v>
      </c>
      <c r="AO2139">
        <v>0</v>
      </c>
      <c r="AQ2139" t="s">
        <v>1261</v>
      </c>
      <c r="AR2139" t="s">
        <v>1260</v>
      </c>
      <c r="AS2139" t="s">
        <v>1259</v>
      </c>
      <c r="AT2139" s="30">
        <v>46069.518055555556</v>
      </c>
    </row>
    <row r="2140" spans="1:46" x14ac:dyDescent="0.25">
      <c r="A2140" t="s">
        <v>1248</v>
      </c>
      <c r="B2140">
        <v>248084</v>
      </c>
      <c r="C2140">
        <v>352133</v>
      </c>
      <c r="D2140">
        <v>405</v>
      </c>
      <c r="E2140" t="s">
        <v>1266</v>
      </c>
      <c r="H2140">
        <v>1834</v>
      </c>
      <c r="K2140" t="s">
        <v>2331</v>
      </c>
      <c r="L2140" t="s">
        <v>2331</v>
      </c>
      <c r="M2140" s="29">
        <v>146258064</v>
      </c>
      <c r="N2140">
        <v>0</v>
      </c>
      <c r="O2140" s="29">
        <v>146258064</v>
      </c>
      <c r="P2140">
        <v>0</v>
      </c>
      <c r="Q2140">
        <v>0</v>
      </c>
      <c r="R2140">
        <v>0</v>
      </c>
      <c r="T2140" s="29">
        <v>10300</v>
      </c>
      <c r="U2140" s="29">
        <v>467002</v>
      </c>
      <c r="V2140" t="s">
        <v>1262</v>
      </c>
      <c r="W2140" t="s">
        <v>1262</v>
      </c>
      <c r="X2140" s="29">
        <v>467002</v>
      </c>
      <c r="AA2140" s="30">
        <v>45756.333333333336</v>
      </c>
      <c r="AB2140" s="30">
        <v>45761.666666666664</v>
      </c>
      <c r="AC2140" s="30">
        <v>45756.333333333336</v>
      </c>
      <c r="AD2140" s="30">
        <v>45761.666666666664</v>
      </c>
      <c r="AE2140" s="30">
        <v>45799.416666666664</v>
      </c>
      <c r="AF2140" s="30">
        <v>45805.375</v>
      </c>
      <c r="AG2140" t="s">
        <v>1266</v>
      </c>
      <c r="AK2140" t="s">
        <v>1265</v>
      </c>
      <c r="AL2140" t="s">
        <v>2537</v>
      </c>
      <c r="AM2140" t="s">
        <v>1263</v>
      </c>
      <c r="AN2140" t="s">
        <v>1262</v>
      </c>
      <c r="AO2140">
        <v>0</v>
      </c>
      <c r="AQ2140" t="s">
        <v>1261</v>
      </c>
      <c r="AR2140" t="s">
        <v>1260</v>
      </c>
      <c r="AS2140" t="s">
        <v>1259</v>
      </c>
      <c r="AT2140" s="30">
        <v>46069.518055555556</v>
      </c>
    </row>
    <row r="2141" spans="1:46" x14ac:dyDescent="0.25">
      <c r="A2141" t="s">
        <v>1248</v>
      </c>
      <c r="B2141">
        <v>248085</v>
      </c>
      <c r="C2141">
        <v>352140</v>
      </c>
      <c r="D2141">
        <v>405</v>
      </c>
      <c r="E2141" t="s">
        <v>1266</v>
      </c>
      <c r="H2141">
        <v>1834</v>
      </c>
      <c r="K2141" t="s">
        <v>2331</v>
      </c>
      <c r="L2141" t="s">
        <v>2331</v>
      </c>
      <c r="M2141" s="29">
        <v>146258064</v>
      </c>
      <c r="N2141">
        <v>0</v>
      </c>
      <c r="O2141" s="29">
        <v>146258064</v>
      </c>
      <c r="P2141">
        <v>0</v>
      </c>
      <c r="Q2141">
        <v>0</v>
      </c>
      <c r="R2141">
        <v>0</v>
      </c>
      <c r="T2141" s="29">
        <v>10300</v>
      </c>
      <c r="U2141" s="29">
        <v>467002</v>
      </c>
      <c r="V2141" t="s">
        <v>1262</v>
      </c>
      <c r="W2141" t="s">
        <v>1262</v>
      </c>
      <c r="X2141" s="29">
        <v>467002</v>
      </c>
      <c r="AA2141" s="30">
        <v>45754.375</v>
      </c>
      <c r="AB2141" s="30">
        <v>45757.708333333336</v>
      </c>
      <c r="AC2141" s="30">
        <v>45754.375</v>
      </c>
      <c r="AD2141" s="30">
        <v>45757.708333333336</v>
      </c>
      <c r="AE2141" s="30">
        <v>45793.416666666664</v>
      </c>
      <c r="AF2141" s="30">
        <v>45799.375</v>
      </c>
      <c r="AG2141" t="s">
        <v>1266</v>
      </c>
      <c r="AK2141" t="s">
        <v>1265</v>
      </c>
      <c r="AL2141" t="s">
        <v>2536</v>
      </c>
      <c r="AM2141" t="s">
        <v>1263</v>
      </c>
      <c r="AN2141" t="s">
        <v>1262</v>
      </c>
      <c r="AO2141">
        <v>0</v>
      </c>
      <c r="AQ2141" t="s">
        <v>1261</v>
      </c>
      <c r="AR2141" t="s">
        <v>1260</v>
      </c>
      <c r="AS2141" t="s">
        <v>1259</v>
      </c>
      <c r="AT2141" s="30">
        <v>46069.518055555556</v>
      </c>
    </row>
    <row r="2142" spans="1:46" x14ac:dyDescent="0.25">
      <c r="A2142" t="s">
        <v>1248</v>
      </c>
      <c r="B2142">
        <v>248086</v>
      </c>
      <c r="C2142">
        <v>352147</v>
      </c>
      <c r="D2142">
        <v>405</v>
      </c>
      <c r="E2142" t="s">
        <v>1266</v>
      </c>
      <c r="H2142">
        <v>1834</v>
      </c>
      <c r="K2142" t="s">
        <v>2331</v>
      </c>
      <c r="L2142" t="s">
        <v>2331</v>
      </c>
      <c r="M2142" s="29">
        <v>146258064</v>
      </c>
      <c r="N2142">
        <v>0</v>
      </c>
      <c r="O2142" s="29">
        <v>146258064</v>
      </c>
      <c r="P2142">
        <v>0</v>
      </c>
      <c r="Q2142">
        <v>0</v>
      </c>
      <c r="R2142">
        <v>0</v>
      </c>
      <c r="T2142" s="29">
        <v>10300</v>
      </c>
      <c r="U2142" s="29">
        <v>467002</v>
      </c>
      <c r="V2142" t="s">
        <v>1262</v>
      </c>
      <c r="W2142" t="s">
        <v>1262</v>
      </c>
      <c r="X2142" s="29">
        <v>467002</v>
      </c>
      <c r="AA2142" s="30">
        <v>45750.416666666664</v>
      </c>
      <c r="AB2142" s="30">
        <v>45756.375</v>
      </c>
      <c r="AC2142" s="30">
        <v>45750.416666666664</v>
      </c>
      <c r="AD2142" s="30">
        <v>45756.375</v>
      </c>
      <c r="AE2142" s="30">
        <v>45789.416666666664</v>
      </c>
      <c r="AF2142" s="30">
        <v>45793.375</v>
      </c>
      <c r="AG2142" t="s">
        <v>1266</v>
      </c>
      <c r="AK2142" t="s">
        <v>1265</v>
      </c>
      <c r="AL2142" t="s">
        <v>2535</v>
      </c>
      <c r="AM2142" t="s">
        <v>1263</v>
      </c>
      <c r="AN2142" t="s">
        <v>1262</v>
      </c>
      <c r="AO2142">
        <v>0</v>
      </c>
      <c r="AQ2142" t="s">
        <v>1261</v>
      </c>
      <c r="AR2142" t="s">
        <v>1260</v>
      </c>
      <c r="AS2142" t="s">
        <v>1259</v>
      </c>
      <c r="AT2142" s="30">
        <v>46069.518055555556</v>
      </c>
    </row>
    <row r="2143" spans="1:46" x14ac:dyDescent="0.25">
      <c r="A2143" t="s">
        <v>1248</v>
      </c>
      <c r="B2143">
        <v>248087</v>
      </c>
      <c r="C2143">
        <v>352154</v>
      </c>
      <c r="D2143">
        <v>405</v>
      </c>
      <c r="E2143" t="s">
        <v>1266</v>
      </c>
      <c r="H2143">
        <v>1834</v>
      </c>
      <c r="K2143" t="s">
        <v>2331</v>
      </c>
      <c r="L2143" t="s">
        <v>2331</v>
      </c>
      <c r="M2143" s="29">
        <v>146258064</v>
      </c>
      <c r="N2143">
        <v>0</v>
      </c>
      <c r="O2143" s="29">
        <v>146258064</v>
      </c>
      <c r="P2143">
        <v>0</v>
      </c>
      <c r="Q2143">
        <v>0</v>
      </c>
      <c r="R2143">
        <v>0</v>
      </c>
      <c r="T2143" s="29">
        <v>10300</v>
      </c>
      <c r="U2143" s="29">
        <v>467002</v>
      </c>
      <c r="V2143" t="s">
        <v>1262</v>
      </c>
      <c r="W2143" t="s">
        <v>1262</v>
      </c>
      <c r="X2143" s="29">
        <v>467002</v>
      </c>
      <c r="AA2143" s="30">
        <v>45748.458333333336</v>
      </c>
      <c r="AB2143" s="30">
        <v>45754.416666666664</v>
      </c>
      <c r="AC2143" s="30">
        <v>45748.458333333336</v>
      </c>
      <c r="AD2143" s="30">
        <v>45754.416666666664</v>
      </c>
      <c r="AE2143" s="30">
        <v>45783.416666666664</v>
      </c>
      <c r="AF2143" s="30">
        <v>45789.375</v>
      </c>
      <c r="AG2143" t="s">
        <v>1266</v>
      </c>
      <c r="AK2143" t="s">
        <v>1265</v>
      </c>
      <c r="AL2143" t="s">
        <v>2534</v>
      </c>
      <c r="AM2143" t="s">
        <v>1263</v>
      </c>
      <c r="AN2143" t="s">
        <v>1262</v>
      </c>
      <c r="AO2143">
        <v>0</v>
      </c>
      <c r="AQ2143" t="s">
        <v>1261</v>
      </c>
      <c r="AR2143" t="s">
        <v>1260</v>
      </c>
      <c r="AS2143" t="s">
        <v>1259</v>
      </c>
      <c r="AT2143" s="30">
        <v>46069.518055555556</v>
      </c>
    </row>
    <row r="2144" spans="1:46" x14ac:dyDescent="0.25">
      <c r="A2144" t="s">
        <v>1248</v>
      </c>
      <c r="B2144">
        <v>248088</v>
      </c>
      <c r="C2144">
        <v>352161</v>
      </c>
      <c r="D2144">
        <v>405</v>
      </c>
      <c r="E2144" t="s">
        <v>1266</v>
      </c>
      <c r="H2144">
        <v>1834</v>
      </c>
      <c r="K2144" t="s">
        <v>2331</v>
      </c>
      <c r="L2144" t="s">
        <v>2331</v>
      </c>
      <c r="M2144" s="29">
        <v>146258064</v>
      </c>
      <c r="N2144">
        <v>0</v>
      </c>
      <c r="O2144" s="29">
        <v>146258064</v>
      </c>
      <c r="P2144">
        <v>0</v>
      </c>
      <c r="Q2144">
        <v>0</v>
      </c>
      <c r="R2144">
        <v>0</v>
      </c>
      <c r="T2144" s="29">
        <v>10300</v>
      </c>
      <c r="U2144" s="29">
        <v>467002</v>
      </c>
      <c r="V2144" t="s">
        <v>1262</v>
      </c>
      <c r="W2144" t="s">
        <v>1262</v>
      </c>
      <c r="X2144" s="29">
        <v>467002</v>
      </c>
      <c r="AA2144" s="30">
        <v>45744.541666666664</v>
      </c>
      <c r="AB2144" s="30">
        <v>45750.458333333336</v>
      </c>
      <c r="AC2144" s="30">
        <v>45744.541666666664</v>
      </c>
      <c r="AD2144" s="30">
        <v>45750.458333333336</v>
      </c>
      <c r="AE2144" s="30">
        <v>45777.416666666664</v>
      </c>
      <c r="AF2144" s="30">
        <v>45783.375</v>
      </c>
      <c r="AG2144" t="s">
        <v>1266</v>
      </c>
      <c r="AK2144" t="s">
        <v>1265</v>
      </c>
      <c r="AL2144" t="s">
        <v>2533</v>
      </c>
      <c r="AM2144" t="s">
        <v>1263</v>
      </c>
      <c r="AN2144" t="s">
        <v>1262</v>
      </c>
      <c r="AO2144">
        <v>0</v>
      </c>
      <c r="AQ2144" t="s">
        <v>1261</v>
      </c>
      <c r="AR2144" t="s">
        <v>1260</v>
      </c>
      <c r="AS2144" t="s">
        <v>1259</v>
      </c>
      <c r="AT2144" s="30">
        <v>46069.518055555556</v>
      </c>
    </row>
    <row r="2145" spans="1:46" x14ac:dyDescent="0.25">
      <c r="A2145" t="s">
        <v>1248</v>
      </c>
      <c r="B2145">
        <v>248089</v>
      </c>
      <c r="C2145">
        <v>352168</v>
      </c>
      <c r="D2145">
        <v>405</v>
      </c>
      <c r="E2145" t="s">
        <v>1266</v>
      </c>
      <c r="H2145">
        <v>1834</v>
      </c>
      <c r="K2145" t="s">
        <v>2331</v>
      </c>
      <c r="L2145" t="s">
        <v>2331</v>
      </c>
      <c r="M2145" s="29">
        <v>146258064</v>
      </c>
      <c r="N2145">
        <v>0</v>
      </c>
      <c r="O2145" s="29">
        <v>146258064</v>
      </c>
      <c r="P2145">
        <v>0</v>
      </c>
      <c r="Q2145">
        <v>0</v>
      </c>
      <c r="R2145">
        <v>0</v>
      </c>
      <c r="T2145" s="29">
        <v>10300</v>
      </c>
      <c r="U2145" s="29">
        <v>467002</v>
      </c>
      <c r="V2145" t="s">
        <v>1262</v>
      </c>
      <c r="W2145" t="s">
        <v>1262</v>
      </c>
      <c r="X2145" s="29">
        <v>467002</v>
      </c>
      <c r="AA2145" s="30">
        <v>45733.458333333336</v>
      </c>
      <c r="AB2145" s="30">
        <v>45737.416666666664</v>
      </c>
      <c r="AC2145" s="30">
        <v>45733.458333333336</v>
      </c>
      <c r="AD2145" s="30">
        <v>45737.416666666664</v>
      </c>
      <c r="AE2145" s="30">
        <v>45771.416666666664</v>
      </c>
      <c r="AF2145" s="30">
        <v>45777.375</v>
      </c>
      <c r="AG2145" t="s">
        <v>1266</v>
      </c>
      <c r="AK2145" t="s">
        <v>1265</v>
      </c>
      <c r="AL2145" t="s">
        <v>2532</v>
      </c>
      <c r="AM2145" t="s">
        <v>1263</v>
      </c>
      <c r="AN2145" t="s">
        <v>1262</v>
      </c>
      <c r="AO2145">
        <v>0</v>
      </c>
      <c r="AQ2145" t="s">
        <v>1261</v>
      </c>
      <c r="AR2145" t="s">
        <v>1260</v>
      </c>
      <c r="AS2145" t="s">
        <v>1259</v>
      </c>
      <c r="AT2145" s="30">
        <v>46069.518055555556</v>
      </c>
    </row>
    <row r="2146" spans="1:46" x14ac:dyDescent="0.25">
      <c r="A2146" t="s">
        <v>1248</v>
      </c>
      <c r="B2146">
        <v>248090</v>
      </c>
      <c r="C2146">
        <v>352175</v>
      </c>
      <c r="D2146">
        <v>405</v>
      </c>
      <c r="E2146" t="s">
        <v>1266</v>
      </c>
      <c r="H2146">
        <v>1834</v>
      </c>
      <c r="K2146" t="s">
        <v>2331</v>
      </c>
      <c r="L2146" t="s">
        <v>2331</v>
      </c>
      <c r="M2146" s="29">
        <v>146258064</v>
      </c>
      <c r="N2146">
        <v>0</v>
      </c>
      <c r="O2146" s="29">
        <v>146258064</v>
      </c>
      <c r="P2146">
        <v>0</v>
      </c>
      <c r="Q2146">
        <v>0</v>
      </c>
      <c r="R2146">
        <v>0</v>
      </c>
      <c r="T2146" s="29">
        <v>10300</v>
      </c>
      <c r="U2146" s="29">
        <v>467002</v>
      </c>
      <c r="V2146" t="s">
        <v>1262</v>
      </c>
      <c r="W2146" t="s">
        <v>1262</v>
      </c>
      <c r="X2146" s="29">
        <v>467002</v>
      </c>
      <c r="AA2146" s="30">
        <v>45728.541666666664</v>
      </c>
      <c r="AB2146" s="30">
        <v>45734.458333333336</v>
      </c>
      <c r="AC2146" s="30">
        <v>45728.541666666664</v>
      </c>
      <c r="AD2146" s="30">
        <v>45734.458333333336</v>
      </c>
      <c r="AE2146" s="30">
        <v>45765.416666666664</v>
      </c>
      <c r="AF2146" s="30">
        <v>45771.375</v>
      </c>
      <c r="AG2146" t="s">
        <v>1266</v>
      </c>
      <c r="AK2146" t="s">
        <v>1265</v>
      </c>
      <c r="AL2146" t="s">
        <v>2531</v>
      </c>
      <c r="AM2146" t="s">
        <v>1263</v>
      </c>
      <c r="AN2146" t="s">
        <v>1262</v>
      </c>
      <c r="AO2146">
        <v>0</v>
      </c>
      <c r="AQ2146" t="s">
        <v>1261</v>
      </c>
      <c r="AR2146" t="s">
        <v>1260</v>
      </c>
      <c r="AS2146" t="s">
        <v>1259</v>
      </c>
      <c r="AT2146" s="30">
        <v>46069.518055555556</v>
      </c>
    </row>
    <row r="2147" spans="1:46" x14ac:dyDescent="0.25">
      <c r="A2147" t="s">
        <v>1248</v>
      </c>
      <c r="B2147">
        <v>248091</v>
      </c>
      <c r="C2147">
        <v>352182</v>
      </c>
      <c r="D2147">
        <v>405</v>
      </c>
      <c r="E2147" t="s">
        <v>1266</v>
      </c>
      <c r="H2147">
        <v>1834</v>
      </c>
      <c r="K2147" t="s">
        <v>2331</v>
      </c>
      <c r="L2147" t="s">
        <v>2331</v>
      </c>
      <c r="M2147" s="29">
        <v>146258064</v>
      </c>
      <c r="N2147">
        <v>0</v>
      </c>
      <c r="O2147" s="29">
        <v>146258064</v>
      </c>
      <c r="P2147">
        <v>0</v>
      </c>
      <c r="Q2147">
        <v>0</v>
      </c>
      <c r="R2147">
        <v>0</v>
      </c>
      <c r="T2147" s="29">
        <v>10300</v>
      </c>
      <c r="U2147" s="29">
        <v>467002</v>
      </c>
      <c r="V2147" t="s">
        <v>1262</v>
      </c>
      <c r="W2147" t="s">
        <v>1262</v>
      </c>
      <c r="X2147" s="29">
        <v>467002</v>
      </c>
      <c r="AA2147" s="30">
        <v>45733.583333333336</v>
      </c>
      <c r="AB2147" s="30">
        <v>45737.5</v>
      </c>
      <c r="AC2147" s="30">
        <v>45733.583333333336</v>
      </c>
      <c r="AD2147" s="30">
        <v>45737.5</v>
      </c>
      <c r="AE2147" s="30">
        <v>45761.416666666664</v>
      </c>
      <c r="AF2147" s="30">
        <v>45765.375</v>
      </c>
      <c r="AG2147" t="s">
        <v>1266</v>
      </c>
      <c r="AK2147" t="s">
        <v>1265</v>
      </c>
      <c r="AL2147" t="e">
        <f>+H7RjZEW1kuSZguSfRB/tA</f>
        <v>#NAME?</v>
      </c>
      <c r="AM2147" t="s">
        <v>1263</v>
      </c>
      <c r="AN2147" t="s">
        <v>1262</v>
      </c>
      <c r="AO2147">
        <v>0</v>
      </c>
      <c r="AQ2147" t="s">
        <v>1261</v>
      </c>
      <c r="AR2147" t="s">
        <v>1260</v>
      </c>
      <c r="AS2147" t="s">
        <v>1259</v>
      </c>
      <c r="AT2147" s="30">
        <v>46069.518055555556</v>
      </c>
    </row>
    <row r="2148" spans="1:46" x14ac:dyDescent="0.25">
      <c r="A2148" t="s">
        <v>1248</v>
      </c>
      <c r="B2148">
        <v>248092</v>
      </c>
      <c r="C2148">
        <v>352189</v>
      </c>
      <c r="D2148">
        <v>405</v>
      </c>
      <c r="E2148" t="s">
        <v>1266</v>
      </c>
      <c r="H2148">
        <v>1834</v>
      </c>
      <c r="K2148" s="29">
        <v>4680258</v>
      </c>
      <c r="L2148" s="29">
        <v>4680258</v>
      </c>
      <c r="M2148" s="29">
        <v>146258064</v>
      </c>
      <c r="N2148">
        <v>0</v>
      </c>
      <c r="O2148" s="29">
        <v>146258064</v>
      </c>
      <c r="P2148">
        <v>0</v>
      </c>
      <c r="Q2148">
        <v>0</v>
      </c>
      <c r="R2148">
        <v>0</v>
      </c>
      <c r="T2148" s="29">
        <v>10300</v>
      </c>
      <c r="U2148" s="29">
        <v>482067</v>
      </c>
      <c r="V2148" t="s">
        <v>1262</v>
      </c>
      <c r="W2148" t="s">
        <v>1262</v>
      </c>
      <c r="X2148" s="29">
        <v>482067</v>
      </c>
      <c r="AA2148" s="30">
        <v>45729.333333333336</v>
      </c>
      <c r="AB2148" s="30">
        <v>45734.708333333336</v>
      </c>
      <c r="AC2148" s="30">
        <v>45729.333333333336</v>
      </c>
      <c r="AD2148" s="30">
        <v>45734.708333333336</v>
      </c>
      <c r="AE2148" s="30">
        <v>45755.333333333336</v>
      </c>
      <c r="AF2148" s="30">
        <v>45758.708333333336</v>
      </c>
      <c r="AG2148" t="s">
        <v>1266</v>
      </c>
      <c r="AK2148" t="s">
        <v>1265</v>
      </c>
      <c r="AL2148" t="s">
        <v>2530</v>
      </c>
      <c r="AM2148" t="s">
        <v>1263</v>
      </c>
      <c r="AN2148" t="s">
        <v>1262</v>
      </c>
      <c r="AO2148">
        <v>0</v>
      </c>
      <c r="AQ2148" t="s">
        <v>1261</v>
      </c>
      <c r="AR2148" t="s">
        <v>1260</v>
      </c>
      <c r="AS2148" t="s">
        <v>1259</v>
      </c>
      <c r="AT2148" s="30">
        <v>46069.518055555556</v>
      </c>
    </row>
    <row r="2149" spans="1:46" x14ac:dyDescent="0.25">
      <c r="A2149" t="s">
        <v>1248</v>
      </c>
      <c r="B2149">
        <v>248164</v>
      </c>
      <c r="C2149">
        <v>352192</v>
      </c>
      <c r="D2149">
        <v>405</v>
      </c>
      <c r="E2149" t="s">
        <v>1266</v>
      </c>
      <c r="H2149">
        <v>1893</v>
      </c>
      <c r="K2149">
        <v>15</v>
      </c>
      <c r="L2149">
        <v>15</v>
      </c>
      <c r="M2149">
        <v>1</v>
      </c>
      <c r="N2149">
        <v>0</v>
      </c>
      <c r="O2149">
        <v>1</v>
      </c>
      <c r="P2149">
        <v>0</v>
      </c>
      <c r="Q2149">
        <v>0</v>
      </c>
      <c r="R2149">
        <v>0</v>
      </c>
      <c r="T2149" s="29">
        <v>90000</v>
      </c>
      <c r="U2149" s="29">
        <v>1350000</v>
      </c>
      <c r="V2149" t="s">
        <v>1262</v>
      </c>
      <c r="W2149" t="s">
        <v>1262</v>
      </c>
      <c r="X2149" s="29">
        <v>1350000</v>
      </c>
      <c r="AA2149" s="30">
        <v>45895.333333333336</v>
      </c>
      <c r="AB2149" s="30">
        <v>45896.666666666664</v>
      </c>
      <c r="AC2149" s="30">
        <v>45895.333333333336</v>
      </c>
      <c r="AD2149" s="30">
        <v>45896.666666666664</v>
      </c>
      <c r="AE2149" s="30">
        <v>46384.369444444441</v>
      </c>
      <c r="AF2149" s="30">
        <v>46385.702777777777</v>
      </c>
      <c r="AG2149" t="s">
        <v>1266</v>
      </c>
      <c r="AK2149" t="s">
        <v>1265</v>
      </c>
      <c r="AL2149" t="s">
        <v>2529</v>
      </c>
      <c r="AM2149" t="s">
        <v>1263</v>
      </c>
      <c r="AN2149" t="s">
        <v>1262</v>
      </c>
      <c r="AO2149">
        <v>0</v>
      </c>
      <c r="AQ2149" t="s">
        <v>1261</v>
      </c>
      <c r="AR2149" t="s">
        <v>1260</v>
      </c>
      <c r="AS2149" t="s">
        <v>1259</v>
      </c>
      <c r="AT2149" s="30">
        <v>46069.523611111108</v>
      </c>
    </row>
    <row r="2150" spans="1:46" x14ac:dyDescent="0.25">
      <c r="A2150" t="s">
        <v>1248</v>
      </c>
      <c r="B2150">
        <v>248165</v>
      </c>
      <c r="C2150">
        <v>352198</v>
      </c>
      <c r="D2150">
        <v>405</v>
      </c>
      <c r="E2150" t="s">
        <v>1266</v>
      </c>
      <c r="H2150">
        <v>1893</v>
      </c>
      <c r="K2150">
        <v>7</v>
      </c>
      <c r="L2150">
        <v>7</v>
      </c>
      <c r="M2150">
        <v>1</v>
      </c>
      <c r="N2150">
        <v>0</v>
      </c>
      <c r="O2150">
        <v>1</v>
      </c>
      <c r="P2150">
        <v>0</v>
      </c>
      <c r="Q2150">
        <v>0</v>
      </c>
      <c r="R2150">
        <v>0</v>
      </c>
      <c r="T2150" s="29">
        <v>90000</v>
      </c>
      <c r="U2150" s="29">
        <v>630000</v>
      </c>
      <c r="V2150" t="s">
        <v>1262</v>
      </c>
      <c r="W2150" t="s">
        <v>1262</v>
      </c>
      <c r="X2150" s="29">
        <v>630000</v>
      </c>
      <c r="AA2150" s="30">
        <v>45923.338888888888</v>
      </c>
      <c r="AB2150" s="30">
        <v>45923.672222222223</v>
      </c>
      <c r="AC2150" s="30">
        <v>45923.338888888888</v>
      </c>
      <c r="AD2150" s="30">
        <v>45923.672222222223</v>
      </c>
      <c r="AE2150" s="30">
        <v>46414.375</v>
      </c>
      <c r="AF2150" s="30">
        <v>46414.708333333336</v>
      </c>
      <c r="AG2150" t="s">
        <v>1266</v>
      </c>
      <c r="AK2150" t="s">
        <v>1265</v>
      </c>
      <c r="AL2150" t="s">
        <v>2528</v>
      </c>
      <c r="AM2150" t="s">
        <v>1263</v>
      </c>
      <c r="AN2150" t="s">
        <v>1262</v>
      </c>
      <c r="AO2150">
        <v>0</v>
      </c>
      <c r="AQ2150" t="s">
        <v>1261</v>
      </c>
      <c r="AR2150" t="s">
        <v>1260</v>
      </c>
      <c r="AS2150" t="s">
        <v>1259</v>
      </c>
      <c r="AT2150" s="30">
        <v>46069.523611111108</v>
      </c>
    </row>
    <row r="2151" spans="1:46" x14ac:dyDescent="0.25">
      <c r="A2151" t="s">
        <v>1248</v>
      </c>
      <c r="B2151">
        <v>248166</v>
      </c>
      <c r="C2151">
        <v>352199</v>
      </c>
      <c r="D2151">
        <v>405</v>
      </c>
      <c r="E2151" t="s">
        <v>1266</v>
      </c>
      <c r="H2151">
        <v>1893</v>
      </c>
      <c r="K2151">
        <v>15</v>
      </c>
      <c r="L2151">
        <v>15</v>
      </c>
      <c r="M2151">
        <v>1</v>
      </c>
      <c r="N2151">
        <v>0</v>
      </c>
      <c r="O2151">
        <v>1</v>
      </c>
      <c r="P2151">
        <v>0</v>
      </c>
      <c r="Q2151">
        <v>0</v>
      </c>
      <c r="R2151">
        <v>0</v>
      </c>
      <c r="T2151" s="29">
        <v>90000</v>
      </c>
      <c r="U2151" s="29">
        <v>1350000</v>
      </c>
      <c r="V2151" t="s">
        <v>1262</v>
      </c>
      <c r="W2151" t="s">
        <v>1262</v>
      </c>
      <c r="X2151" s="29">
        <v>1350000</v>
      </c>
      <c r="AA2151" s="30">
        <v>45890.333333333336</v>
      </c>
      <c r="AB2151" s="30">
        <v>45891.666666666664</v>
      </c>
      <c r="AC2151" s="30">
        <v>45890.333333333336</v>
      </c>
      <c r="AD2151" s="30">
        <v>45891.666666666664</v>
      </c>
      <c r="AE2151" s="30">
        <v>46365.369444444441</v>
      </c>
      <c r="AF2151" s="30">
        <v>46366.702777777777</v>
      </c>
      <c r="AG2151" t="s">
        <v>1266</v>
      </c>
      <c r="AK2151" t="s">
        <v>1265</v>
      </c>
      <c r="AL2151" t="s">
        <v>2527</v>
      </c>
      <c r="AM2151" t="s">
        <v>1263</v>
      </c>
      <c r="AN2151" t="s">
        <v>1262</v>
      </c>
      <c r="AO2151">
        <v>0</v>
      </c>
      <c r="AQ2151" t="s">
        <v>1261</v>
      </c>
      <c r="AR2151" t="s">
        <v>1260</v>
      </c>
      <c r="AS2151" t="s">
        <v>1259</v>
      </c>
      <c r="AT2151" s="30">
        <v>46069.523611111108</v>
      </c>
    </row>
    <row r="2152" spans="1:46" x14ac:dyDescent="0.25">
      <c r="A2152" t="s">
        <v>1248</v>
      </c>
      <c r="B2152">
        <v>248167</v>
      </c>
      <c r="C2152">
        <v>352205</v>
      </c>
      <c r="D2152">
        <v>405</v>
      </c>
      <c r="E2152" t="s">
        <v>1266</v>
      </c>
      <c r="H2152">
        <v>1893</v>
      </c>
      <c r="K2152">
        <v>7</v>
      </c>
      <c r="L2152">
        <v>7</v>
      </c>
      <c r="M2152">
        <v>1</v>
      </c>
      <c r="N2152">
        <v>0</v>
      </c>
      <c r="O2152">
        <v>1</v>
      </c>
      <c r="P2152">
        <v>0</v>
      </c>
      <c r="Q2152">
        <v>0</v>
      </c>
      <c r="R2152">
        <v>0</v>
      </c>
      <c r="T2152" s="29">
        <v>90000</v>
      </c>
      <c r="U2152" s="29">
        <v>630000</v>
      </c>
      <c r="V2152" t="s">
        <v>1262</v>
      </c>
      <c r="W2152" t="s">
        <v>1262</v>
      </c>
      <c r="X2152" s="29">
        <v>630000</v>
      </c>
      <c r="AA2152" s="30">
        <v>45918.338888888888</v>
      </c>
      <c r="AB2152" s="30">
        <v>45918.672222222223</v>
      </c>
      <c r="AC2152" s="30">
        <v>45918.338888888888</v>
      </c>
      <c r="AD2152" s="30">
        <v>45918.672222222223</v>
      </c>
      <c r="AE2152" s="30">
        <v>46398.375</v>
      </c>
      <c r="AF2152" s="30">
        <v>46398.708333333336</v>
      </c>
      <c r="AG2152" t="s">
        <v>1266</v>
      </c>
      <c r="AK2152" t="s">
        <v>1265</v>
      </c>
      <c r="AL2152" t="s">
        <v>2526</v>
      </c>
      <c r="AM2152" t="s">
        <v>1263</v>
      </c>
      <c r="AN2152" t="s">
        <v>1262</v>
      </c>
      <c r="AO2152">
        <v>0</v>
      </c>
      <c r="AQ2152" t="s">
        <v>1261</v>
      </c>
      <c r="AR2152" t="s">
        <v>1260</v>
      </c>
      <c r="AS2152" t="s">
        <v>1259</v>
      </c>
      <c r="AT2152" s="30">
        <v>46069.523611111108</v>
      </c>
    </row>
    <row r="2153" spans="1:46" x14ac:dyDescent="0.25">
      <c r="A2153" t="s">
        <v>1248</v>
      </c>
      <c r="B2153">
        <v>248168</v>
      </c>
      <c r="C2153">
        <v>352206</v>
      </c>
      <c r="D2153">
        <v>405</v>
      </c>
      <c r="E2153" t="s">
        <v>1266</v>
      </c>
      <c r="H2153">
        <v>1893</v>
      </c>
      <c r="K2153">
        <v>15</v>
      </c>
      <c r="L2153">
        <v>15</v>
      </c>
      <c r="M2153">
        <v>1</v>
      </c>
      <c r="N2153">
        <v>0</v>
      </c>
      <c r="O2153">
        <v>1</v>
      </c>
      <c r="P2153">
        <v>0</v>
      </c>
      <c r="Q2153">
        <v>0</v>
      </c>
      <c r="R2153">
        <v>0</v>
      </c>
      <c r="T2153" s="29">
        <v>90000</v>
      </c>
      <c r="U2153" s="29">
        <v>1350000</v>
      </c>
      <c r="V2153" t="s">
        <v>1262</v>
      </c>
      <c r="W2153" t="s">
        <v>1262</v>
      </c>
      <c r="X2153" s="29">
        <v>1350000</v>
      </c>
      <c r="AA2153" s="30">
        <v>45887.333333333336</v>
      </c>
      <c r="AB2153" s="30">
        <v>45888.666666666664</v>
      </c>
      <c r="AC2153" s="30">
        <v>45887.333333333336</v>
      </c>
      <c r="AD2153" s="30">
        <v>45888.666666666664</v>
      </c>
      <c r="AE2153" s="30">
        <v>46346.369444444441</v>
      </c>
      <c r="AF2153" s="30">
        <v>46349.702777777777</v>
      </c>
      <c r="AG2153" t="s">
        <v>1266</v>
      </c>
      <c r="AK2153" t="s">
        <v>1265</v>
      </c>
      <c r="AL2153" t="s">
        <v>2525</v>
      </c>
      <c r="AM2153" t="s">
        <v>1263</v>
      </c>
      <c r="AN2153" t="s">
        <v>1262</v>
      </c>
      <c r="AO2153">
        <v>0</v>
      </c>
      <c r="AQ2153" t="s">
        <v>1261</v>
      </c>
      <c r="AR2153" t="s">
        <v>1260</v>
      </c>
      <c r="AS2153" t="s">
        <v>1259</v>
      </c>
      <c r="AT2153" s="30">
        <v>46069.523611111108</v>
      </c>
    </row>
    <row r="2154" spans="1:46" x14ac:dyDescent="0.25">
      <c r="A2154" t="s">
        <v>1248</v>
      </c>
      <c r="B2154">
        <v>248169</v>
      </c>
      <c r="C2154">
        <v>352212</v>
      </c>
      <c r="D2154">
        <v>405</v>
      </c>
      <c r="E2154" t="s">
        <v>1266</v>
      </c>
      <c r="H2154">
        <v>1893</v>
      </c>
      <c r="K2154">
        <v>7</v>
      </c>
      <c r="L2154">
        <v>7</v>
      </c>
      <c r="M2154">
        <v>1</v>
      </c>
      <c r="N2154">
        <v>0</v>
      </c>
      <c r="O2154">
        <v>1</v>
      </c>
      <c r="P2154">
        <v>0</v>
      </c>
      <c r="Q2154">
        <v>0</v>
      </c>
      <c r="R2154">
        <v>0</v>
      </c>
      <c r="T2154" s="29">
        <v>90000</v>
      </c>
      <c r="U2154" s="29">
        <v>630000</v>
      </c>
      <c r="V2154" t="s">
        <v>1262</v>
      </c>
      <c r="W2154" t="s">
        <v>1262</v>
      </c>
      <c r="X2154" s="29">
        <v>630000</v>
      </c>
      <c r="AA2154" s="30">
        <v>45915.338888888888</v>
      </c>
      <c r="AB2154" s="30">
        <v>45915.672222222223</v>
      </c>
      <c r="AC2154" s="30">
        <v>45915.338888888888</v>
      </c>
      <c r="AD2154" s="30">
        <v>45915.672222222223</v>
      </c>
      <c r="AE2154" s="30">
        <v>46377.375</v>
      </c>
      <c r="AF2154" s="30">
        <v>46377.708333333336</v>
      </c>
      <c r="AG2154" t="s">
        <v>1266</v>
      </c>
      <c r="AK2154" t="s">
        <v>1265</v>
      </c>
      <c r="AL2154" t="s">
        <v>2524</v>
      </c>
      <c r="AM2154" t="s">
        <v>1263</v>
      </c>
      <c r="AN2154" t="s">
        <v>1262</v>
      </c>
      <c r="AO2154">
        <v>0</v>
      </c>
      <c r="AQ2154" t="s">
        <v>1261</v>
      </c>
      <c r="AR2154" t="s">
        <v>1260</v>
      </c>
      <c r="AS2154" t="s">
        <v>1259</v>
      </c>
      <c r="AT2154" s="30">
        <v>46069.523611111108</v>
      </c>
    </row>
    <row r="2155" spans="1:46" x14ac:dyDescent="0.25">
      <c r="A2155" t="s">
        <v>1248</v>
      </c>
      <c r="B2155">
        <v>248170</v>
      </c>
      <c r="C2155">
        <v>352213</v>
      </c>
      <c r="D2155">
        <v>405</v>
      </c>
      <c r="E2155" t="s">
        <v>1266</v>
      </c>
      <c r="H2155">
        <v>1893</v>
      </c>
      <c r="K2155">
        <v>15</v>
      </c>
      <c r="L2155">
        <v>15</v>
      </c>
      <c r="M2155">
        <v>1</v>
      </c>
      <c r="N2155">
        <v>0</v>
      </c>
      <c r="O2155">
        <v>1</v>
      </c>
      <c r="P2155">
        <v>0</v>
      </c>
      <c r="Q2155">
        <v>0</v>
      </c>
      <c r="R2155">
        <v>0</v>
      </c>
      <c r="T2155" s="29">
        <v>90000</v>
      </c>
      <c r="U2155" s="29">
        <v>1350000</v>
      </c>
      <c r="V2155" t="s">
        <v>1262</v>
      </c>
      <c r="W2155" t="s">
        <v>1262</v>
      </c>
      <c r="X2155" s="29">
        <v>1350000</v>
      </c>
      <c r="AA2155" s="30">
        <v>45882.333333333336</v>
      </c>
      <c r="AB2155" s="30">
        <v>45883.666666666664</v>
      </c>
      <c r="AC2155" s="30">
        <v>45882.333333333336</v>
      </c>
      <c r="AD2155" s="30">
        <v>45883.666666666664</v>
      </c>
      <c r="AE2155" s="30">
        <v>46330.369444444441</v>
      </c>
      <c r="AF2155" s="30">
        <v>46331.702777777777</v>
      </c>
      <c r="AG2155" t="s">
        <v>1266</v>
      </c>
      <c r="AK2155" t="s">
        <v>1265</v>
      </c>
      <c r="AL2155" t="s">
        <v>2523</v>
      </c>
      <c r="AM2155" t="s">
        <v>1263</v>
      </c>
      <c r="AN2155" t="s">
        <v>1262</v>
      </c>
      <c r="AO2155">
        <v>0</v>
      </c>
      <c r="AQ2155" t="s">
        <v>1261</v>
      </c>
      <c r="AR2155" t="s">
        <v>1260</v>
      </c>
      <c r="AS2155" t="s">
        <v>1259</v>
      </c>
      <c r="AT2155" s="30">
        <v>46069.523611111108</v>
      </c>
    </row>
    <row r="2156" spans="1:46" x14ac:dyDescent="0.25">
      <c r="A2156" t="s">
        <v>1248</v>
      </c>
      <c r="B2156">
        <v>248171</v>
      </c>
      <c r="C2156">
        <v>352219</v>
      </c>
      <c r="D2156">
        <v>405</v>
      </c>
      <c r="E2156" t="s">
        <v>1266</v>
      </c>
      <c r="H2156">
        <v>1893</v>
      </c>
      <c r="K2156">
        <v>7</v>
      </c>
      <c r="L2156">
        <v>7</v>
      </c>
      <c r="M2156">
        <v>1</v>
      </c>
      <c r="N2156">
        <v>0</v>
      </c>
      <c r="O2156">
        <v>1</v>
      </c>
      <c r="P2156">
        <v>0</v>
      </c>
      <c r="Q2156">
        <v>0</v>
      </c>
      <c r="R2156">
        <v>0</v>
      </c>
      <c r="T2156" s="29">
        <v>90000</v>
      </c>
      <c r="U2156" s="29">
        <v>630000</v>
      </c>
      <c r="V2156" t="s">
        <v>1262</v>
      </c>
      <c r="W2156" t="s">
        <v>1262</v>
      </c>
      <c r="X2156" s="29">
        <v>630000</v>
      </c>
      <c r="AA2156" s="30">
        <v>45910.338888888888</v>
      </c>
      <c r="AB2156" s="30">
        <v>45910.672222222223</v>
      </c>
      <c r="AC2156" s="30">
        <v>45910.338888888888</v>
      </c>
      <c r="AD2156" s="30">
        <v>45910.672222222223</v>
      </c>
      <c r="AE2156" s="30">
        <v>46358.375</v>
      </c>
      <c r="AF2156" s="30">
        <v>46358.708333333336</v>
      </c>
      <c r="AG2156" t="s">
        <v>1266</v>
      </c>
      <c r="AK2156" t="s">
        <v>1265</v>
      </c>
      <c r="AL2156" t="s">
        <v>2522</v>
      </c>
      <c r="AM2156" t="s">
        <v>1263</v>
      </c>
      <c r="AN2156" t="s">
        <v>1262</v>
      </c>
      <c r="AO2156">
        <v>0</v>
      </c>
      <c r="AQ2156" t="s">
        <v>1261</v>
      </c>
      <c r="AR2156" t="s">
        <v>1260</v>
      </c>
      <c r="AS2156" t="s">
        <v>1259</v>
      </c>
      <c r="AT2156" s="30">
        <v>46069.523611111108</v>
      </c>
    </row>
    <row r="2157" spans="1:46" x14ac:dyDescent="0.25">
      <c r="A2157" t="s">
        <v>1248</v>
      </c>
      <c r="B2157">
        <v>248172</v>
      </c>
      <c r="C2157">
        <v>352220</v>
      </c>
      <c r="D2157">
        <v>405</v>
      </c>
      <c r="E2157" t="s">
        <v>1266</v>
      </c>
      <c r="H2157">
        <v>1893</v>
      </c>
      <c r="K2157">
        <v>15</v>
      </c>
      <c r="L2157">
        <v>15</v>
      </c>
      <c r="M2157">
        <v>1</v>
      </c>
      <c r="N2157">
        <v>0</v>
      </c>
      <c r="O2157">
        <v>1</v>
      </c>
      <c r="P2157">
        <v>0</v>
      </c>
      <c r="Q2157">
        <v>0</v>
      </c>
      <c r="R2157">
        <v>0</v>
      </c>
      <c r="T2157" s="29">
        <v>90000</v>
      </c>
      <c r="U2157" s="29">
        <v>1350000</v>
      </c>
      <c r="V2157" t="s">
        <v>1262</v>
      </c>
      <c r="W2157" t="s">
        <v>1262</v>
      </c>
      <c r="X2157" s="29">
        <v>1350000</v>
      </c>
      <c r="AA2157" s="30">
        <v>45877.458333333336</v>
      </c>
      <c r="AB2157" s="30">
        <v>45881.416666666664</v>
      </c>
      <c r="AC2157" s="30">
        <v>45877.458333333336</v>
      </c>
      <c r="AD2157" s="30">
        <v>45881.416666666664</v>
      </c>
      <c r="AE2157" s="30">
        <v>46314.369444444441</v>
      </c>
      <c r="AF2157" s="30">
        <v>46315.702777777777</v>
      </c>
      <c r="AG2157" t="s">
        <v>1266</v>
      </c>
      <c r="AK2157" t="s">
        <v>1265</v>
      </c>
      <c r="AL2157" t="s">
        <v>2521</v>
      </c>
      <c r="AM2157" t="s">
        <v>1263</v>
      </c>
      <c r="AN2157" t="s">
        <v>1262</v>
      </c>
      <c r="AO2157">
        <v>0</v>
      </c>
      <c r="AQ2157" t="s">
        <v>1261</v>
      </c>
      <c r="AR2157" t="s">
        <v>1260</v>
      </c>
      <c r="AS2157" t="s">
        <v>1259</v>
      </c>
      <c r="AT2157" s="30">
        <v>46069.523611111108</v>
      </c>
    </row>
    <row r="2158" spans="1:46" x14ac:dyDescent="0.25">
      <c r="A2158" t="s">
        <v>1248</v>
      </c>
      <c r="B2158">
        <v>248173</v>
      </c>
      <c r="C2158">
        <v>352226</v>
      </c>
      <c r="D2158">
        <v>405</v>
      </c>
      <c r="E2158" t="s">
        <v>1266</v>
      </c>
      <c r="H2158">
        <v>1893</v>
      </c>
      <c r="K2158">
        <v>7</v>
      </c>
      <c r="L2158">
        <v>7</v>
      </c>
      <c r="M2158">
        <v>1</v>
      </c>
      <c r="N2158">
        <v>0</v>
      </c>
      <c r="O2158">
        <v>1</v>
      </c>
      <c r="P2158">
        <v>0</v>
      </c>
      <c r="Q2158">
        <v>0</v>
      </c>
      <c r="R2158">
        <v>0</v>
      </c>
      <c r="T2158" s="29">
        <v>90000</v>
      </c>
      <c r="U2158" s="29">
        <v>630000</v>
      </c>
      <c r="V2158" t="s">
        <v>1262</v>
      </c>
      <c r="W2158" t="s">
        <v>1262</v>
      </c>
      <c r="X2158" s="29">
        <v>630000</v>
      </c>
      <c r="AA2158" s="30">
        <v>45905.558333333334</v>
      </c>
      <c r="AB2158" s="30">
        <v>45908.474999999999</v>
      </c>
      <c r="AC2158" s="30">
        <v>45905.558333333334</v>
      </c>
      <c r="AD2158" s="30">
        <v>45908.474999999999</v>
      </c>
      <c r="AE2158" s="30">
        <v>46342.375</v>
      </c>
      <c r="AF2158" s="30">
        <v>46342.708333333336</v>
      </c>
      <c r="AG2158" t="s">
        <v>1266</v>
      </c>
      <c r="AK2158" t="s">
        <v>1265</v>
      </c>
      <c r="AL2158" t="s">
        <v>2520</v>
      </c>
      <c r="AM2158" t="s">
        <v>1263</v>
      </c>
      <c r="AN2158" t="s">
        <v>1262</v>
      </c>
      <c r="AO2158">
        <v>0</v>
      </c>
      <c r="AQ2158" t="s">
        <v>1261</v>
      </c>
      <c r="AR2158" t="s">
        <v>1260</v>
      </c>
      <c r="AS2158" t="s">
        <v>1259</v>
      </c>
      <c r="AT2158" s="30">
        <v>46069.523611111108</v>
      </c>
    </row>
    <row r="2159" spans="1:46" x14ac:dyDescent="0.25">
      <c r="A2159" t="s">
        <v>1248</v>
      </c>
      <c r="B2159">
        <v>248174</v>
      </c>
      <c r="C2159">
        <v>352227</v>
      </c>
      <c r="D2159">
        <v>405</v>
      </c>
      <c r="E2159" t="s">
        <v>1266</v>
      </c>
      <c r="H2159">
        <v>1893</v>
      </c>
      <c r="K2159">
        <v>15</v>
      </c>
      <c r="L2159">
        <v>15</v>
      </c>
      <c r="M2159">
        <v>1</v>
      </c>
      <c r="N2159">
        <v>0</v>
      </c>
      <c r="O2159">
        <v>1</v>
      </c>
      <c r="P2159">
        <v>0</v>
      </c>
      <c r="Q2159">
        <v>0</v>
      </c>
      <c r="R2159">
        <v>0</v>
      </c>
      <c r="T2159" s="29">
        <v>90000</v>
      </c>
      <c r="U2159" s="29">
        <v>1350000</v>
      </c>
      <c r="V2159" t="s">
        <v>1262</v>
      </c>
      <c r="W2159" t="s">
        <v>1262</v>
      </c>
      <c r="X2159" s="29">
        <v>1350000</v>
      </c>
      <c r="AA2159" s="30">
        <v>45875.541666666664</v>
      </c>
      <c r="AB2159" s="30">
        <v>45877.458333333336</v>
      </c>
      <c r="AC2159" s="30">
        <v>45875.541666666664</v>
      </c>
      <c r="AD2159" s="30">
        <v>45877.458333333336</v>
      </c>
      <c r="AE2159" s="30">
        <v>46296.369444444441</v>
      </c>
      <c r="AF2159" s="30">
        <v>46297.702777777777</v>
      </c>
      <c r="AG2159" t="s">
        <v>1266</v>
      </c>
      <c r="AK2159" t="s">
        <v>1265</v>
      </c>
      <c r="AL2159" t="s">
        <v>2519</v>
      </c>
      <c r="AM2159" t="s">
        <v>1263</v>
      </c>
      <c r="AN2159" t="s">
        <v>1262</v>
      </c>
      <c r="AO2159">
        <v>0</v>
      </c>
      <c r="AQ2159" t="s">
        <v>1261</v>
      </c>
      <c r="AR2159" t="s">
        <v>1260</v>
      </c>
      <c r="AS2159" t="s">
        <v>1259</v>
      </c>
      <c r="AT2159" s="30">
        <v>46069.523611111108</v>
      </c>
    </row>
    <row r="2160" spans="1:46" x14ac:dyDescent="0.25">
      <c r="A2160" t="s">
        <v>1248</v>
      </c>
      <c r="B2160">
        <v>248175</v>
      </c>
      <c r="C2160">
        <v>352233</v>
      </c>
      <c r="D2160">
        <v>405</v>
      </c>
      <c r="E2160" t="s">
        <v>1266</v>
      </c>
      <c r="H2160">
        <v>1893</v>
      </c>
      <c r="K2160">
        <v>7</v>
      </c>
      <c r="L2160">
        <v>7</v>
      </c>
      <c r="M2160">
        <v>1</v>
      </c>
      <c r="N2160">
        <v>0</v>
      </c>
      <c r="O2160">
        <v>1</v>
      </c>
      <c r="P2160">
        <v>0</v>
      </c>
      <c r="Q2160">
        <v>0</v>
      </c>
      <c r="R2160">
        <v>0</v>
      </c>
      <c r="T2160" s="29">
        <v>90000</v>
      </c>
      <c r="U2160" s="29">
        <v>630000</v>
      </c>
      <c r="V2160" t="s">
        <v>1262</v>
      </c>
      <c r="W2160" t="s">
        <v>1262</v>
      </c>
      <c r="X2160" s="29">
        <v>630000</v>
      </c>
      <c r="AA2160" s="30">
        <v>45904.6</v>
      </c>
      <c r="AB2160" s="30">
        <v>45905.558333333334</v>
      </c>
      <c r="AC2160" s="30">
        <v>45904.6</v>
      </c>
      <c r="AD2160" s="30">
        <v>45905.558333333334</v>
      </c>
      <c r="AE2160" s="30">
        <v>46324.375</v>
      </c>
      <c r="AF2160" s="30">
        <v>46324.708333333336</v>
      </c>
      <c r="AG2160" t="s">
        <v>1266</v>
      </c>
      <c r="AK2160" t="s">
        <v>1265</v>
      </c>
      <c r="AL2160" t="s">
        <v>2518</v>
      </c>
      <c r="AM2160" t="s">
        <v>1263</v>
      </c>
      <c r="AN2160" t="s">
        <v>1262</v>
      </c>
      <c r="AO2160">
        <v>0</v>
      </c>
      <c r="AQ2160" t="s">
        <v>1261</v>
      </c>
      <c r="AR2160" t="s">
        <v>1260</v>
      </c>
      <c r="AS2160" t="s">
        <v>1259</v>
      </c>
      <c r="AT2160" s="30">
        <v>46069.523611111108</v>
      </c>
    </row>
    <row r="2161" spans="1:46" x14ac:dyDescent="0.25">
      <c r="A2161" t="s">
        <v>1248</v>
      </c>
      <c r="B2161">
        <v>248176</v>
      </c>
      <c r="C2161">
        <v>352234</v>
      </c>
      <c r="D2161">
        <v>405</v>
      </c>
      <c r="E2161" t="s">
        <v>1266</v>
      </c>
      <c r="H2161">
        <v>1893</v>
      </c>
      <c r="K2161">
        <v>15</v>
      </c>
      <c r="L2161">
        <v>15</v>
      </c>
      <c r="M2161">
        <v>1</v>
      </c>
      <c r="N2161">
        <v>0</v>
      </c>
      <c r="O2161">
        <v>1</v>
      </c>
      <c r="P2161">
        <v>0</v>
      </c>
      <c r="Q2161">
        <v>0</v>
      </c>
      <c r="R2161">
        <v>0</v>
      </c>
      <c r="T2161" s="29">
        <v>90000</v>
      </c>
      <c r="U2161" s="29">
        <v>1350000</v>
      </c>
      <c r="V2161" t="s">
        <v>1262</v>
      </c>
      <c r="W2161" t="s">
        <v>1262</v>
      </c>
      <c r="X2161" s="29">
        <v>1350000</v>
      </c>
      <c r="AA2161" s="30">
        <v>45873.583333333336</v>
      </c>
      <c r="AB2161" s="30">
        <v>45875.5</v>
      </c>
      <c r="AC2161" s="30">
        <v>45873.583333333336</v>
      </c>
      <c r="AD2161" s="30">
        <v>45875.5</v>
      </c>
      <c r="AE2161" s="30">
        <v>46280.369444444441</v>
      </c>
      <c r="AF2161" s="30">
        <v>46281.702777777777</v>
      </c>
      <c r="AG2161" t="s">
        <v>1266</v>
      </c>
      <c r="AK2161" t="s">
        <v>1265</v>
      </c>
      <c r="AL2161" t="s">
        <v>2517</v>
      </c>
      <c r="AM2161" t="s">
        <v>1263</v>
      </c>
      <c r="AN2161" t="s">
        <v>1262</v>
      </c>
      <c r="AO2161">
        <v>0</v>
      </c>
      <c r="AQ2161" t="s">
        <v>1261</v>
      </c>
      <c r="AR2161" t="s">
        <v>1260</v>
      </c>
      <c r="AS2161" t="s">
        <v>1259</v>
      </c>
      <c r="AT2161" s="30">
        <v>46069.523611111108</v>
      </c>
    </row>
    <row r="2162" spans="1:46" x14ac:dyDescent="0.25">
      <c r="A2162" t="s">
        <v>1248</v>
      </c>
      <c r="B2162">
        <v>248177</v>
      </c>
      <c r="C2162">
        <v>352240</v>
      </c>
      <c r="D2162">
        <v>405</v>
      </c>
      <c r="E2162" t="s">
        <v>1266</v>
      </c>
      <c r="H2162">
        <v>1893</v>
      </c>
      <c r="K2162">
        <v>7</v>
      </c>
      <c r="L2162">
        <v>7</v>
      </c>
      <c r="M2162">
        <v>1</v>
      </c>
      <c r="N2162">
        <v>0</v>
      </c>
      <c r="O2162">
        <v>1</v>
      </c>
      <c r="P2162">
        <v>0</v>
      </c>
      <c r="Q2162">
        <v>0</v>
      </c>
      <c r="R2162">
        <v>0</v>
      </c>
      <c r="T2162" s="29">
        <v>90000</v>
      </c>
      <c r="U2162" s="29">
        <v>630000</v>
      </c>
      <c r="V2162" t="s">
        <v>1262</v>
      </c>
      <c r="W2162" t="s">
        <v>1262</v>
      </c>
      <c r="X2162" s="29">
        <v>630000</v>
      </c>
      <c r="AA2162" s="30">
        <v>45903.64166666667</v>
      </c>
      <c r="AB2162" s="30">
        <v>45904.6</v>
      </c>
      <c r="AC2162" s="30">
        <v>45903.64166666667</v>
      </c>
      <c r="AD2162" s="30">
        <v>45904.6</v>
      </c>
      <c r="AE2162" s="30">
        <v>46308.375</v>
      </c>
      <c r="AF2162" s="30">
        <v>46308.708333333336</v>
      </c>
      <c r="AG2162" t="s">
        <v>1266</v>
      </c>
      <c r="AK2162" t="s">
        <v>1265</v>
      </c>
      <c r="AL2162" t="s">
        <v>2516</v>
      </c>
      <c r="AM2162" t="s">
        <v>1263</v>
      </c>
      <c r="AN2162" t="s">
        <v>1262</v>
      </c>
      <c r="AO2162">
        <v>0</v>
      </c>
      <c r="AQ2162" t="s">
        <v>1261</v>
      </c>
      <c r="AR2162" t="s">
        <v>1260</v>
      </c>
      <c r="AS2162" t="s">
        <v>1259</v>
      </c>
      <c r="AT2162" s="30">
        <v>46069.523611111108</v>
      </c>
    </row>
    <row r="2163" spans="1:46" x14ac:dyDescent="0.25">
      <c r="A2163" t="s">
        <v>1248</v>
      </c>
      <c r="B2163">
        <v>248178</v>
      </c>
      <c r="C2163">
        <v>352241</v>
      </c>
      <c r="D2163">
        <v>405</v>
      </c>
      <c r="E2163" t="s">
        <v>1266</v>
      </c>
      <c r="H2163">
        <v>1893</v>
      </c>
      <c r="K2163">
        <v>15</v>
      </c>
      <c r="L2163">
        <v>15</v>
      </c>
      <c r="M2163">
        <v>1</v>
      </c>
      <c r="N2163">
        <v>0</v>
      </c>
      <c r="O2163">
        <v>1</v>
      </c>
      <c r="P2163">
        <v>0</v>
      </c>
      <c r="Q2163">
        <v>0</v>
      </c>
      <c r="R2163">
        <v>0</v>
      </c>
      <c r="T2163" s="29">
        <v>90000</v>
      </c>
      <c r="U2163" s="29">
        <v>1350000</v>
      </c>
      <c r="V2163" t="s">
        <v>1262</v>
      </c>
      <c r="W2163" t="s">
        <v>1262</v>
      </c>
      <c r="X2163" s="29">
        <v>1350000</v>
      </c>
      <c r="AA2163" s="30">
        <v>45869.625</v>
      </c>
      <c r="AB2163" s="30">
        <v>45873.583333333336</v>
      </c>
      <c r="AC2163" s="30">
        <v>45869.625</v>
      </c>
      <c r="AD2163" s="30">
        <v>45873.583333333336</v>
      </c>
      <c r="AE2163" s="30">
        <v>46258.691666666666</v>
      </c>
      <c r="AF2163" s="30">
        <v>46260.65</v>
      </c>
      <c r="AG2163" t="s">
        <v>1266</v>
      </c>
      <c r="AK2163" t="s">
        <v>1265</v>
      </c>
      <c r="AL2163" t="s">
        <v>2515</v>
      </c>
      <c r="AM2163" t="s">
        <v>1263</v>
      </c>
      <c r="AN2163" t="s">
        <v>1262</v>
      </c>
      <c r="AO2163">
        <v>0</v>
      </c>
      <c r="AQ2163" t="s">
        <v>1261</v>
      </c>
      <c r="AR2163" t="s">
        <v>1260</v>
      </c>
      <c r="AS2163" t="s">
        <v>1259</v>
      </c>
      <c r="AT2163" s="30">
        <v>46069.523611111108</v>
      </c>
    </row>
    <row r="2164" spans="1:46" x14ac:dyDescent="0.25">
      <c r="A2164" t="s">
        <v>1248</v>
      </c>
      <c r="B2164">
        <v>248179</v>
      </c>
      <c r="C2164">
        <v>352247</v>
      </c>
      <c r="D2164">
        <v>405</v>
      </c>
      <c r="E2164" t="s">
        <v>1266</v>
      </c>
      <c r="H2164">
        <v>1893</v>
      </c>
      <c r="K2164">
        <v>7</v>
      </c>
      <c r="L2164">
        <v>7</v>
      </c>
      <c r="M2164">
        <v>1</v>
      </c>
      <c r="N2164">
        <v>0</v>
      </c>
      <c r="O2164">
        <v>1</v>
      </c>
      <c r="P2164">
        <v>0</v>
      </c>
      <c r="Q2164">
        <v>0</v>
      </c>
      <c r="R2164">
        <v>0</v>
      </c>
      <c r="T2164" s="29">
        <v>90000</v>
      </c>
      <c r="U2164" s="29">
        <v>630000</v>
      </c>
      <c r="V2164" t="s">
        <v>1262</v>
      </c>
      <c r="W2164" t="s">
        <v>1262</v>
      </c>
      <c r="X2164" s="29">
        <v>630000</v>
      </c>
      <c r="AA2164" s="30">
        <v>45902.683333333334</v>
      </c>
      <c r="AB2164" s="30">
        <v>45903.64166666667</v>
      </c>
      <c r="AC2164" s="30">
        <v>45902.683333333334</v>
      </c>
      <c r="AD2164" s="30">
        <v>45903.64166666667</v>
      </c>
      <c r="AE2164" s="30">
        <v>46290.375</v>
      </c>
      <c r="AF2164" s="30">
        <v>46290.708333333336</v>
      </c>
      <c r="AG2164" t="s">
        <v>1266</v>
      </c>
      <c r="AK2164" t="s">
        <v>1265</v>
      </c>
      <c r="AL2164" t="s">
        <v>2514</v>
      </c>
      <c r="AM2164" t="s">
        <v>1263</v>
      </c>
      <c r="AN2164" t="s">
        <v>1262</v>
      </c>
      <c r="AO2164">
        <v>0</v>
      </c>
      <c r="AQ2164" t="s">
        <v>1261</v>
      </c>
      <c r="AR2164" t="s">
        <v>1260</v>
      </c>
      <c r="AS2164" t="s">
        <v>1259</v>
      </c>
      <c r="AT2164" s="30">
        <v>46069.523611111108</v>
      </c>
    </row>
    <row r="2165" spans="1:46" x14ac:dyDescent="0.25">
      <c r="A2165" t="s">
        <v>1248</v>
      </c>
      <c r="B2165">
        <v>248180</v>
      </c>
      <c r="C2165">
        <v>352248</v>
      </c>
      <c r="D2165">
        <v>405</v>
      </c>
      <c r="E2165" t="s">
        <v>1266</v>
      </c>
      <c r="H2165">
        <v>1893</v>
      </c>
      <c r="K2165">
        <v>15</v>
      </c>
      <c r="L2165">
        <v>15</v>
      </c>
      <c r="M2165">
        <v>1</v>
      </c>
      <c r="N2165">
        <v>0</v>
      </c>
      <c r="O2165">
        <v>1</v>
      </c>
      <c r="P2165">
        <v>0</v>
      </c>
      <c r="Q2165">
        <v>0</v>
      </c>
      <c r="R2165">
        <v>0</v>
      </c>
      <c r="T2165" s="29">
        <v>90000</v>
      </c>
      <c r="U2165" s="29">
        <v>1350000</v>
      </c>
      <c r="V2165" t="s">
        <v>1262</v>
      </c>
      <c r="W2165" t="s">
        <v>1262</v>
      </c>
      <c r="X2165" s="29">
        <v>1350000</v>
      </c>
      <c r="AA2165" s="30">
        <v>45867.666666666664</v>
      </c>
      <c r="AB2165" s="30">
        <v>45869.625</v>
      </c>
      <c r="AC2165" s="30">
        <v>45867.666666666664</v>
      </c>
      <c r="AD2165" s="30">
        <v>45869.625</v>
      </c>
      <c r="AE2165" s="30">
        <v>46240.691666666666</v>
      </c>
      <c r="AF2165" s="30">
        <v>46244.65</v>
      </c>
      <c r="AG2165" t="s">
        <v>1266</v>
      </c>
      <c r="AK2165" t="s">
        <v>1265</v>
      </c>
      <c r="AL2165" t="s">
        <v>2513</v>
      </c>
      <c r="AM2165" t="s">
        <v>1263</v>
      </c>
      <c r="AN2165" t="s">
        <v>1262</v>
      </c>
      <c r="AO2165">
        <v>0</v>
      </c>
      <c r="AQ2165" t="s">
        <v>1261</v>
      </c>
      <c r="AR2165" t="s">
        <v>1260</v>
      </c>
      <c r="AS2165" t="s">
        <v>1259</v>
      </c>
      <c r="AT2165" s="30">
        <v>46069.523611111108</v>
      </c>
    </row>
    <row r="2166" spans="1:46" x14ac:dyDescent="0.25">
      <c r="A2166" t="s">
        <v>1248</v>
      </c>
      <c r="B2166">
        <v>248181</v>
      </c>
      <c r="C2166">
        <v>352254</v>
      </c>
      <c r="D2166">
        <v>405</v>
      </c>
      <c r="E2166" t="s">
        <v>1266</v>
      </c>
      <c r="H2166">
        <v>1893</v>
      </c>
      <c r="K2166">
        <v>7</v>
      </c>
      <c r="L2166">
        <v>7</v>
      </c>
      <c r="M2166">
        <v>1</v>
      </c>
      <c r="N2166">
        <v>0</v>
      </c>
      <c r="O2166">
        <v>1</v>
      </c>
      <c r="P2166">
        <v>0</v>
      </c>
      <c r="Q2166">
        <v>0</v>
      </c>
      <c r="R2166">
        <v>0</v>
      </c>
      <c r="T2166" s="29">
        <v>90000</v>
      </c>
      <c r="U2166" s="29">
        <v>630000</v>
      </c>
      <c r="V2166" t="s">
        <v>1262</v>
      </c>
      <c r="W2166" t="s">
        <v>1262</v>
      </c>
      <c r="X2166" s="29">
        <v>630000</v>
      </c>
      <c r="AA2166" s="30">
        <v>45901.35</v>
      </c>
      <c r="AB2166" s="30">
        <v>45901.683333333334</v>
      </c>
      <c r="AC2166" s="30">
        <v>45901.35</v>
      </c>
      <c r="AD2166" s="30">
        <v>45901.683333333334</v>
      </c>
      <c r="AE2166" s="30">
        <v>46274.375</v>
      </c>
      <c r="AF2166" s="30">
        <v>46274.708333333336</v>
      </c>
      <c r="AG2166" t="s">
        <v>1266</v>
      </c>
      <c r="AK2166" t="s">
        <v>1265</v>
      </c>
      <c r="AL2166" t="s">
        <v>2512</v>
      </c>
      <c r="AM2166" t="s">
        <v>1263</v>
      </c>
      <c r="AN2166" t="s">
        <v>1262</v>
      </c>
      <c r="AO2166">
        <v>0</v>
      </c>
      <c r="AQ2166" t="s">
        <v>1261</v>
      </c>
      <c r="AR2166" t="s">
        <v>1260</v>
      </c>
      <c r="AS2166" t="s">
        <v>1259</v>
      </c>
      <c r="AT2166" s="30">
        <v>46069.523611111108</v>
      </c>
    </row>
    <row r="2167" spans="1:46" x14ac:dyDescent="0.25">
      <c r="A2167" t="s">
        <v>1248</v>
      </c>
      <c r="B2167">
        <v>248182</v>
      </c>
      <c r="C2167">
        <v>352255</v>
      </c>
      <c r="D2167">
        <v>405</v>
      </c>
      <c r="E2167" t="s">
        <v>1266</v>
      </c>
      <c r="H2167">
        <v>1893</v>
      </c>
      <c r="K2167">
        <v>15</v>
      </c>
      <c r="L2167">
        <v>15</v>
      </c>
      <c r="M2167">
        <v>1</v>
      </c>
      <c r="N2167">
        <v>0</v>
      </c>
      <c r="O2167">
        <v>1</v>
      </c>
      <c r="P2167">
        <v>0</v>
      </c>
      <c r="Q2167">
        <v>0</v>
      </c>
      <c r="R2167">
        <v>0</v>
      </c>
      <c r="T2167" s="29">
        <v>90000</v>
      </c>
      <c r="U2167" s="29">
        <v>1350000</v>
      </c>
      <c r="V2167" t="s">
        <v>1262</v>
      </c>
      <c r="W2167" t="s">
        <v>1262</v>
      </c>
      <c r="X2167" s="29">
        <v>1350000</v>
      </c>
      <c r="AA2167" s="30">
        <v>45866.333333333336</v>
      </c>
      <c r="AB2167" s="30">
        <v>45867.666666666664</v>
      </c>
      <c r="AC2167" s="30">
        <v>45866.333333333336</v>
      </c>
      <c r="AD2167" s="30">
        <v>45867.666666666664</v>
      </c>
      <c r="AE2167" s="30">
        <v>46224.691666666666</v>
      </c>
      <c r="AF2167" s="30">
        <v>46226.65</v>
      </c>
      <c r="AG2167" t="s">
        <v>1266</v>
      </c>
      <c r="AK2167" t="s">
        <v>1265</v>
      </c>
      <c r="AL2167" t="s">
        <v>2511</v>
      </c>
      <c r="AM2167" t="s">
        <v>1263</v>
      </c>
      <c r="AN2167" t="s">
        <v>1262</v>
      </c>
      <c r="AO2167">
        <v>0</v>
      </c>
      <c r="AQ2167" t="s">
        <v>1261</v>
      </c>
      <c r="AR2167" t="s">
        <v>1260</v>
      </c>
      <c r="AS2167" t="s">
        <v>1259</v>
      </c>
      <c r="AT2167" s="30">
        <v>46069.523611111108</v>
      </c>
    </row>
    <row r="2168" spans="1:46" x14ac:dyDescent="0.25">
      <c r="A2168" t="s">
        <v>1248</v>
      </c>
      <c r="B2168">
        <v>248183</v>
      </c>
      <c r="C2168">
        <v>352261</v>
      </c>
      <c r="D2168">
        <v>405</v>
      </c>
      <c r="E2168" t="s">
        <v>1266</v>
      </c>
      <c r="H2168">
        <v>1893</v>
      </c>
      <c r="K2168">
        <v>7</v>
      </c>
      <c r="L2168">
        <v>7</v>
      </c>
      <c r="M2168">
        <v>1</v>
      </c>
      <c r="N2168">
        <v>0</v>
      </c>
      <c r="O2168">
        <v>1</v>
      </c>
      <c r="P2168">
        <v>0</v>
      </c>
      <c r="Q2168">
        <v>0</v>
      </c>
      <c r="R2168">
        <v>0</v>
      </c>
      <c r="T2168" s="29">
        <v>90000</v>
      </c>
      <c r="U2168" s="29">
        <v>630000</v>
      </c>
      <c r="V2168" t="s">
        <v>1262</v>
      </c>
      <c r="W2168" t="s">
        <v>1262</v>
      </c>
      <c r="X2168" s="29">
        <v>630000</v>
      </c>
      <c r="AA2168" s="30">
        <v>45897.39166666667</v>
      </c>
      <c r="AB2168" s="30">
        <v>45898.35</v>
      </c>
      <c r="AC2168" s="30">
        <v>45897.39166666667</v>
      </c>
      <c r="AD2168" s="30">
        <v>45898.35</v>
      </c>
      <c r="AE2168" s="30">
        <v>46258.375</v>
      </c>
      <c r="AF2168" s="30">
        <v>46258.708333333336</v>
      </c>
      <c r="AG2168" t="s">
        <v>1266</v>
      </c>
      <c r="AK2168" t="s">
        <v>1265</v>
      </c>
      <c r="AL2168" t="s">
        <v>2510</v>
      </c>
      <c r="AM2168" t="s">
        <v>1263</v>
      </c>
      <c r="AN2168" t="s">
        <v>1262</v>
      </c>
      <c r="AO2168">
        <v>0</v>
      </c>
      <c r="AQ2168" t="s">
        <v>1261</v>
      </c>
      <c r="AR2168" t="s">
        <v>1260</v>
      </c>
      <c r="AS2168" t="s">
        <v>1259</v>
      </c>
      <c r="AT2168" s="30">
        <v>46069.523611111108</v>
      </c>
    </row>
    <row r="2169" spans="1:46" x14ac:dyDescent="0.25">
      <c r="A2169" t="s">
        <v>1248</v>
      </c>
      <c r="B2169">
        <v>248184</v>
      </c>
      <c r="C2169">
        <v>352262</v>
      </c>
      <c r="D2169">
        <v>405</v>
      </c>
      <c r="E2169" t="s">
        <v>1266</v>
      </c>
      <c r="H2169">
        <v>1893</v>
      </c>
      <c r="K2169">
        <v>15</v>
      </c>
      <c r="L2169">
        <v>15</v>
      </c>
      <c r="M2169">
        <v>1</v>
      </c>
      <c r="N2169">
        <v>0</v>
      </c>
      <c r="O2169">
        <v>1</v>
      </c>
      <c r="P2169">
        <v>0</v>
      </c>
      <c r="Q2169">
        <v>0</v>
      </c>
      <c r="R2169">
        <v>0</v>
      </c>
      <c r="T2169" s="29">
        <v>90000</v>
      </c>
      <c r="U2169" s="29">
        <v>1350000</v>
      </c>
      <c r="V2169" t="s">
        <v>1262</v>
      </c>
      <c r="W2169" t="s">
        <v>1262</v>
      </c>
      <c r="X2169" s="29">
        <v>1350000</v>
      </c>
      <c r="AA2169" s="30">
        <v>45854.6</v>
      </c>
      <c r="AB2169" s="30">
        <v>45856.558333333334</v>
      </c>
      <c r="AC2169" s="30">
        <v>45854.6</v>
      </c>
      <c r="AD2169" s="30">
        <v>45856.558333333334</v>
      </c>
      <c r="AE2169" s="30">
        <v>46206.691666666666</v>
      </c>
      <c r="AF2169" s="30">
        <v>46210.65</v>
      </c>
      <c r="AG2169" t="s">
        <v>1266</v>
      </c>
      <c r="AK2169" t="s">
        <v>1265</v>
      </c>
      <c r="AL2169" t="s">
        <v>2509</v>
      </c>
      <c r="AM2169" t="s">
        <v>1263</v>
      </c>
      <c r="AN2169" t="s">
        <v>1262</v>
      </c>
      <c r="AO2169">
        <v>0</v>
      </c>
      <c r="AQ2169" t="s">
        <v>1261</v>
      </c>
      <c r="AR2169" t="s">
        <v>1260</v>
      </c>
      <c r="AS2169" t="s">
        <v>1259</v>
      </c>
      <c r="AT2169" s="30">
        <v>46069.523611111108</v>
      </c>
    </row>
    <row r="2170" spans="1:46" x14ac:dyDescent="0.25">
      <c r="A2170" t="s">
        <v>1248</v>
      </c>
      <c r="B2170">
        <v>248185</v>
      </c>
      <c r="C2170">
        <v>352268</v>
      </c>
      <c r="D2170">
        <v>405</v>
      </c>
      <c r="E2170" t="s">
        <v>1266</v>
      </c>
      <c r="H2170">
        <v>1893</v>
      </c>
      <c r="K2170">
        <v>7</v>
      </c>
      <c r="L2170">
        <v>7</v>
      </c>
      <c r="M2170">
        <v>1</v>
      </c>
      <c r="N2170">
        <v>0</v>
      </c>
      <c r="O2170">
        <v>1</v>
      </c>
      <c r="P2170">
        <v>0</v>
      </c>
      <c r="Q2170">
        <v>0</v>
      </c>
      <c r="R2170">
        <v>0</v>
      </c>
      <c r="T2170" s="29">
        <v>90000</v>
      </c>
      <c r="U2170" s="29">
        <v>630000</v>
      </c>
      <c r="V2170" t="s">
        <v>1262</v>
      </c>
      <c r="W2170" t="s">
        <v>1262</v>
      </c>
      <c r="X2170" s="29">
        <v>630000</v>
      </c>
      <c r="AA2170" s="30">
        <v>45887.658333333333</v>
      </c>
      <c r="AB2170" s="30">
        <v>45888.616666666669</v>
      </c>
      <c r="AC2170" s="30">
        <v>45887.658333333333</v>
      </c>
      <c r="AD2170" s="30">
        <v>45888.616666666669</v>
      </c>
      <c r="AE2170" s="30">
        <v>46240.375</v>
      </c>
      <c r="AF2170" s="30">
        <v>46240.708333333336</v>
      </c>
      <c r="AG2170" t="s">
        <v>1266</v>
      </c>
      <c r="AK2170" t="s">
        <v>1265</v>
      </c>
      <c r="AL2170" t="s">
        <v>2508</v>
      </c>
      <c r="AM2170" t="s">
        <v>1263</v>
      </c>
      <c r="AN2170" t="s">
        <v>1262</v>
      </c>
      <c r="AO2170">
        <v>0</v>
      </c>
      <c r="AQ2170" t="s">
        <v>1261</v>
      </c>
      <c r="AR2170" t="s">
        <v>1260</v>
      </c>
      <c r="AS2170" t="s">
        <v>1259</v>
      </c>
      <c r="AT2170" s="30">
        <v>46069.523611111108</v>
      </c>
    </row>
    <row r="2171" spans="1:46" x14ac:dyDescent="0.25">
      <c r="A2171" t="s">
        <v>1248</v>
      </c>
      <c r="B2171">
        <v>248186</v>
      </c>
      <c r="C2171">
        <v>352269</v>
      </c>
      <c r="D2171">
        <v>405</v>
      </c>
      <c r="E2171" t="s">
        <v>1266</v>
      </c>
      <c r="H2171">
        <v>1893</v>
      </c>
      <c r="K2171">
        <v>15</v>
      </c>
      <c r="L2171">
        <v>15</v>
      </c>
      <c r="M2171">
        <v>1</v>
      </c>
      <c r="N2171">
        <v>0</v>
      </c>
      <c r="O2171">
        <v>1</v>
      </c>
      <c r="P2171">
        <v>0</v>
      </c>
      <c r="Q2171">
        <v>0</v>
      </c>
      <c r="R2171">
        <v>0</v>
      </c>
      <c r="T2171" s="29">
        <v>90000</v>
      </c>
      <c r="U2171" s="29">
        <v>1350000</v>
      </c>
      <c r="V2171" t="s">
        <v>1262</v>
      </c>
      <c r="W2171" t="s">
        <v>1262</v>
      </c>
      <c r="X2171" s="29">
        <v>1350000</v>
      </c>
      <c r="AA2171" s="30">
        <v>45852.64166666667</v>
      </c>
      <c r="AB2171" s="30">
        <v>45854.6</v>
      </c>
      <c r="AC2171" s="30">
        <v>45852.64166666667</v>
      </c>
      <c r="AD2171" s="30">
        <v>45854.6</v>
      </c>
      <c r="AE2171" s="30">
        <v>46190.691666666666</v>
      </c>
      <c r="AF2171" s="30">
        <v>46192.65</v>
      </c>
      <c r="AG2171" t="s">
        <v>1266</v>
      </c>
      <c r="AK2171" t="s">
        <v>1265</v>
      </c>
      <c r="AL2171" t="s">
        <v>2507</v>
      </c>
      <c r="AM2171" t="s">
        <v>1263</v>
      </c>
      <c r="AN2171" t="s">
        <v>1262</v>
      </c>
      <c r="AO2171">
        <v>0</v>
      </c>
      <c r="AQ2171" t="s">
        <v>1261</v>
      </c>
      <c r="AR2171" t="s">
        <v>1260</v>
      </c>
      <c r="AS2171" t="s">
        <v>1259</v>
      </c>
      <c r="AT2171" s="30">
        <v>46069.523611111108</v>
      </c>
    </row>
    <row r="2172" spans="1:46" x14ac:dyDescent="0.25">
      <c r="A2172" t="s">
        <v>1248</v>
      </c>
      <c r="B2172">
        <v>248187</v>
      </c>
      <c r="C2172">
        <v>352275</v>
      </c>
      <c r="D2172">
        <v>405</v>
      </c>
      <c r="E2172" t="s">
        <v>1266</v>
      </c>
      <c r="H2172">
        <v>1893</v>
      </c>
      <c r="K2172">
        <v>7</v>
      </c>
      <c r="L2172">
        <v>7</v>
      </c>
      <c r="M2172">
        <v>1</v>
      </c>
      <c r="N2172">
        <v>0</v>
      </c>
      <c r="O2172">
        <v>1</v>
      </c>
      <c r="P2172">
        <v>0</v>
      </c>
      <c r="Q2172">
        <v>0</v>
      </c>
      <c r="R2172">
        <v>0</v>
      </c>
      <c r="T2172" s="29">
        <v>90000</v>
      </c>
      <c r="U2172" s="29">
        <v>630000</v>
      </c>
      <c r="V2172" t="s">
        <v>1262</v>
      </c>
      <c r="W2172" t="s">
        <v>1262</v>
      </c>
      <c r="X2172" s="29">
        <v>630000</v>
      </c>
      <c r="AA2172" s="30">
        <v>45883.7</v>
      </c>
      <c r="AB2172" s="30">
        <v>45884.658333333333</v>
      </c>
      <c r="AC2172" s="30">
        <v>45883.7</v>
      </c>
      <c r="AD2172" s="30">
        <v>45884.658333333333</v>
      </c>
      <c r="AE2172" s="30">
        <v>46224.375</v>
      </c>
      <c r="AF2172" s="30">
        <v>46224.708333333336</v>
      </c>
      <c r="AG2172" t="s">
        <v>1266</v>
      </c>
      <c r="AK2172" t="s">
        <v>1265</v>
      </c>
      <c r="AL2172" t="s">
        <v>2506</v>
      </c>
      <c r="AM2172" t="s">
        <v>1263</v>
      </c>
      <c r="AN2172" t="s">
        <v>1262</v>
      </c>
      <c r="AO2172">
        <v>0</v>
      </c>
      <c r="AQ2172" t="s">
        <v>1261</v>
      </c>
      <c r="AR2172" t="s">
        <v>1260</v>
      </c>
      <c r="AS2172" t="s">
        <v>1259</v>
      </c>
      <c r="AT2172" s="30">
        <v>46069.523611111108</v>
      </c>
    </row>
    <row r="2173" spans="1:46" x14ac:dyDescent="0.25">
      <c r="A2173" t="s">
        <v>1248</v>
      </c>
      <c r="B2173">
        <v>248188</v>
      </c>
      <c r="C2173">
        <v>352276</v>
      </c>
      <c r="D2173">
        <v>405</v>
      </c>
      <c r="E2173" t="s">
        <v>1266</v>
      </c>
      <c r="H2173">
        <v>1893</v>
      </c>
      <c r="K2173">
        <v>15</v>
      </c>
      <c r="L2173">
        <v>15</v>
      </c>
      <c r="M2173">
        <v>1</v>
      </c>
      <c r="N2173">
        <v>0</v>
      </c>
      <c r="O2173">
        <v>1</v>
      </c>
      <c r="P2173">
        <v>0</v>
      </c>
      <c r="Q2173">
        <v>0</v>
      </c>
      <c r="R2173">
        <v>0</v>
      </c>
      <c r="T2173" s="29">
        <v>90000</v>
      </c>
      <c r="U2173" s="29">
        <v>1350000</v>
      </c>
      <c r="V2173" t="s">
        <v>1262</v>
      </c>
      <c r="W2173" t="s">
        <v>1262</v>
      </c>
      <c r="X2173" s="29">
        <v>1350000</v>
      </c>
      <c r="AA2173" s="30">
        <v>45848.683333333334</v>
      </c>
      <c r="AB2173" s="30">
        <v>45852.64166666667</v>
      </c>
      <c r="AC2173" s="30">
        <v>45848.683333333334</v>
      </c>
      <c r="AD2173" s="30">
        <v>45852.64166666667</v>
      </c>
      <c r="AE2173" s="30">
        <v>46171.691666666666</v>
      </c>
      <c r="AF2173" s="30">
        <v>46176.65</v>
      </c>
      <c r="AG2173" t="s">
        <v>1266</v>
      </c>
      <c r="AK2173" t="s">
        <v>1265</v>
      </c>
      <c r="AL2173" t="s">
        <v>2505</v>
      </c>
      <c r="AM2173" t="s">
        <v>1263</v>
      </c>
      <c r="AN2173" t="s">
        <v>1262</v>
      </c>
      <c r="AO2173">
        <v>0</v>
      </c>
      <c r="AQ2173" t="s">
        <v>1261</v>
      </c>
      <c r="AR2173" t="s">
        <v>1260</v>
      </c>
      <c r="AS2173" t="s">
        <v>1259</v>
      </c>
      <c r="AT2173" s="30">
        <v>46069.523611111108</v>
      </c>
    </row>
    <row r="2174" spans="1:46" x14ac:dyDescent="0.25">
      <c r="A2174" t="s">
        <v>1248</v>
      </c>
      <c r="B2174">
        <v>248189</v>
      </c>
      <c r="C2174">
        <v>352282</v>
      </c>
      <c r="D2174">
        <v>405</v>
      </c>
      <c r="E2174" t="s">
        <v>1266</v>
      </c>
      <c r="H2174">
        <v>1893</v>
      </c>
      <c r="K2174">
        <v>7</v>
      </c>
      <c r="L2174">
        <v>7</v>
      </c>
      <c r="M2174">
        <v>1</v>
      </c>
      <c r="N2174">
        <v>0</v>
      </c>
      <c r="O2174">
        <v>1</v>
      </c>
      <c r="P2174">
        <v>0</v>
      </c>
      <c r="Q2174">
        <v>0</v>
      </c>
      <c r="R2174">
        <v>0</v>
      </c>
      <c r="T2174" s="29">
        <v>90000</v>
      </c>
      <c r="U2174" s="29">
        <v>630000</v>
      </c>
      <c r="V2174" t="s">
        <v>1262</v>
      </c>
      <c r="W2174" t="s">
        <v>1262</v>
      </c>
      <c r="X2174" s="29">
        <v>630000</v>
      </c>
      <c r="AA2174" s="30">
        <v>45882.366666666669</v>
      </c>
      <c r="AB2174" s="30">
        <v>45882.7</v>
      </c>
      <c r="AC2174" s="30">
        <v>45882.366666666669</v>
      </c>
      <c r="AD2174" s="30">
        <v>45882.7</v>
      </c>
      <c r="AE2174" s="30">
        <v>46206.375</v>
      </c>
      <c r="AF2174" s="30">
        <v>46206.708333333336</v>
      </c>
      <c r="AG2174" t="s">
        <v>1266</v>
      </c>
      <c r="AK2174" t="s">
        <v>1265</v>
      </c>
      <c r="AL2174" t="s">
        <v>2504</v>
      </c>
      <c r="AM2174" t="s">
        <v>1263</v>
      </c>
      <c r="AN2174" t="s">
        <v>1262</v>
      </c>
      <c r="AO2174">
        <v>0</v>
      </c>
      <c r="AQ2174" t="s">
        <v>1261</v>
      </c>
      <c r="AR2174" t="s">
        <v>1260</v>
      </c>
      <c r="AS2174" t="s">
        <v>1259</v>
      </c>
      <c r="AT2174" s="30">
        <v>46069.523611111108</v>
      </c>
    </row>
    <row r="2175" spans="1:46" x14ac:dyDescent="0.25">
      <c r="A2175" t="s">
        <v>1248</v>
      </c>
      <c r="B2175">
        <v>248190</v>
      </c>
      <c r="C2175">
        <v>352283</v>
      </c>
      <c r="D2175">
        <v>405</v>
      </c>
      <c r="E2175" t="s">
        <v>1266</v>
      </c>
      <c r="H2175">
        <v>1893</v>
      </c>
      <c r="K2175">
        <v>15</v>
      </c>
      <c r="L2175">
        <v>15</v>
      </c>
      <c r="M2175">
        <v>1</v>
      </c>
      <c r="N2175">
        <v>0</v>
      </c>
      <c r="O2175">
        <v>1</v>
      </c>
      <c r="P2175">
        <v>0</v>
      </c>
      <c r="Q2175">
        <v>0</v>
      </c>
      <c r="R2175">
        <v>0</v>
      </c>
      <c r="T2175" s="29">
        <v>90000</v>
      </c>
      <c r="U2175" s="29">
        <v>1350000</v>
      </c>
      <c r="V2175" t="s">
        <v>1262</v>
      </c>
      <c r="W2175" t="s">
        <v>1262</v>
      </c>
      <c r="X2175" s="29">
        <v>1350000</v>
      </c>
      <c r="AA2175" s="30">
        <v>45847.35</v>
      </c>
      <c r="AB2175" s="30">
        <v>45848.683333333334</v>
      </c>
      <c r="AC2175" s="30">
        <v>45847.35</v>
      </c>
      <c r="AD2175" s="30">
        <v>45848.683333333334</v>
      </c>
      <c r="AE2175" s="30">
        <v>46155.691666666666</v>
      </c>
      <c r="AF2175" s="30">
        <v>46157.65</v>
      </c>
      <c r="AG2175" t="s">
        <v>1266</v>
      </c>
      <c r="AK2175" t="s">
        <v>1265</v>
      </c>
      <c r="AL2175" t="s">
        <v>2503</v>
      </c>
      <c r="AM2175" t="s">
        <v>1263</v>
      </c>
      <c r="AN2175" t="s">
        <v>1262</v>
      </c>
      <c r="AO2175">
        <v>0</v>
      </c>
      <c r="AQ2175" t="s">
        <v>1261</v>
      </c>
      <c r="AR2175" t="s">
        <v>1260</v>
      </c>
      <c r="AS2175" t="s">
        <v>1259</v>
      </c>
      <c r="AT2175" s="30">
        <v>46069.523611111108</v>
      </c>
    </row>
    <row r="2176" spans="1:46" x14ac:dyDescent="0.25">
      <c r="A2176" t="s">
        <v>1248</v>
      </c>
      <c r="B2176">
        <v>248191</v>
      </c>
      <c r="C2176">
        <v>352289</v>
      </c>
      <c r="D2176">
        <v>405</v>
      </c>
      <c r="E2176" t="s">
        <v>1266</v>
      </c>
      <c r="H2176">
        <v>1893</v>
      </c>
      <c r="K2176">
        <v>7</v>
      </c>
      <c r="L2176">
        <v>7</v>
      </c>
      <c r="M2176">
        <v>1</v>
      </c>
      <c r="N2176">
        <v>0</v>
      </c>
      <c r="O2176">
        <v>1</v>
      </c>
      <c r="P2176">
        <v>0</v>
      </c>
      <c r="Q2176">
        <v>0</v>
      </c>
      <c r="R2176">
        <v>0</v>
      </c>
      <c r="T2176" s="29">
        <v>90000</v>
      </c>
      <c r="U2176" s="29">
        <v>630000</v>
      </c>
      <c r="V2176" t="s">
        <v>1262</v>
      </c>
      <c r="W2176" t="s">
        <v>1262</v>
      </c>
      <c r="X2176" s="29">
        <v>630000</v>
      </c>
      <c r="AA2176" s="30">
        <v>45880.408333333333</v>
      </c>
      <c r="AB2176" s="30">
        <v>45881.366666666669</v>
      </c>
      <c r="AC2176" s="30">
        <v>45880.408333333333</v>
      </c>
      <c r="AD2176" s="30">
        <v>45881.366666666669</v>
      </c>
      <c r="AE2176" s="30">
        <v>46190.375</v>
      </c>
      <c r="AF2176" s="30">
        <v>46190.708333333336</v>
      </c>
      <c r="AG2176" t="s">
        <v>1266</v>
      </c>
      <c r="AK2176" t="s">
        <v>1265</v>
      </c>
      <c r="AL2176" t="s">
        <v>2502</v>
      </c>
      <c r="AM2176" t="s">
        <v>1263</v>
      </c>
      <c r="AN2176" t="s">
        <v>1262</v>
      </c>
      <c r="AO2176">
        <v>0</v>
      </c>
      <c r="AQ2176" t="s">
        <v>1261</v>
      </c>
      <c r="AR2176" t="s">
        <v>1260</v>
      </c>
      <c r="AS2176" t="s">
        <v>1259</v>
      </c>
      <c r="AT2176" s="30">
        <v>46069.523611111108</v>
      </c>
    </row>
    <row r="2177" spans="1:46" x14ac:dyDescent="0.25">
      <c r="A2177" t="s">
        <v>1248</v>
      </c>
      <c r="B2177">
        <v>248192</v>
      </c>
      <c r="C2177">
        <v>352290</v>
      </c>
      <c r="D2177">
        <v>405</v>
      </c>
      <c r="E2177" t="s">
        <v>1266</v>
      </c>
      <c r="H2177">
        <v>1893</v>
      </c>
      <c r="K2177">
        <v>15</v>
      </c>
      <c r="L2177">
        <v>15</v>
      </c>
      <c r="M2177">
        <v>1</v>
      </c>
      <c r="N2177">
        <v>0</v>
      </c>
      <c r="O2177">
        <v>1</v>
      </c>
      <c r="P2177">
        <v>0</v>
      </c>
      <c r="Q2177">
        <v>0</v>
      </c>
      <c r="R2177">
        <v>0</v>
      </c>
      <c r="T2177" s="29">
        <v>90000</v>
      </c>
      <c r="U2177" s="29">
        <v>1350000</v>
      </c>
      <c r="V2177" t="s">
        <v>1262</v>
      </c>
      <c r="W2177" t="s">
        <v>1262</v>
      </c>
      <c r="X2177" s="29">
        <v>1350000</v>
      </c>
      <c r="AA2177" s="30">
        <v>45845.39166666667</v>
      </c>
      <c r="AB2177" s="30">
        <v>45847.35</v>
      </c>
      <c r="AC2177" s="30">
        <v>45845.39166666667</v>
      </c>
      <c r="AD2177" s="30">
        <v>45847.35</v>
      </c>
      <c r="AE2177" s="30">
        <v>46136.691666666666</v>
      </c>
      <c r="AF2177" s="30">
        <v>46140.65</v>
      </c>
      <c r="AG2177" t="s">
        <v>1266</v>
      </c>
      <c r="AK2177" t="s">
        <v>1265</v>
      </c>
      <c r="AL2177" t="s">
        <v>2501</v>
      </c>
      <c r="AM2177" t="s">
        <v>1263</v>
      </c>
      <c r="AN2177" t="s">
        <v>1262</v>
      </c>
      <c r="AO2177">
        <v>0</v>
      </c>
      <c r="AQ2177" t="s">
        <v>1261</v>
      </c>
      <c r="AR2177" t="s">
        <v>1260</v>
      </c>
      <c r="AS2177" t="s">
        <v>1259</v>
      </c>
      <c r="AT2177" s="30">
        <v>46069.523611111108</v>
      </c>
    </row>
    <row r="2178" spans="1:46" x14ac:dyDescent="0.25">
      <c r="A2178" t="s">
        <v>1248</v>
      </c>
      <c r="B2178">
        <v>248193</v>
      </c>
      <c r="C2178">
        <v>352296</v>
      </c>
      <c r="D2178">
        <v>405</v>
      </c>
      <c r="E2178" t="s">
        <v>1266</v>
      </c>
      <c r="H2178">
        <v>1893</v>
      </c>
      <c r="K2178">
        <v>7</v>
      </c>
      <c r="L2178">
        <v>7</v>
      </c>
      <c r="M2178">
        <v>1</v>
      </c>
      <c r="N2178">
        <v>0</v>
      </c>
      <c r="O2178">
        <v>1</v>
      </c>
      <c r="P2178">
        <v>0</v>
      </c>
      <c r="Q2178">
        <v>0</v>
      </c>
      <c r="R2178">
        <v>0</v>
      </c>
      <c r="T2178" s="29">
        <v>90000</v>
      </c>
      <c r="U2178" s="29">
        <v>630000</v>
      </c>
      <c r="V2178" t="s">
        <v>1262</v>
      </c>
      <c r="W2178" t="s">
        <v>1262</v>
      </c>
      <c r="X2178" s="29">
        <v>630000</v>
      </c>
      <c r="AA2178" s="30">
        <v>45876.45</v>
      </c>
      <c r="AB2178" s="30">
        <v>45877.408333333333</v>
      </c>
      <c r="AC2178" s="30">
        <v>45876.45</v>
      </c>
      <c r="AD2178" s="30">
        <v>45877.408333333333</v>
      </c>
      <c r="AE2178" s="30">
        <v>46171.375</v>
      </c>
      <c r="AF2178" s="30">
        <v>46171.708333333336</v>
      </c>
      <c r="AG2178" t="s">
        <v>1266</v>
      </c>
      <c r="AK2178" t="s">
        <v>1265</v>
      </c>
      <c r="AL2178" t="s">
        <v>2500</v>
      </c>
      <c r="AM2178" t="s">
        <v>1263</v>
      </c>
      <c r="AN2178" t="s">
        <v>1262</v>
      </c>
      <c r="AO2178">
        <v>0</v>
      </c>
      <c r="AQ2178" t="s">
        <v>1261</v>
      </c>
      <c r="AR2178" t="s">
        <v>1260</v>
      </c>
      <c r="AS2178" t="s">
        <v>1259</v>
      </c>
      <c r="AT2178" s="30">
        <v>46069.523611111108</v>
      </c>
    </row>
    <row r="2179" spans="1:46" x14ac:dyDescent="0.25">
      <c r="A2179" t="s">
        <v>1248</v>
      </c>
      <c r="B2179">
        <v>248194</v>
      </c>
      <c r="C2179">
        <v>352297</v>
      </c>
      <c r="D2179">
        <v>405</v>
      </c>
      <c r="E2179" t="s">
        <v>1266</v>
      </c>
      <c r="H2179">
        <v>1893</v>
      </c>
      <c r="K2179">
        <v>15</v>
      </c>
      <c r="L2179">
        <v>15</v>
      </c>
      <c r="M2179">
        <v>1</v>
      </c>
      <c r="N2179">
        <v>0</v>
      </c>
      <c r="O2179">
        <v>1</v>
      </c>
      <c r="P2179">
        <v>0</v>
      </c>
      <c r="Q2179">
        <v>0</v>
      </c>
      <c r="R2179">
        <v>0</v>
      </c>
      <c r="T2179" s="29">
        <v>90000</v>
      </c>
      <c r="U2179" s="29">
        <v>1350000</v>
      </c>
      <c r="V2179" t="s">
        <v>1262</v>
      </c>
      <c r="W2179" t="s">
        <v>1262</v>
      </c>
      <c r="X2179" s="29">
        <v>1350000</v>
      </c>
      <c r="AA2179" s="30">
        <v>45841.433333333334</v>
      </c>
      <c r="AB2179" s="30">
        <v>45845.39166666667</v>
      </c>
      <c r="AC2179" s="30">
        <v>45841.433333333334</v>
      </c>
      <c r="AD2179" s="30">
        <v>45845.39166666667</v>
      </c>
      <c r="AE2179" s="30">
        <v>46120.691666666666</v>
      </c>
      <c r="AF2179" s="30">
        <v>46122.65</v>
      </c>
      <c r="AG2179" t="s">
        <v>1266</v>
      </c>
      <c r="AK2179" t="s">
        <v>1265</v>
      </c>
      <c r="AL2179" t="s">
        <v>2499</v>
      </c>
      <c r="AM2179" t="s">
        <v>1263</v>
      </c>
      <c r="AN2179" t="s">
        <v>1262</v>
      </c>
      <c r="AO2179">
        <v>0</v>
      </c>
      <c r="AQ2179" t="s">
        <v>1261</v>
      </c>
      <c r="AR2179" t="s">
        <v>1260</v>
      </c>
      <c r="AS2179" t="s">
        <v>1259</v>
      </c>
      <c r="AT2179" s="30">
        <v>46069.523611111108</v>
      </c>
    </row>
    <row r="2180" spans="1:46" x14ac:dyDescent="0.25">
      <c r="A2180" t="s">
        <v>1248</v>
      </c>
      <c r="B2180">
        <v>248195</v>
      </c>
      <c r="C2180">
        <v>352303</v>
      </c>
      <c r="D2180">
        <v>405</v>
      </c>
      <c r="E2180" t="s">
        <v>1266</v>
      </c>
      <c r="H2180">
        <v>1893</v>
      </c>
      <c r="K2180">
        <v>7</v>
      </c>
      <c r="L2180">
        <v>7</v>
      </c>
      <c r="M2180">
        <v>1</v>
      </c>
      <c r="N2180">
        <v>0</v>
      </c>
      <c r="O2180">
        <v>1</v>
      </c>
      <c r="P2180">
        <v>0</v>
      </c>
      <c r="Q2180">
        <v>0</v>
      </c>
      <c r="R2180">
        <v>0</v>
      </c>
      <c r="T2180" s="29">
        <v>90000</v>
      </c>
      <c r="U2180" s="29">
        <v>630000</v>
      </c>
      <c r="V2180" t="s">
        <v>1262</v>
      </c>
      <c r="W2180" t="s">
        <v>1262</v>
      </c>
      <c r="X2180" s="29">
        <v>630000</v>
      </c>
      <c r="AA2180" s="30">
        <v>45874.491666666669</v>
      </c>
      <c r="AB2180" s="30">
        <v>45875.45</v>
      </c>
      <c r="AC2180" s="30">
        <v>45874.491666666669</v>
      </c>
      <c r="AD2180" s="30">
        <v>45875.45</v>
      </c>
      <c r="AE2180" s="30">
        <v>46155.375</v>
      </c>
      <c r="AF2180" s="30">
        <v>46155.708333333336</v>
      </c>
      <c r="AG2180" t="s">
        <v>1266</v>
      </c>
      <c r="AK2180" t="s">
        <v>1265</v>
      </c>
      <c r="AL2180" t="s">
        <v>2498</v>
      </c>
      <c r="AM2180" t="s">
        <v>1263</v>
      </c>
      <c r="AN2180" t="s">
        <v>1262</v>
      </c>
      <c r="AO2180">
        <v>0</v>
      </c>
      <c r="AQ2180" t="s">
        <v>1261</v>
      </c>
      <c r="AR2180" t="s">
        <v>1260</v>
      </c>
      <c r="AS2180" t="s">
        <v>1259</v>
      </c>
      <c r="AT2180" s="30">
        <v>46069.523611111108</v>
      </c>
    </row>
    <row r="2181" spans="1:46" x14ac:dyDescent="0.25">
      <c r="A2181" t="s">
        <v>1248</v>
      </c>
      <c r="B2181">
        <v>248196</v>
      </c>
      <c r="C2181">
        <v>352304</v>
      </c>
      <c r="D2181">
        <v>405</v>
      </c>
      <c r="E2181" t="s">
        <v>1266</v>
      </c>
      <c r="H2181">
        <v>1893</v>
      </c>
      <c r="K2181">
        <v>15</v>
      </c>
      <c r="L2181">
        <v>15</v>
      </c>
      <c r="M2181">
        <v>1</v>
      </c>
      <c r="N2181">
        <v>0</v>
      </c>
      <c r="O2181">
        <v>1</v>
      </c>
      <c r="P2181">
        <v>0</v>
      </c>
      <c r="Q2181">
        <v>0</v>
      </c>
      <c r="R2181">
        <v>0</v>
      </c>
      <c r="T2181" s="29">
        <v>90000</v>
      </c>
      <c r="U2181" s="29">
        <v>1350000</v>
      </c>
      <c r="V2181" t="s">
        <v>1262</v>
      </c>
      <c r="W2181" t="s">
        <v>1262</v>
      </c>
      <c r="X2181" s="29">
        <v>1350000</v>
      </c>
      <c r="AA2181" s="30">
        <v>45827.333333333336</v>
      </c>
      <c r="AB2181" s="30">
        <v>45828.666666666664</v>
      </c>
      <c r="AC2181" s="30">
        <v>45827.333333333336</v>
      </c>
      <c r="AD2181" s="30">
        <v>45828.666666666664</v>
      </c>
      <c r="AE2181" s="30">
        <v>46101.691666666666</v>
      </c>
      <c r="AF2181" s="30">
        <v>46105.65</v>
      </c>
      <c r="AG2181" t="s">
        <v>1266</v>
      </c>
      <c r="AK2181" t="s">
        <v>1265</v>
      </c>
      <c r="AL2181" t="s">
        <v>2497</v>
      </c>
      <c r="AM2181" t="s">
        <v>1263</v>
      </c>
      <c r="AN2181" t="s">
        <v>1262</v>
      </c>
      <c r="AO2181">
        <v>0</v>
      </c>
      <c r="AQ2181" t="s">
        <v>1261</v>
      </c>
      <c r="AR2181" t="s">
        <v>1260</v>
      </c>
      <c r="AS2181" t="s">
        <v>1259</v>
      </c>
      <c r="AT2181" s="30">
        <v>46069.523611111108</v>
      </c>
    </row>
    <row r="2182" spans="1:46" x14ac:dyDescent="0.25">
      <c r="A2182" t="s">
        <v>1248</v>
      </c>
      <c r="B2182">
        <v>248197</v>
      </c>
      <c r="C2182">
        <v>352310</v>
      </c>
      <c r="D2182">
        <v>405</v>
      </c>
      <c r="E2182" t="s">
        <v>1266</v>
      </c>
      <c r="H2182">
        <v>1893</v>
      </c>
      <c r="K2182">
        <v>7</v>
      </c>
      <c r="L2182">
        <v>7</v>
      </c>
      <c r="M2182">
        <v>1</v>
      </c>
      <c r="N2182">
        <v>0</v>
      </c>
      <c r="O2182">
        <v>1</v>
      </c>
      <c r="P2182">
        <v>0</v>
      </c>
      <c r="Q2182">
        <v>0</v>
      </c>
      <c r="R2182">
        <v>0</v>
      </c>
      <c r="T2182" s="29">
        <v>90000</v>
      </c>
      <c r="U2182" s="29">
        <v>630000</v>
      </c>
      <c r="V2182" t="s">
        <v>1262</v>
      </c>
      <c r="W2182" t="s">
        <v>1262</v>
      </c>
      <c r="X2182" s="29">
        <v>630000</v>
      </c>
      <c r="AA2182" s="30">
        <v>45860.39166666667</v>
      </c>
      <c r="AB2182" s="30">
        <v>45861.35</v>
      </c>
      <c r="AC2182" s="30">
        <v>45860.39166666667</v>
      </c>
      <c r="AD2182" s="30">
        <v>45861.35</v>
      </c>
      <c r="AE2182" s="30">
        <v>46136.375</v>
      </c>
      <c r="AF2182" s="30">
        <v>46136.708333333336</v>
      </c>
      <c r="AG2182" t="s">
        <v>1266</v>
      </c>
      <c r="AK2182" t="s">
        <v>1265</v>
      </c>
      <c r="AL2182" t="s">
        <v>2496</v>
      </c>
      <c r="AM2182" t="s">
        <v>1263</v>
      </c>
      <c r="AN2182" t="s">
        <v>1262</v>
      </c>
      <c r="AO2182">
        <v>0</v>
      </c>
      <c r="AQ2182" t="s">
        <v>1261</v>
      </c>
      <c r="AR2182" t="s">
        <v>1260</v>
      </c>
      <c r="AS2182" t="s">
        <v>1259</v>
      </c>
      <c r="AT2182" s="30">
        <v>46069.523611111108</v>
      </c>
    </row>
    <row r="2183" spans="1:46" x14ac:dyDescent="0.25">
      <c r="A2183" t="s">
        <v>1248</v>
      </c>
      <c r="B2183">
        <v>248198</v>
      </c>
      <c r="C2183">
        <v>352311</v>
      </c>
      <c r="D2183">
        <v>405</v>
      </c>
      <c r="E2183" t="s">
        <v>1266</v>
      </c>
      <c r="H2183">
        <v>1893</v>
      </c>
      <c r="K2183">
        <v>15</v>
      </c>
      <c r="L2183">
        <v>15</v>
      </c>
      <c r="M2183">
        <v>1</v>
      </c>
      <c r="N2183">
        <v>0</v>
      </c>
      <c r="O2183">
        <v>1</v>
      </c>
      <c r="P2183">
        <v>0</v>
      </c>
      <c r="Q2183">
        <v>0</v>
      </c>
      <c r="R2183">
        <v>0</v>
      </c>
      <c r="T2183" s="29">
        <v>90000</v>
      </c>
      <c r="U2183" s="29">
        <v>1350000</v>
      </c>
      <c r="V2183" t="s">
        <v>1262</v>
      </c>
      <c r="W2183" t="s">
        <v>1262</v>
      </c>
      <c r="X2183" s="29">
        <v>1350000</v>
      </c>
      <c r="AA2183" s="30">
        <v>45824.541666666664</v>
      </c>
      <c r="AB2183" s="30">
        <v>45826.458333333336</v>
      </c>
      <c r="AC2183" s="30">
        <v>45824.541666666664</v>
      </c>
      <c r="AD2183" s="30">
        <v>45826.458333333336</v>
      </c>
      <c r="AE2183" s="30">
        <v>46085.691666666666</v>
      </c>
      <c r="AF2183" s="30">
        <v>46087.65</v>
      </c>
      <c r="AG2183" t="s">
        <v>1266</v>
      </c>
      <c r="AK2183" t="s">
        <v>1265</v>
      </c>
      <c r="AL2183" t="s">
        <v>2495</v>
      </c>
      <c r="AM2183" t="s">
        <v>1263</v>
      </c>
      <c r="AN2183" t="s">
        <v>1262</v>
      </c>
      <c r="AO2183">
        <v>0</v>
      </c>
      <c r="AQ2183" t="s">
        <v>1261</v>
      </c>
      <c r="AR2183" t="s">
        <v>1260</v>
      </c>
      <c r="AS2183" t="s">
        <v>1259</v>
      </c>
      <c r="AT2183" s="30">
        <v>46069.523611111108</v>
      </c>
    </row>
    <row r="2184" spans="1:46" x14ac:dyDescent="0.25">
      <c r="A2184" t="s">
        <v>1248</v>
      </c>
      <c r="B2184">
        <v>248199</v>
      </c>
      <c r="C2184">
        <v>352317</v>
      </c>
      <c r="D2184">
        <v>405</v>
      </c>
      <c r="E2184" t="s">
        <v>1266</v>
      </c>
      <c r="H2184">
        <v>1893</v>
      </c>
      <c r="K2184">
        <v>7</v>
      </c>
      <c r="L2184">
        <v>7</v>
      </c>
      <c r="M2184">
        <v>1</v>
      </c>
      <c r="N2184">
        <v>0</v>
      </c>
      <c r="O2184">
        <v>1</v>
      </c>
      <c r="P2184">
        <v>0</v>
      </c>
      <c r="Q2184">
        <v>0</v>
      </c>
      <c r="R2184">
        <v>0</v>
      </c>
      <c r="T2184" s="29">
        <v>90000</v>
      </c>
      <c r="U2184" s="29">
        <v>630000</v>
      </c>
      <c r="V2184" t="s">
        <v>1262</v>
      </c>
      <c r="W2184" t="s">
        <v>1262</v>
      </c>
      <c r="X2184" s="29">
        <v>630000</v>
      </c>
      <c r="AA2184" s="30">
        <v>45855.6</v>
      </c>
      <c r="AB2184" s="30">
        <v>45856.558333333334</v>
      </c>
      <c r="AC2184" s="30">
        <v>45855.6</v>
      </c>
      <c r="AD2184" s="30">
        <v>45856.558333333334</v>
      </c>
      <c r="AE2184" s="30">
        <v>46120.375</v>
      </c>
      <c r="AF2184" s="30">
        <v>46120.708333333336</v>
      </c>
      <c r="AG2184" t="s">
        <v>1266</v>
      </c>
      <c r="AK2184" t="s">
        <v>1265</v>
      </c>
      <c r="AL2184" t="s">
        <v>2494</v>
      </c>
      <c r="AM2184" t="s">
        <v>1263</v>
      </c>
      <c r="AN2184" t="s">
        <v>1262</v>
      </c>
      <c r="AO2184">
        <v>0</v>
      </c>
      <c r="AQ2184" t="s">
        <v>1261</v>
      </c>
      <c r="AR2184" t="s">
        <v>1260</v>
      </c>
      <c r="AS2184" t="s">
        <v>1259</v>
      </c>
      <c r="AT2184" s="30">
        <v>46069.523611111108</v>
      </c>
    </row>
    <row r="2185" spans="1:46" x14ac:dyDescent="0.25">
      <c r="A2185" t="s">
        <v>1248</v>
      </c>
      <c r="B2185">
        <v>248200</v>
      </c>
      <c r="C2185">
        <v>352318</v>
      </c>
      <c r="D2185">
        <v>405</v>
      </c>
      <c r="E2185" t="s">
        <v>1266</v>
      </c>
      <c r="H2185">
        <v>1893</v>
      </c>
      <c r="K2185">
        <v>15</v>
      </c>
      <c r="L2185">
        <v>15</v>
      </c>
      <c r="M2185">
        <v>1</v>
      </c>
      <c r="N2185">
        <v>0</v>
      </c>
      <c r="O2185">
        <v>1</v>
      </c>
      <c r="P2185">
        <v>0</v>
      </c>
      <c r="Q2185">
        <v>0</v>
      </c>
      <c r="R2185">
        <v>0</v>
      </c>
      <c r="T2185" s="29">
        <v>90000</v>
      </c>
      <c r="U2185" s="29">
        <v>1350000</v>
      </c>
      <c r="V2185" t="s">
        <v>1262</v>
      </c>
      <c r="W2185" t="s">
        <v>1262</v>
      </c>
      <c r="X2185" s="29">
        <v>1350000</v>
      </c>
      <c r="AA2185" s="30">
        <v>45820.583333333336</v>
      </c>
      <c r="AB2185" s="30">
        <v>45824.5</v>
      </c>
      <c r="AC2185" s="30">
        <v>45820.583333333336</v>
      </c>
      <c r="AD2185" s="30">
        <v>45824.5</v>
      </c>
      <c r="AE2185" s="30">
        <v>46069.691666666666</v>
      </c>
      <c r="AF2185" s="30">
        <v>46071.65</v>
      </c>
      <c r="AG2185" t="s">
        <v>1266</v>
      </c>
      <c r="AK2185" t="s">
        <v>1265</v>
      </c>
      <c r="AL2185" t="s">
        <v>2493</v>
      </c>
      <c r="AM2185" t="s">
        <v>1263</v>
      </c>
      <c r="AN2185" t="s">
        <v>1262</v>
      </c>
      <c r="AO2185">
        <v>0</v>
      </c>
      <c r="AQ2185" t="s">
        <v>1261</v>
      </c>
      <c r="AR2185" t="s">
        <v>1260</v>
      </c>
      <c r="AS2185" t="s">
        <v>1259</v>
      </c>
      <c r="AT2185" s="30">
        <v>46069.523611111108</v>
      </c>
    </row>
    <row r="2186" spans="1:46" x14ac:dyDescent="0.25">
      <c r="A2186" t="s">
        <v>1248</v>
      </c>
      <c r="B2186">
        <v>248201</v>
      </c>
      <c r="C2186">
        <v>352324</v>
      </c>
      <c r="D2186">
        <v>405</v>
      </c>
      <c r="E2186" t="s">
        <v>1266</v>
      </c>
      <c r="H2186">
        <v>1893</v>
      </c>
      <c r="K2186">
        <v>7</v>
      </c>
      <c r="L2186">
        <v>7</v>
      </c>
      <c r="M2186">
        <v>1</v>
      </c>
      <c r="N2186">
        <v>0</v>
      </c>
      <c r="O2186">
        <v>1</v>
      </c>
      <c r="P2186">
        <v>0</v>
      </c>
      <c r="Q2186">
        <v>0</v>
      </c>
      <c r="R2186">
        <v>0</v>
      </c>
      <c r="T2186" s="29">
        <v>90000</v>
      </c>
      <c r="U2186" s="29">
        <v>630000</v>
      </c>
      <c r="V2186" t="s">
        <v>1262</v>
      </c>
      <c r="W2186" t="s">
        <v>1262</v>
      </c>
      <c r="X2186" s="29">
        <v>630000</v>
      </c>
      <c r="AA2186" s="30">
        <v>45853.64166666667</v>
      </c>
      <c r="AB2186" s="30">
        <v>45854.6</v>
      </c>
      <c r="AC2186" s="30">
        <v>45853.64166666667</v>
      </c>
      <c r="AD2186" s="30">
        <v>45854.6</v>
      </c>
      <c r="AE2186" s="30">
        <v>46101.375</v>
      </c>
      <c r="AF2186" s="30">
        <v>46101.708333333336</v>
      </c>
      <c r="AG2186" t="s">
        <v>1266</v>
      </c>
      <c r="AK2186" t="s">
        <v>1265</v>
      </c>
      <c r="AL2186" t="s">
        <v>2492</v>
      </c>
      <c r="AM2186" t="s">
        <v>1263</v>
      </c>
      <c r="AN2186" t="s">
        <v>1262</v>
      </c>
      <c r="AO2186">
        <v>0</v>
      </c>
      <c r="AQ2186" t="s">
        <v>1261</v>
      </c>
      <c r="AR2186" t="s">
        <v>1260</v>
      </c>
      <c r="AS2186" t="s">
        <v>1259</v>
      </c>
      <c r="AT2186" s="30">
        <v>46069.523611111108</v>
      </c>
    </row>
    <row r="2187" spans="1:46" x14ac:dyDescent="0.25">
      <c r="A2187" t="s">
        <v>1248</v>
      </c>
      <c r="B2187">
        <v>248202</v>
      </c>
      <c r="C2187">
        <v>352325</v>
      </c>
      <c r="D2187">
        <v>405</v>
      </c>
      <c r="E2187" t="s">
        <v>1266</v>
      </c>
      <c r="H2187">
        <v>1893</v>
      </c>
      <c r="K2187">
        <v>15</v>
      </c>
      <c r="L2187">
        <v>15</v>
      </c>
      <c r="M2187">
        <v>1</v>
      </c>
      <c r="N2187">
        <v>0</v>
      </c>
      <c r="O2187">
        <v>1</v>
      </c>
      <c r="P2187">
        <v>0</v>
      </c>
      <c r="Q2187">
        <v>0</v>
      </c>
      <c r="R2187">
        <v>0</v>
      </c>
      <c r="T2187" s="29">
        <v>90000</v>
      </c>
      <c r="U2187" s="29">
        <v>1350000</v>
      </c>
      <c r="V2187" t="s">
        <v>1262</v>
      </c>
      <c r="W2187" t="s">
        <v>1262</v>
      </c>
      <c r="X2187" s="29">
        <v>1350000</v>
      </c>
      <c r="AA2187" s="30">
        <v>45818.625</v>
      </c>
      <c r="AB2187" s="30">
        <v>45820.583333333336</v>
      </c>
      <c r="AC2187" s="30">
        <v>45818.625</v>
      </c>
      <c r="AD2187" s="30">
        <v>45820.583333333336</v>
      </c>
      <c r="AE2187" s="30">
        <v>46051.691666666666</v>
      </c>
      <c r="AF2187" s="30">
        <v>46055.65</v>
      </c>
      <c r="AG2187" t="s">
        <v>1266</v>
      </c>
      <c r="AK2187" t="s">
        <v>1265</v>
      </c>
      <c r="AL2187" t="s">
        <v>2491</v>
      </c>
      <c r="AM2187" t="s">
        <v>1263</v>
      </c>
      <c r="AN2187" t="s">
        <v>1262</v>
      </c>
      <c r="AO2187">
        <v>0</v>
      </c>
      <c r="AQ2187" t="s">
        <v>1261</v>
      </c>
      <c r="AR2187" t="s">
        <v>1260</v>
      </c>
      <c r="AS2187" t="s">
        <v>1259</v>
      </c>
      <c r="AT2187" s="30">
        <v>46069.523611111108</v>
      </c>
    </row>
    <row r="2188" spans="1:46" x14ac:dyDescent="0.25">
      <c r="A2188" t="s">
        <v>1248</v>
      </c>
      <c r="B2188">
        <v>248203</v>
      </c>
      <c r="C2188">
        <v>352331</v>
      </c>
      <c r="D2188">
        <v>405</v>
      </c>
      <c r="E2188" t="s">
        <v>1266</v>
      </c>
      <c r="H2188">
        <v>1893</v>
      </c>
      <c r="K2188">
        <v>7</v>
      </c>
      <c r="L2188">
        <v>7</v>
      </c>
      <c r="M2188">
        <v>1</v>
      </c>
      <c r="N2188">
        <v>0</v>
      </c>
      <c r="O2188">
        <v>1</v>
      </c>
      <c r="P2188">
        <v>0</v>
      </c>
      <c r="Q2188">
        <v>0</v>
      </c>
      <c r="R2188">
        <v>0</v>
      </c>
      <c r="T2188" s="29">
        <v>90000</v>
      </c>
      <c r="U2188" s="29">
        <v>630000</v>
      </c>
      <c r="V2188" t="s">
        <v>1262</v>
      </c>
      <c r="W2188" t="s">
        <v>1262</v>
      </c>
      <c r="X2188" s="29">
        <v>630000</v>
      </c>
      <c r="AA2188" s="30">
        <v>45849.683333333334</v>
      </c>
      <c r="AB2188" s="30">
        <v>45852.64166666667</v>
      </c>
      <c r="AC2188" s="30">
        <v>45849.683333333334</v>
      </c>
      <c r="AD2188" s="30">
        <v>45852.64166666667</v>
      </c>
      <c r="AE2188" s="30">
        <v>46085.375</v>
      </c>
      <c r="AF2188" s="30">
        <v>46085.708333333336</v>
      </c>
      <c r="AG2188" t="s">
        <v>1266</v>
      </c>
      <c r="AK2188" t="s">
        <v>1265</v>
      </c>
      <c r="AL2188" t="s">
        <v>2490</v>
      </c>
      <c r="AM2188" t="s">
        <v>1263</v>
      </c>
      <c r="AN2188" t="s">
        <v>1262</v>
      </c>
      <c r="AO2188">
        <v>0</v>
      </c>
      <c r="AQ2188" t="s">
        <v>1261</v>
      </c>
      <c r="AR2188" t="s">
        <v>1260</v>
      </c>
      <c r="AS2188" t="s">
        <v>1259</v>
      </c>
      <c r="AT2188" s="30">
        <v>46069.523611111108</v>
      </c>
    </row>
    <row r="2189" spans="1:46" x14ac:dyDescent="0.25">
      <c r="A2189" t="s">
        <v>1248</v>
      </c>
      <c r="B2189">
        <v>248204</v>
      </c>
      <c r="C2189">
        <v>352332</v>
      </c>
      <c r="D2189">
        <v>405</v>
      </c>
      <c r="E2189" t="s">
        <v>1266</v>
      </c>
      <c r="H2189">
        <v>1893</v>
      </c>
      <c r="K2189">
        <v>15</v>
      </c>
      <c r="L2189">
        <v>15</v>
      </c>
      <c r="M2189">
        <v>1</v>
      </c>
      <c r="N2189">
        <v>0</v>
      </c>
      <c r="O2189">
        <v>1</v>
      </c>
      <c r="P2189">
        <v>0</v>
      </c>
      <c r="Q2189">
        <v>0</v>
      </c>
      <c r="R2189">
        <v>0</v>
      </c>
      <c r="T2189" s="29">
        <v>90000</v>
      </c>
      <c r="U2189" s="29">
        <v>1350000</v>
      </c>
      <c r="V2189" t="s">
        <v>1262</v>
      </c>
      <c r="W2189" t="s">
        <v>1262</v>
      </c>
      <c r="X2189" s="29">
        <v>1350000</v>
      </c>
      <c r="AA2189" s="30">
        <v>45814.666666666664</v>
      </c>
      <c r="AB2189" s="30">
        <v>45818.625</v>
      </c>
      <c r="AC2189" s="30">
        <v>45814.666666666664</v>
      </c>
      <c r="AD2189" s="30">
        <v>45818.625</v>
      </c>
      <c r="AE2189" s="30">
        <v>46035.691666666666</v>
      </c>
      <c r="AF2189" s="30">
        <v>46037.65</v>
      </c>
      <c r="AG2189" t="s">
        <v>1266</v>
      </c>
      <c r="AK2189" t="s">
        <v>1265</v>
      </c>
      <c r="AL2189" t="s">
        <v>2489</v>
      </c>
      <c r="AM2189" t="s">
        <v>1263</v>
      </c>
      <c r="AN2189" t="s">
        <v>1262</v>
      </c>
      <c r="AO2189">
        <v>0</v>
      </c>
      <c r="AQ2189" t="s">
        <v>1261</v>
      </c>
      <c r="AR2189" t="s">
        <v>1260</v>
      </c>
      <c r="AS2189" t="s">
        <v>1259</v>
      </c>
      <c r="AT2189" s="30">
        <v>46069.523611111108</v>
      </c>
    </row>
    <row r="2190" spans="1:46" x14ac:dyDescent="0.25">
      <c r="A2190" t="s">
        <v>1248</v>
      </c>
      <c r="B2190">
        <v>248205</v>
      </c>
      <c r="C2190">
        <v>352338</v>
      </c>
      <c r="D2190">
        <v>405</v>
      </c>
      <c r="E2190" t="s">
        <v>1266</v>
      </c>
      <c r="H2190">
        <v>1893</v>
      </c>
      <c r="K2190">
        <v>7</v>
      </c>
      <c r="L2190">
        <v>7</v>
      </c>
      <c r="M2190">
        <v>1</v>
      </c>
      <c r="N2190">
        <v>0</v>
      </c>
      <c r="O2190">
        <v>1</v>
      </c>
      <c r="P2190">
        <v>0</v>
      </c>
      <c r="Q2190">
        <v>0</v>
      </c>
      <c r="R2190">
        <v>0</v>
      </c>
      <c r="T2190" s="29">
        <v>90000</v>
      </c>
      <c r="U2190" s="29">
        <v>630000</v>
      </c>
      <c r="V2190" t="s">
        <v>1262</v>
      </c>
      <c r="W2190" t="s">
        <v>1262</v>
      </c>
      <c r="X2190" s="29">
        <v>630000</v>
      </c>
      <c r="AA2190" s="30">
        <v>45848.35</v>
      </c>
      <c r="AB2190" s="30">
        <v>45848.683333333334</v>
      </c>
      <c r="AC2190" s="30">
        <v>45848.35</v>
      </c>
      <c r="AD2190" s="30">
        <v>45848.683333333334</v>
      </c>
      <c r="AE2190" s="30">
        <v>46069.375</v>
      </c>
      <c r="AF2190" s="30">
        <v>46069.708333333336</v>
      </c>
      <c r="AG2190" t="s">
        <v>1266</v>
      </c>
      <c r="AK2190" t="s">
        <v>1265</v>
      </c>
      <c r="AL2190" t="s">
        <v>2488</v>
      </c>
      <c r="AM2190" t="s">
        <v>1263</v>
      </c>
      <c r="AN2190" t="s">
        <v>1262</v>
      </c>
      <c r="AO2190">
        <v>0</v>
      </c>
      <c r="AQ2190" t="s">
        <v>1261</v>
      </c>
      <c r="AR2190" t="s">
        <v>1260</v>
      </c>
      <c r="AS2190" t="s">
        <v>1259</v>
      </c>
      <c r="AT2190" s="30">
        <v>46069.523611111108</v>
      </c>
    </row>
    <row r="2191" spans="1:46" x14ac:dyDescent="0.25">
      <c r="A2191" t="s">
        <v>1248</v>
      </c>
      <c r="B2191">
        <v>248206</v>
      </c>
      <c r="C2191">
        <v>352339</v>
      </c>
      <c r="D2191">
        <v>405</v>
      </c>
      <c r="E2191" t="s">
        <v>1266</v>
      </c>
      <c r="H2191">
        <v>1893</v>
      </c>
      <c r="K2191">
        <v>7</v>
      </c>
      <c r="L2191">
        <v>7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T2191" s="29">
        <v>90000</v>
      </c>
      <c r="U2191" s="29">
        <v>630000</v>
      </c>
      <c r="V2191" t="s">
        <v>1262</v>
      </c>
      <c r="W2191" t="s">
        <v>1262</v>
      </c>
      <c r="X2191" s="29">
        <v>630000</v>
      </c>
      <c r="AA2191" s="30">
        <v>45814.333333333336</v>
      </c>
      <c r="AB2191" s="30">
        <v>45814.666666666664</v>
      </c>
      <c r="AC2191" s="30">
        <v>45814.333333333336</v>
      </c>
      <c r="AD2191" s="30">
        <v>45814.666666666664</v>
      </c>
      <c r="AE2191" s="30">
        <v>46016.65</v>
      </c>
      <c r="AF2191" s="30">
        <v>46017.60833333333</v>
      </c>
      <c r="AG2191" t="s">
        <v>1266</v>
      </c>
      <c r="AK2191" t="s">
        <v>1265</v>
      </c>
      <c r="AL2191" t="s">
        <v>2487</v>
      </c>
      <c r="AM2191" t="s">
        <v>1263</v>
      </c>
      <c r="AN2191" t="s">
        <v>1262</v>
      </c>
      <c r="AO2191">
        <v>0</v>
      </c>
      <c r="AQ2191" t="s">
        <v>1261</v>
      </c>
      <c r="AR2191" t="s">
        <v>1260</v>
      </c>
      <c r="AS2191" t="s">
        <v>1259</v>
      </c>
      <c r="AT2191" s="30">
        <v>46069.523611111108</v>
      </c>
    </row>
    <row r="2192" spans="1:46" x14ac:dyDescent="0.25">
      <c r="A2192" t="s">
        <v>1248</v>
      </c>
      <c r="B2192">
        <v>248207</v>
      </c>
      <c r="C2192">
        <v>352345</v>
      </c>
      <c r="D2192">
        <v>405</v>
      </c>
      <c r="E2192" t="s">
        <v>1266</v>
      </c>
      <c r="H2192">
        <v>1893</v>
      </c>
      <c r="K2192">
        <v>7</v>
      </c>
      <c r="L2192">
        <v>7</v>
      </c>
      <c r="M2192">
        <v>1</v>
      </c>
      <c r="N2192">
        <v>0</v>
      </c>
      <c r="O2192">
        <v>1</v>
      </c>
      <c r="P2192">
        <v>0</v>
      </c>
      <c r="Q2192">
        <v>0</v>
      </c>
      <c r="R2192">
        <v>0</v>
      </c>
      <c r="T2192" s="29">
        <v>90000</v>
      </c>
      <c r="U2192" s="29">
        <v>630000</v>
      </c>
      <c r="V2192" t="s">
        <v>1262</v>
      </c>
      <c r="W2192" t="s">
        <v>1262</v>
      </c>
      <c r="X2192" s="29">
        <v>630000</v>
      </c>
      <c r="AA2192" s="30">
        <v>45846.433333333334</v>
      </c>
      <c r="AB2192" s="30">
        <v>45847.39166666667</v>
      </c>
      <c r="AC2192" s="30">
        <v>45846.433333333334</v>
      </c>
      <c r="AD2192" s="30">
        <v>45847.39166666667</v>
      </c>
      <c r="AE2192" s="30">
        <v>46051.375</v>
      </c>
      <c r="AF2192" s="30">
        <v>46051.708333333336</v>
      </c>
      <c r="AG2192" t="s">
        <v>1266</v>
      </c>
      <c r="AK2192" t="s">
        <v>1265</v>
      </c>
      <c r="AL2192" t="s">
        <v>2486</v>
      </c>
      <c r="AM2192" t="s">
        <v>1263</v>
      </c>
      <c r="AN2192" t="s">
        <v>1262</v>
      </c>
      <c r="AO2192">
        <v>0</v>
      </c>
      <c r="AQ2192" t="s">
        <v>1261</v>
      </c>
      <c r="AR2192" t="s">
        <v>1260</v>
      </c>
      <c r="AS2192" t="s">
        <v>1259</v>
      </c>
      <c r="AT2192" s="30">
        <v>46069.523611111108</v>
      </c>
    </row>
    <row r="2193" spans="1:46" x14ac:dyDescent="0.25">
      <c r="A2193" t="s">
        <v>1248</v>
      </c>
      <c r="B2193">
        <v>248208</v>
      </c>
      <c r="C2193">
        <v>352346</v>
      </c>
      <c r="D2193">
        <v>405</v>
      </c>
      <c r="E2193" t="s">
        <v>1266</v>
      </c>
      <c r="H2193">
        <v>1893</v>
      </c>
      <c r="K2193">
        <v>16</v>
      </c>
      <c r="L2193">
        <v>16</v>
      </c>
      <c r="M2193">
        <v>1</v>
      </c>
      <c r="N2193">
        <v>0</v>
      </c>
      <c r="O2193">
        <v>1</v>
      </c>
      <c r="P2193">
        <v>0</v>
      </c>
      <c r="Q2193">
        <v>0</v>
      </c>
      <c r="R2193">
        <v>0</v>
      </c>
      <c r="T2193" s="29">
        <v>90000</v>
      </c>
      <c r="U2193" s="29">
        <v>1440000</v>
      </c>
      <c r="V2193" t="s">
        <v>1262</v>
      </c>
      <c r="W2193" t="s">
        <v>1262</v>
      </c>
      <c r="X2193" s="29">
        <v>1440000</v>
      </c>
      <c r="AA2193" s="30">
        <v>45839.433333333334</v>
      </c>
      <c r="AB2193" s="30">
        <v>45841.433333333334</v>
      </c>
      <c r="AC2193" s="30">
        <v>45839.433333333334</v>
      </c>
      <c r="AD2193" s="30">
        <v>45841.433333333334</v>
      </c>
      <c r="AE2193" s="30">
        <v>46034.333333333336</v>
      </c>
      <c r="AF2193" s="30">
        <v>46035.708333333336</v>
      </c>
      <c r="AG2193" t="s">
        <v>1266</v>
      </c>
      <c r="AK2193" t="s">
        <v>1265</v>
      </c>
      <c r="AL2193" t="s">
        <v>2485</v>
      </c>
      <c r="AM2193" t="s">
        <v>1263</v>
      </c>
      <c r="AN2193" t="s">
        <v>1262</v>
      </c>
      <c r="AO2193">
        <v>0</v>
      </c>
      <c r="AQ2193" t="s">
        <v>1261</v>
      </c>
      <c r="AR2193" t="s">
        <v>1260</v>
      </c>
      <c r="AS2193" t="s">
        <v>1259</v>
      </c>
      <c r="AT2193" s="30">
        <v>46069.523611111108</v>
      </c>
    </row>
    <row r="2194" spans="1:46" x14ac:dyDescent="0.25">
      <c r="A2194" t="s">
        <v>1248</v>
      </c>
      <c r="B2194">
        <v>248209</v>
      </c>
      <c r="C2194">
        <v>352352</v>
      </c>
      <c r="D2194">
        <v>405</v>
      </c>
      <c r="E2194" t="s">
        <v>1266</v>
      </c>
      <c r="H2194">
        <v>1893</v>
      </c>
      <c r="K2194">
        <v>7</v>
      </c>
      <c r="L2194">
        <v>7</v>
      </c>
      <c r="M2194">
        <v>1</v>
      </c>
      <c r="N2194">
        <v>0</v>
      </c>
      <c r="O2194">
        <v>1</v>
      </c>
      <c r="P2194">
        <v>0</v>
      </c>
      <c r="Q2194">
        <v>0</v>
      </c>
      <c r="R2194">
        <v>0</v>
      </c>
      <c r="T2194" s="29">
        <v>90000</v>
      </c>
      <c r="U2194" s="29">
        <v>630000</v>
      </c>
      <c r="V2194" t="s">
        <v>1262</v>
      </c>
      <c r="W2194" t="s">
        <v>1262</v>
      </c>
      <c r="X2194" s="29">
        <v>630000</v>
      </c>
      <c r="AA2194" s="30">
        <v>45805.666666666664</v>
      </c>
      <c r="AB2194" s="30">
        <v>45806.625</v>
      </c>
      <c r="AC2194" s="30">
        <v>45805.666666666664</v>
      </c>
      <c r="AD2194" s="30">
        <v>45806.625</v>
      </c>
      <c r="AE2194" s="30">
        <v>45999.60833333333</v>
      </c>
      <c r="AF2194" s="30">
        <v>46000.566666666666</v>
      </c>
      <c r="AG2194" t="s">
        <v>1266</v>
      </c>
      <c r="AK2194" t="s">
        <v>1265</v>
      </c>
      <c r="AL2194" t="s">
        <v>2484</v>
      </c>
      <c r="AM2194" t="s">
        <v>1263</v>
      </c>
      <c r="AN2194" t="s">
        <v>1262</v>
      </c>
      <c r="AO2194">
        <v>0</v>
      </c>
      <c r="AQ2194" t="s">
        <v>1261</v>
      </c>
      <c r="AR2194" t="s">
        <v>1260</v>
      </c>
      <c r="AS2194" t="s">
        <v>1259</v>
      </c>
      <c r="AT2194" s="30">
        <v>46069.523611111108</v>
      </c>
    </row>
    <row r="2195" spans="1:46" x14ac:dyDescent="0.25">
      <c r="A2195" t="s">
        <v>1248</v>
      </c>
      <c r="B2195">
        <v>248210</v>
      </c>
      <c r="C2195">
        <v>352353</v>
      </c>
      <c r="D2195">
        <v>405</v>
      </c>
      <c r="E2195" t="s">
        <v>1266</v>
      </c>
      <c r="H2195">
        <v>1893</v>
      </c>
      <c r="K2195">
        <v>16</v>
      </c>
      <c r="L2195">
        <v>16</v>
      </c>
      <c r="M2195">
        <v>1</v>
      </c>
      <c r="N2195">
        <v>0</v>
      </c>
      <c r="O2195">
        <v>1</v>
      </c>
      <c r="P2195">
        <v>0</v>
      </c>
      <c r="Q2195">
        <v>0</v>
      </c>
      <c r="R2195">
        <v>0</v>
      </c>
      <c r="T2195" s="29">
        <v>90000</v>
      </c>
      <c r="U2195" s="29">
        <v>1440000</v>
      </c>
      <c r="V2195" t="s">
        <v>1262</v>
      </c>
      <c r="W2195" t="s">
        <v>1262</v>
      </c>
      <c r="X2195" s="29">
        <v>1440000</v>
      </c>
      <c r="AA2195" s="30">
        <v>45835.433333333334</v>
      </c>
      <c r="AB2195" s="30">
        <v>45839.433333333334</v>
      </c>
      <c r="AC2195" s="30">
        <v>45835.433333333334</v>
      </c>
      <c r="AD2195" s="30">
        <v>45839.433333333334</v>
      </c>
      <c r="AE2195" s="30">
        <v>46027.333333333336</v>
      </c>
      <c r="AF2195" s="30">
        <v>46029.708333333336</v>
      </c>
      <c r="AG2195" t="s">
        <v>1266</v>
      </c>
      <c r="AK2195" t="s">
        <v>1265</v>
      </c>
      <c r="AL2195" t="s">
        <v>2483</v>
      </c>
      <c r="AM2195" t="s">
        <v>1263</v>
      </c>
      <c r="AN2195" t="s">
        <v>1262</v>
      </c>
      <c r="AO2195">
        <v>0</v>
      </c>
      <c r="AQ2195" t="s">
        <v>1261</v>
      </c>
      <c r="AR2195" t="s">
        <v>1260</v>
      </c>
      <c r="AS2195" t="s">
        <v>1259</v>
      </c>
      <c r="AT2195" s="30">
        <v>46069.523611111108</v>
      </c>
    </row>
    <row r="2196" spans="1:46" x14ac:dyDescent="0.25">
      <c r="A2196" t="s">
        <v>1248</v>
      </c>
      <c r="B2196">
        <v>248211</v>
      </c>
      <c r="C2196">
        <v>352359</v>
      </c>
      <c r="D2196">
        <v>405</v>
      </c>
      <c r="E2196" t="s">
        <v>1266</v>
      </c>
      <c r="H2196">
        <v>1893</v>
      </c>
      <c r="K2196">
        <v>7</v>
      </c>
      <c r="L2196">
        <v>7</v>
      </c>
      <c r="M2196">
        <v>1</v>
      </c>
      <c r="N2196">
        <v>0</v>
      </c>
      <c r="O2196">
        <v>1</v>
      </c>
      <c r="P2196">
        <v>0</v>
      </c>
      <c r="Q2196">
        <v>0</v>
      </c>
      <c r="R2196">
        <v>0</v>
      </c>
      <c r="T2196" s="29">
        <v>90000</v>
      </c>
      <c r="U2196" s="29">
        <v>630000</v>
      </c>
      <c r="V2196" t="s">
        <v>1262</v>
      </c>
      <c r="W2196" t="s">
        <v>1262</v>
      </c>
      <c r="X2196" s="29">
        <v>630000</v>
      </c>
      <c r="AA2196" s="30">
        <v>45805.333333333336</v>
      </c>
      <c r="AB2196" s="30">
        <v>45805.666666666664</v>
      </c>
      <c r="AC2196" s="30">
        <v>45805.333333333336</v>
      </c>
      <c r="AD2196" s="30">
        <v>45805.666666666664</v>
      </c>
      <c r="AE2196" s="30">
        <v>45993.60833333333</v>
      </c>
      <c r="AF2196" s="30">
        <v>45994.566666666666</v>
      </c>
      <c r="AG2196" t="s">
        <v>1266</v>
      </c>
      <c r="AK2196" t="s">
        <v>1265</v>
      </c>
      <c r="AL2196" t="s">
        <v>2482</v>
      </c>
      <c r="AM2196" t="s">
        <v>1263</v>
      </c>
      <c r="AN2196" t="s">
        <v>1262</v>
      </c>
      <c r="AO2196">
        <v>0</v>
      </c>
      <c r="AQ2196" t="s">
        <v>1261</v>
      </c>
      <c r="AR2196" t="s">
        <v>1260</v>
      </c>
      <c r="AS2196" t="s">
        <v>1259</v>
      </c>
      <c r="AT2196" s="30">
        <v>46069.523611111108</v>
      </c>
    </row>
    <row r="2197" spans="1:46" x14ac:dyDescent="0.25">
      <c r="A2197" t="s">
        <v>1248</v>
      </c>
      <c r="B2197">
        <v>248212</v>
      </c>
      <c r="C2197">
        <v>352360</v>
      </c>
      <c r="D2197">
        <v>405</v>
      </c>
      <c r="E2197" t="s">
        <v>1266</v>
      </c>
      <c r="H2197">
        <v>1893</v>
      </c>
      <c r="K2197">
        <v>16</v>
      </c>
      <c r="L2197">
        <v>16</v>
      </c>
      <c r="M2197">
        <v>1</v>
      </c>
      <c r="N2197">
        <v>0</v>
      </c>
      <c r="O2197">
        <v>1</v>
      </c>
      <c r="P2197">
        <v>0</v>
      </c>
      <c r="Q2197">
        <v>0</v>
      </c>
      <c r="R2197">
        <v>0</v>
      </c>
      <c r="T2197" s="29">
        <v>90000</v>
      </c>
      <c r="U2197" s="29">
        <v>1440000</v>
      </c>
      <c r="V2197" t="s">
        <v>1262</v>
      </c>
      <c r="W2197" t="s">
        <v>1262</v>
      </c>
      <c r="X2197" s="29">
        <v>1440000</v>
      </c>
      <c r="AA2197" s="30">
        <v>45803.333333333336</v>
      </c>
      <c r="AB2197" s="30">
        <v>45804.708333333336</v>
      </c>
      <c r="AC2197" s="30">
        <v>45803.333333333336</v>
      </c>
      <c r="AD2197" s="30">
        <v>45804.708333333336</v>
      </c>
      <c r="AE2197" s="30">
        <v>45859.60833333333</v>
      </c>
      <c r="AF2197" s="30">
        <v>45861.60833333333</v>
      </c>
      <c r="AG2197" t="s">
        <v>1266</v>
      </c>
      <c r="AK2197" t="s">
        <v>1265</v>
      </c>
      <c r="AL2197" t="s">
        <v>2481</v>
      </c>
      <c r="AM2197" t="s">
        <v>1263</v>
      </c>
      <c r="AN2197" t="s">
        <v>1262</v>
      </c>
      <c r="AO2197">
        <v>0</v>
      </c>
      <c r="AQ2197" t="s">
        <v>1261</v>
      </c>
      <c r="AR2197" t="s">
        <v>1260</v>
      </c>
      <c r="AS2197" t="s">
        <v>1259</v>
      </c>
      <c r="AT2197" s="30">
        <v>46069.523611111108</v>
      </c>
    </row>
    <row r="2198" spans="1:46" x14ac:dyDescent="0.25">
      <c r="A2198" t="s">
        <v>1248</v>
      </c>
      <c r="B2198">
        <v>248213</v>
      </c>
      <c r="C2198">
        <v>352366</v>
      </c>
      <c r="D2198">
        <v>405</v>
      </c>
      <c r="E2198" t="s">
        <v>1266</v>
      </c>
      <c r="H2198">
        <v>1893</v>
      </c>
      <c r="K2198">
        <v>7</v>
      </c>
      <c r="L2198">
        <v>7</v>
      </c>
      <c r="M2198">
        <v>1</v>
      </c>
      <c r="N2198">
        <v>0</v>
      </c>
      <c r="O2198">
        <v>1</v>
      </c>
      <c r="P2198">
        <v>0</v>
      </c>
      <c r="Q2198">
        <v>0</v>
      </c>
      <c r="R2198">
        <v>0</v>
      </c>
      <c r="T2198" s="29">
        <v>90000</v>
      </c>
      <c r="U2198" s="29">
        <v>630000</v>
      </c>
      <c r="V2198" t="s">
        <v>1262</v>
      </c>
      <c r="W2198" t="s">
        <v>1262</v>
      </c>
      <c r="X2198" s="29">
        <v>630000</v>
      </c>
      <c r="AA2198" s="30">
        <v>45834.474999999999</v>
      </c>
      <c r="AB2198" s="30">
        <v>45835.433333333334</v>
      </c>
      <c r="AC2198" s="30">
        <v>45834.474999999999</v>
      </c>
      <c r="AD2198" s="30">
        <v>45835.433333333334</v>
      </c>
      <c r="AE2198" s="30">
        <v>45891.375</v>
      </c>
      <c r="AF2198" s="30">
        <v>45891.708333333336</v>
      </c>
      <c r="AG2198" t="s">
        <v>1266</v>
      </c>
      <c r="AK2198" t="s">
        <v>1265</v>
      </c>
      <c r="AL2198" t="s">
        <v>2480</v>
      </c>
      <c r="AM2198" t="s">
        <v>1263</v>
      </c>
      <c r="AN2198" t="s">
        <v>1262</v>
      </c>
      <c r="AO2198">
        <v>0</v>
      </c>
      <c r="AQ2198" t="s">
        <v>1261</v>
      </c>
      <c r="AR2198" t="s">
        <v>1260</v>
      </c>
      <c r="AS2198" t="s">
        <v>1259</v>
      </c>
      <c r="AT2198" s="30">
        <v>46069.523611111108</v>
      </c>
    </row>
    <row r="2199" spans="1:46" x14ac:dyDescent="0.25">
      <c r="A2199" t="s">
        <v>1248</v>
      </c>
      <c r="B2199">
        <v>248214</v>
      </c>
      <c r="C2199">
        <v>352192</v>
      </c>
      <c r="D2199">
        <v>405</v>
      </c>
      <c r="E2199" t="s">
        <v>1266</v>
      </c>
      <c r="H2199">
        <v>1892</v>
      </c>
      <c r="K2199">
        <v>15</v>
      </c>
      <c r="L2199">
        <v>15</v>
      </c>
      <c r="M2199">
        <v>1</v>
      </c>
      <c r="N2199">
        <v>0</v>
      </c>
      <c r="O2199">
        <v>1</v>
      </c>
      <c r="P2199">
        <v>0</v>
      </c>
      <c r="Q2199">
        <v>0</v>
      </c>
      <c r="R2199">
        <v>0</v>
      </c>
      <c r="T2199" s="29">
        <v>568953</v>
      </c>
      <c r="U2199" s="29">
        <v>8534295</v>
      </c>
      <c r="V2199" t="s">
        <v>1262</v>
      </c>
      <c r="W2199" t="s">
        <v>1262</v>
      </c>
      <c r="X2199" s="29">
        <v>8534295</v>
      </c>
      <c r="AA2199" s="30">
        <v>45895.333333333336</v>
      </c>
      <c r="AB2199" s="30">
        <v>45896.666666666664</v>
      </c>
      <c r="AC2199" s="30">
        <v>45895.333333333336</v>
      </c>
      <c r="AD2199" s="30">
        <v>45896.666666666664</v>
      </c>
      <c r="AE2199" s="30">
        <v>46384.369444444441</v>
      </c>
      <c r="AF2199" s="30">
        <v>46385.702777777777</v>
      </c>
      <c r="AG2199" t="s">
        <v>1266</v>
      </c>
      <c r="AK2199" t="s">
        <v>1265</v>
      </c>
      <c r="AL2199" t="s">
        <v>2479</v>
      </c>
      <c r="AM2199" t="s">
        <v>1263</v>
      </c>
      <c r="AN2199" t="s">
        <v>1262</v>
      </c>
      <c r="AO2199">
        <v>0</v>
      </c>
      <c r="AQ2199" t="s">
        <v>1261</v>
      </c>
      <c r="AR2199" t="s">
        <v>1260</v>
      </c>
      <c r="AS2199" t="s">
        <v>1259</v>
      </c>
      <c r="AT2199" s="30">
        <v>46069.523611111108</v>
      </c>
    </row>
    <row r="2200" spans="1:46" x14ac:dyDescent="0.25">
      <c r="A2200" t="s">
        <v>1248</v>
      </c>
      <c r="B2200">
        <v>248215</v>
      </c>
      <c r="C2200">
        <v>352198</v>
      </c>
      <c r="D2200">
        <v>405</v>
      </c>
      <c r="E2200" t="s">
        <v>1266</v>
      </c>
      <c r="H2200">
        <v>1892</v>
      </c>
      <c r="K2200">
        <v>7</v>
      </c>
      <c r="L2200">
        <v>7</v>
      </c>
      <c r="M2200">
        <v>1</v>
      </c>
      <c r="N2200">
        <v>0</v>
      </c>
      <c r="O2200">
        <v>1</v>
      </c>
      <c r="P2200">
        <v>0</v>
      </c>
      <c r="Q2200">
        <v>0</v>
      </c>
      <c r="R2200">
        <v>0</v>
      </c>
      <c r="T2200" s="29">
        <v>568953</v>
      </c>
      <c r="U2200" s="29">
        <v>3982671</v>
      </c>
      <c r="V2200" t="s">
        <v>1262</v>
      </c>
      <c r="W2200" t="s">
        <v>1262</v>
      </c>
      <c r="X2200" s="29">
        <v>3982671</v>
      </c>
      <c r="AA2200" s="30">
        <v>45923.338888888888</v>
      </c>
      <c r="AB2200" s="30">
        <v>45923.672222222223</v>
      </c>
      <c r="AC2200" s="30">
        <v>45923.338888888888</v>
      </c>
      <c r="AD2200" s="30">
        <v>45923.672222222223</v>
      </c>
      <c r="AE2200" s="30">
        <v>46414.375</v>
      </c>
      <c r="AF2200" s="30">
        <v>46414.708333333336</v>
      </c>
      <c r="AG2200" t="s">
        <v>1266</v>
      </c>
      <c r="AK2200" t="s">
        <v>1265</v>
      </c>
      <c r="AL2200" t="s">
        <v>2478</v>
      </c>
      <c r="AM2200" t="s">
        <v>1263</v>
      </c>
      <c r="AN2200" t="s">
        <v>1262</v>
      </c>
      <c r="AO2200">
        <v>0</v>
      </c>
      <c r="AQ2200" t="s">
        <v>1261</v>
      </c>
      <c r="AR2200" t="s">
        <v>1260</v>
      </c>
      <c r="AS2200" t="s">
        <v>1259</v>
      </c>
      <c r="AT2200" s="30">
        <v>46069.523611111108</v>
      </c>
    </row>
    <row r="2201" spans="1:46" x14ac:dyDescent="0.25">
      <c r="A2201" t="s">
        <v>1248</v>
      </c>
      <c r="B2201">
        <v>248216</v>
      </c>
      <c r="C2201">
        <v>352199</v>
      </c>
      <c r="D2201">
        <v>405</v>
      </c>
      <c r="E2201" t="s">
        <v>1266</v>
      </c>
      <c r="H2201">
        <v>1892</v>
      </c>
      <c r="K2201">
        <v>15</v>
      </c>
      <c r="L2201">
        <v>15</v>
      </c>
      <c r="M2201">
        <v>1</v>
      </c>
      <c r="N2201">
        <v>0</v>
      </c>
      <c r="O2201">
        <v>1</v>
      </c>
      <c r="P2201">
        <v>0</v>
      </c>
      <c r="Q2201">
        <v>0</v>
      </c>
      <c r="R2201">
        <v>0</v>
      </c>
      <c r="T2201" s="29">
        <v>568953</v>
      </c>
      <c r="U2201" s="29">
        <v>8534295</v>
      </c>
      <c r="V2201" t="s">
        <v>1262</v>
      </c>
      <c r="W2201" t="s">
        <v>1262</v>
      </c>
      <c r="X2201" s="29">
        <v>8534295</v>
      </c>
      <c r="AA2201" s="30">
        <v>45890.333333333336</v>
      </c>
      <c r="AB2201" s="30">
        <v>45891.666666666664</v>
      </c>
      <c r="AC2201" s="30">
        <v>45890.333333333336</v>
      </c>
      <c r="AD2201" s="30">
        <v>45891.666666666664</v>
      </c>
      <c r="AE2201" s="30">
        <v>46365.369444444441</v>
      </c>
      <c r="AF2201" s="30">
        <v>46366.702777777777</v>
      </c>
      <c r="AG2201" t="s">
        <v>1266</v>
      </c>
      <c r="AK2201" t="s">
        <v>1265</v>
      </c>
      <c r="AL2201" t="s">
        <v>2477</v>
      </c>
      <c r="AM2201" t="s">
        <v>1263</v>
      </c>
      <c r="AN2201" t="s">
        <v>1262</v>
      </c>
      <c r="AO2201">
        <v>0</v>
      </c>
      <c r="AQ2201" t="s">
        <v>1261</v>
      </c>
      <c r="AR2201" t="s">
        <v>1260</v>
      </c>
      <c r="AS2201" t="s">
        <v>1259</v>
      </c>
      <c r="AT2201" s="30">
        <v>46069.523611111108</v>
      </c>
    </row>
    <row r="2202" spans="1:46" x14ac:dyDescent="0.25">
      <c r="A2202" t="s">
        <v>1248</v>
      </c>
      <c r="B2202">
        <v>248217</v>
      </c>
      <c r="C2202">
        <v>352205</v>
      </c>
      <c r="D2202">
        <v>405</v>
      </c>
      <c r="E2202" t="s">
        <v>1266</v>
      </c>
      <c r="H2202">
        <v>1892</v>
      </c>
      <c r="K2202">
        <v>7</v>
      </c>
      <c r="L2202">
        <v>7</v>
      </c>
      <c r="M2202">
        <v>1</v>
      </c>
      <c r="N2202">
        <v>0</v>
      </c>
      <c r="O2202">
        <v>1</v>
      </c>
      <c r="P2202">
        <v>0</v>
      </c>
      <c r="Q2202">
        <v>0</v>
      </c>
      <c r="R2202">
        <v>0</v>
      </c>
      <c r="T2202" s="29">
        <v>568953</v>
      </c>
      <c r="U2202" s="29">
        <v>3982671</v>
      </c>
      <c r="V2202" t="s">
        <v>1262</v>
      </c>
      <c r="W2202" t="s">
        <v>1262</v>
      </c>
      <c r="X2202" s="29">
        <v>3982671</v>
      </c>
      <c r="AA2202" s="30">
        <v>45918.338888888888</v>
      </c>
      <c r="AB2202" s="30">
        <v>45918.672222222223</v>
      </c>
      <c r="AC2202" s="30">
        <v>45918.338888888888</v>
      </c>
      <c r="AD2202" s="30">
        <v>45918.672222222223</v>
      </c>
      <c r="AE2202" s="30">
        <v>46398.375</v>
      </c>
      <c r="AF2202" s="30">
        <v>46398.708333333336</v>
      </c>
      <c r="AG2202" t="s">
        <v>1266</v>
      </c>
      <c r="AK2202" t="s">
        <v>1265</v>
      </c>
      <c r="AL2202" t="s">
        <v>2476</v>
      </c>
      <c r="AM2202" t="s">
        <v>1263</v>
      </c>
      <c r="AN2202" t="s">
        <v>1262</v>
      </c>
      <c r="AO2202">
        <v>0</v>
      </c>
      <c r="AQ2202" t="s">
        <v>1261</v>
      </c>
      <c r="AR2202" t="s">
        <v>1260</v>
      </c>
      <c r="AS2202" t="s">
        <v>1259</v>
      </c>
      <c r="AT2202" s="30">
        <v>46069.523611111108</v>
      </c>
    </row>
    <row r="2203" spans="1:46" x14ac:dyDescent="0.25">
      <c r="A2203" t="s">
        <v>1248</v>
      </c>
      <c r="B2203">
        <v>248218</v>
      </c>
      <c r="C2203">
        <v>352206</v>
      </c>
      <c r="D2203">
        <v>405</v>
      </c>
      <c r="E2203" t="s">
        <v>1266</v>
      </c>
      <c r="H2203">
        <v>1892</v>
      </c>
      <c r="K2203">
        <v>15</v>
      </c>
      <c r="L2203">
        <v>15</v>
      </c>
      <c r="M2203">
        <v>1</v>
      </c>
      <c r="N2203">
        <v>0</v>
      </c>
      <c r="O2203">
        <v>1</v>
      </c>
      <c r="P2203">
        <v>0</v>
      </c>
      <c r="Q2203">
        <v>0</v>
      </c>
      <c r="R2203">
        <v>0</v>
      </c>
      <c r="T2203" s="29">
        <v>568953</v>
      </c>
      <c r="U2203" s="29">
        <v>8534295</v>
      </c>
      <c r="V2203" t="s">
        <v>1262</v>
      </c>
      <c r="W2203" t="s">
        <v>1262</v>
      </c>
      <c r="X2203" s="29">
        <v>8534295</v>
      </c>
      <c r="AA2203" s="30">
        <v>45887.333333333336</v>
      </c>
      <c r="AB2203" s="30">
        <v>45888.666666666664</v>
      </c>
      <c r="AC2203" s="30">
        <v>45887.333333333336</v>
      </c>
      <c r="AD2203" s="30">
        <v>45888.666666666664</v>
      </c>
      <c r="AE2203" s="30">
        <v>46346.369444444441</v>
      </c>
      <c r="AF2203" s="30">
        <v>46349.702777777777</v>
      </c>
      <c r="AG2203" t="s">
        <v>1266</v>
      </c>
      <c r="AK2203" t="s">
        <v>1265</v>
      </c>
      <c r="AL2203" t="s">
        <v>2475</v>
      </c>
      <c r="AM2203" t="s">
        <v>1263</v>
      </c>
      <c r="AN2203" t="s">
        <v>1262</v>
      </c>
      <c r="AO2203">
        <v>0</v>
      </c>
      <c r="AQ2203" t="s">
        <v>1261</v>
      </c>
      <c r="AR2203" t="s">
        <v>1260</v>
      </c>
      <c r="AS2203" t="s">
        <v>1259</v>
      </c>
      <c r="AT2203" s="30">
        <v>46069.523611111108</v>
      </c>
    </row>
    <row r="2204" spans="1:46" x14ac:dyDescent="0.25">
      <c r="A2204" t="s">
        <v>1248</v>
      </c>
      <c r="B2204">
        <v>248219</v>
      </c>
      <c r="C2204">
        <v>352212</v>
      </c>
      <c r="D2204">
        <v>405</v>
      </c>
      <c r="E2204" t="s">
        <v>1266</v>
      </c>
      <c r="H2204">
        <v>1892</v>
      </c>
      <c r="K2204">
        <v>7</v>
      </c>
      <c r="L2204">
        <v>7</v>
      </c>
      <c r="M2204">
        <v>1</v>
      </c>
      <c r="N2204">
        <v>0</v>
      </c>
      <c r="O2204">
        <v>1</v>
      </c>
      <c r="P2204">
        <v>0</v>
      </c>
      <c r="Q2204">
        <v>0</v>
      </c>
      <c r="R2204">
        <v>0</v>
      </c>
      <c r="T2204" s="29">
        <v>568953</v>
      </c>
      <c r="U2204" s="29">
        <v>3982671</v>
      </c>
      <c r="V2204" t="s">
        <v>1262</v>
      </c>
      <c r="W2204" t="s">
        <v>1262</v>
      </c>
      <c r="X2204" s="29">
        <v>3982671</v>
      </c>
      <c r="AA2204" s="30">
        <v>45915.338888888888</v>
      </c>
      <c r="AB2204" s="30">
        <v>45915.672222222223</v>
      </c>
      <c r="AC2204" s="30">
        <v>45915.338888888888</v>
      </c>
      <c r="AD2204" s="30">
        <v>45915.672222222223</v>
      </c>
      <c r="AE2204" s="30">
        <v>46377.375</v>
      </c>
      <c r="AF2204" s="30">
        <v>46377.708333333336</v>
      </c>
      <c r="AG2204" t="s">
        <v>1266</v>
      </c>
      <c r="AK2204" t="s">
        <v>1265</v>
      </c>
      <c r="AL2204" t="s">
        <v>2474</v>
      </c>
      <c r="AM2204" t="s">
        <v>1263</v>
      </c>
      <c r="AN2204" t="s">
        <v>1262</v>
      </c>
      <c r="AO2204">
        <v>0</v>
      </c>
      <c r="AQ2204" t="s">
        <v>1261</v>
      </c>
      <c r="AR2204" t="s">
        <v>1260</v>
      </c>
      <c r="AS2204" t="s">
        <v>1259</v>
      </c>
      <c r="AT2204" s="30">
        <v>46069.523611111108</v>
      </c>
    </row>
    <row r="2205" spans="1:46" x14ac:dyDescent="0.25">
      <c r="A2205" t="s">
        <v>1248</v>
      </c>
      <c r="B2205">
        <v>248220</v>
      </c>
      <c r="C2205">
        <v>352213</v>
      </c>
      <c r="D2205">
        <v>405</v>
      </c>
      <c r="E2205" t="s">
        <v>1266</v>
      </c>
      <c r="H2205">
        <v>1892</v>
      </c>
      <c r="K2205">
        <v>15</v>
      </c>
      <c r="L2205">
        <v>15</v>
      </c>
      <c r="M2205">
        <v>1</v>
      </c>
      <c r="N2205">
        <v>0</v>
      </c>
      <c r="O2205">
        <v>1</v>
      </c>
      <c r="P2205">
        <v>0</v>
      </c>
      <c r="Q2205">
        <v>0</v>
      </c>
      <c r="R2205">
        <v>0</v>
      </c>
      <c r="T2205" s="29">
        <v>568953</v>
      </c>
      <c r="U2205" s="29">
        <v>8534295</v>
      </c>
      <c r="V2205" t="s">
        <v>1262</v>
      </c>
      <c r="W2205" t="s">
        <v>1262</v>
      </c>
      <c r="X2205" s="29">
        <v>8534295</v>
      </c>
      <c r="AA2205" s="30">
        <v>45882.333333333336</v>
      </c>
      <c r="AB2205" s="30">
        <v>45883.666666666664</v>
      </c>
      <c r="AC2205" s="30">
        <v>45882.333333333336</v>
      </c>
      <c r="AD2205" s="30">
        <v>45883.666666666664</v>
      </c>
      <c r="AE2205" s="30">
        <v>46330.369444444441</v>
      </c>
      <c r="AF2205" s="30">
        <v>46331.702777777777</v>
      </c>
      <c r="AG2205" t="s">
        <v>1266</v>
      </c>
      <c r="AK2205" t="s">
        <v>1265</v>
      </c>
      <c r="AL2205" t="s">
        <v>2473</v>
      </c>
      <c r="AM2205" t="s">
        <v>1263</v>
      </c>
      <c r="AN2205" t="s">
        <v>1262</v>
      </c>
      <c r="AO2205">
        <v>0</v>
      </c>
      <c r="AQ2205" t="s">
        <v>1261</v>
      </c>
      <c r="AR2205" t="s">
        <v>1260</v>
      </c>
      <c r="AS2205" t="s">
        <v>1259</v>
      </c>
      <c r="AT2205" s="30">
        <v>46069.523611111108</v>
      </c>
    </row>
    <row r="2206" spans="1:46" x14ac:dyDescent="0.25">
      <c r="A2206" t="s">
        <v>1248</v>
      </c>
      <c r="B2206">
        <v>248221</v>
      </c>
      <c r="C2206">
        <v>352219</v>
      </c>
      <c r="D2206">
        <v>405</v>
      </c>
      <c r="E2206" t="s">
        <v>1266</v>
      </c>
      <c r="H2206">
        <v>1892</v>
      </c>
      <c r="K2206">
        <v>7</v>
      </c>
      <c r="L2206">
        <v>7</v>
      </c>
      <c r="M2206">
        <v>1</v>
      </c>
      <c r="N2206">
        <v>0</v>
      </c>
      <c r="O2206">
        <v>1</v>
      </c>
      <c r="P2206">
        <v>0</v>
      </c>
      <c r="Q2206">
        <v>0</v>
      </c>
      <c r="R2206">
        <v>0</v>
      </c>
      <c r="T2206" s="29">
        <v>568953</v>
      </c>
      <c r="U2206" s="29">
        <v>3982671</v>
      </c>
      <c r="V2206" t="s">
        <v>1262</v>
      </c>
      <c r="W2206" t="s">
        <v>1262</v>
      </c>
      <c r="X2206" s="29">
        <v>3982671</v>
      </c>
      <c r="AA2206" s="30">
        <v>45910.338888888888</v>
      </c>
      <c r="AB2206" s="30">
        <v>45910.672222222223</v>
      </c>
      <c r="AC2206" s="30">
        <v>45910.338888888888</v>
      </c>
      <c r="AD2206" s="30">
        <v>45910.672222222223</v>
      </c>
      <c r="AE2206" s="30">
        <v>46358.375</v>
      </c>
      <c r="AF2206" s="30">
        <v>46358.708333333336</v>
      </c>
      <c r="AG2206" t="s">
        <v>1266</v>
      </c>
      <c r="AK2206" t="s">
        <v>1265</v>
      </c>
      <c r="AL2206" t="s">
        <v>2472</v>
      </c>
      <c r="AM2206" t="s">
        <v>1263</v>
      </c>
      <c r="AN2206" t="s">
        <v>1262</v>
      </c>
      <c r="AO2206">
        <v>0</v>
      </c>
      <c r="AQ2206" t="s">
        <v>1261</v>
      </c>
      <c r="AR2206" t="s">
        <v>1260</v>
      </c>
      <c r="AS2206" t="s">
        <v>1259</v>
      </c>
      <c r="AT2206" s="30">
        <v>46069.523611111108</v>
      </c>
    </row>
    <row r="2207" spans="1:46" x14ac:dyDescent="0.25">
      <c r="A2207" t="s">
        <v>1248</v>
      </c>
      <c r="B2207">
        <v>248222</v>
      </c>
      <c r="C2207">
        <v>352220</v>
      </c>
      <c r="D2207">
        <v>405</v>
      </c>
      <c r="E2207" t="s">
        <v>1266</v>
      </c>
      <c r="H2207">
        <v>1892</v>
      </c>
      <c r="K2207">
        <v>15</v>
      </c>
      <c r="L2207">
        <v>15</v>
      </c>
      <c r="M2207">
        <v>1</v>
      </c>
      <c r="N2207">
        <v>0</v>
      </c>
      <c r="O2207">
        <v>1</v>
      </c>
      <c r="P2207">
        <v>0</v>
      </c>
      <c r="Q2207">
        <v>0</v>
      </c>
      <c r="R2207">
        <v>0</v>
      </c>
      <c r="T2207" s="29">
        <v>568953</v>
      </c>
      <c r="U2207" s="29">
        <v>8534295</v>
      </c>
      <c r="V2207" t="s">
        <v>1262</v>
      </c>
      <c r="W2207" t="s">
        <v>1262</v>
      </c>
      <c r="X2207" s="29">
        <v>8534295</v>
      </c>
      <c r="AA2207" s="30">
        <v>45877.458333333336</v>
      </c>
      <c r="AB2207" s="30">
        <v>45881.416666666664</v>
      </c>
      <c r="AC2207" s="30">
        <v>45877.458333333336</v>
      </c>
      <c r="AD2207" s="30">
        <v>45881.416666666664</v>
      </c>
      <c r="AE2207" s="30">
        <v>46314.369444444441</v>
      </c>
      <c r="AF2207" s="30">
        <v>46315.702777777777</v>
      </c>
      <c r="AG2207" t="s">
        <v>1266</v>
      </c>
      <c r="AK2207" t="s">
        <v>1265</v>
      </c>
      <c r="AL2207" t="s">
        <v>2471</v>
      </c>
      <c r="AM2207" t="s">
        <v>1263</v>
      </c>
      <c r="AN2207" t="s">
        <v>1262</v>
      </c>
      <c r="AO2207">
        <v>0</v>
      </c>
      <c r="AQ2207" t="s">
        <v>1261</v>
      </c>
      <c r="AR2207" t="s">
        <v>1260</v>
      </c>
      <c r="AS2207" t="s">
        <v>1259</v>
      </c>
      <c r="AT2207" s="30">
        <v>46069.523611111108</v>
      </c>
    </row>
    <row r="2208" spans="1:46" x14ac:dyDescent="0.25">
      <c r="A2208" t="s">
        <v>1248</v>
      </c>
      <c r="B2208">
        <v>248223</v>
      </c>
      <c r="C2208">
        <v>352226</v>
      </c>
      <c r="D2208">
        <v>405</v>
      </c>
      <c r="E2208" t="s">
        <v>1266</v>
      </c>
      <c r="H2208">
        <v>1892</v>
      </c>
      <c r="K2208">
        <v>7</v>
      </c>
      <c r="L2208">
        <v>7</v>
      </c>
      <c r="M2208">
        <v>1</v>
      </c>
      <c r="N2208">
        <v>0</v>
      </c>
      <c r="O2208">
        <v>1</v>
      </c>
      <c r="P2208">
        <v>0</v>
      </c>
      <c r="Q2208">
        <v>0</v>
      </c>
      <c r="R2208">
        <v>0</v>
      </c>
      <c r="T2208" s="29">
        <v>568953</v>
      </c>
      <c r="U2208" s="29">
        <v>3982671</v>
      </c>
      <c r="V2208" t="s">
        <v>1262</v>
      </c>
      <c r="W2208" t="s">
        <v>1262</v>
      </c>
      <c r="X2208" s="29">
        <v>3982671</v>
      </c>
      <c r="AA2208" s="30">
        <v>45905.558333333334</v>
      </c>
      <c r="AB2208" s="30">
        <v>45908.474999999999</v>
      </c>
      <c r="AC2208" s="30">
        <v>45905.558333333334</v>
      </c>
      <c r="AD2208" s="30">
        <v>45908.474999999999</v>
      </c>
      <c r="AE2208" s="30">
        <v>46342.375</v>
      </c>
      <c r="AF2208" s="30">
        <v>46342.708333333336</v>
      </c>
      <c r="AG2208" t="s">
        <v>1266</v>
      </c>
      <c r="AK2208" t="s">
        <v>1265</v>
      </c>
      <c r="AL2208" t="s">
        <v>2470</v>
      </c>
      <c r="AM2208" t="s">
        <v>1263</v>
      </c>
      <c r="AN2208" t="s">
        <v>1262</v>
      </c>
      <c r="AO2208">
        <v>0</v>
      </c>
      <c r="AQ2208" t="s">
        <v>1261</v>
      </c>
      <c r="AR2208" t="s">
        <v>1260</v>
      </c>
      <c r="AS2208" t="s">
        <v>1259</v>
      </c>
      <c r="AT2208" s="30">
        <v>46069.523611111108</v>
      </c>
    </row>
    <row r="2209" spans="1:46" x14ac:dyDescent="0.25">
      <c r="A2209" t="s">
        <v>1248</v>
      </c>
      <c r="B2209">
        <v>248224</v>
      </c>
      <c r="C2209">
        <v>352227</v>
      </c>
      <c r="D2209">
        <v>405</v>
      </c>
      <c r="E2209" t="s">
        <v>1266</v>
      </c>
      <c r="H2209">
        <v>1892</v>
      </c>
      <c r="K2209">
        <v>15</v>
      </c>
      <c r="L2209">
        <v>15</v>
      </c>
      <c r="M2209">
        <v>1</v>
      </c>
      <c r="N2209">
        <v>0</v>
      </c>
      <c r="O2209">
        <v>1</v>
      </c>
      <c r="P2209">
        <v>0</v>
      </c>
      <c r="Q2209">
        <v>0</v>
      </c>
      <c r="R2209">
        <v>0</v>
      </c>
      <c r="T2209" s="29">
        <v>568953</v>
      </c>
      <c r="U2209" s="29">
        <v>8534295</v>
      </c>
      <c r="V2209" t="s">
        <v>1262</v>
      </c>
      <c r="W2209" t="s">
        <v>1262</v>
      </c>
      <c r="X2209" s="29">
        <v>8534295</v>
      </c>
      <c r="AA2209" s="30">
        <v>45875.541666666664</v>
      </c>
      <c r="AB2209" s="30">
        <v>45877.458333333336</v>
      </c>
      <c r="AC2209" s="30">
        <v>45875.541666666664</v>
      </c>
      <c r="AD2209" s="30">
        <v>45877.458333333336</v>
      </c>
      <c r="AE2209" s="30">
        <v>46296.369444444441</v>
      </c>
      <c r="AF2209" s="30">
        <v>46297.702777777777</v>
      </c>
      <c r="AG2209" t="s">
        <v>1266</v>
      </c>
      <c r="AK2209" t="s">
        <v>1265</v>
      </c>
      <c r="AL2209" t="s">
        <v>2469</v>
      </c>
      <c r="AM2209" t="s">
        <v>1263</v>
      </c>
      <c r="AN2209" t="s">
        <v>1262</v>
      </c>
      <c r="AO2209">
        <v>0</v>
      </c>
      <c r="AQ2209" t="s">
        <v>1261</v>
      </c>
      <c r="AR2209" t="s">
        <v>1260</v>
      </c>
      <c r="AS2209" t="s">
        <v>1259</v>
      </c>
      <c r="AT2209" s="30">
        <v>46069.523611111108</v>
      </c>
    </row>
    <row r="2210" spans="1:46" x14ac:dyDescent="0.25">
      <c r="A2210" t="s">
        <v>1248</v>
      </c>
      <c r="B2210">
        <v>248225</v>
      </c>
      <c r="C2210">
        <v>352233</v>
      </c>
      <c r="D2210">
        <v>405</v>
      </c>
      <c r="E2210" t="s">
        <v>1266</v>
      </c>
      <c r="H2210">
        <v>1892</v>
      </c>
      <c r="K2210">
        <v>7</v>
      </c>
      <c r="L2210">
        <v>7</v>
      </c>
      <c r="M2210">
        <v>1</v>
      </c>
      <c r="N2210">
        <v>0</v>
      </c>
      <c r="O2210">
        <v>1</v>
      </c>
      <c r="P2210">
        <v>0</v>
      </c>
      <c r="Q2210">
        <v>0</v>
      </c>
      <c r="R2210">
        <v>0</v>
      </c>
      <c r="T2210" s="29">
        <v>568953</v>
      </c>
      <c r="U2210" s="29">
        <v>3982671</v>
      </c>
      <c r="V2210" t="s">
        <v>1262</v>
      </c>
      <c r="W2210" t="s">
        <v>1262</v>
      </c>
      <c r="X2210" s="29">
        <v>3982671</v>
      </c>
      <c r="AA2210" s="30">
        <v>45904.6</v>
      </c>
      <c r="AB2210" s="30">
        <v>45905.558333333334</v>
      </c>
      <c r="AC2210" s="30">
        <v>45904.6</v>
      </c>
      <c r="AD2210" s="30">
        <v>45905.558333333334</v>
      </c>
      <c r="AE2210" s="30">
        <v>46324.375</v>
      </c>
      <c r="AF2210" s="30">
        <v>46324.708333333336</v>
      </c>
      <c r="AG2210" t="s">
        <v>1266</v>
      </c>
      <c r="AK2210" t="s">
        <v>1265</v>
      </c>
      <c r="AL2210" t="s">
        <v>2468</v>
      </c>
      <c r="AM2210" t="s">
        <v>1263</v>
      </c>
      <c r="AN2210" t="s">
        <v>1262</v>
      </c>
      <c r="AO2210">
        <v>0</v>
      </c>
      <c r="AQ2210" t="s">
        <v>1261</v>
      </c>
      <c r="AR2210" t="s">
        <v>1260</v>
      </c>
      <c r="AS2210" t="s">
        <v>1259</v>
      </c>
      <c r="AT2210" s="30">
        <v>46069.523611111108</v>
      </c>
    </row>
    <row r="2211" spans="1:46" x14ac:dyDescent="0.25">
      <c r="A2211" t="s">
        <v>1248</v>
      </c>
      <c r="B2211">
        <v>248226</v>
      </c>
      <c r="C2211">
        <v>352234</v>
      </c>
      <c r="D2211">
        <v>405</v>
      </c>
      <c r="E2211" t="s">
        <v>1266</v>
      </c>
      <c r="H2211">
        <v>1892</v>
      </c>
      <c r="K2211">
        <v>15</v>
      </c>
      <c r="L2211">
        <v>15</v>
      </c>
      <c r="M2211">
        <v>1</v>
      </c>
      <c r="N2211">
        <v>0</v>
      </c>
      <c r="O2211">
        <v>1</v>
      </c>
      <c r="P2211">
        <v>0</v>
      </c>
      <c r="Q2211">
        <v>0</v>
      </c>
      <c r="R2211">
        <v>0</v>
      </c>
      <c r="T2211" s="29">
        <v>568953</v>
      </c>
      <c r="U2211" s="29">
        <v>8534295</v>
      </c>
      <c r="V2211" t="s">
        <v>1262</v>
      </c>
      <c r="W2211" t="s">
        <v>1262</v>
      </c>
      <c r="X2211" s="29">
        <v>8534295</v>
      </c>
      <c r="AA2211" s="30">
        <v>45873.583333333336</v>
      </c>
      <c r="AB2211" s="30">
        <v>45875.5</v>
      </c>
      <c r="AC2211" s="30">
        <v>45873.583333333336</v>
      </c>
      <c r="AD2211" s="30">
        <v>45875.5</v>
      </c>
      <c r="AE2211" s="30">
        <v>46280.369444444441</v>
      </c>
      <c r="AF2211" s="30">
        <v>46281.702777777777</v>
      </c>
      <c r="AG2211" t="s">
        <v>1266</v>
      </c>
      <c r="AK2211" t="s">
        <v>1265</v>
      </c>
      <c r="AL2211" t="s">
        <v>2467</v>
      </c>
      <c r="AM2211" t="s">
        <v>1263</v>
      </c>
      <c r="AN2211" t="s">
        <v>1262</v>
      </c>
      <c r="AO2211">
        <v>0</v>
      </c>
      <c r="AQ2211" t="s">
        <v>1261</v>
      </c>
      <c r="AR2211" t="s">
        <v>1260</v>
      </c>
      <c r="AS2211" t="s">
        <v>1259</v>
      </c>
      <c r="AT2211" s="30">
        <v>46069.523611111108</v>
      </c>
    </row>
    <row r="2212" spans="1:46" x14ac:dyDescent="0.25">
      <c r="A2212" t="s">
        <v>1248</v>
      </c>
      <c r="B2212">
        <v>248227</v>
      </c>
      <c r="C2212">
        <v>352240</v>
      </c>
      <c r="D2212">
        <v>405</v>
      </c>
      <c r="E2212" t="s">
        <v>1266</v>
      </c>
      <c r="H2212">
        <v>1892</v>
      </c>
      <c r="K2212">
        <v>7</v>
      </c>
      <c r="L2212">
        <v>7</v>
      </c>
      <c r="M2212">
        <v>1</v>
      </c>
      <c r="N2212">
        <v>0</v>
      </c>
      <c r="O2212">
        <v>1</v>
      </c>
      <c r="P2212">
        <v>0</v>
      </c>
      <c r="Q2212">
        <v>0</v>
      </c>
      <c r="R2212">
        <v>0</v>
      </c>
      <c r="T2212" s="29">
        <v>568953</v>
      </c>
      <c r="U2212" s="29">
        <v>3982671</v>
      </c>
      <c r="V2212" t="s">
        <v>1262</v>
      </c>
      <c r="W2212" t="s">
        <v>1262</v>
      </c>
      <c r="X2212" s="29">
        <v>3982671</v>
      </c>
      <c r="AA2212" s="30">
        <v>45903.64166666667</v>
      </c>
      <c r="AB2212" s="30">
        <v>45904.6</v>
      </c>
      <c r="AC2212" s="30">
        <v>45903.64166666667</v>
      </c>
      <c r="AD2212" s="30">
        <v>45904.6</v>
      </c>
      <c r="AE2212" s="30">
        <v>46308.375</v>
      </c>
      <c r="AF2212" s="30">
        <v>46308.708333333336</v>
      </c>
      <c r="AG2212" t="s">
        <v>1266</v>
      </c>
      <c r="AK2212" t="s">
        <v>1265</v>
      </c>
      <c r="AL2212" t="s">
        <v>2466</v>
      </c>
      <c r="AM2212" t="s">
        <v>1263</v>
      </c>
      <c r="AN2212" t="s">
        <v>1262</v>
      </c>
      <c r="AO2212">
        <v>0</v>
      </c>
      <c r="AQ2212" t="s">
        <v>1261</v>
      </c>
      <c r="AR2212" t="s">
        <v>1260</v>
      </c>
      <c r="AS2212" t="s">
        <v>1259</v>
      </c>
      <c r="AT2212" s="30">
        <v>46069.523611111108</v>
      </c>
    </row>
    <row r="2213" spans="1:46" x14ac:dyDescent="0.25">
      <c r="A2213" t="s">
        <v>1248</v>
      </c>
      <c r="B2213">
        <v>248228</v>
      </c>
      <c r="C2213">
        <v>352241</v>
      </c>
      <c r="D2213">
        <v>405</v>
      </c>
      <c r="E2213" t="s">
        <v>1266</v>
      </c>
      <c r="H2213">
        <v>1892</v>
      </c>
      <c r="K2213">
        <v>15</v>
      </c>
      <c r="L2213">
        <v>15</v>
      </c>
      <c r="M2213">
        <v>1</v>
      </c>
      <c r="N2213">
        <v>0</v>
      </c>
      <c r="O2213">
        <v>1</v>
      </c>
      <c r="P2213">
        <v>0</v>
      </c>
      <c r="Q2213">
        <v>0</v>
      </c>
      <c r="R2213">
        <v>0</v>
      </c>
      <c r="T2213" s="29">
        <v>568953</v>
      </c>
      <c r="U2213" s="29">
        <v>8534295</v>
      </c>
      <c r="V2213" t="s">
        <v>1262</v>
      </c>
      <c r="W2213" t="s">
        <v>1262</v>
      </c>
      <c r="X2213" s="29">
        <v>8534295</v>
      </c>
      <c r="AA2213" s="30">
        <v>45869.625</v>
      </c>
      <c r="AB2213" s="30">
        <v>45873.583333333336</v>
      </c>
      <c r="AC2213" s="30">
        <v>45869.625</v>
      </c>
      <c r="AD2213" s="30">
        <v>45873.583333333336</v>
      </c>
      <c r="AE2213" s="30">
        <v>46258.691666666666</v>
      </c>
      <c r="AF2213" s="30">
        <v>46260.65</v>
      </c>
      <c r="AG2213" t="s">
        <v>1266</v>
      </c>
      <c r="AK2213" t="s">
        <v>1265</v>
      </c>
      <c r="AL2213" t="s">
        <v>2465</v>
      </c>
      <c r="AM2213" t="s">
        <v>1263</v>
      </c>
      <c r="AN2213" t="s">
        <v>1262</v>
      </c>
      <c r="AO2213">
        <v>0</v>
      </c>
      <c r="AQ2213" t="s">
        <v>1261</v>
      </c>
      <c r="AR2213" t="s">
        <v>1260</v>
      </c>
      <c r="AS2213" t="s">
        <v>1259</v>
      </c>
      <c r="AT2213" s="30">
        <v>46069.523611111108</v>
      </c>
    </row>
    <row r="2214" spans="1:46" x14ac:dyDescent="0.25">
      <c r="A2214" t="s">
        <v>1248</v>
      </c>
      <c r="B2214">
        <v>248229</v>
      </c>
      <c r="C2214">
        <v>352247</v>
      </c>
      <c r="D2214">
        <v>405</v>
      </c>
      <c r="E2214" t="s">
        <v>1266</v>
      </c>
      <c r="H2214">
        <v>1892</v>
      </c>
      <c r="K2214">
        <v>7</v>
      </c>
      <c r="L2214">
        <v>7</v>
      </c>
      <c r="M2214">
        <v>1</v>
      </c>
      <c r="N2214">
        <v>0</v>
      </c>
      <c r="O2214">
        <v>1</v>
      </c>
      <c r="P2214">
        <v>0</v>
      </c>
      <c r="Q2214">
        <v>0</v>
      </c>
      <c r="R2214">
        <v>0</v>
      </c>
      <c r="T2214" s="29">
        <v>568953</v>
      </c>
      <c r="U2214" s="29">
        <v>3982671</v>
      </c>
      <c r="V2214" t="s">
        <v>1262</v>
      </c>
      <c r="W2214" t="s">
        <v>1262</v>
      </c>
      <c r="X2214" s="29">
        <v>3982671</v>
      </c>
      <c r="AA2214" s="30">
        <v>45902.683333333334</v>
      </c>
      <c r="AB2214" s="30">
        <v>45903.64166666667</v>
      </c>
      <c r="AC2214" s="30">
        <v>45902.683333333334</v>
      </c>
      <c r="AD2214" s="30">
        <v>45903.64166666667</v>
      </c>
      <c r="AE2214" s="30">
        <v>46290.375</v>
      </c>
      <c r="AF2214" s="30">
        <v>46290.708333333336</v>
      </c>
      <c r="AG2214" t="s">
        <v>1266</v>
      </c>
      <c r="AK2214" t="s">
        <v>1265</v>
      </c>
      <c r="AL2214" t="s">
        <v>2464</v>
      </c>
      <c r="AM2214" t="s">
        <v>1263</v>
      </c>
      <c r="AN2214" t="s">
        <v>1262</v>
      </c>
      <c r="AO2214">
        <v>0</v>
      </c>
      <c r="AQ2214" t="s">
        <v>1261</v>
      </c>
      <c r="AR2214" t="s">
        <v>1260</v>
      </c>
      <c r="AS2214" t="s">
        <v>1259</v>
      </c>
      <c r="AT2214" s="30">
        <v>46069.523611111108</v>
      </c>
    </row>
    <row r="2215" spans="1:46" x14ac:dyDescent="0.25">
      <c r="A2215" t="s">
        <v>1248</v>
      </c>
      <c r="B2215">
        <v>248230</v>
      </c>
      <c r="C2215">
        <v>352248</v>
      </c>
      <c r="D2215">
        <v>405</v>
      </c>
      <c r="E2215" t="s">
        <v>1266</v>
      </c>
      <c r="H2215">
        <v>1892</v>
      </c>
      <c r="K2215">
        <v>15</v>
      </c>
      <c r="L2215">
        <v>15</v>
      </c>
      <c r="M2215">
        <v>1</v>
      </c>
      <c r="N2215">
        <v>0</v>
      </c>
      <c r="O2215">
        <v>1</v>
      </c>
      <c r="P2215">
        <v>0</v>
      </c>
      <c r="Q2215">
        <v>0</v>
      </c>
      <c r="R2215">
        <v>0</v>
      </c>
      <c r="T2215" s="29">
        <v>568953</v>
      </c>
      <c r="U2215" s="29">
        <v>8534295</v>
      </c>
      <c r="V2215" t="s">
        <v>1262</v>
      </c>
      <c r="W2215" t="s">
        <v>1262</v>
      </c>
      <c r="X2215" s="29">
        <v>8534295</v>
      </c>
      <c r="AA2215" s="30">
        <v>45867.666666666664</v>
      </c>
      <c r="AB2215" s="30">
        <v>45869.625</v>
      </c>
      <c r="AC2215" s="30">
        <v>45867.666666666664</v>
      </c>
      <c r="AD2215" s="30">
        <v>45869.625</v>
      </c>
      <c r="AE2215" s="30">
        <v>46240.691666666666</v>
      </c>
      <c r="AF2215" s="30">
        <v>46244.65</v>
      </c>
      <c r="AG2215" t="s">
        <v>1266</v>
      </c>
      <c r="AK2215" t="s">
        <v>1265</v>
      </c>
      <c r="AL2215" t="s">
        <v>2463</v>
      </c>
      <c r="AM2215" t="s">
        <v>1263</v>
      </c>
      <c r="AN2215" t="s">
        <v>1262</v>
      </c>
      <c r="AO2215">
        <v>0</v>
      </c>
      <c r="AQ2215" t="s">
        <v>1261</v>
      </c>
      <c r="AR2215" t="s">
        <v>1260</v>
      </c>
      <c r="AS2215" t="s">
        <v>1259</v>
      </c>
      <c r="AT2215" s="30">
        <v>46069.523611111108</v>
      </c>
    </row>
    <row r="2216" spans="1:46" x14ac:dyDescent="0.25">
      <c r="A2216" t="s">
        <v>1248</v>
      </c>
      <c r="B2216">
        <v>248231</v>
      </c>
      <c r="C2216">
        <v>352254</v>
      </c>
      <c r="D2216">
        <v>405</v>
      </c>
      <c r="E2216" t="s">
        <v>1266</v>
      </c>
      <c r="H2216">
        <v>1892</v>
      </c>
      <c r="K2216">
        <v>7</v>
      </c>
      <c r="L2216">
        <v>7</v>
      </c>
      <c r="M2216">
        <v>1</v>
      </c>
      <c r="N2216">
        <v>0</v>
      </c>
      <c r="O2216">
        <v>1</v>
      </c>
      <c r="P2216">
        <v>0</v>
      </c>
      <c r="Q2216">
        <v>0</v>
      </c>
      <c r="R2216">
        <v>0</v>
      </c>
      <c r="T2216" s="29">
        <v>568953</v>
      </c>
      <c r="U2216" s="29">
        <v>3982671</v>
      </c>
      <c r="V2216" t="s">
        <v>1262</v>
      </c>
      <c r="W2216" t="s">
        <v>1262</v>
      </c>
      <c r="X2216" s="29">
        <v>3982671</v>
      </c>
      <c r="AA2216" s="30">
        <v>45901.35</v>
      </c>
      <c r="AB2216" s="30">
        <v>45901.683333333334</v>
      </c>
      <c r="AC2216" s="30">
        <v>45901.35</v>
      </c>
      <c r="AD2216" s="30">
        <v>45901.683333333334</v>
      </c>
      <c r="AE2216" s="30">
        <v>46274.375</v>
      </c>
      <c r="AF2216" s="30">
        <v>46274.708333333336</v>
      </c>
      <c r="AG2216" t="s">
        <v>1266</v>
      </c>
      <c r="AK2216" t="s">
        <v>1265</v>
      </c>
      <c r="AL2216" t="s">
        <v>2462</v>
      </c>
      <c r="AM2216" t="s">
        <v>1263</v>
      </c>
      <c r="AN2216" t="s">
        <v>1262</v>
      </c>
      <c r="AO2216">
        <v>0</v>
      </c>
      <c r="AQ2216" t="s">
        <v>1261</v>
      </c>
      <c r="AR2216" t="s">
        <v>1260</v>
      </c>
      <c r="AS2216" t="s">
        <v>1259</v>
      </c>
      <c r="AT2216" s="30">
        <v>46069.523611111108</v>
      </c>
    </row>
    <row r="2217" spans="1:46" x14ac:dyDescent="0.25">
      <c r="A2217" t="s">
        <v>1248</v>
      </c>
      <c r="B2217">
        <v>248232</v>
      </c>
      <c r="C2217">
        <v>352255</v>
      </c>
      <c r="D2217">
        <v>405</v>
      </c>
      <c r="E2217" t="s">
        <v>1266</v>
      </c>
      <c r="H2217">
        <v>1892</v>
      </c>
      <c r="K2217">
        <v>15</v>
      </c>
      <c r="L2217">
        <v>15</v>
      </c>
      <c r="M2217">
        <v>1</v>
      </c>
      <c r="N2217">
        <v>0</v>
      </c>
      <c r="O2217">
        <v>1</v>
      </c>
      <c r="P2217">
        <v>0</v>
      </c>
      <c r="Q2217">
        <v>0</v>
      </c>
      <c r="R2217">
        <v>0</v>
      </c>
      <c r="T2217" s="29">
        <v>568953</v>
      </c>
      <c r="U2217" s="29">
        <v>8534295</v>
      </c>
      <c r="V2217" t="s">
        <v>1262</v>
      </c>
      <c r="W2217" t="s">
        <v>1262</v>
      </c>
      <c r="X2217" s="29">
        <v>8534295</v>
      </c>
      <c r="AA2217" s="30">
        <v>45866.333333333336</v>
      </c>
      <c r="AB2217" s="30">
        <v>45867.666666666664</v>
      </c>
      <c r="AC2217" s="30">
        <v>45866.333333333336</v>
      </c>
      <c r="AD2217" s="30">
        <v>45867.666666666664</v>
      </c>
      <c r="AE2217" s="30">
        <v>46224.691666666666</v>
      </c>
      <c r="AF2217" s="30">
        <v>46226.65</v>
      </c>
      <c r="AG2217" t="s">
        <v>1266</v>
      </c>
      <c r="AK2217" t="s">
        <v>1265</v>
      </c>
      <c r="AL2217" t="s">
        <v>2461</v>
      </c>
      <c r="AM2217" t="s">
        <v>1263</v>
      </c>
      <c r="AN2217" t="s">
        <v>1262</v>
      </c>
      <c r="AO2217">
        <v>0</v>
      </c>
      <c r="AQ2217" t="s">
        <v>1261</v>
      </c>
      <c r="AR2217" t="s">
        <v>1260</v>
      </c>
      <c r="AS2217" t="s">
        <v>1259</v>
      </c>
      <c r="AT2217" s="30">
        <v>46069.523611111108</v>
      </c>
    </row>
    <row r="2218" spans="1:46" x14ac:dyDescent="0.25">
      <c r="A2218" t="s">
        <v>1248</v>
      </c>
      <c r="B2218">
        <v>248233</v>
      </c>
      <c r="C2218">
        <v>352261</v>
      </c>
      <c r="D2218">
        <v>405</v>
      </c>
      <c r="E2218" t="s">
        <v>1266</v>
      </c>
      <c r="H2218">
        <v>1892</v>
      </c>
      <c r="K2218">
        <v>7</v>
      </c>
      <c r="L2218">
        <v>7</v>
      </c>
      <c r="M2218">
        <v>1</v>
      </c>
      <c r="N2218">
        <v>0</v>
      </c>
      <c r="O2218">
        <v>1</v>
      </c>
      <c r="P2218">
        <v>0</v>
      </c>
      <c r="Q2218">
        <v>0</v>
      </c>
      <c r="R2218">
        <v>0</v>
      </c>
      <c r="T2218" s="29">
        <v>568953</v>
      </c>
      <c r="U2218" s="29">
        <v>3982671</v>
      </c>
      <c r="V2218" t="s">
        <v>1262</v>
      </c>
      <c r="W2218" t="s">
        <v>1262</v>
      </c>
      <c r="X2218" s="29">
        <v>3982671</v>
      </c>
      <c r="AA2218" s="30">
        <v>45897.39166666667</v>
      </c>
      <c r="AB2218" s="30">
        <v>45898.35</v>
      </c>
      <c r="AC2218" s="30">
        <v>45897.39166666667</v>
      </c>
      <c r="AD2218" s="30">
        <v>45898.35</v>
      </c>
      <c r="AE2218" s="30">
        <v>46258.375</v>
      </c>
      <c r="AF2218" s="30">
        <v>46258.708333333336</v>
      </c>
      <c r="AG2218" t="s">
        <v>1266</v>
      </c>
      <c r="AK2218" t="s">
        <v>1265</v>
      </c>
      <c r="AL2218" t="s">
        <v>2460</v>
      </c>
      <c r="AM2218" t="s">
        <v>1263</v>
      </c>
      <c r="AN2218" t="s">
        <v>1262</v>
      </c>
      <c r="AO2218">
        <v>0</v>
      </c>
      <c r="AQ2218" t="s">
        <v>1261</v>
      </c>
      <c r="AR2218" t="s">
        <v>1260</v>
      </c>
      <c r="AS2218" t="s">
        <v>1259</v>
      </c>
      <c r="AT2218" s="30">
        <v>46069.523611111108</v>
      </c>
    </row>
    <row r="2219" spans="1:46" x14ac:dyDescent="0.25">
      <c r="A2219" t="s">
        <v>1248</v>
      </c>
      <c r="B2219">
        <v>248234</v>
      </c>
      <c r="C2219">
        <v>352262</v>
      </c>
      <c r="D2219">
        <v>405</v>
      </c>
      <c r="E2219" t="s">
        <v>1266</v>
      </c>
      <c r="H2219">
        <v>1892</v>
      </c>
      <c r="K2219">
        <v>15</v>
      </c>
      <c r="L2219">
        <v>15</v>
      </c>
      <c r="M2219">
        <v>1</v>
      </c>
      <c r="N2219">
        <v>0</v>
      </c>
      <c r="O2219">
        <v>1</v>
      </c>
      <c r="P2219">
        <v>0</v>
      </c>
      <c r="Q2219">
        <v>0</v>
      </c>
      <c r="R2219">
        <v>0</v>
      </c>
      <c r="T2219" s="29">
        <v>568953</v>
      </c>
      <c r="U2219" s="29">
        <v>8534295</v>
      </c>
      <c r="V2219" t="s">
        <v>1262</v>
      </c>
      <c r="W2219" t="s">
        <v>1262</v>
      </c>
      <c r="X2219" s="29">
        <v>8534295</v>
      </c>
      <c r="AA2219" s="30">
        <v>45854.6</v>
      </c>
      <c r="AB2219" s="30">
        <v>45856.558333333334</v>
      </c>
      <c r="AC2219" s="30">
        <v>45854.6</v>
      </c>
      <c r="AD2219" s="30">
        <v>45856.558333333334</v>
      </c>
      <c r="AE2219" s="30">
        <v>46206.691666666666</v>
      </c>
      <c r="AF2219" s="30">
        <v>46210.65</v>
      </c>
      <c r="AG2219" t="s">
        <v>1266</v>
      </c>
      <c r="AK2219" t="s">
        <v>1265</v>
      </c>
      <c r="AL2219" t="s">
        <v>2459</v>
      </c>
      <c r="AM2219" t="s">
        <v>1263</v>
      </c>
      <c r="AN2219" t="s">
        <v>1262</v>
      </c>
      <c r="AO2219">
        <v>0</v>
      </c>
      <c r="AQ2219" t="s">
        <v>1261</v>
      </c>
      <c r="AR2219" t="s">
        <v>1260</v>
      </c>
      <c r="AS2219" t="s">
        <v>1259</v>
      </c>
      <c r="AT2219" s="30">
        <v>46069.523611111108</v>
      </c>
    </row>
    <row r="2220" spans="1:46" x14ac:dyDescent="0.25">
      <c r="A2220" t="s">
        <v>1248</v>
      </c>
      <c r="B2220">
        <v>248235</v>
      </c>
      <c r="C2220">
        <v>352268</v>
      </c>
      <c r="D2220">
        <v>405</v>
      </c>
      <c r="E2220" t="s">
        <v>1266</v>
      </c>
      <c r="H2220">
        <v>1892</v>
      </c>
      <c r="K2220">
        <v>7</v>
      </c>
      <c r="L2220">
        <v>7</v>
      </c>
      <c r="M2220">
        <v>1</v>
      </c>
      <c r="N2220">
        <v>0</v>
      </c>
      <c r="O2220">
        <v>1</v>
      </c>
      <c r="P2220">
        <v>0</v>
      </c>
      <c r="Q2220">
        <v>0</v>
      </c>
      <c r="R2220">
        <v>0</v>
      </c>
      <c r="T2220" s="29">
        <v>568953</v>
      </c>
      <c r="U2220" s="29">
        <v>3982671</v>
      </c>
      <c r="V2220" t="s">
        <v>1262</v>
      </c>
      <c r="W2220" t="s">
        <v>1262</v>
      </c>
      <c r="X2220" s="29">
        <v>3982671</v>
      </c>
      <c r="AA2220" s="30">
        <v>45887.658333333333</v>
      </c>
      <c r="AB2220" s="30">
        <v>45888.616666666669</v>
      </c>
      <c r="AC2220" s="30">
        <v>45887.658333333333</v>
      </c>
      <c r="AD2220" s="30">
        <v>45888.616666666669</v>
      </c>
      <c r="AE2220" s="30">
        <v>46240.375</v>
      </c>
      <c r="AF2220" s="30">
        <v>46240.708333333336</v>
      </c>
      <c r="AG2220" t="s">
        <v>1266</v>
      </c>
      <c r="AK2220" t="s">
        <v>1265</v>
      </c>
      <c r="AL2220" t="s">
        <v>2458</v>
      </c>
      <c r="AM2220" t="s">
        <v>1263</v>
      </c>
      <c r="AN2220" t="s">
        <v>1262</v>
      </c>
      <c r="AO2220">
        <v>0</v>
      </c>
      <c r="AQ2220" t="s">
        <v>1261</v>
      </c>
      <c r="AR2220" t="s">
        <v>1260</v>
      </c>
      <c r="AS2220" t="s">
        <v>1259</v>
      </c>
      <c r="AT2220" s="30">
        <v>46069.523611111108</v>
      </c>
    </row>
    <row r="2221" spans="1:46" x14ac:dyDescent="0.25">
      <c r="A2221" t="s">
        <v>1248</v>
      </c>
      <c r="B2221">
        <v>248236</v>
      </c>
      <c r="C2221">
        <v>352269</v>
      </c>
      <c r="D2221">
        <v>405</v>
      </c>
      <c r="E2221" t="s">
        <v>1266</v>
      </c>
      <c r="H2221">
        <v>1892</v>
      </c>
      <c r="K2221">
        <v>15</v>
      </c>
      <c r="L2221">
        <v>15</v>
      </c>
      <c r="M2221">
        <v>1</v>
      </c>
      <c r="N2221">
        <v>0</v>
      </c>
      <c r="O2221">
        <v>1</v>
      </c>
      <c r="P2221">
        <v>0</v>
      </c>
      <c r="Q2221">
        <v>0</v>
      </c>
      <c r="R2221">
        <v>0</v>
      </c>
      <c r="T2221" s="29">
        <v>568953</v>
      </c>
      <c r="U2221" s="29">
        <v>8534295</v>
      </c>
      <c r="V2221" t="s">
        <v>1262</v>
      </c>
      <c r="W2221" t="s">
        <v>1262</v>
      </c>
      <c r="X2221" s="29">
        <v>8534295</v>
      </c>
      <c r="AA2221" s="30">
        <v>45852.64166666667</v>
      </c>
      <c r="AB2221" s="30">
        <v>45854.6</v>
      </c>
      <c r="AC2221" s="30">
        <v>45852.64166666667</v>
      </c>
      <c r="AD2221" s="30">
        <v>45854.6</v>
      </c>
      <c r="AE2221" s="30">
        <v>46190.691666666666</v>
      </c>
      <c r="AF2221" s="30">
        <v>46192.65</v>
      </c>
      <c r="AG2221" t="s">
        <v>1266</v>
      </c>
      <c r="AK2221" t="s">
        <v>1265</v>
      </c>
      <c r="AL2221" t="e">
        <f>+ZTHyxE/vEuIJnHcM1Ti4w</f>
        <v>#NAME?</v>
      </c>
      <c r="AM2221" t="s">
        <v>1263</v>
      </c>
      <c r="AN2221" t="s">
        <v>1262</v>
      </c>
      <c r="AO2221">
        <v>0</v>
      </c>
      <c r="AQ2221" t="s">
        <v>1261</v>
      </c>
      <c r="AR2221" t="s">
        <v>1260</v>
      </c>
      <c r="AS2221" t="s">
        <v>1259</v>
      </c>
      <c r="AT2221" s="30">
        <v>46069.523611111108</v>
      </c>
    </row>
    <row r="2222" spans="1:46" x14ac:dyDescent="0.25">
      <c r="A2222" t="s">
        <v>1248</v>
      </c>
      <c r="B2222">
        <v>248237</v>
      </c>
      <c r="C2222">
        <v>352275</v>
      </c>
      <c r="D2222">
        <v>405</v>
      </c>
      <c r="E2222" t="s">
        <v>1266</v>
      </c>
      <c r="H2222">
        <v>1892</v>
      </c>
      <c r="K2222">
        <v>7</v>
      </c>
      <c r="L2222">
        <v>7</v>
      </c>
      <c r="M2222">
        <v>1</v>
      </c>
      <c r="N2222">
        <v>0</v>
      </c>
      <c r="O2222">
        <v>1</v>
      </c>
      <c r="P2222">
        <v>0</v>
      </c>
      <c r="Q2222">
        <v>0</v>
      </c>
      <c r="R2222">
        <v>0</v>
      </c>
      <c r="T2222" s="29">
        <v>568953</v>
      </c>
      <c r="U2222" s="29">
        <v>3982671</v>
      </c>
      <c r="V2222" t="s">
        <v>1262</v>
      </c>
      <c r="W2222" t="s">
        <v>1262</v>
      </c>
      <c r="X2222" s="29">
        <v>3982671</v>
      </c>
      <c r="AA2222" s="30">
        <v>45883.7</v>
      </c>
      <c r="AB2222" s="30">
        <v>45884.658333333333</v>
      </c>
      <c r="AC2222" s="30">
        <v>45883.7</v>
      </c>
      <c r="AD2222" s="30">
        <v>45884.658333333333</v>
      </c>
      <c r="AE2222" s="30">
        <v>46224.375</v>
      </c>
      <c r="AF2222" s="30">
        <v>46224.708333333336</v>
      </c>
      <c r="AG2222" t="s">
        <v>1266</v>
      </c>
      <c r="AK2222" t="s">
        <v>1265</v>
      </c>
      <c r="AL2222" t="s">
        <v>2457</v>
      </c>
      <c r="AM2222" t="s">
        <v>1263</v>
      </c>
      <c r="AN2222" t="s">
        <v>1262</v>
      </c>
      <c r="AO2222">
        <v>0</v>
      </c>
      <c r="AQ2222" t="s">
        <v>1261</v>
      </c>
      <c r="AR2222" t="s">
        <v>1260</v>
      </c>
      <c r="AS2222" t="s">
        <v>1259</v>
      </c>
      <c r="AT2222" s="30">
        <v>46069.523611111108</v>
      </c>
    </row>
    <row r="2223" spans="1:46" x14ac:dyDescent="0.25">
      <c r="A2223" t="s">
        <v>1248</v>
      </c>
      <c r="B2223">
        <v>248238</v>
      </c>
      <c r="C2223">
        <v>352276</v>
      </c>
      <c r="D2223">
        <v>405</v>
      </c>
      <c r="E2223" t="s">
        <v>1266</v>
      </c>
      <c r="H2223">
        <v>1892</v>
      </c>
      <c r="K2223">
        <v>15</v>
      </c>
      <c r="L2223">
        <v>15</v>
      </c>
      <c r="M2223">
        <v>1</v>
      </c>
      <c r="N2223">
        <v>0</v>
      </c>
      <c r="O2223">
        <v>1</v>
      </c>
      <c r="P2223">
        <v>0</v>
      </c>
      <c r="Q2223">
        <v>0</v>
      </c>
      <c r="R2223">
        <v>0</v>
      </c>
      <c r="T2223" s="29">
        <v>568953</v>
      </c>
      <c r="U2223" s="29">
        <v>8534295</v>
      </c>
      <c r="V2223" t="s">
        <v>1262</v>
      </c>
      <c r="W2223" t="s">
        <v>1262</v>
      </c>
      <c r="X2223" s="29">
        <v>8534295</v>
      </c>
      <c r="AA2223" s="30">
        <v>45848.683333333334</v>
      </c>
      <c r="AB2223" s="30">
        <v>45852.64166666667</v>
      </c>
      <c r="AC2223" s="30">
        <v>45848.683333333334</v>
      </c>
      <c r="AD2223" s="30">
        <v>45852.64166666667</v>
      </c>
      <c r="AE2223" s="30">
        <v>46171.691666666666</v>
      </c>
      <c r="AF2223" s="30">
        <v>46176.65</v>
      </c>
      <c r="AG2223" t="s">
        <v>1266</v>
      </c>
      <c r="AK2223" t="s">
        <v>1265</v>
      </c>
      <c r="AL2223" t="s">
        <v>2456</v>
      </c>
      <c r="AM2223" t="s">
        <v>1263</v>
      </c>
      <c r="AN2223" t="s">
        <v>1262</v>
      </c>
      <c r="AO2223">
        <v>0</v>
      </c>
      <c r="AQ2223" t="s">
        <v>1261</v>
      </c>
      <c r="AR2223" t="s">
        <v>1260</v>
      </c>
      <c r="AS2223" t="s">
        <v>1259</v>
      </c>
      <c r="AT2223" s="30">
        <v>46069.523611111108</v>
      </c>
    </row>
    <row r="2224" spans="1:46" x14ac:dyDescent="0.25">
      <c r="A2224" t="s">
        <v>1248</v>
      </c>
      <c r="B2224">
        <v>248239</v>
      </c>
      <c r="C2224">
        <v>352282</v>
      </c>
      <c r="D2224">
        <v>405</v>
      </c>
      <c r="E2224" t="s">
        <v>1266</v>
      </c>
      <c r="H2224">
        <v>1892</v>
      </c>
      <c r="K2224">
        <v>7</v>
      </c>
      <c r="L2224">
        <v>7</v>
      </c>
      <c r="M2224">
        <v>1</v>
      </c>
      <c r="N2224">
        <v>0</v>
      </c>
      <c r="O2224">
        <v>1</v>
      </c>
      <c r="P2224">
        <v>0</v>
      </c>
      <c r="Q2224">
        <v>0</v>
      </c>
      <c r="R2224">
        <v>0</v>
      </c>
      <c r="T2224" s="29">
        <v>568953</v>
      </c>
      <c r="U2224" s="29">
        <v>3982671</v>
      </c>
      <c r="V2224" t="s">
        <v>1262</v>
      </c>
      <c r="W2224" t="s">
        <v>1262</v>
      </c>
      <c r="X2224" s="29">
        <v>3982671</v>
      </c>
      <c r="AA2224" s="30">
        <v>45882.366666666669</v>
      </c>
      <c r="AB2224" s="30">
        <v>45882.7</v>
      </c>
      <c r="AC2224" s="30">
        <v>45882.366666666669</v>
      </c>
      <c r="AD2224" s="30">
        <v>45882.7</v>
      </c>
      <c r="AE2224" s="30">
        <v>46206.375</v>
      </c>
      <c r="AF2224" s="30">
        <v>46206.708333333336</v>
      </c>
      <c r="AG2224" t="s">
        <v>1266</v>
      </c>
      <c r="AK2224" t="s">
        <v>1265</v>
      </c>
      <c r="AL2224" t="s">
        <v>2455</v>
      </c>
      <c r="AM2224" t="s">
        <v>1263</v>
      </c>
      <c r="AN2224" t="s">
        <v>1262</v>
      </c>
      <c r="AO2224">
        <v>0</v>
      </c>
      <c r="AQ2224" t="s">
        <v>1261</v>
      </c>
      <c r="AR2224" t="s">
        <v>1260</v>
      </c>
      <c r="AS2224" t="s">
        <v>1259</v>
      </c>
      <c r="AT2224" s="30">
        <v>46069.523611111108</v>
      </c>
    </row>
    <row r="2225" spans="1:46" x14ac:dyDescent="0.25">
      <c r="A2225" t="s">
        <v>1248</v>
      </c>
      <c r="B2225">
        <v>248240</v>
      </c>
      <c r="C2225">
        <v>352283</v>
      </c>
      <c r="D2225">
        <v>405</v>
      </c>
      <c r="E2225" t="s">
        <v>1266</v>
      </c>
      <c r="H2225">
        <v>1892</v>
      </c>
      <c r="K2225">
        <v>15</v>
      </c>
      <c r="L2225">
        <v>15</v>
      </c>
      <c r="M2225">
        <v>1</v>
      </c>
      <c r="N2225">
        <v>0</v>
      </c>
      <c r="O2225">
        <v>1</v>
      </c>
      <c r="P2225">
        <v>0</v>
      </c>
      <c r="Q2225">
        <v>0</v>
      </c>
      <c r="R2225">
        <v>0</v>
      </c>
      <c r="T2225" s="29">
        <v>568953</v>
      </c>
      <c r="U2225" s="29">
        <v>8534295</v>
      </c>
      <c r="V2225" t="s">
        <v>1262</v>
      </c>
      <c r="W2225" t="s">
        <v>1262</v>
      </c>
      <c r="X2225" s="29">
        <v>8534295</v>
      </c>
      <c r="AA2225" s="30">
        <v>45847.35</v>
      </c>
      <c r="AB2225" s="30">
        <v>45848.683333333334</v>
      </c>
      <c r="AC2225" s="30">
        <v>45847.35</v>
      </c>
      <c r="AD2225" s="30">
        <v>45848.683333333334</v>
      </c>
      <c r="AE2225" s="30">
        <v>46155.691666666666</v>
      </c>
      <c r="AF2225" s="30">
        <v>46157.65</v>
      </c>
      <c r="AG2225" t="s">
        <v>1266</v>
      </c>
      <c r="AK2225" t="s">
        <v>1265</v>
      </c>
      <c r="AL2225" t="s">
        <v>2454</v>
      </c>
      <c r="AM2225" t="s">
        <v>1263</v>
      </c>
      <c r="AN2225" t="s">
        <v>1262</v>
      </c>
      <c r="AO2225">
        <v>0</v>
      </c>
      <c r="AQ2225" t="s">
        <v>1261</v>
      </c>
      <c r="AR2225" t="s">
        <v>1260</v>
      </c>
      <c r="AS2225" t="s">
        <v>1259</v>
      </c>
      <c r="AT2225" s="30">
        <v>46069.523611111108</v>
      </c>
    </row>
    <row r="2226" spans="1:46" x14ac:dyDescent="0.25">
      <c r="A2226" t="s">
        <v>1248</v>
      </c>
      <c r="B2226">
        <v>248241</v>
      </c>
      <c r="C2226">
        <v>352289</v>
      </c>
      <c r="D2226">
        <v>405</v>
      </c>
      <c r="E2226" t="s">
        <v>1266</v>
      </c>
      <c r="H2226">
        <v>1892</v>
      </c>
      <c r="K2226">
        <v>7</v>
      </c>
      <c r="L2226">
        <v>7</v>
      </c>
      <c r="M2226">
        <v>1</v>
      </c>
      <c r="N2226">
        <v>0</v>
      </c>
      <c r="O2226">
        <v>1</v>
      </c>
      <c r="P2226">
        <v>0</v>
      </c>
      <c r="Q2226">
        <v>0</v>
      </c>
      <c r="R2226">
        <v>0</v>
      </c>
      <c r="T2226" s="29">
        <v>568953</v>
      </c>
      <c r="U2226" s="29">
        <v>3982671</v>
      </c>
      <c r="V2226" t="s">
        <v>1262</v>
      </c>
      <c r="W2226" t="s">
        <v>1262</v>
      </c>
      <c r="X2226" s="29">
        <v>3982671</v>
      </c>
      <c r="AA2226" s="30">
        <v>45880.408333333333</v>
      </c>
      <c r="AB2226" s="30">
        <v>45881.366666666669</v>
      </c>
      <c r="AC2226" s="30">
        <v>45880.408333333333</v>
      </c>
      <c r="AD2226" s="30">
        <v>45881.366666666669</v>
      </c>
      <c r="AE2226" s="30">
        <v>46190.375</v>
      </c>
      <c r="AF2226" s="30">
        <v>46190.708333333336</v>
      </c>
      <c r="AG2226" t="s">
        <v>1266</v>
      </c>
      <c r="AK2226" t="s">
        <v>1265</v>
      </c>
      <c r="AL2226" t="s">
        <v>2453</v>
      </c>
      <c r="AM2226" t="s">
        <v>1263</v>
      </c>
      <c r="AN2226" t="s">
        <v>1262</v>
      </c>
      <c r="AO2226">
        <v>0</v>
      </c>
      <c r="AQ2226" t="s">
        <v>1261</v>
      </c>
      <c r="AR2226" t="s">
        <v>1260</v>
      </c>
      <c r="AS2226" t="s">
        <v>1259</v>
      </c>
      <c r="AT2226" s="30">
        <v>46069.523611111108</v>
      </c>
    </row>
    <row r="2227" spans="1:46" x14ac:dyDescent="0.25">
      <c r="A2227" t="s">
        <v>1248</v>
      </c>
      <c r="B2227">
        <v>248242</v>
      </c>
      <c r="C2227">
        <v>352290</v>
      </c>
      <c r="D2227">
        <v>405</v>
      </c>
      <c r="E2227" t="s">
        <v>1266</v>
      </c>
      <c r="H2227">
        <v>1892</v>
      </c>
      <c r="K2227">
        <v>15</v>
      </c>
      <c r="L2227">
        <v>15</v>
      </c>
      <c r="M2227">
        <v>1</v>
      </c>
      <c r="N2227">
        <v>0</v>
      </c>
      <c r="O2227">
        <v>1</v>
      </c>
      <c r="P2227">
        <v>0</v>
      </c>
      <c r="Q2227">
        <v>0</v>
      </c>
      <c r="R2227">
        <v>0</v>
      </c>
      <c r="T2227" s="29">
        <v>568953</v>
      </c>
      <c r="U2227" s="29">
        <v>8534295</v>
      </c>
      <c r="V2227" t="s">
        <v>1262</v>
      </c>
      <c r="W2227" t="s">
        <v>1262</v>
      </c>
      <c r="X2227" s="29">
        <v>8534295</v>
      </c>
      <c r="AA2227" s="30">
        <v>45845.39166666667</v>
      </c>
      <c r="AB2227" s="30">
        <v>45847.35</v>
      </c>
      <c r="AC2227" s="30">
        <v>45845.39166666667</v>
      </c>
      <c r="AD2227" s="30">
        <v>45847.35</v>
      </c>
      <c r="AE2227" s="30">
        <v>46136.691666666666</v>
      </c>
      <c r="AF2227" s="30">
        <v>46140.65</v>
      </c>
      <c r="AG2227" t="s">
        <v>1266</v>
      </c>
      <c r="AK2227" t="s">
        <v>1265</v>
      </c>
      <c r="AL2227" t="s">
        <v>2452</v>
      </c>
      <c r="AM2227" t="s">
        <v>1263</v>
      </c>
      <c r="AN2227" t="s">
        <v>1262</v>
      </c>
      <c r="AO2227">
        <v>0</v>
      </c>
      <c r="AQ2227" t="s">
        <v>1261</v>
      </c>
      <c r="AR2227" t="s">
        <v>1260</v>
      </c>
      <c r="AS2227" t="s">
        <v>1259</v>
      </c>
      <c r="AT2227" s="30">
        <v>46069.523611111108</v>
      </c>
    </row>
    <row r="2228" spans="1:46" x14ac:dyDescent="0.25">
      <c r="A2228" t="s">
        <v>1248</v>
      </c>
      <c r="B2228">
        <v>248243</v>
      </c>
      <c r="C2228">
        <v>352296</v>
      </c>
      <c r="D2228">
        <v>405</v>
      </c>
      <c r="E2228" t="s">
        <v>1266</v>
      </c>
      <c r="H2228">
        <v>1892</v>
      </c>
      <c r="K2228">
        <v>7</v>
      </c>
      <c r="L2228">
        <v>7</v>
      </c>
      <c r="M2228">
        <v>1</v>
      </c>
      <c r="N2228">
        <v>0</v>
      </c>
      <c r="O2228">
        <v>1</v>
      </c>
      <c r="P2228">
        <v>0</v>
      </c>
      <c r="Q2228">
        <v>0</v>
      </c>
      <c r="R2228">
        <v>0</v>
      </c>
      <c r="T2228" s="29">
        <v>568953</v>
      </c>
      <c r="U2228" s="29">
        <v>3982671</v>
      </c>
      <c r="V2228" t="s">
        <v>1262</v>
      </c>
      <c r="W2228" t="s">
        <v>1262</v>
      </c>
      <c r="X2228" s="29">
        <v>3982671</v>
      </c>
      <c r="AA2228" s="30">
        <v>45876.45</v>
      </c>
      <c r="AB2228" s="30">
        <v>45877.408333333333</v>
      </c>
      <c r="AC2228" s="30">
        <v>45876.45</v>
      </c>
      <c r="AD2228" s="30">
        <v>45877.408333333333</v>
      </c>
      <c r="AE2228" s="30">
        <v>46171.375</v>
      </c>
      <c r="AF2228" s="30">
        <v>46171.708333333336</v>
      </c>
      <c r="AG2228" t="s">
        <v>1266</v>
      </c>
      <c r="AK2228" t="s">
        <v>1265</v>
      </c>
      <c r="AL2228" t="s">
        <v>2451</v>
      </c>
      <c r="AM2228" t="s">
        <v>1263</v>
      </c>
      <c r="AN2228" t="s">
        <v>1262</v>
      </c>
      <c r="AO2228">
        <v>0</v>
      </c>
      <c r="AQ2228" t="s">
        <v>1261</v>
      </c>
      <c r="AR2228" t="s">
        <v>1260</v>
      </c>
      <c r="AS2228" t="s">
        <v>1259</v>
      </c>
      <c r="AT2228" s="30">
        <v>46069.523611111108</v>
      </c>
    </row>
    <row r="2229" spans="1:46" x14ac:dyDescent="0.25">
      <c r="A2229" t="s">
        <v>1248</v>
      </c>
      <c r="B2229">
        <v>248244</v>
      </c>
      <c r="C2229">
        <v>352297</v>
      </c>
      <c r="D2229">
        <v>405</v>
      </c>
      <c r="E2229" t="s">
        <v>1266</v>
      </c>
      <c r="H2229">
        <v>1892</v>
      </c>
      <c r="K2229">
        <v>15</v>
      </c>
      <c r="L2229">
        <v>15</v>
      </c>
      <c r="M2229">
        <v>1</v>
      </c>
      <c r="N2229">
        <v>0</v>
      </c>
      <c r="O2229">
        <v>1</v>
      </c>
      <c r="P2229">
        <v>0</v>
      </c>
      <c r="Q2229">
        <v>0</v>
      </c>
      <c r="R2229">
        <v>0</v>
      </c>
      <c r="T2229" s="29">
        <v>568953</v>
      </c>
      <c r="U2229" s="29">
        <v>8534295</v>
      </c>
      <c r="V2229" t="s">
        <v>1262</v>
      </c>
      <c r="W2229" t="s">
        <v>1262</v>
      </c>
      <c r="X2229" s="29">
        <v>8534295</v>
      </c>
      <c r="AA2229" s="30">
        <v>45841.433333333334</v>
      </c>
      <c r="AB2229" s="30">
        <v>45845.39166666667</v>
      </c>
      <c r="AC2229" s="30">
        <v>45841.433333333334</v>
      </c>
      <c r="AD2229" s="30">
        <v>45845.39166666667</v>
      </c>
      <c r="AE2229" s="30">
        <v>46120.691666666666</v>
      </c>
      <c r="AF2229" s="30">
        <v>46122.65</v>
      </c>
      <c r="AG2229" t="s">
        <v>1266</v>
      </c>
      <c r="AK2229" t="s">
        <v>1265</v>
      </c>
      <c r="AL2229" t="s">
        <v>2450</v>
      </c>
      <c r="AM2229" t="s">
        <v>1263</v>
      </c>
      <c r="AN2229" t="s">
        <v>1262</v>
      </c>
      <c r="AO2229">
        <v>0</v>
      </c>
      <c r="AQ2229" t="s">
        <v>1261</v>
      </c>
      <c r="AR2229" t="s">
        <v>1260</v>
      </c>
      <c r="AS2229" t="s">
        <v>1259</v>
      </c>
      <c r="AT2229" s="30">
        <v>46069.523611111108</v>
      </c>
    </row>
    <row r="2230" spans="1:46" x14ac:dyDescent="0.25">
      <c r="A2230" t="s">
        <v>1248</v>
      </c>
      <c r="B2230">
        <v>248245</v>
      </c>
      <c r="C2230">
        <v>352303</v>
      </c>
      <c r="D2230">
        <v>405</v>
      </c>
      <c r="E2230" t="s">
        <v>1266</v>
      </c>
      <c r="H2230">
        <v>1892</v>
      </c>
      <c r="K2230">
        <v>7</v>
      </c>
      <c r="L2230">
        <v>7</v>
      </c>
      <c r="M2230">
        <v>1</v>
      </c>
      <c r="N2230">
        <v>0</v>
      </c>
      <c r="O2230">
        <v>1</v>
      </c>
      <c r="P2230">
        <v>0</v>
      </c>
      <c r="Q2230">
        <v>0</v>
      </c>
      <c r="R2230">
        <v>0</v>
      </c>
      <c r="T2230" s="29">
        <v>568953</v>
      </c>
      <c r="U2230" s="29">
        <v>3982671</v>
      </c>
      <c r="V2230" t="s">
        <v>1262</v>
      </c>
      <c r="W2230" t="s">
        <v>1262</v>
      </c>
      <c r="X2230" s="29">
        <v>3982671</v>
      </c>
      <c r="AA2230" s="30">
        <v>45874.491666666669</v>
      </c>
      <c r="AB2230" s="30">
        <v>45875.45</v>
      </c>
      <c r="AC2230" s="30">
        <v>45874.491666666669</v>
      </c>
      <c r="AD2230" s="30">
        <v>45875.45</v>
      </c>
      <c r="AE2230" s="30">
        <v>46155.375</v>
      </c>
      <c r="AF2230" s="30">
        <v>46155.708333333336</v>
      </c>
      <c r="AG2230" t="s">
        <v>1266</v>
      </c>
      <c r="AK2230" t="s">
        <v>1265</v>
      </c>
      <c r="AL2230" t="s">
        <v>2449</v>
      </c>
      <c r="AM2230" t="s">
        <v>1263</v>
      </c>
      <c r="AN2230" t="s">
        <v>1262</v>
      </c>
      <c r="AO2230">
        <v>0</v>
      </c>
      <c r="AQ2230" t="s">
        <v>1261</v>
      </c>
      <c r="AR2230" t="s">
        <v>1260</v>
      </c>
      <c r="AS2230" t="s">
        <v>1259</v>
      </c>
      <c r="AT2230" s="30">
        <v>46069.523611111108</v>
      </c>
    </row>
    <row r="2231" spans="1:46" x14ac:dyDescent="0.25">
      <c r="A2231" t="s">
        <v>1248</v>
      </c>
      <c r="B2231">
        <v>248246</v>
      </c>
      <c r="C2231">
        <v>352304</v>
      </c>
      <c r="D2231">
        <v>405</v>
      </c>
      <c r="E2231" t="s">
        <v>1266</v>
      </c>
      <c r="H2231">
        <v>1892</v>
      </c>
      <c r="K2231">
        <v>15</v>
      </c>
      <c r="L2231">
        <v>15</v>
      </c>
      <c r="M2231">
        <v>1</v>
      </c>
      <c r="N2231">
        <v>0</v>
      </c>
      <c r="O2231">
        <v>1</v>
      </c>
      <c r="P2231">
        <v>0</v>
      </c>
      <c r="Q2231">
        <v>0</v>
      </c>
      <c r="R2231">
        <v>0</v>
      </c>
      <c r="T2231" s="29">
        <v>568953</v>
      </c>
      <c r="U2231" s="29">
        <v>8534295</v>
      </c>
      <c r="V2231" t="s">
        <v>1262</v>
      </c>
      <c r="W2231" t="s">
        <v>1262</v>
      </c>
      <c r="X2231" s="29">
        <v>8534295</v>
      </c>
      <c r="AA2231" s="30">
        <v>45827.333333333336</v>
      </c>
      <c r="AB2231" s="30">
        <v>45828.666666666664</v>
      </c>
      <c r="AC2231" s="30">
        <v>45827.333333333336</v>
      </c>
      <c r="AD2231" s="30">
        <v>45828.666666666664</v>
      </c>
      <c r="AE2231" s="30">
        <v>46101.691666666666</v>
      </c>
      <c r="AF2231" s="30">
        <v>46105.65</v>
      </c>
      <c r="AG2231" t="s">
        <v>1266</v>
      </c>
      <c r="AK2231" t="s">
        <v>1265</v>
      </c>
      <c r="AL2231" t="s">
        <v>2448</v>
      </c>
      <c r="AM2231" t="s">
        <v>1263</v>
      </c>
      <c r="AN2231" t="s">
        <v>1262</v>
      </c>
      <c r="AO2231">
        <v>0</v>
      </c>
      <c r="AQ2231" t="s">
        <v>1261</v>
      </c>
      <c r="AR2231" t="s">
        <v>1260</v>
      </c>
      <c r="AS2231" t="s">
        <v>1259</v>
      </c>
      <c r="AT2231" s="30">
        <v>46069.523611111108</v>
      </c>
    </row>
    <row r="2232" spans="1:46" x14ac:dyDescent="0.25">
      <c r="A2232" t="s">
        <v>1248</v>
      </c>
      <c r="B2232">
        <v>248247</v>
      </c>
      <c r="C2232">
        <v>352310</v>
      </c>
      <c r="D2232">
        <v>405</v>
      </c>
      <c r="E2232" t="s">
        <v>1266</v>
      </c>
      <c r="H2232">
        <v>1892</v>
      </c>
      <c r="K2232">
        <v>7</v>
      </c>
      <c r="L2232">
        <v>7</v>
      </c>
      <c r="M2232">
        <v>1</v>
      </c>
      <c r="N2232">
        <v>0</v>
      </c>
      <c r="O2232">
        <v>1</v>
      </c>
      <c r="P2232">
        <v>0</v>
      </c>
      <c r="Q2232">
        <v>0</v>
      </c>
      <c r="R2232">
        <v>0</v>
      </c>
      <c r="T2232" s="29">
        <v>568953</v>
      </c>
      <c r="U2232" s="29">
        <v>3982671</v>
      </c>
      <c r="V2232" t="s">
        <v>1262</v>
      </c>
      <c r="W2232" t="s">
        <v>1262</v>
      </c>
      <c r="X2232" s="29">
        <v>3982671</v>
      </c>
      <c r="AA2232" s="30">
        <v>45860.39166666667</v>
      </c>
      <c r="AB2232" s="30">
        <v>45861.35</v>
      </c>
      <c r="AC2232" s="30">
        <v>45860.39166666667</v>
      </c>
      <c r="AD2232" s="30">
        <v>45861.35</v>
      </c>
      <c r="AE2232" s="30">
        <v>46136.375</v>
      </c>
      <c r="AF2232" s="30">
        <v>46136.708333333336</v>
      </c>
      <c r="AG2232" t="s">
        <v>1266</v>
      </c>
      <c r="AK2232" t="s">
        <v>1265</v>
      </c>
      <c r="AL2232" t="s">
        <v>2447</v>
      </c>
      <c r="AM2232" t="s">
        <v>1263</v>
      </c>
      <c r="AN2232" t="s">
        <v>1262</v>
      </c>
      <c r="AO2232">
        <v>0</v>
      </c>
      <c r="AQ2232" t="s">
        <v>1261</v>
      </c>
      <c r="AR2232" t="s">
        <v>1260</v>
      </c>
      <c r="AS2232" t="s">
        <v>1259</v>
      </c>
      <c r="AT2232" s="30">
        <v>46069.523611111108</v>
      </c>
    </row>
    <row r="2233" spans="1:46" x14ac:dyDescent="0.25">
      <c r="A2233" t="s">
        <v>1248</v>
      </c>
      <c r="B2233">
        <v>248248</v>
      </c>
      <c r="C2233">
        <v>352311</v>
      </c>
      <c r="D2233">
        <v>405</v>
      </c>
      <c r="E2233" t="s">
        <v>1266</v>
      </c>
      <c r="H2233">
        <v>1892</v>
      </c>
      <c r="K2233">
        <v>15</v>
      </c>
      <c r="L2233">
        <v>15</v>
      </c>
      <c r="M2233">
        <v>1</v>
      </c>
      <c r="N2233">
        <v>0</v>
      </c>
      <c r="O2233">
        <v>1</v>
      </c>
      <c r="P2233">
        <v>0</v>
      </c>
      <c r="Q2233">
        <v>0</v>
      </c>
      <c r="R2233">
        <v>0</v>
      </c>
      <c r="T2233" s="29">
        <v>568953</v>
      </c>
      <c r="U2233" s="29">
        <v>8534295</v>
      </c>
      <c r="V2233" t="s">
        <v>1262</v>
      </c>
      <c r="W2233" t="s">
        <v>1262</v>
      </c>
      <c r="X2233" s="29">
        <v>8534295</v>
      </c>
      <c r="AA2233" s="30">
        <v>45824.541666666664</v>
      </c>
      <c r="AB2233" s="30">
        <v>45826.458333333336</v>
      </c>
      <c r="AC2233" s="30">
        <v>45824.541666666664</v>
      </c>
      <c r="AD2233" s="30">
        <v>45826.458333333336</v>
      </c>
      <c r="AE2233" s="30">
        <v>46085.691666666666</v>
      </c>
      <c r="AF2233" s="30">
        <v>46087.65</v>
      </c>
      <c r="AG2233" t="s">
        <v>1266</v>
      </c>
      <c r="AK2233" t="s">
        <v>1265</v>
      </c>
      <c r="AL2233" t="s">
        <v>2446</v>
      </c>
      <c r="AM2233" t="s">
        <v>1263</v>
      </c>
      <c r="AN2233" t="s">
        <v>1262</v>
      </c>
      <c r="AO2233">
        <v>0</v>
      </c>
      <c r="AQ2233" t="s">
        <v>1261</v>
      </c>
      <c r="AR2233" t="s">
        <v>1260</v>
      </c>
      <c r="AS2233" t="s">
        <v>1259</v>
      </c>
      <c r="AT2233" s="30">
        <v>46069.523611111108</v>
      </c>
    </row>
    <row r="2234" spans="1:46" x14ac:dyDescent="0.25">
      <c r="A2234" t="s">
        <v>1248</v>
      </c>
      <c r="B2234">
        <v>248249</v>
      </c>
      <c r="C2234">
        <v>352317</v>
      </c>
      <c r="D2234">
        <v>405</v>
      </c>
      <c r="E2234" t="s">
        <v>1266</v>
      </c>
      <c r="H2234">
        <v>1892</v>
      </c>
      <c r="K2234">
        <v>7</v>
      </c>
      <c r="L2234">
        <v>7</v>
      </c>
      <c r="M2234">
        <v>1</v>
      </c>
      <c r="N2234">
        <v>0</v>
      </c>
      <c r="O2234">
        <v>1</v>
      </c>
      <c r="P2234">
        <v>0</v>
      </c>
      <c r="Q2234">
        <v>0</v>
      </c>
      <c r="R2234">
        <v>0</v>
      </c>
      <c r="T2234" s="29">
        <v>568953</v>
      </c>
      <c r="U2234" s="29">
        <v>3982671</v>
      </c>
      <c r="V2234" t="s">
        <v>1262</v>
      </c>
      <c r="W2234" t="s">
        <v>1262</v>
      </c>
      <c r="X2234" s="29">
        <v>3982671</v>
      </c>
      <c r="AA2234" s="30">
        <v>45855.6</v>
      </c>
      <c r="AB2234" s="30">
        <v>45856.558333333334</v>
      </c>
      <c r="AC2234" s="30">
        <v>45855.6</v>
      </c>
      <c r="AD2234" s="30">
        <v>45856.558333333334</v>
      </c>
      <c r="AE2234" s="30">
        <v>46120.375</v>
      </c>
      <c r="AF2234" s="30">
        <v>46120.708333333336</v>
      </c>
      <c r="AG2234" t="s">
        <v>1266</v>
      </c>
      <c r="AK2234" t="s">
        <v>1265</v>
      </c>
      <c r="AL2234" t="s">
        <v>2445</v>
      </c>
      <c r="AM2234" t="s">
        <v>1263</v>
      </c>
      <c r="AN2234" t="s">
        <v>1262</v>
      </c>
      <c r="AO2234">
        <v>0</v>
      </c>
      <c r="AQ2234" t="s">
        <v>1261</v>
      </c>
      <c r="AR2234" t="s">
        <v>1260</v>
      </c>
      <c r="AS2234" t="s">
        <v>1259</v>
      </c>
      <c r="AT2234" s="30">
        <v>46069.523611111108</v>
      </c>
    </row>
    <row r="2235" spans="1:46" x14ac:dyDescent="0.25">
      <c r="A2235" t="s">
        <v>1248</v>
      </c>
      <c r="B2235">
        <v>248250</v>
      </c>
      <c r="C2235">
        <v>352318</v>
      </c>
      <c r="D2235">
        <v>405</v>
      </c>
      <c r="E2235" t="s">
        <v>1266</v>
      </c>
      <c r="H2235">
        <v>1892</v>
      </c>
      <c r="K2235">
        <v>15</v>
      </c>
      <c r="L2235">
        <v>15</v>
      </c>
      <c r="M2235">
        <v>1</v>
      </c>
      <c r="N2235">
        <v>0</v>
      </c>
      <c r="O2235">
        <v>1</v>
      </c>
      <c r="P2235">
        <v>0</v>
      </c>
      <c r="Q2235">
        <v>0</v>
      </c>
      <c r="R2235">
        <v>0</v>
      </c>
      <c r="T2235" s="29">
        <v>568953</v>
      </c>
      <c r="U2235" s="29">
        <v>8534295</v>
      </c>
      <c r="V2235" t="s">
        <v>1262</v>
      </c>
      <c r="W2235" t="s">
        <v>1262</v>
      </c>
      <c r="X2235" s="29">
        <v>8534295</v>
      </c>
      <c r="AA2235" s="30">
        <v>45820.583333333336</v>
      </c>
      <c r="AB2235" s="30">
        <v>45824.5</v>
      </c>
      <c r="AC2235" s="30">
        <v>45820.583333333336</v>
      </c>
      <c r="AD2235" s="30">
        <v>45824.5</v>
      </c>
      <c r="AE2235" s="30">
        <v>46069.691666666666</v>
      </c>
      <c r="AF2235" s="30">
        <v>46071.65</v>
      </c>
      <c r="AG2235" t="s">
        <v>1266</v>
      </c>
      <c r="AK2235" t="s">
        <v>1265</v>
      </c>
      <c r="AL2235" t="s">
        <v>2444</v>
      </c>
      <c r="AM2235" t="s">
        <v>1263</v>
      </c>
      <c r="AN2235" t="s">
        <v>1262</v>
      </c>
      <c r="AO2235">
        <v>0</v>
      </c>
      <c r="AQ2235" t="s">
        <v>1261</v>
      </c>
      <c r="AR2235" t="s">
        <v>1260</v>
      </c>
      <c r="AS2235" t="s">
        <v>1259</v>
      </c>
      <c r="AT2235" s="30">
        <v>46069.523611111108</v>
      </c>
    </row>
    <row r="2236" spans="1:46" x14ac:dyDescent="0.25">
      <c r="A2236" t="s">
        <v>1248</v>
      </c>
      <c r="B2236">
        <v>248251</v>
      </c>
      <c r="C2236">
        <v>352324</v>
      </c>
      <c r="D2236">
        <v>405</v>
      </c>
      <c r="E2236" t="s">
        <v>1266</v>
      </c>
      <c r="H2236">
        <v>1892</v>
      </c>
      <c r="K2236">
        <v>7</v>
      </c>
      <c r="L2236">
        <v>7</v>
      </c>
      <c r="M2236">
        <v>1</v>
      </c>
      <c r="N2236">
        <v>0</v>
      </c>
      <c r="O2236">
        <v>1</v>
      </c>
      <c r="P2236">
        <v>0</v>
      </c>
      <c r="Q2236">
        <v>0</v>
      </c>
      <c r="R2236">
        <v>0</v>
      </c>
      <c r="T2236" s="29">
        <v>568953</v>
      </c>
      <c r="U2236" s="29">
        <v>3982671</v>
      </c>
      <c r="V2236" t="s">
        <v>1262</v>
      </c>
      <c r="W2236" t="s">
        <v>1262</v>
      </c>
      <c r="X2236" s="29">
        <v>3982671</v>
      </c>
      <c r="AA2236" s="30">
        <v>45853.64166666667</v>
      </c>
      <c r="AB2236" s="30">
        <v>45854.6</v>
      </c>
      <c r="AC2236" s="30">
        <v>45853.64166666667</v>
      </c>
      <c r="AD2236" s="30">
        <v>45854.6</v>
      </c>
      <c r="AE2236" s="30">
        <v>46101.375</v>
      </c>
      <c r="AF2236" s="30">
        <v>46101.708333333336</v>
      </c>
      <c r="AG2236" t="s">
        <v>1266</v>
      </c>
      <c r="AK2236" t="s">
        <v>1265</v>
      </c>
      <c r="AL2236" t="s">
        <v>2443</v>
      </c>
      <c r="AM2236" t="s">
        <v>1263</v>
      </c>
      <c r="AN2236" t="s">
        <v>1262</v>
      </c>
      <c r="AO2236">
        <v>0</v>
      </c>
      <c r="AQ2236" t="s">
        <v>1261</v>
      </c>
      <c r="AR2236" t="s">
        <v>1260</v>
      </c>
      <c r="AS2236" t="s">
        <v>1259</v>
      </c>
      <c r="AT2236" s="30">
        <v>46069.523611111108</v>
      </c>
    </row>
    <row r="2237" spans="1:46" x14ac:dyDescent="0.25">
      <c r="A2237" t="s">
        <v>1248</v>
      </c>
      <c r="B2237">
        <v>248252</v>
      </c>
      <c r="C2237">
        <v>352325</v>
      </c>
      <c r="D2237">
        <v>405</v>
      </c>
      <c r="E2237" t="s">
        <v>1266</v>
      </c>
      <c r="H2237">
        <v>1892</v>
      </c>
      <c r="K2237">
        <v>15</v>
      </c>
      <c r="L2237">
        <v>15</v>
      </c>
      <c r="M2237">
        <v>1</v>
      </c>
      <c r="N2237">
        <v>0</v>
      </c>
      <c r="O2237">
        <v>1</v>
      </c>
      <c r="P2237">
        <v>0</v>
      </c>
      <c r="Q2237">
        <v>0</v>
      </c>
      <c r="R2237">
        <v>0</v>
      </c>
      <c r="T2237" s="29">
        <v>568953</v>
      </c>
      <c r="U2237" s="29">
        <v>8534295</v>
      </c>
      <c r="V2237" t="s">
        <v>1262</v>
      </c>
      <c r="W2237" t="s">
        <v>1262</v>
      </c>
      <c r="X2237" s="29">
        <v>8534295</v>
      </c>
      <c r="AA2237" s="30">
        <v>45818.625</v>
      </c>
      <c r="AB2237" s="30">
        <v>45820.583333333336</v>
      </c>
      <c r="AC2237" s="30">
        <v>45818.625</v>
      </c>
      <c r="AD2237" s="30">
        <v>45820.583333333336</v>
      </c>
      <c r="AE2237" s="30">
        <v>46051.691666666666</v>
      </c>
      <c r="AF2237" s="30">
        <v>46055.65</v>
      </c>
      <c r="AG2237" t="s">
        <v>1266</v>
      </c>
      <c r="AK2237" t="s">
        <v>1265</v>
      </c>
      <c r="AL2237" t="s">
        <v>2442</v>
      </c>
      <c r="AM2237" t="s">
        <v>1263</v>
      </c>
      <c r="AN2237" t="s">
        <v>1262</v>
      </c>
      <c r="AO2237">
        <v>0</v>
      </c>
      <c r="AQ2237" t="s">
        <v>1261</v>
      </c>
      <c r="AR2237" t="s">
        <v>1260</v>
      </c>
      <c r="AS2237" t="s">
        <v>1259</v>
      </c>
      <c r="AT2237" s="30">
        <v>46069.523611111108</v>
      </c>
    </row>
    <row r="2238" spans="1:46" x14ac:dyDescent="0.25">
      <c r="A2238" t="s">
        <v>1248</v>
      </c>
      <c r="B2238">
        <v>248253</v>
      </c>
      <c r="C2238">
        <v>352331</v>
      </c>
      <c r="D2238">
        <v>405</v>
      </c>
      <c r="E2238" t="s">
        <v>1266</v>
      </c>
      <c r="H2238">
        <v>1892</v>
      </c>
      <c r="K2238">
        <v>7</v>
      </c>
      <c r="L2238">
        <v>7</v>
      </c>
      <c r="M2238">
        <v>1</v>
      </c>
      <c r="N2238">
        <v>0</v>
      </c>
      <c r="O2238">
        <v>1</v>
      </c>
      <c r="P2238">
        <v>0</v>
      </c>
      <c r="Q2238">
        <v>0</v>
      </c>
      <c r="R2238">
        <v>0</v>
      </c>
      <c r="T2238" s="29">
        <v>568953</v>
      </c>
      <c r="U2238" s="29">
        <v>3982671</v>
      </c>
      <c r="V2238" t="s">
        <v>1262</v>
      </c>
      <c r="W2238" t="s">
        <v>1262</v>
      </c>
      <c r="X2238" s="29">
        <v>3982671</v>
      </c>
      <c r="AA2238" s="30">
        <v>45849.683333333334</v>
      </c>
      <c r="AB2238" s="30">
        <v>45852.64166666667</v>
      </c>
      <c r="AC2238" s="30">
        <v>45849.683333333334</v>
      </c>
      <c r="AD2238" s="30">
        <v>45852.64166666667</v>
      </c>
      <c r="AE2238" s="30">
        <v>46085.375</v>
      </c>
      <c r="AF2238" s="30">
        <v>46085.708333333336</v>
      </c>
      <c r="AG2238" t="s">
        <v>1266</v>
      </c>
      <c r="AK2238" t="s">
        <v>1265</v>
      </c>
      <c r="AL2238" t="s">
        <v>2441</v>
      </c>
      <c r="AM2238" t="s">
        <v>1263</v>
      </c>
      <c r="AN2238" t="s">
        <v>1262</v>
      </c>
      <c r="AO2238">
        <v>0</v>
      </c>
      <c r="AQ2238" t="s">
        <v>1261</v>
      </c>
      <c r="AR2238" t="s">
        <v>1260</v>
      </c>
      <c r="AS2238" t="s">
        <v>1259</v>
      </c>
      <c r="AT2238" s="30">
        <v>46069.523611111108</v>
      </c>
    </row>
    <row r="2239" spans="1:46" x14ac:dyDescent="0.25">
      <c r="A2239" t="s">
        <v>1248</v>
      </c>
      <c r="B2239">
        <v>248254</v>
      </c>
      <c r="C2239">
        <v>352332</v>
      </c>
      <c r="D2239">
        <v>405</v>
      </c>
      <c r="E2239" t="s">
        <v>1266</v>
      </c>
      <c r="H2239">
        <v>1892</v>
      </c>
      <c r="K2239">
        <v>15</v>
      </c>
      <c r="L2239">
        <v>15</v>
      </c>
      <c r="M2239">
        <v>1</v>
      </c>
      <c r="N2239">
        <v>0</v>
      </c>
      <c r="O2239">
        <v>1</v>
      </c>
      <c r="P2239">
        <v>0</v>
      </c>
      <c r="Q2239">
        <v>0</v>
      </c>
      <c r="R2239">
        <v>0</v>
      </c>
      <c r="T2239" s="29">
        <v>568953</v>
      </c>
      <c r="U2239" s="29">
        <v>8534295</v>
      </c>
      <c r="V2239" t="s">
        <v>1262</v>
      </c>
      <c r="W2239" t="s">
        <v>1262</v>
      </c>
      <c r="X2239" s="29">
        <v>8534295</v>
      </c>
      <c r="AA2239" s="30">
        <v>45814.666666666664</v>
      </c>
      <c r="AB2239" s="30">
        <v>45818.625</v>
      </c>
      <c r="AC2239" s="30">
        <v>45814.666666666664</v>
      </c>
      <c r="AD2239" s="30">
        <v>45818.625</v>
      </c>
      <c r="AE2239" s="30">
        <v>46035.691666666666</v>
      </c>
      <c r="AF2239" s="30">
        <v>46037.65</v>
      </c>
      <c r="AG2239" t="s">
        <v>1266</v>
      </c>
      <c r="AK2239" t="s">
        <v>1265</v>
      </c>
      <c r="AL2239" t="s">
        <v>2440</v>
      </c>
      <c r="AM2239" t="s">
        <v>1263</v>
      </c>
      <c r="AN2239" t="s">
        <v>1262</v>
      </c>
      <c r="AO2239">
        <v>0</v>
      </c>
      <c r="AQ2239" t="s">
        <v>1261</v>
      </c>
      <c r="AR2239" t="s">
        <v>1260</v>
      </c>
      <c r="AS2239" t="s">
        <v>1259</v>
      </c>
      <c r="AT2239" s="30">
        <v>46069.523611111108</v>
      </c>
    </row>
    <row r="2240" spans="1:46" x14ac:dyDescent="0.25">
      <c r="A2240" t="s">
        <v>1248</v>
      </c>
      <c r="B2240">
        <v>248255</v>
      </c>
      <c r="C2240">
        <v>352338</v>
      </c>
      <c r="D2240">
        <v>405</v>
      </c>
      <c r="E2240" t="s">
        <v>1266</v>
      </c>
      <c r="H2240">
        <v>1892</v>
      </c>
      <c r="K2240">
        <v>7</v>
      </c>
      <c r="L2240">
        <v>7</v>
      </c>
      <c r="M2240">
        <v>1</v>
      </c>
      <c r="N2240">
        <v>0</v>
      </c>
      <c r="O2240">
        <v>1</v>
      </c>
      <c r="P2240">
        <v>0</v>
      </c>
      <c r="Q2240">
        <v>0</v>
      </c>
      <c r="R2240">
        <v>0</v>
      </c>
      <c r="T2240" s="29">
        <v>568953</v>
      </c>
      <c r="U2240" s="29">
        <v>3982671</v>
      </c>
      <c r="V2240" t="s">
        <v>1262</v>
      </c>
      <c r="W2240" t="s">
        <v>1262</v>
      </c>
      <c r="X2240" s="29">
        <v>3982671</v>
      </c>
      <c r="AA2240" s="30">
        <v>45848.35</v>
      </c>
      <c r="AB2240" s="30">
        <v>45848.683333333334</v>
      </c>
      <c r="AC2240" s="30">
        <v>45848.35</v>
      </c>
      <c r="AD2240" s="30">
        <v>45848.683333333334</v>
      </c>
      <c r="AE2240" s="30">
        <v>46069.375</v>
      </c>
      <c r="AF2240" s="30">
        <v>46069.708333333336</v>
      </c>
      <c r="AG2240" t="s">
        <v>1266</v>
      </c>
      <c r="AK2240" t="s">
        <v>1265</v>
      </c>
      <c r="AL2240" t="s">
        <v>2439</v>
      </c>
      <c r="AM2240" t="s">
        <v>1263</v>
      </c>
      <c r="AN2240" t="s">
        <v>1262</v>
      </c>
      <c r="AO2240">
        <v>0</v>
      </c>
      <c r="AQ2240" t="s">
        <v>1261</v>
      </c>
      <c r="AR2240" t="s">
        <v>1260</v>
      </c>
      <c r="AS2240" t="s">
        <v>1259</v>
      </c>
      <c r="AT2240" s="30">
        <v>46069.523611111108</v>
      </c>
    </row>
    <row r="2241" spans="1:46" x14ac:dyDescent="0.25">
      <c r="A2241" t="s">
        <v>1248</v>
      </c>
      <c r="B2241">
        <v>248256</v>
      </c>
      <c r="C2241">
        <v>352339</v>
      </c>
      <c r="D2241">
        <v>405</v>
      </c>
      <c r="E2241" t="s">
        <v>1266</v>
      </c>
      <c r="H2241">
        <v>1892</v>
      </c>
      <c r="K2241">
        <v>7</v>
      </c>
      <c r="L2241">
        <v>7</v>
      </c>
      <c r="M2241">
        <v>1</v>
      </c>
      <c r="N2241">
        <v>0</v>
      </c>
      <c r="O2241">
        <v>1</v>
      </c>
      <c r="P2241">
        <v>0</v>
      </c>
      <c r="Q2241">
        <v>0</v>
      </c>
      <c r="R2241">
        <v>0</v>
      </c>
      <c r="T2241" s="29">
        <v>568953</v>
      </c>
      <c r="U2241" s="29">
        <v>3982671</v>
      </c>
      <c r="V2241" t="s">
        <v>1262</v>
      </c>
      <c r="W2241" t="s">
        <v>1262</v>
      </c>
      <c r="X2241" s="29">
        <v>3982671</v>
      </c>
      <c r="AA2241" s="30">
        <v>45814.333333333336</v>
      </c>
      <c r="AB2241" s="30">
        <v>45814.666666666664</v>
      </c>
      <c r="AC2241" s="30">
        <v>45814.333333333336</v>
      </c>
      <c r="AD2241" s="30">
        <v>45814.666666666664</v>
      </c>
      <c r="AE2241" s="30">
        <v>46016.65</v>
      </c>
      <c r="AF2241" s="30">
        <v>46017.60833333333</v>
      </c>
      <c r="AG2241" t="s">
        <v>1266</v>
      </c>
      <c r="AK2241" t="s">
        <v>1265</v>
      </c>
      <c r="AL2241" t="s">
        <v>2438</v>
      </c>
      <c r="AM2241" t="s">
        <v>1263</v>
      </c>
      <c r="AN2241" t="s">
        <v>1262</v>
      </c>
      <c r="AO2241">
        <v>0</v>
      </c>
      <c r="AQ2241" t="s">
        <v>1261</v>
      </c>
      <c r="AR2241" t="s">
        <v>1260</v>
      </c>
      <c r="AS2241" t="s">
        <v>1259</v>
      </c>
      <c r="AT2241" s="30">
        <v>46069.523611111108</v>
      </c>
    </row>
    <row r="2242" spans="1:46" x14ac:dyDescent="0.25">
      <c r="A2242" t="s">
        <v>1248</v>
      </c>
      <c r="B2242">
        <v>248257</v>
      </c>
      <c r="C2242">
        <v>352345</v>
      </c>
      <c r="D2242">
        <v>405</v>
      </c>
      <c r="E2242" t="s">
        <v>1266</v>
      </c>
      <c r="H2242">
        <v>1892</v>
      </c>
      <c r="K2242">
        <v>7</v>
      </c>
      <c r="L2242">
        <v>7</v>
      </c>
      <c r="M2242">
        <v>1</v>
      </c>
      <c r="N2242">
        <v>0</v>
      </c>
      <c r="O2242">
        <v>1</v>
      </c>
      <c r="P2242">
        <v>0</v>
      </c>
      <c r="Q2242">
        <v>0</v>
      </c>
      <c r="R2242">
        <v>0</v>
      </c>
      <c r="T2242" s="29">
        <v>568953</v>
      </c>
      <c r="U2242" s="29">
        <v>3982671</v>
      </c>
      <c r="V2242" t="s">
        <v>1262</v>
      </c>
      <c r="W2242" t="s">
        <v>1262</v>
      </c>
      <c r="X2242" s="29">
        <v>3982671</v>
      </c>
      <c r="AA2242" s="30">
        <v>45846.433333333334</v>
      </c>
      <c r="AB2242" s="30">
        <v>45847.39166666667</v>
      </c>
      <c r="AC2242" s="30">
        <v>45846.433333333334</v>
      </c>
      <c r="AD2242" s="30">
        <v>45847.39166666667</v>
      </c>
      <c r="AE2242" s="30">
        <v>46051.375</v>
      </c>
      <c r="AF2242" s="30">
        <v>46051.708333333336</v>
      </c>
      <c r="AG2242" t="s">
        <v>1266</v>
      </c>
      <c r="AK2242" t="s">
        <v>1265</v>
      </c>
      <c r="AL2242" t="s">
        <v>2437</v>
      </c>
      <c r="AM2242" t="s">
        <v>1263</v>
      </c>
      <c r="AN2242" t="s">
        <v>1262</v>
      </c>
      <c r="AO2242">
        <v>0</v>
      </c>
      <c r="AQ2242" t="s">
        <v>1261</v>
      </c>
      <c r="AR2242" t="s">
        <v>1260</v>
      </c>
      <c r="AS2242" t="s">
        <v>1259</v>
      </c>
      <c r="AT2242" s="30">
        <v>46069.523611111108</v>
      </c>
    </row>
    <row r="2243" spans="1:46" x14ac:dyDescent="0.25">
      <c r="A2243" t="s">
        <v>1248</v>
      </c>
      <c r="B2243">
        <v>248258</v>
      </c>
      <c r="C2243">
        <v>352346</v>
      </c>
      <c r="D2243">
        <v>405</v>
      </c>
      <c r="E2243" t="s">
        <v>1266</v>
      </c>
      <c r="H2243">
        <v>1892</v>
      </c>
      <c r="K2243">
        <v>16</v>
      </c>
      <c r="L2243">
        <v>16</v>
      </c>
      <c r="M2243">
        <v>1</v>
      </c>
      <c r="N2243">
        <v>0</v>
      </c>
      <c r="O2243">
        <v>1</v>
      </c>
      <c r="P2243">
        <v>0</v>
      </c>
      <c r="Q2243">
        <v>0</v>
      </c>
      <c r="R2243">
        <v>0</v>
      </c>
      <c r="T2243" s="29">
        <v>568953</v>
      </c>
      <c r="U2243" s="29">
        <v>9103248</v>
      </c>
      <c r="V2243" t="s">
        <v>1262</v>
      </c>
      <c r="W2243" t="s">
        <v>1262</v>
      </c>
      <c r="X2243" s="29">
        <v>9103248</v>
      </c>
      <c r="AA2243" s="30">
        <v>45839.433333333334</v>
      </c>
      <c r="AB2243" s="30">
        <v>45841.433333333334</v>
      </c>
      <c r="AC2243" s="30">
        <v>45839.433333333334</v>
      </c>
      <c r="AD2243" s="30">
        <v>45841.433333333334</v>
      </c>
      <c r="AE2243" s="30">
        <v>46034.333333333336</v>
      </c>
      <c r="AF2243" s="30">
        <v>46035.708333333336</v>
      </c>
      <c r="AG2243" t="s">
        <v>1266</v>
      </c>
      <c r="AK2243" t="s">
        <v>1265</v>
      </c>
      <c r="AL2243" t="s">
        <v>2436</v>
      </c>
      <c r="AM2243" t="s">
        <v>1263</v>
      </c>
      <c r="AN2243" t="s">
        <v>1262</v>
      </c>
      <c r="AO2243">
        <v>0</v>
      </c>
      <c r="AQ2243" t="s">
        <v>1261</v>
      </c>
      <c r="AR2243" t="s">
        <v>1260</v>
      </c>
      <c r="AS2243" t="s">
        <v>1259</v>
      </c>
      <c r="AT2243" s="30">
        <v>46069.523611111108</v>
      </c>
    </row>
    <row r="2244" spans="1:46" x14ac:dyDescent="0.25">
      <c r="A2244" t="s">
        <v>1248</v>
      </c>
      <c r="B2244">
        <v>248259</v>
      </c>
      <c r="C2244">
        <v>352352</v>
      </c>
      <c r="D2244">
        <v>405</v>
      </c>
      <c r="E2244" t="s">
        <v>1266</v>
      </c>
      <c r="H2244">
        <v>1892</v>
      </c>
      <c r="K2244">
        <v>7</v>
      </c>
      <c r="L2244">
        <v>7</v>
      </c>
      <c r="M2244">
        <v>1</v>
      </c>
      <c r="N2244">
        <v>0</v>
      </c>
      <c r="O2244">
        <v>1</v>
      </c>
      <c r="P2244">
        <v>0</v>
      </c>
      <c r="Q2244">
        <v>0</v>
      </c>
      <c r="R2244">
        <v>0</v>
      </c>
      <c r="T2244" s="29">
        <v>568953</v>
      </c>
      <c r="U2244" s="29">
        <v>3982671</v>
      </c>
      <c r="V2244" t="s">
        <v>1262</v>
      </c>
      <c r="W2244" t="s">
        <v>1262</v>
      </c>
      <c r="X2244" s="29">
        <v>3982671</v>
      </c>
      <c r="AA2244" s="30">
        <v>45805.666666666664</v>
      </c>
      <c r="AB2244" s="30">
        <v>45806.625</v>
      </c>
      <c r="AC2244" s="30">
        <v>45805.666666666664</v>
      </c>
      <c r="AD2244" s="30">
        <v>45806.625</v>
      </c>
      <c r="AE2244" s="30">
        <v>45999.60833333333</v>
      </c>
      <c r="AF2244" s="30">
        <v>46000.566666666666</v>
      </c>
      <c r="AG2244" t="s">
        <v>1266</v>
      </c>
      <c r="AK2244" t="s">
        <v>1265</v>
      </c>
      <c r="AL2244" t="s">
        <v>2435</v>
      </c>
      <c r="AM2244" t="s">
        <v>1263</v>
      </c>
      <c r="AN2244" t="s">
        <v>1262</v>
      </c>
      <c r="AO2244">
        <v>0</v>
      </c>
      <c r="AQ2244" t="s">
        <v>1261</v>
      </c>
      <c r="AR2244" t="s">
        <v>1260</v>
      </c>
      <c r="AS2244" t="s">
        <v>1259</v>
      </c>
      <c r="AT2244" s="30">
        <v>46069.523611111108</v>
      </c>
    </row>
    <row r="2245" spans="1:46" x14ac:dyDescent="0.25">
      <c r="A2245" t="s">
        <v>1248</v>
      </c>
      <c r="B2245">
        <v>248260</v>
      </c>
      <c r="C2245">
        <v>352353</v>
      </c>
      <c r="D2245">
        <v>405</v>
      </c>
      <c r="E2245" t="s">
        <v>1266</v>
      </c>
      <c r="H2245">
        <v>1892</v>
      </c>
      <c r="K2245">
        <v>16</v>
      </c>
      <c r="L2245">
        <v>16</v>
      </c>
      <c r="M2245">
        <v>1</v>
      </c>
      <c r="N2245">
        <v>0</v>
      </c>
      <c r="O2245">
        <v>1</v>
      </c>
      <c r="P2245">
        <v>0</v>
      </c>
      <c r="Q2245">
        <v>0</v>
      </c>
      <c r="R2245">
        <v>0</v>
      </c>
      <c r="T2245" s="29">
        <v>568953</v>
      </c>
      <c r="U2245" s="29">
        <v>9103248</v>
      </c>
      <c r="V2245" t="s">
        <v>1262</v>
      </c>
      <c r="W2245" t="s">
        <v>1262</v>
      </c>
      <c r="X2245" s="29">
        <v>9103248</v>
      </c>
      <c r="AA2245" s="30">
        <v>45835.433333333334</v>
      </c>
      <c r="AB2245" s="30">
        <v>45839.433333333334</v>
      </c>
      <c r="AC2245" s="30">
        <v>45835.433333333334</v>
      </c>
      <c r="AD2245" s="30">
        <v>45839.433333333334</v>
      </c>
      <c r="AE2245" s="30">
        <v>46027.333333333336</v>
      </c>
      <c r="AF2245" s="30">
        <v>46029.708333333336</v>
      </c>
      <c r="AG2245" t="s">
        <v>1266</v>
      </c>
      <c r="AK2245" t="s">
        <v>1265</v>
      </c>
      <c r="AL2245" t="s">
        <v>2434</v>
      </c>
      <c r="AM2245" t="s">
        <v>1263</v>
      </c>
      <c r="AN2245" t="s">
        <v>1262</v>
      </c>
      <c r="AO2245">
        <v>0</v>
      </c>
      <c r="AQ2245" t="s">
        <v>1261</v>
      </c>
      <c r="AR2245" t="s">
        <v>1260</v>
      </c>
      <c r="AS2245" t="s">
        <v>1259</v>
      </c>
      <c r="AT2245" s="30">
        <v>46069.523611111108</v>
      </c>
    </row>
    <row r="2246" spans="1:46" x14ac:dyDescent="0.25">
      <c r="A2246" t="s">
        <v>1248</v>
      </c>
      <c r="B2246">
        <v>248261</v>
      </c>
      <c r="C2246">
        <v>352359</v>
      </c>
      <c r="D2246">
        <v>405</v>
      </c>
      <c r="E2246" t="s">
        <v>1266</v>
      </c>
      <c r="H2246">
        <v>1892</v>
      </c>
      <c r="K2246">
        <v>7</v>
      </c>
      <c r="L2246">
        <v>7</v>
      </c>
      <c r="M2246">
        <v>1</v>
      </c>
      <c r="N2246">
        <v>0</v>
      </c>
      <c r="O2246">
        <v>1</v>
      </c>
      <c r="P2246">
        <v>0</v>
      </c>
      <c r="Q2246">
        <v>0</v>
      </c>
      <c r="R2246">
        <v>0</v>
      </c>
      <c r="T2246" s="29">
        <v>568953</v>
      </c>
      <c r="U2246" s="29">
        <v>3982671</v>
      </c>
      <c r="V2246" t="s">
        <v>1262</v>
      </c>
      <c r="W2246" t="s">
        <v>1262</v>
      </c>
      <c r="X2246" s="29">
        <v>3982671</v>
      </c>
      <c r="AA2246" s="30">
        <v>45805.333333333336</v>
      </c>
      <c r="AB2246" s="30">
        <v>45805.666666666664</v>
      </c>
      <c r="AC2246" s="30">
        <v>45805.333333333336</v>
      </c>
      <c r="AD2246" s="30">
        <v>45805.666666666664</v>
      </c>
      <c r="AE2246" s="30">
        <v>45993.60833333333</v>
      </c>
      <c r="AF2246" s="30">
        <v>45994.566666666666</v>
      </c>
      <c r="AG2246" t="s">
        <v>1266</v>
      </c>
      <c r="AK2246" t="s">
        <v>1265</v>
      </c>
      <c r="AL2246" t="s">
        <v>2433</v>
      </c>
      <c r="AM2246" t="s">
        <v>1263</v>
      </c>
      <c r="AN2246" t="s">
        <v>1262</v>
      </c>
      <c r="AO2246">
        <v>0</v>
      </c>
      <c r="AQ2246" t="s">
        <v>1261</v>
      </c>
      <c r="AR2246" t="s">
        <v>1260</v>
      </c>
      <c r="AS2246" t="s">
        <v>1259</v>
      </c>
      <c r="AT2246" s="30">
        <v>46069.523611111108</v>
      </c>
    </row>
    <row r="2247" spans="1:46" x14ac:dyDescent="0.25">
      <c r="A2247" t="s">
        <v>1248</v>
      </c>
      <c r="B2247">
        <v>248262</v>
      </c>
      <c r="C2247">
        <v>352360</v>
      </c>
      <c r="D2247">
        <v>405</v>
      </c>
      <c r="E2247" t="s">
        <v>1266</v>
      </c>
      <c r="H2247">
        <v>1892</v>
      </c>
      <c r="K2247">
        <v>16</v>
      </c>
      <c r="L2247">
        <v>16</v>
      </c>
      <c r="M2247">
        <v>1</v>
      </c>
      <c r="N2247">
        <v>0</v>
      </c>
      <c r="O2247">
        <v>1</v>
      </c>
      <c r="P2247">
        <v>0</v>
      </c>
      <c r="Q2247">
        <v>0</v>
      </c>
      <c r="R2247">
        <v>0</v>
      </c>
      <c r="T2247" s="29">
        <v>568953</v>
      </c>
      <c r="U2247" s="29">
        <v>9103248</v>
      </c>
      <c r="V2247" t="s">
        <v>1262</v>
      </c>
      <c r="W2247" t="s">
        <v>1262</v>
      </c>
      <c r="X2247" s="29">
        <v>9103248</v>
      </c>
      <c r="AA2247" s="30">
        <v>45803.333333333336</v>
      </c>
      <c r="AB2247" s="30">
        <v>45804.708333333336</v>
      </c>
      <c r="AC2247" s="30">
        <v>45803.333333333336</v>
      </c>
      <c r="AD2247" s="30">
        <v>45804.708333333336</v>
      </c>
      <c r="AE2247" s="30">
        <v>45859.60833333333</v>
      </c>
      <c r="AF2247" s="30">
        <v>45861.60833333333</v>
      </c>
      <c r="AG2247" t="s">
        <v>1266</v>
      </c>
      <c r="AK2247" t="s">
        <v>1265</v>
      </c>
      <c r="AL2247" t="s">
        <v>2432</v>
      </c>
      <c r="AM2247" t="s">
        <v>1263</v>
      </c>
      <c r="AN2247" t="s">
        <v>1262</v>
      </c>
      <c r="AO2247">
        <v>0</v>
      </c>
      <c r="AQ2247" t="s">
        <v>1261</v>
      </c>
      <c r="AR2247" t="s">
        <v>1260</v>
      </c>
      <c r="AS2247" t="s">
        <v>1259</v>
      </c>
      <c r="AT2247" s="30">
        <v>46069.523611111108</v>
      </c>
    </row>
    <row r="2248" spans="1:46" x14ac:dyDescent="0.25">
      <c r="A2248" t="s">
        <v>1248</v>
      </c>
      <c r="B2248">
        <v>248263</v>
      </c>
      <c r="C2248">
        <v>352366</v>
      </c>
      <c r="D2248">
        <v>405</v>
      </c>
      <c r="E2248" t="s">
        <v>1266</v>
      </c>
      <c r="H2248">
        <v>1892</v>
      </c>
      <c r="K2248">
        <v>7</v>
      </c>
      <c r="L2248">
        <v>7</v>
      </c>
      <c r="M2248">
        <v>1</v>
      </c>
      <c r="N2248">
        <v>0</v>
      </c>
      <c r="O2248">
        <v>1</v>
      </c>
      <c r="P2248">
        <v>0</v>
      </c>
      <c r="Q2248">
        <v>0</v>
      </c>
      <c r="R2248">
        <v>0</v>
      </c>
      <c r="T2248" s="29">
        <v>568953</v>
      </c>
      <c r="U2248" s="29">
        <v>3982671</v>
      </c>
      <c r="V2248" t="s">
        <v>1262</v>
      </c>
      <c r="W2248" t="s">
        <v>1262</v>
      </c>
      <c r="X2248" s="29">
        <v>3982671</v>
      </c>
      <c r="AA2248" s="30">
        <v>45834.474999999999</v>
      </c>
      <c r="AB2248" s="30">
        <v>45835.433333333334</v>
      </c>
      <c r="AC2248" s="30">
        <v>45834.474999999999</v>
      </c>
      <c r="AD2248" s="30">
        <v>45835.433333333334</v>
      </c>
      <c r="AE2248" s="30">
        <v>45891.375</v>
      </c>
      <c r="AF2248" s="30">
        <v>45891.708333333336</v>
      </c>
      <c r="AG2248" t="s">
        <v>1266</v>
      </c>
      <c r="AK2248" t="s">
        <v>1265</v>
      </c>
      <c r="AL2248" t="s">
        <v>2431</v>
      </c>
      <c r="AM2248" t="s">
        <v>1263</v>
      </c>
      <c r="AN2248" t="s">
        <v>1262</v>
      </c>
      <c r="AO2248">
        <v>0</v>
      </c>
      <c r="AQ2248" t="s">
        <v>1261</v>
      </c>
      <c r="AR2248" t="s">
        <v>1260</v>
      </c>
      <c r="AS2248" t="s">
        <v>1259</v>
      </c>
      <c r="AT2248" s="30">
        <v>46069.523611111108</v>
      </c>
    </row>
    <row r="2249" spans="1:46" x14ac:dyDescent="0.25">
      <c r="A2249" t="s">
        <v>1248</v>
      </c>
      <c r="B2249">
        <v>248264</v>
      </c>
      <c r="C2249">
        <v>352193</v>
      </c>
      <c r="D2249">
        <v>405</v>
      </c>
      <c r="E2249" t="s">
        <v>1266</v>
      </c>
      <c r="H2249">
        <v>1812</v>
      </c>
      <c r="K2249" t="s">
        <v>2174</v>
      </c>
      <c r="L2249" t="s">
        <v>2174</v>
      </c>
      <c r="M2249" t="s">
        <v>2405</v>
      </c>
      <c r="N2249">
        <v>0</v>
      </c>
      <c r="O2249" t="s">
        <v>2405</v>
      </c>
      <c r="P2249">
        <v>0</v>
      </c>
      <c r="Q2249">
        <v>0</v>
      </c>
      <c r="R2249">
        <v>0</v>
      </c>
      <c r="T2249" s="29">
        <v>354100</v>
      </c>
      <c r="U2249" s="29">
        <v>7135115</v>
      </c>
      <c r="V2249" t="s">
        <v>1262</v>
      </c>
      <c r="W2249" t="s">
        <v>1262</v>
      </c>
      <c r="X2249" s="29">
        <v>7135115</v>
      </c>
      <c r="AA2249" s="30">
        <v>45896.666666666664</v>
      </c>
      <c r="AB2249" s="30">
        <v>45904.463888888888</v>
      </c>
      <c r="AC2249" s="30">
        <v>45896.666666666664</v>
      </c>
      <c r="AD2249" s="30">
        <v>45904.463888888888</v>
      </c>
      <c r="AE2249" s="30">
        <v>46385.702777777777</v>
      </c>
      <c r="AF2249" s="30">
        <v>46395.5</v>
      </c>
      <c r="AG2249" t="s">
        <v>1266</v>
      </c>
      <c r="AK2249" t="s">
        <v>1265</v>
      </c>
      <c r="AL2249" t="s">
        <v>2430</v>
      </c>
      <c r="AM2249" t="s">
        <v>1263</v>
      </c>
      <c r="AN2249" t="s">
        <v>1262</v>
      </c>
      <c r="AO2249">
        <v>0</v>
      </c>
      <c r="AQ2249" t="s">
        <v>1261</v>
      </c>
      <c r="AR2249" t="s">
        <v>1260</v>
      </c>
      <c r="AS2249" t="s">
        <v>1259</v>
      </c>
      <c r="AT2249" s="30">
        <v>46069.523611111108</v>
      </c>
    </row>
    <row r="2250" spans="1:46" x14ac:dyDescent="0.25">
      <c r="A2250" t="s">
        <v>1248</v>
      </c>
      <c r="B2250">
        <v>248265</v>
      </c>
      <c r="C2250">
        <v>352200</v>
      </c>
      <c r="D2250">
        <v>405</v>
      </c>
      <c r="E2250" t="s">
        <v>1266</v>
      </c>
      <c r="H2250">
        <v>1812</v>
      </c>
      <c r="K2250" t="s">
        <v>2174</v>
      </c>
      <c r="L2250" t="s">
        <v>2174</v>
      </c>
      <c r="M2250" t="s">
        <v>2405</v>
      </c>
      <c r="N2250">
        <v>0</v>
      </c>
      <c r="O2250" t="s">
        <v>2405</v>
      </c>
      <c r="P2250">
        <v>0</v>
      </c>
      <c r="Q2250">
        <v>0</v>
      </c>
      <c r="R2250">
        <v>0</v>
      </c>
      <c r="T2250" s="29">
        <v>354100</v>
      </c>
      <c r="U2250" s="29">
        <v>7135115</v>
      </c>
      <c r="V2250" t="s">
        <v>1262</v>
      </c>
      <c r="W2250" t="s">
        <v>1262</v>
      </c>
      <c r="X2250" s="29">
        <v>7135115</v>
      </c>
      <c r="AA2250" s="30">
        <v>45891.666666666664</v>
      </c>
      <c r="AB2250" s="30">
        <v>45901.463888888888</v>
      </c>
      <c r="AC2250" s="30">
        <v>45891.666666666664</v>
      </c>
      <c r="AD2250" s="30">
        <v>45901.463888888888</v>
      </c>
      <c r="AE2250" s="30">
        <v>46366.702777777777</v>
      </c>
      <c r="AF2250" s="30">
        <v>46374.5</v>
      </c>
      <c r="AG2250" t="s">
        <v>1266</v>
      </c>
      <c r="AK2250" t="s">
        <v>1265</v>
      </c>
      <c r="AL2250" t="s">
        <v>2429</v>
      </c>
      <c r="AM2250" t="s">
        <v>1263</v>
      </c>
      <c r="AN2250" t="s">
        <v>1262</v>
      </c>
      <c r="AO2250">
        <v>0</v>
      </c>
      <c r="AQ2250" t="s">
        <v>1261</v>
      </c>
      <c r="AR2250" t="s">
        <v>1260</v>
      </c>
      <c r="AS2250" t="s">
        <v>1259</v>
      </c>
      <c r="AT2250" s="30">
        <v>46069.523611111108</v>
      </c>
    </row>
    <row r="2251" spans="1:46" x14ac:dyDescent="0.25">
      <c r="A2251" t="s">
        <v>1248</v>
      </c>
      <c r="B2251">
        <v>248266</v>
      </c>
      <c r="C2251">
        <v>352207</v>
      </c>
      <c r="D2251">
        <v>405</v>
      </c>
      <c r="E2251" t="s">
        <v>1266</v>
      </c>
      <c r="H2251">
        <v>1812</v>
      </c>
      <c r="K2251" t="s">
        <v>2174</v>
      </c>
      <c r="L2251" t="s">
        <v>2174</v>
      </c>
      <c r="M2251" t="s">
        <v>2405</v>
      </c>
      <c r="N2251">
        <v>0</v>
      </c>
      <c r="O2251" t="s">
        <v>2405</v>
      </c>
      <c r="P2251">
        <v>0</v>
      </c>
      <c r="Q2251">
        <v>0</v>
      </c>
      <c r="R2251">
        <v>0</v>
      </c>
      <c r="T2251" s="29">
        <v>354100</v>
      </c>
      <c r="U2251" s="29">
        <v>7135115</v>
      </c>
      <c r="V2251" t="s">
        <v>1262</v>
      </c>
      <c r="W2251" t="s">
        <v>1262</v>
      </c>
      <c r="X2251" s="29">
        <v>7135115</v>
      </c>
      <c r="AA2251" s="30">
        <v>45888.666666666664</v>
      </c>
      <c r="AB2251" s="30">
        <v>45896.463888888888</v>
      </c>
      <c r="AC2251" s="30">
        <v>45888.666666666664</v>
      </c>
      <c r="AD2251" s="30">
        <v>45896.463888888888</v>
      </c>
      <c r="AE2251" s="30">
        <v>46349.702777777777</v>
      </c>
      <c r="AF2251" s="30">
        <v>46357.5</v>
      </c>
      <c r="AG2251" t="s">
        <v>1266</v>
      </c>
      <c r="AK2251" t="s">
        <v>1265</v>
      </c>
      <c r="AL2251" t="s">
        <v>2428</v>
      </c>
      <c r="AM2251" t="s">
        <v>1263</v>
      </c>
      <c r="AN2251" t="s">
        <v>1262</v>
      </c>
      <c r="AO2251">
        <v>0</v>
      </c>
      <c r="AQ2251" t="s">
        <v>1261</v>
      </c>
      <c r="AR2251" t="s">
        <v>1260</v>
      </c>
      <c r="AS2251" t="s">
        <v>1259</v>
      </c>
      <c r="AT2251" s="30">
        <v>46069.523611111108</v>
      </c>
    </row>
    <row r="2252" spans="1:46" x14ac:dyDescent="0.25">
      <c r="A2252" t="s">
        <v>1248</v>
      </c>
      <c r="B2252">
        <v>248267</v>
      </c>
      <c r="C2252">
        <v>352214</v>
      </c>
      <c r="D2252">
        <v>405</v>
      </c>
      <c r="E2252" t="s">
        <v>1266</v>
      </c>
      <c r="H2252">
        <v>1812</v>
      </c>
      <c r="K2252" t="s">
        <v>2174</v>
      </c>
      <c r="L2252" t="s">
        <v>2174</v>
      </c>
      <c r="M2252" t="s">
        <v>2427</v>
      </c>
      <c r="N2252">
        <v>0</v>
      </c>
      <c r="O2252" t="s">
        <v>2427</v>
      </c>
      <c r="P2252">
        <v>0</v>
      </c>
      <c r="Q2252">
        <v>0</v>
      </c>
      <c r="R2252">
        <v>0</v>
      </c>
      <c r="T2252" s="29">
        <v>354100</v>
      </c>
      <c r="U2252" s="29">
        <v>7135115</v>
      </c>
      <c r="V2252" t="s">
        <v>1262</v>
      </c>
      <c r="W2252" t="s">
        <v>1262</v>
      </c>
      <c r="X2252" s="29">
        <v>7135115</v>
      </c>
      <c r="AA2252" s="30">
        <v>45883.666666666664</v>
      </c>
      <c r="AB2252" s="30">
        <v>45888.625</v>
      </c>
      <c r="AC2252" s="30">
        <v>45883.666666666664</v>
      </c>
      <c r="AD2252" s="30">
        <v>45888.625</v>
      </c>
      <c r="AE2252" s="30">
        <v>46336.583333333336</v>
      </c>
      <c r="AF2252" s="30">
        <v>46339.5</v>
      </c>
      <c r="AG2252" t="s">
        <v>1266</v>
      </c>
      <c r="AK2252" t="s">
        <v>1265</v>
      </c>
      <c r="AL2252" t="s">
        <v>2426</v>
      </c>
      <c r="AM2252" t="s">
        <v>1263</v>
      </c>
      <c r="AN2252" t="s">
        <v>1262</v>
      </c>
      <c r="AO2252">
        <v>0</v>
      </c>
      <c r="AQ2252" t="s">
        <v>1261</v>
      </c>
      <c r="AR2252" t="s">
        <v>1260</v>
      </c>
      <c r="AS2252" t="s">
        <v>1259</v>
      </c>
      <c r="AT2252" s="30">
        <v>46069.523611111108</v>
      </c>
    </row>
    <row r="2253" spans="1:46" x14ac:dyDescent="0.25">
      <c r="A2253" t="s">
        <v>1248</v>
      </c>
      <c r="B2253">
        <v>248268</v>
      </c>
      <c r="C2253">
        <v>352221</v>
      </c>
      <c r="D2253">
        <v>405</v>
      </c>
      <c r="E2253" t="s">
        <v>1266</v>
      </c>
      <c r="H2253">
        <v>1812</v>
      </c>
      <c r="K2253" t="s">
        <v>2174</v>
      </c>
      <c r="L2253" t="s">
        <v>2174</v>
      </c>
      <c r="M2253" t="s">
        <v>2405</v>
      </c>
      <c r="N2253">
        <v>0</v>
      </c>
      <c r="O2253" t="s">
        <v>2405</v>
      </c>
      <c r="P2253">
        <v>0</v>
      </c>
      <c r="Q2253">
        <v>0</v>
      </c>
      <c r="R2253">
        <v>0</v>
      </c>
      <c r="T2253" s="29">
        <v>354100</v>
      </c>
      <c r="U2253" s="29">
        <v>7135115</v>
      </c>
      <c r="V2253" t="s">
        <v>1262</v>
      </c>
      <c r="W2253" t="s">
        <v>1262</v>
      </c>
      <c r="X2253" s="29">
        <v>7135115</v>
      </c>
      <c r="AA2253" s="30">
        <v>45881.416666666664</v>
      </c>
      <c r="AB2253" s="30">
        <v>45888.630555555559</v>
      </c>
      <c r="AC2253" s="30">
        <v>45881.416666666664</v>
      </c>
      <c r="AD2253" s="30">
        <v>45888.630555555559</v>
      </c>
      <c r="AE2253" s="30">
        <v>46315.702777777777</v>
      </c>
      <c r="AF2253" s="30">
        <v>46323.5</v>
      </c>
      <c r="AG2253" t="s">
        <v>1266</v>
      </c>
      <c r="AK2253" t="s">
        <v>1265</v>
      </c>
      <c r="AL2253" t="s">
        <v>2425</v>
      </c>
      <c r="AM2253" t="s">
        <v>1263</v>
      </c>
      <c r="AN2253" t="s">
        <v>1262</v>
      </c>
      <c r="AO2253">
        <v>0</v>
      </c>
      <c r="AQ2253" t="s">
        <v>1261</v>
      </c>
      <c r="AR2253" t="s">
        <v>1260</v>
      </c>
      <c r="AS2253" t="s">
        <v>1259</v>
      </c>
      <c r="AT2253" s="30">
        <v>46069.523611111108</v>
      </c>
    </row>
    <row r="2254" spans="1:46" x14ac:dyDescent="0.25">
      <c r="A2254" t="s">
        <v>1248</v>
      </c>
      <c r="B2254">
        <v>248269</v>
      </c>
      <c r="C2254">
        <v>352228</v>
      </c>
      <c r="D2254">
        <v>405</v>
      </c>
      <c r="E2254" t="s">
        <v>1266</v>
      </c>
      <c r="H2254">
        <v>1812</v>
      </c>
      <c r="K2254" t="s">
        <v>2174</v>
      </c>
      <c r="L2254" t="s">
        <v>2174</v>
      </c>
      <c r="M2254" t="s">
        <v>2405</v>
      </c>
      <c r="N2254">
        <v>0</v>
      </c>
      <c r="O2254" t="s">
        <v>2405</v>
      </c>
      <c r="P2254">
        <v>0</v>
      </c>
      <c r="Q2254">
        <v>0</v>
      </c>
      <c r="R2254">
        <v>0</v>
      </c>
      <c r="T2254" s="29">
        <v>354100</v>
      </c>
      <c r="U2254" s="29">
        <v>7135115</v>
      </c>
      <c r="V2254" t="s">
        <v>1262</v>
      </c>
      <c r="W2254" t="s">
        <v>1262</v>
      </c>
      <c r="X2254" s="29">
        <v>7135115</v>
      </c>
      <c r="AA2254" s="30">
        <v>45877.458333333336</v>
      </c>
      <c r="AB2254" s="30">
        <v>45884.672222222223</v>
      </c>
      <c r="AC2254" s="30">
        <v>45877.458333333336</v>
      </c>
      <c r="AD2254" s="30">
        <v>45884.672222222223</v>
      </c>
      <c r="AE2254" s="30">
        <v>46297.702777777777</v>
      </c>
      <c r="AF2254" s="30">
        <v>46307.5</v>
      </c>
      <c r="AG2254" t="s">
        <v>1266</v>
      </c>
      <c r="AK2254" t="s">
        <v>1265</v>
      </c>
      <c r="AL2254" t="s">
        <v>2424</v>
      </c>
      <c r="AM2254" t="s">
        <v>1263</v>
      </c>
      <c r="AN2254" t="s">
        <v>1262</v>
      </c>
      <c r="AO2254">
        <v>0</v>
      </c>
      <c r="AQ2254" t="s">
        <v>1261</v>
      </c>
      <c r="AR2254" t="s">
        <v>1260</v>
      </c>
      <c r="AS2254" t="s">
        <v>1259</v>
      </c>
      <c r="AT2254" s="30">
        <v>46069.523611111108</v>
      </c>
    </row>
    <row r="2255" spans="1:46" x14ac:dyDescent="0.25">
      <c r="A2255" t="s">
        <v>1248</v>
      </c>
      <c r="B2255">
        <v>248270</v>
      </c>
      <c r="C2255">
        <v>352235</v>
      </c>
      <c r="D2255">
        <v>405</v>
      </c>
      <c r="E2255" t="s">
        <v>1266</v>
      </c>
      <c r="H2255">
        <v>1812</v>
      </c>
      <c r="K2255" t="s">
        <v>2174</v>
      </c>
      <c r="L2255" t="s">
        <v>2174</v>
      </c>
      <c r="M2255" t="s">
        <v>2405</v>
      </c>
      <c r="N2255">
        <v>0</v>
      </c>
      <c r="O2255" t="s">
        <v>2405</v>
      </c>
      <c r="P2255">
        <v>0</v>
      </c>
      <c r="Q2255">
        <v>0</v>
      </c>
      <c r="R2255">
        <v>0</v>
      </c>
      <c r="T2255" s="29">
        <v>354100</v>
      </c>
      <c r="U2255" s="29">
        <v>7135115</v>
      </c>
      <c r="V2255" t="s">
        <v>1262</v>
      </c>
      <c r="W2255" t="s">
        <v>1262</v>
      </c>
      <c r="X2255" s="29">
        <v>7135115</v>
      </c>
      <c r="AA2255" s="30">
        <v>45875.541666666664</v>
      </c>
      <c r="AB2255" s="30">
        <v>45883.338888888888</v>
      </c>
      <c r="AC2255" s="30">
        <v>45875.541666666664</v>
      </c>
      <c r="AD2255" s="30">
        <v>45883.338888888888</v>
      </c>
      <c r="AE2255" s="30">
        <v>46281.702777777777</v>
      </c>
      <c r="AF2255" s="30">
        <v>46289.5</v>
      </c>
      <c r="AG2255" t="s">
        <v>1266</v>
      </c>
      <c r="AK2255" t="s">
        <v>1265</v>
      </c>
      <c r="AL2255" t="s">
        <v>2423</v>
      </c>
      <c r="AM2255" t="s">
        <v>1263</v>
      </c>
      <c r="AN2255" t="s">
        <v>1262</v>
      </c>
      <c r="AO2255">
        <v>0</v>
      </c>
      <c r="AQ2255" t="s">
        <v>1261</v>
      </c>
      <c r="AR2255" t="s">
        <v>1260</v>
      </c>
      <c r="AS2255" t="s">
        <v>1259</v>
      </c>
      <c r="AT2255" s="30">
        <v>46069.523611111108</v>
      </c>
    </row>
    <row r="2256" spans="1:46" x14ac:dyDescent="0.25">
      <c r="A2256" t="s">
        <v>1248</v>
      </c>
      <c r="B2256">
        <v>248271</v>
      </c>
      <c r="C2256">
        <v>352242</v>
      </c>
      <c r="D2256">
        <v>405</v>
      </c>
      <c r="E2256" t="s">
        <v>1266</v>
      </c>
      <c r="H2256">
        <v>1812</v>
      </c>
      <c r="K2256" t="s">
        <v>2174</v>
      </c>
      <c r="L2256" t="s">
        <v>2174</v>
      </c>
      <c r="M2256" t="s">
        <v>2405</v>
      </c>
      <c r="N2256">
        <v>0</v>
      </c>
      <c r="O2256" t="s">
        <v>2405</v>
      </c>
      <c r="P2256">
        <v>0</v>
      </c>
      <c r="Q2256">
        <v>0</v>
      </c>
      <c r="R2256">
        <v>0</v>
      </c>
      <c r="T2256" s="29">
        <v>345000</v>
      </c>
      <c r="U2256" s="29">
        <v>7089412</v>
      </c>
      <c r="V2256" t="s">
        <v>1262</v>
      </c>
      <c r="W2256" t="s">
        <v>1262</v>
      </c>
      <c r="X2256" s="29">
        <v>7089412</v>
      </c>
      <c r="AA2256" s="30">
        <v>45873.583333333336</v>
      </c>
      <c r="AB2256" s="30">
        <v>45881.380555555559</v>
      </c>
      <c r="AC2256" s="30">
        <v>45873.583333333336</v>
      </c>
      <c r="AD2256" s="30">
        <v>45881.380555555559</v>
      </c>
      <c r="AE2256" s="30">
        <v>46260.65</v>
      </c>
      <c r="AF2256" s="30">
        <v>46268.447222222225</v>
      </c>
      <c r="AG2256" t="s">
        <v>1266</v>
      </c>
      <c r="AK2256" t="s">
        <v>1265</v>
      </c>
      <c r="AL2256" t="s">
        <v>2422</v>
      </c>
      <c r="AM2256" t="s">
        <v>1263</v>
      </c>
      <c r="AN2256" t="s">
        <v>1262</v>
      </c>
      <c r="AO2256">
        <v>0</v>
      </c>
      <c r="AQ2256" t="s">
        <v>1261</v>
      </c>
      <c r="AR2256" t="s">
        <v>1260</v>
      </c>
      <c r="AS2256" t="s">
        <v>1259</v>
      </c>
      <c r="AT2256" s="30">
        <v>46069.523611111108</v>
      </c>
    </row>
    <row r="2257" spans="1:46" x14ac:dyDescent="0.25">
      <c r="A2257" t="s">
        <v>1248</v>
      </c>
      <c r="B2257">
        <v>248272</v>
      </c>
      <c r="C2257">
        <v>352249</v>
      </c>
      <c r="D2257">
        <v>405</v>
      </c>
      <c r="E2257" t="s">
        <v>1266</v>
      </c>
      <c r="H2257">
        <v>1812</v>
      </c>
      <c r="K2257" t="s">
        <v>2174</v>
      </c>
      <c r="L2257" t="s">
        <v>2174</v>
      </c>
      <c r="M2257" t="s">
        <v>2405</v>
      </c>
      <c r="N2257">
        <v>0</v>
      </c>
      <c r="O2257" t="s">
        <v>2405</v>
      </c>
      <c r="P2257">
        <v>0</v>
      </c>
      <c r="Q2257">
        <v>0</v>
      </c>
      <c r="R2257">
        <v>0</v>
      </c>
      <c r="T2257" s="29">
        <v>345000</v>
      </c>
      <c r="U2257" s="29">
        <v>7027090</v>
      </c>
      <c r="V2257" t="s">
        <v>1262</v>
      </c>
      <c r="W2257" t="s">
        <v>1262</v>
      </c>
      <c r="X2257" s="29">
        <v>7027090</v>
      </c>
      <c r="AA2257" s="30">
        <v>45869.625</v>
      </c>
      <c r="AB2257" s="30">
        <v>45877.422222222223</v>
      </c>
      <c r="AC2257" s="30">
        <v>45869.625</v>
      </c>
      <c r="AD2257" s="30">
        <v>45877.422222222223</v>
      </c>
      <c r="AE2257" s="30">
        <v>46244.65</v>
      </c>
      <c r="AF2257" s="30">
        <v>46252.447222222225</v>
      </c>
      <c r="AG2257" t="s">
        <v>1266</v>
      </c>
      <c r="AK2257" t="s">
        <v>1265</v>
      </c>
      <c r="AL2257" t="s">
        <v>2421</v>
      </c>
      <c r="AM2257" t="s">
        <v>1263</v>
      </c>
      <c r="AN2257" t="s">
        <v>1262</v>
      </c>
      <c r="AO2257">
        <v>0</v>
      </c>
      <c r="AQ2257" t="s">
        <v>1261</v>
      </c>
      <c r="AR2257" t="s">
        <v>1260</v>
      </c>
      <c r="AS2257" t="s">
        <v>1259</v>
      </c>
      <c r="AT2257" s="30">
        <v>46069.523611111108</v>
      </c>
    </row>
    <row r="2258" spans="1:46" x14ac:dyDescent="0.25">
      <c r="A2258" t="s">
        <v>1248</v>
      </c>
      <c r="B2258">
        <v>248273</v>
      </c>
      <c r="C2258">
        <v>352256</v>
      </c>
      <c r="D2258">
        <v>405</v>
      </c>
      <c r="E2258" t="s">
        <v>1266</v>
      </c>
      <c r="H2258">
        <v>1812</v>
      </c>
      <c r="K2258" t="s">
        <v>2174</v>
      </c>
      <c r="L2258" t="s">
        <v>2174</v>
      </c>
      <c r="M2258" t="s">
        <v>2405</v>
      </c>
      <c r="N2258">
        <v>0</v>
      </c>
      <c r="O2258" t="s">
        <v>2405</v>
      </c>
      <c r="P2258">
        <v>0</v>
      </c>
      <c r="Q2258">
        <v>0</v>
      </c>
      <c r="R2258">
        <v>0</v>
      </c>
      <c r="T2258" s="29">
        <v>345000</v>
      </c>
      <c r="U2258" s="29">
        <v>6964768</v>
      </c>
      <c r="V2258" t="s">
        <v>1262</v>
      </c>
      <c r="W2258" t="s">
        <v>1262</v>
      </c>
      <c r="X2258" s="29">
        <v>6964768</v>
      </c>
      <c r="AA2258" s="30">
        <v>45867.666666666664</v>
      </c>
      <c r="AB2258" s="30">
        <v>45875.463888888888</v>
      </c>
      <c r="AC2258" s="30">
        <v>45867.666666666664</v>
      </c>
      <c r="AD2258" s="30">
        <v>45875.463888888888</v>
      </c>
      <c r="AE2258" s="30">
        <v>46226.65</v>
      </c>
      <c r="AF2258" s="30">
        <v>46234.447222222225</v>
      </c>
      <c r="AG2258" t="s">
        <v>1266</v>
      </c>
      <c r="AK2258" t="s">
        <v>1265</v>
      </c>
      <c r="AL2258" t="s">
        <v>2420</v>
      </c>
      <c r="AM2258" t="s">
        <v>1263</v>
      </c>
      <c r="AN2258" t="s">
        <v>1262</v>
      </c>
      <c r="AO2258">
        <v>0</v>
      </c>
      <c r="AQ2258" t="s">
        <v>1261</v>
      </c>
      <c r="AR2258" t="s">
        <v>1260</v>
      </c>
      <c r="AS2258" t="s">
        <v>1259</v>
      </c>
      <c r="AT2258" s="30">
        <v>46069.523611111108</v>
      </c>
    </row>
    <row r="2259" spans="1:46" x14ac:dyDescent="0.25">
      <c r="A2259" t="s">
        <v>1248</v>
      </c>
      <c r="B2259">
        <v>248274</v>
      </c>
      <c r="C2259">
        <v>352263</v>
      </c>
      <c r="D2259">
        <v>405</v>
      </c>
      <c r="E2259" t="s">
        <v>1266</v>
      </c>
      <c r="H2259">
        <v>1812</v>
      </c>
      <c r="K2259" t="s">
        <v>2174</v>
      </c>
      <c r="L2259" t="s">
        <v>2174</v>
      </c>
      <c r="M2259" t="s">
        <v>2405</v>
      </c>
      <c r="N2259">
        <v>0</v>
      </c>
      <c r="O2259" t="s">
        <v>2405</v>
      </c>
      <c r="P2259">
        <v>0</v>
      </c>
      <c r="Q2259">
        <v>0</v>
      </c>
      <c r="R2259">
        <v>0</v>
      </c>
      <c r="T2259" s="29">
        <v>345000</v>
      </c>
      <c r="U2259" s="29">
        <v>6951750</v>
      </c>
      <c r="V2259" t="s">
        <v>1262</v>
      </c>
      <c r="W2259" t="s">
        <v>1262</v>
      </c>
      <c r="X2259" s="29">
        <v>6951750</v>
      </c>
      <c r="AA2259" s="30">
        <v>45856.558333333334</v>
      </c>
      <c r="AB2259" s="30">
        <v>45866.355555555558</v>
      </c>
      <c r="AC2259" s="30">
        <v>45856.558333333334</v>
      </c>
      <c r="AD2259" s="30">
        <v>45866.355555555558</v>
      </c>
      <c r="AE2259" s="30">
        <v>46210.65</v>
      </c>
      <c r="AF2259" s="30">
        <v>46218.447222222225</v>
      </c>
      <c r="AG2259" t="s">
        <v>1266</v>
      </c>
      <c r="AK2259" t="s">
        <v>1265</v>
      </c>
      <c r="AL2259" t="s">
        <v>2419</v>
      </c>
      <c r="AM2259" t="s">
        <v>1263</v>
      </c>
      <c r="AN2259" t="s">
        <v>1262</v>
      </c>
      <c r="AO2259">
        <v>0</v>
      </c>
      <c r="AQ2259" t="s">
        <v>1261</v>
      </c>
      <c r="AR2259" t="s">
        <v>1260</v>
      </c>
      <c r="AS2259" t="s">
        <v>1259</v>
      </c>
      <c r="AT2259" s="30">
        <v>46069.523611111108</v>
      </c>
    </row>
    <row r="2260" spans="1:46" x14ac:dyDescent="0.25">
      <c r="A2260" t="s">
        <v>1248</v>
      </c>
      <c r="B2260">
        <v>248275</v>
      </c>
      <c r="C2260">
        <v>352270</v>
      </c>
      <c r="D2260">
        <v>405</v>
      </c>
      <c r="E2260" t="s">
        <v>1266</v>
      </c>
      <c r="H2260">
        <v>1812</v>
      </c>
      <c r="K2260" t="s">
        <v>2174</v>
      </c>
      <c r="L2260" t="s">
        <v>2174</v>
      </c>
      <c r="M2260" t="s">
        <v>2405</v>
      </c>
      <c r="N2260">
        <v>0</v>
      </c>
      <c r="O2260" t="s">
        <v>2405</v>
      </c>
      <c r="P2260">
        <v>0</v>
      </c>
      <c r="Q2260">
        <v>0</v>
      </c>
      <c r="R2260">
        <v>0</v>
      </c>
      <c r="T2260" s="29">
        <v>345000</v>
      </c>
      <c r="U2260" s="29">
        <v>6951750</v>
      </c>
      <c r="V2260" t="s">
        <v>1262</v>
      </c>
      <c r="W2260" t="s">
        <v>1262</v>
      </c>
      <c r="X2260" s="29">
        <v>6951750</v>
      </c>
      <c r="AA2260" s="30">
        <v>45854.6</v>
      </c>
      <c r="AB2260" s="30">
        <v>45862.397222222222</v>
      </c>
      <c r="AC2260" s="30">
        <v>45854.6</v>
      </c>
      <c r="AD2260" s="30">
        <v>45862.397222222222</v>
      </c>
      <c r="AE2260" s="30">
        <v>46192.65</v>
      </c>
      <c r="AF2260" s="30">
        <v>46202.447222222225</v>
      </c>
      <c r="AG2260" t="s">
        <v>1266</v>
      </c>
      <c r="AK2260" t="s">
        <v>1265</v>
      </c>
      <c r="AL2260" t="s">
        <v>2418</v>
      </c>
      <c r="AM2260" t="s">
        <v>1263</v>
      </c>
      <c r="AN2260" t="s">
        <v>1262</v>
      </c>
      <c r="AO2260">
        <v>0</v>
      </c>
      <c r="AQ2260" t="s">
        <v>1261</v>
      </c>
      <c r="AR2260" t="s">
        <v>1260</v>
      </c>
      <c r="AS2260" t="s">
        <v>1259</v>
      </c>
      <c r="AT2260" s="30">
        <v>46069.523611111108</v>
      </c>
    </row>
    <row r="2261" spans="1:46" x14ac:dyDescent="0.25">
      <c r="A2261" t="s">
        <v>1248</v>
      </c>
      <c r="B2261">
        <v>248276</v>
      </c>
      <c r="C2261">
        <v>352277</v>
      </c>
      <c r="D2261">
        <v>405</v>
      </c>
      <c r="E2261" t="s">
        <v>1266</v>
      </c>
      <c r="H2261">
        <v>1812</v>
      </c>
      <c r="K2261" t="s">
        <v>2174</v>
      </c>
      <c r="L2261" t="s">
        <v>2174</v>
      </c>
      <c r="M2261" t="s">
        <v>2405</v>
      </c>
      <c r="N2261">
        <v>0</v>
      </c>
      <c r="O2261" t="s">
        <v>2405</v>
      </c>
      <c r="P2261">
        <v>0</v>
      </c>
      <c r="Q2261">
        <v>0</v>
      </c>
      <c r="R2261">
        <v>0</v>
      </c>
      <c r="T2261" s="29">
        <v>345000</v>
      </c>
      <c r="U2261" s="29">
        <v>6951750</v>
      </c>
      <c r="V2261" t="s">
        <v>1262</v>
      </c>
      <c r="W2261" t="s">
        <v>1262</v>
      </c>
      <c r="X2261" s="29">
        <v>6951750</v>
      </c>
      <c r="AA2261" s="30">
        <v>45852.64166666667</v>
      </c>
      <c r="AB2261" s="30">
        <v>45860.438888888886</v>
      </c>
      <c r="AC2261" s="30">
        <v>45852.64166666667</v>
      </c>
      <c r="AD2261" s="30">
        <v>45860.438888888886</v>
      </c>
      <c r="AE2261" s="30">
        <v>46176.65</v>
      </c>
      <c r="AF2261" s="30">
        <v>46184.447222222225</v>
      </c>
      <c r="AG2261" t="s">
        <v>1266</v>
      </c>
      <c r="AK2261" t="s">
        <v>1265</v>
      </c>
      <c r="AL2261" t="s">
        <v>2417</v>
      </c>
      <c r="AM2261" t="s">
        <v>1263</v>
      </c>
      <c r="AN2261" t="s">
        <v>1262</v>
      </c>
      <c r="AO2261">
        <v>0</v>
      </c>
      <c r="AQ2261" t="s">
        <v>1261</v>
      </c>
      <c r="AR2261" t="s">
        <v>1260</v>
      </c>
      <c r="AS2261" t="s">
        <v>1259</v>
      </c>
      <c r="AT2261" s="30">
        <v>46069.523611111108</v>
      </c>
    </row>
    <row r="2262" spans="1:46" x14ac:dyDescent="0.25">
      <c r="A2262" t="s">
        <v>1248</v>
      </c>
      <c r="B2262">
        <v>248277</v>
      </c>
      <c r="C2262">
        <v>352284</v>
      </c>
      <c r="D2262">
        <v>405</v>
      </c>
      <c r="E2262" t="s">
        <v>1266</v>
      </c>
      <c r="H2262">
        <v>1812</v>
      </c>
      <c r="K2262" t="s">
        <v>2174</v>
      </c>
      <c r="L2262" t="s">
        <v>2174</v>
      </c>
      <c r="M2262" t="s">
        <v>2405</v>
      </c>
      <c r="N2262">
        <v>0</v>
      </c>
      <c r="O2262" t="s">
        <v>2405</v>
      </c>
      <c r="P2262">
        <v>0</v>
      </c>
      <c r="Q2262">
        <v>0</v>
      </c>
      <c r="R2262">
        <v>0</v>
      </c>
      <c r="T2262" s="29">
        <v>345000</v>
      </c>
      <c r="U2262" s="29">
        <v>6951750</v>
      </c>
      <c r="V2262" t="s">
        <v>1262</v>
      </c>
      <c r="W2262" t="s">
        <v>1262</v>
      </c>
      <c r="X2262" s="29">
        <v>6951750</v>
      </c>
      <c r="AA2262" s="30">
        <v>45848.683333333334</v>
      </c>
      <c r="AB2262" s="30">
        <v>45856.480555555558</v>
      </c>
      <c r="AC2262" s="30">
        <v>45848.683333333334</v>
      </c>
      <c r="AD2262" s="30">
        <v>45856.480555555558</v>
      </c>
      <c r="AE2262" s="30">
        <v>46157.65</v>
      </c>
      <c r="AF2262" s="30">
        <v>46167.447222222225</v>
      </c>
      <c r="AG2262" t="s">
        <v>1266</v>
      </c>
      <c r="AK2262" t="s">
        <v>1265</v>
      </c>
      <c r="AL2262" t="s">
        <v>2416</v>
      </c>
      <c r="AM2262" t="s">
        <v>1263</v>
      </c>
      <c r="AN2262" t="s">
        <v>1262</v>
      </c>
      <c r="AO2262">
        <v>0</v>
      </c>
      <c r="AQ2262" t="s">
        <v>1261</v>
      </c>
      <c r="AR2262" t="s">
        <v>1260</v>
      </c>
      <c r="AS2262" t="s">
        <v>1259</v>
      </c>
      <c r="AT2262" s="30">
        <v>46069.523611111108</v>
      </c>
    </row>
    <row r="2263" spans="1:46" x14ac:dyDescent="0.25">
      <c r="A2263" t="s">
        <v>1248</v>
      </c>
      <c r="B2263">
        <v>248278</v>
      </c>
      <c r="C2263">
        <v>352291</v>
      </c>
      <c r="D2263">
        <v>405</v>
      </c>
      <c r="E2263" t="s">
        <v>1266</v>
      </c>
      <c r="H2263">
        <v>1812</v>
      </c>
      <c r="K2263" t="s">
        <v>2174</v>
      </c>
      <c r="L2263" t="s">
        <v>2174</v>
      </c>
      <c r="M2263" t="s">
        <v>2405</v>
      </c>
      <c r="N2263">
        <v>0</v>
      </c>
      <c r="O2263" t="s">
        <v>2405</v>
      </c>
      <c r="P2263">
        <v>0</v>
      </c>
      <c r="Q2263">
        <v>0</v>
      </c>
      <c r="R2263">
        <v>0</v>
      </c>
      <c r="T2263" s="29">
        <v>345000</v>
      </c>
      <c r="U2263" s="29">
        <v>6951750</v>
      </c>
      <c r="V2263" t="s">
        <v>1262</v>
      </c>
      <c r="W2263" t="s">
        <v>1262</v>
      </c>
      <c r="X2263" s="29">
        <v>6951750</v>
      </c>
      <c r="AA2263" s="30">
        <v>45847.35</v>
      </c>
      <c r="AB2263" s="30">
        <v>45854.563888888886</v>
      </c>
      <c r="AC2263" s="30">
        <v>45847.35</v>
      </c>
      <c r="AD2263" s="30">
        <v>45854.563888888886</v>
      </c>
      <c r="AE2263" s="30">
        <v>46140.65</v>
      </c>
      <c r="AF2263" s="30">
        <v>46149.447222222225</v>
      </c>
      <c r="AG2263" t="s">
        <v>1266</v>
      </c>
      <c r="AK2263" t="s">
        <v>1265</v>
      </c>
      <c r="AL2263" t="s">
        <v>2415</v>
      </c>
      <c r="AM2263" t="s">
        <v>1263</v>
      </c>
      <c r="AN2263" t="s">
        <v>1262</v>
      </c>
      <c r="AO2263">
        <v>0</v>
      </c>
      <c r="AQ2263" t="s">
        <v>1261</v>
      </c>
      <c r="AR2263" t="s">
        <v>1260</v>
      </c>
      <c r="AS2263" t="s">
        <v>1259</v>
      </c>
      <c r="AT2263" s="30">
        <v>46069.523611111108</v>
      </c>
    </row>
    <row r="2264" spans="1:46" x14ac:dyDescent="0.25">
      <c r="A2264" t="s">
        <v>1248</v>
      </c>
      <c r="B2264">
        <v>248279</v>
      </c>
      <c r="C2264">
        <v>352298</v>
      </c>
      <c r="D2264">
        <v>405</v>
      </c>
      <c r="E2264" t="s">
        <v>1266</v>
      </c>
      <c r="H2264">
        <v>1812</v>
      </c>
      <c r="K2264" t="s">
        <v>2174</v>
      </c>
      <c r="L2264" t="s">
        <v>2174</v>
      </c>
      <c r="M2264" t="s">
        <v>2405</v>
      </c>
      <c r="N2264">
        <v>0</v>
      </c>
      <c r="O2264" t="s">
        <v>2405</v>
      </c>
      <c r="P2264">
        <v>0</v>
      </c>
      <c r="Q2264">
        <v>0</v>
      </c>
      <c r="R2264">
        <v>0</v>
      </c>
      <c r="T2264" s="29">
        <v>345000</v>
      </c>
      <c r="U2264" s="29">
        <v>6951750</v>
      </c>
      <c r="V2264" t="s">
        <v>1262</v>
      </c>
      <c r="W2264" t="s">
        <v>1262</v>
      </c>
      <c r="X2264" s="29">
        <v>6951750</v>
      </c>
      <c r="AA2264" s="30">
        <v>45845.39166666667</v>
      </c>
      <c r="AB2264" s="30">
        <v>45852.605555555558</v>
      </c>
      <c r="AC2264" s="30">
        <v>45845.39166666667</v>
      </c>
      <c r="AD2264" s="30">
        <v>45852.605555555558</v>
      </c>
      <c r="AE2264" s="30">
        <v>46122.65</v>
      </c>
      <c r="AF2264" s="30">
        <v>46132.447222222225</v>
      </c>
      <c r="AG2264" t="s">
        <v>1266</v>
      </c>
      <c r="AK2264" t="s">
        <v>1265</v>
      </c>
      <c r="AL2264" t="s">
        <v>2414</v>
      </c>
      <c r="AM2264" t="s">
        <v>1263</v>
      </c>
      <c r="AN2264" t="s">
        <v>1262</v>
      </c>
      <c r="AO2264">
        <v>0</v>
      </c>
      <c r="AQ2264" t="s">
        <v>1261</v>
      </c>
      <c r="AR2264" t="s">
        <v>1260</v>
      </c>
      <c r="AS2264" t="s">
        <v>1259</v>
      </c>
      <c r="AT2264" s="30">
        <v>46069.523611111108</v>
      </c>
    </row>
    <row r="2265" spans="1:46" x14ac:dyDescent="0.25">
      <c r="A2265" t="s">
        <v>1248</v>
      </c>
      <c r="B2265">
        <v>248280</v>
      </c>
      <c r="C2265">
        <v>352305</v>
      </c>
      <c r="D2265">
        <v>405</v>
      </c>
      <c r="E2265" t="s">
        <v>1266</v>
      </c>
      <c r="H2265">
        <v>1812</v>
      </c>
      <c r="K2265" t="s">
        <v>2174</v>
      </c>
      <c r="L2265" t="s">
        <v>2174</v>
      </c>
      <c r="M2265" t="s">
        <v>2405</v>
      </c>
      <c r="N2265">
        <v>0</v>
      </c>
      <c r="O2265" t="s">
        <v>2405</v>
      </c>
      <c r="P2265">
        <v>0</v>
      </c>
      <c r="Q2265">
        <v>0</v>
      </c>
      <c r="R2265">
        <v>0</v>
      </c>
      <c r="T2265" s="29">
        <v>345000</v>
      </c>
      <c r="U2265" s="29">
        <v>6951750</v>
      </c>
      <c r="V2265" t="s">
        <v>1262</v>
      </c>
      <c r="W2265" t="s">
        <v>1262</v>
      </c>
      <c r="X2265" s="29">
        <v>6951750</v>
      </c>
      <c r="AA2265" s="30">
        <v>45828.666666666664</v>
      </c>
      <c r="AB2265" s="30">
        <v>45838.463888888888</v>
      </c>
      <c r="AC2265" s="30">
        <v>45828.666666666664</v>
      </c>
      <c r="AD2265" s="30">
        <v>45838.463888888888</v>
      </c>
      <c r="AE2265" s="30">
        <v>46105.65</v>
      </c>
      <c r="AF2265" s="30">
        <v>46113.447222222225</v>
      </c>
      <c r="AG2265" t="s">
        <v>1266</v>
      </c>
      <c r="AK2265" t="s">
        <v>1265</v>
      </c>
      <c r="AL2265" t="s">
        <v>2413</v>
      </c>
      <c r="AM2265" t="s">
        <v>1263</v>
      </c>
      <c r="AN2265" t="s">
        <v>1262</v>
      </c>
      <c r="AO2265">
        <v>0</v>
      </c>
      <c r="AQ2265" t="s">
        <v>1261</v>
      </c>
      <c r="AR2265" t="s">
        <v>1260</v>
      </c>
      <c r="AS2265" t="s">
        <v>1259</v>
      </c>
      <c r="AT2265" s="30">
        <v>46069.523611111108</v>
      </c>
    </row>
    <row r="2266" spans="1:46" x14ac:dyDescent="0.25">
      <c r="A2266" t="s">
        <v>1248</v>
      </c>
      <c r="B2266">
        <v>248281</v>
      </c>
      <c r="C2266">
        <v>352312</v>
      </c>
      <c r="D2266">
        <v>405</v>
      </c>
      <c r="E2266" t="s">
        <v>1266</v>
      </c>
      <c r="H2266">
        <v>1812</v>
      </c>
      <c r="K2266" t="s">
        <v>2174</v>
      </c>
      <c r="L2266" t="s">
        <v>2174</v>
      </c>
      <c r="M2266" t="s">
        <v>2405</v>
      </c>
      <c r="N2266">
        <v>0</v>
      </c>
      <c r="O2266" t="s">
        <v>2405</v>
      </c>
      <c r="P2266">
        <v>0</v>
      </c>
      <c r="Q2266">
        <v>0</v>
      </c>
      <c r="R2266">
        <v>0</v>
      </c>
      <c r="T2266" s="29">
        <v>345000</v>
      </c>
      <c r="U2266" s="29">
        <v>6951750</v>
      </c>
      <c r="V2266" t="s">
        <v>1262</v>
      </c>
      <c r="W2266" t="s">
        <v>1262</v>
      </c>
      <c r="X2266" s="29">
        <v>6951750</v>
      </c>
      <c r="AA2266" s="30">
        <v>45826.458333333336</v>
      </c>
      <c r="AB2266" s="30">
        <v>45833.672222222223</v>
      </c>
      <c r="AC2266" s="30">
        <v>45826.458333333336</v>
      </c>
      <c r="AD2266" s="30">
        <v>45833.672222222223</v>
      </c>
      <c r="AE2266" s="30">
        <v>46087.65</v>
      </c>
      <c r="AF2266" s="30">
        <v>46097.447222222225</v>
      </c>
      <c r="AG2266" t="s">
        <v>1266</v>
      </c>
      <c r="AK2266" t="s">
        <v>1265</v>
      </c>
      <c r="AL2266" t="s">
        <v>2412</v>
      </c>
      <c r="AM2266" t="s">
        <v>1263</v>
      </c>
      <c r="AN2266" t="s">
        <v>1262</v>
      </c>
      <c r="AO2266">
        <v>0</v>
      </c>
      <c r="AQ2266" t="s">
        <v>1261</v>
      </c>
      <c r="AR2266" t="s">
        <v>1260</v>
      </c>
      <c r="AS2266" t="s">
        <v>1259</v>
      </c>
      <c r="AT2266" s="30">
        <v>46069.523611111108</v>
      </c>
    </row>
    <row r="2267" spans="1:46" x14ac:dyDescent="0.25">
      <c r="A2267" t="s">
        <v>1248</v>
      </c>
      <c r="B2267">
        <v>248282</v>
      </c>
      <c r="C2267">
        <v>352319</v>
      </c>
      <c r="D2267">
        <v>405</v>
      </c>
      <c r="E2267" t="s">
        <v>1266</v>
      </c>
      <c r="H2267">
        <v>1812</v>
      </c>
      <c r="K2267" t="s">
        <v>2174</v>
      </c>
      <c r="L2267" t="s">
        <v>2174</v>
      </c>
      <c r="M2267" t="s">
        <v>2405</v>
      </c>
      <c r="N2267">
        <v>0</v>
      </c>
      <c r="O2267" t="s">
        <v>2405</v>
      </c>
      <c r="P2267">
        <v>0</v>
      </c>
      <c r="Q2267">
        <v>0</v>
      </c>
      <c r="R2267">
        <v>0</v>
      </c>
      <c r="T2267" s="29">
        <v>345000</v>
      </c>
      <c r="U2267" s="29">
        <v>6951750</v>
      </c>
      <c r="V2267" t="s">
        <v>1262</v>
      </c>
      <c r="W2267" t="s">
        <v>1262</v>
      </c>
      <c r="X2267" s="29">
        <v>6951750</v>
      </c>
      <c r="AA2267" s="30">
        <v>45824.541666666664</v>
      </c>
      <c r="AB2267" s="30">
        <v>45832.338888888888</v>
      </c>
      <c r="AC2267" s="30">
        <v>45824.541666666664</v>
      </c>
      <c r="AD2267" s="30">
        <v>45832.338888888888</v>
      </c>
      <c r="AE2267" s="30">
        <v>46071.65</v>
      </c>
      <c r="AF2267" s="30">
        <v>46079.447222222225</v>
      </c>
      <c r="AG2267" t="s">
        <v>1266</v>
      </c>
      <c r="AK2267" t="s">
        <v>1265</v>
      </c>
      <c r="AL2267" t="s">
        <v>2411</v>
      </c>
      <c r="AM2267" t="s">
        <v>1263</v>
      </c>
      <c r="AN2267" t="s">
        <v>1262</v>
      </c>
      <c r="AO2267">
        <v>0</v>
      </c>
      <c r="AQ2267" t="s">
        <v>1261</v>
      </c>
      <c r="AR2267" t="s">
        <v>1260</v>
      </c>
      <c r="AS2267" t="s">
        <v>1259</v>
      </c>
      <c r="AT2267" s="30">
        <v>46069.523611111108</v>
      </c>
    </row>
    <row r="2268" spans="1:46" x14ac:dyDescent="0.25">
      <c r="A2268" t="s">
        <v>1248</v>
      </c>
      <c r="B2268">
        <v>248283</v>
      </c>
      <c r="C2268">
        <v>352326</v>
      </c>
      <c r="D2268">
        <v>405</v>
      </c>
      <c r="E2268" t="s">
        <v>1266</v>
      </c>
      <c r="H2268">
        <v>1812</v>
      </c>
      <c r="K2268" t="s">
        <v>2174</v>
      </c>
      <c r="L2268" t="s">
        <v>2174</v>
      </c>
      <c r="M2268" t="s">
        <v>2405</v>
      </c>
      <c r="N2268">
        <v>0</v>
      </c>
      <c r="O2268" t="s">
        <v>2405</v>
      </c>
      <c r="P2268">
        <v>0</v>
      </c>
      <c r="Q2268">
        <v>0</v>
      </c>
      <c r="R2268">
        <v>0</v>
      </c>
      <c r="T2268" s="29">
        <v>345000</v>
      </c>
      <c r="U2268" s="29">
        <v>6951750</v>
      </c>
      <c r="V2268" t="s">
        <v>1262</v>
      </c>
      <c r="W2268" t="s">
        <v>1262</v>
      </c>
      <c r="X2268" s="29">
        <v>6951750</v>
      </c>
      <c r="AA2268" s="30">
        <v>45820.583333333336</v>
      </c>
      <c r="AB2268" s="30">
        <v>45828.380555555559</v>
      </c>
      <c r="AC2268" s="30">
        <v>45820.583333333336</v>
      </c>
      <c r="AD2268" s="30">
        <v>45828.380555555559</v>
      </c>
      <c r="AE2268" s="30">
        <v>46055.65</v>
      </c>
      <c r="AF2268" s="30">
        <v>46063.447222222225</v>
      </c>
      <c r="AG2268" t="s">
        <v>1266</v>
      </c>
      <c r="AK2268" t="s">
        <v>1265</v>
      </c>
      <c r="AL2268" t="s">
        <v>2410</v>
      </c>
      <c r="AM2268" t="s">
        <v>1263</v>
      </c>
      <c r="AN2268" t="s">
        <v>1262</v>
      </c>
      <c r="AO2268">
        <v>0</v>
      </c>
      <c r="AQ2268" t="s">
        <v>1261</v>
      </c>
      <c r="AR2268" t="s">
        <v>1260</v>
      </c>
      <c r="AS2268" t="s">
        <v>1259</v>
      </c>
      <c r="AT2268" s="30">
        <v>46069.523611111108</v>
      </c>
    </row>
    <row r="2269" spans="1:46" x14ac:dyDescent="0.25">
      <c r="A2269" t="s">
        <v>1248</v>
      </c>
      <c r="B2269">
        <v>248284</v>
      </c>
      <c r="C2269">
        <v>352333</v>
      </c>
      <c r="D2269">
        <v>405</v>
      </c>
      <c r="E2269" t="s">
        <v>1266</v>
      </c>
      <c r="H2269">
        <v>1812</v>
      </c>
      <c r="K2269" t="s">
        <v>2174</v>
      </c>
      <c r="L2269" t="s">
        <v>2174</v>
      </c>
      <c r="M2269" t="s">
        <v>2405</v>
      </c>
      <c r="N2269">
        <v>0</v>
      </c>
      <c r="O2269" t="s">
        <v>2405</v>
      </c>
      <c r="P2269">
        <v>0</v>
      </c>
      <c r="Q2269">
        <v>0</v>
      </c>
      <c r="R2269">
        <v>0</v>
      </c>
      <c r="T2269" s="29">
        <v>345000</v>
      </c>
      <c r="U2269" s="29">
        <v>6951750</v>
      </c>
      <c r="V2269" t="s">
        <v>1262</v>
      </c>
      <c r="W2269" t="s">
        <v>1262</v>
      </c>
      <c r="X2269" s="29">
        <v>6951750</v>
      </c>
      <c r="AA2269" s="30">
        <v>45818.625</v>
      </c>
      <c r="AB2269" s="30">
        <v>45826.422222222223</v>
      </c>
      <c r="AC2269" s="30">
        <v>45818.625</v>
      </c>
      <c r="AD2269" s="30">
        <v>45826.422222222223</v>
      </c>
      <c r="AE2269" s="30">
        <v>46037.65</v>
      </c>
      <c r="AF2269" s="30">
        <v>46045.447222222225</v>
      </c>
      <c r="AG2269" t="s">
        <v>1266</v>
      </c>
      <c r="AK2269" t="s">
        <v>1265</v>
      </c>
      <c r="AL2269" t="s">
        <v>2409</v>
      </c>
      <c r="AM2269" t="s">
        <v>1263</v>
      </c>
      <c r="AN2269" t="s">
        <v>1262</v>
      </c>
      <c r="AO2269">
        <v>0</v>
      </c>
      <c r="AQ2269" t="s">
        <v>1261</v>
      </c>
      <c r="AR2269" t="s">
        <v>1260</v>
      </c>
      <c r="AS2269" t="s">
        <v>1259</v>
      </c>
      <c r="AT2269" s="30">
        <v>46069.523611111108</v>
      </c>
    </row>
    <row r="2270" spans="1:46" x14ac:dyDescent="0.25">
      <c r="A2270" t="s">
        <v>1248</v>
      </c>
      <c r="B2270">
        <v>248285</v>
      </c>
      <c r="C2270">
        <v>352340</v>
      </c>
      <c r="D2270">
        <v>405</v>
      </c>
      <c r="E2270" t="s">
        <v>1266</v>
      </c>
      <c r="H2270">
        <v>1812</v>
      </c>
      <c r="K2270" t="s">
        <v>2174</v>
      </c>
      <c r="L2270" t="s">
        <v>2174</v>
      </c>
      <c r="M2270" t="s">
        <v>2405</v>
      </c>
      <c r="N2270">
        <v>0</v>
      </c>
      <c r="O2270" t="s">
        <v>2405</v>
      </c>
      <c r="P2270">
        <v>0</v>
      </c>
      <c r="Q2270">
        <v>0</v>
      </c>
      <c r="R2270">
        <v>0</v>
      </c>
      <c r="T2270" s="29">
        <v>345000</v>
      </c>
      <c r="U2270" s="29">
        <v>6951750</v>
      </c>
      <c r="V2270" t="s">
        <v>1262</v>
      </c>
      <c r="W2270" t="s">
        <v>1262</v>
      </c>
      <c r="X2270" s="29">
        <v>6951750</v>
      </c>
      <c r="AA2270" s="30">
        <v>45814.666666666664</v>
      </c>
      <c r="AB2270" s="30">
        <v>45824.463888888888</v>
      </c>
      <c r="AC2270" s="30">
        <v>45814.666666666664</v>
      </c>
      <c r="AD2270" s="30">
        <v>45824.463888888888</v>
      </c>
      <c r="AE2270" s="30">
        <v>46017.60833333333</v>
      </c>
      <c r="AF2270" s="30">
        <v>46029.405555555553</v>
      </c>
      <c r="AG2270" t="s">
        <v>1266</v>
      </c>
      <c r="AK2270" t="s">
        <v>1265</v>
      </c>
      <c r="AL2270" t="s">
        <v>2408</v>
      </c>
      <c r="AM2270" t="s">
        <v>1263</v>
      </c>
      <c r="AN2270" t="s">
        <v>1262</v>
      </c>
      <c r="AO2270">
        <v>0</v>
      </c>
      <c r="AQ2270" t="s">
        <v>1261</v>
      </c>
      <c r="AR2270" t="s">
        <v>1260</v>
      </c>
      <c r="AS2270" t="s">
        <v>1259</v>
      </c>
      <c r="AT2270" s="30">
        <v>46069.523611111108</v>
      </c>
    </row>
    <row r="2271" spans="1:46" x14ac:dyDescent="0.25">
      <c r="A2271" t="s">
        <v>1248</v>
      </c>
      <c r="B2271">
        <v>248286</v>
      </c>
      <c r="C2271">
        <v>352347</v>
      </c>
      <c r="D2271">
        <v>405</v>
      </c>
      <c r="E2271" t="s">
        <v>1266</v>
      </c>
      <c r="H2271">
        <v>1812</v>
      </c>
      <c r="K2271" t="s">
        <v>2174</v>
      </c>
      <c r="L2271" t="s">
        <v>2174</v>
      </c>
      <c r="M2271" t="s">
        <v>2405</v>
      </c>
      <c r="N2271">
        <v>0</v>
      </c>
      <c r="O2271" t="s">
        <v>2405</v>
      </c>
      <c r="P2271">
        <v>0</v>
      </c>
      <c r="Q2271">
        <v>0</v>
      </c>
      <c r="R2271">
        <v>0</v>
      </c>
      <c r="T2271" s="29">
        <v>345000</v>
      </c>
      <c r="U2271" s="29">
        <v>6951750</v>
      </c>
      <c r="V2271" t="s">
        <v>1262</v>
      </c>
      <c r="W2271" t="s">
        <v>1262</v>
      </c>
      <c r="X2271" s="29">
        <v>6951750</v>
      </c>
      <c r="AA2271" s="30">
        <v>45806.625</v>
      </c>
      <c r="AB2271" s="30">
        <v>45814.422222222223</v>
      </c>
      <c r="AC2271" s="30">
        <v>45806.625</v>
      </c>
      <c r="AD2271" s="30">
        <v>45814.422222222223</v>
      </c>
      <c r="AE2271" s="30">
        <v>46000.566666666666</v>
      </c>
      <c r="AF2271" s="30">
        <v>46008.363888888889</v>
      </c>
      <c r="AG2271" t="s">
        <v>1266</v>
      </c>
      <c r="AK2271" t="s">
        <v>1265</v>
      </c>
      <c r="AL2271" t="s">
        <v>2407</v>
      </c>
      <c r="AM2271" t="s">
        <v>1263</v>
      </c>
      <c r="AN2271" t="s">
        <v>1262</v>
      </c>
      <c r="AO2271">
        <v>0</v>
      </c>
      <c r="AQ2271" t="s">
        <v>1261</v>
      </c>
      <c r="AR2271" t="s">
        <v>1260</v>
      </c>
      <c r="AS2271" t="s">
        <v>1259</v>
      </c>
      <c r="AT2271" s="30">
        <v>46069.523611111108</v>
      </c>
    </row>
    <row r="2272" spans="1:46" x14ac:dyDescent="0.25">
      <c r="A2272" t="s">
        <v>1248</v>
      </c>
      <c r="B2272">
        <v>248287</v>
      </c>
      <c r="C2272">
        <v>352354</v>
      </c>
      <c r="D2272">
        <v>405</v>
      </c>
      <c r="E2272" t="s">
        <v>1266</v>
      </c>
      <c r="H2272">
        <v>1812</v>
      </c>
      <c r="K2272" t="s">
        <v>2174</v>
      </c>
      <c r="L2272" t="s">
        <v>2174</v>
      </c>
      <c r="M2272" t="s">
        <v>2405</v>
      </c>
      <c r="N2272">
        <v>0</v>
      </c>
      <c r="O2272" t="s">
        <v>2405</v>
      </c>
      <c r="P2272">
        <v>0</v>
      </c>
      <c r="Q2272">
        <v>0</v>
      </c>
      <c r="R2272">
        <v>0</v>
      </c>
      <c r="T2272" s="29">
        <v>345000</v>
      </c>
      <c r="U2272" s="29">
        <v>6951750</v>
      </c>
      <c r="V2272" t="s">
        <v>1262</v>
      </c>
      <c r="W2272" t="s">
        <v>1262</v>
      </c>
      <c r="X2272" s="29">
        <v>6951750</v>
      </c>
      <c r="AA2272" s="30">
        <v>45805.666666666664</v>
      </c>
      <c r="AB2272" s="30">
        <v>45813.463888888888</v>
      </c>
      <c r="AC2272" s="30">
        <v>45805.666666666664</v>
      </c>
      <c r="AD2272" s="30">
        <v>45813.463888888888</v>
      </c>
      <c r="AE2272" s="30">
        <v>45994.566666666666</v>
      </c>
      <c r="AF2272" s="30">
        <v>46002.363888888889</v>
      </c>
      <c r="AG2272" t="s">
        <v>1266</v>
      </c>
      <c r="AK2272" t="s">
        <v>1265</v>
      </c>
      <c r="AL2272" t="s">
        <v>2406</v>
      </c>
      <c r="AM2272" t="s">
        <v>1263</v>
      </c>
      <c r="AN2272" t="s">
        <v>1262</v>
      </c>
      <c r="AO2272">
        <v>0</v>
      </c>
      <c r="AQ2272" t="s">
        <v>1261</v>
      </c>
      <c r="AR2272" t="s">
        <v>1260</v>
      </c>
      <c r="AS2272" t="s">
        <v>1259</v>
      </c>
      <c r="AT2272" s="30">
        <v>46069.523611111108</v>
      </c>
    </row>
    <row r="2273" spans="1:46" x14ac:dyDescent="0.25">
      <c r="A2273" t="s">
        <v>1248</v>
      </c>
      <c r="B2273">
        <v>248288</v>
      </c>
      <c r="C2273">
        <v>352361</v>
      </c>
      <c r="D2273">
        <v>405</v>
      </c>
      <c r="E2273" t="s">
        <v>1266</v>
      </c>
      <c r="H2273">
        <v>1812</v>
      </c>
      <c r="K2273" t="s">
        <v>2174</v>
      </c>
      <c r="L2273" t="s">
        <v>2174</v>
      </c>
      <c r="M2273" t="s">
        <v>2405</v>
      </c>
      <c r="N2273">
        <v>0</v>
      </c>
      <c r="O2273" t="s">
        <v>2405</v>
      </c>
      <c r="P2273">
        <v>0</v>
      </c>
      <c r="Q2273">
        <v>0</v>
      </c>
      <c r="R2273">
        <v>0</v>
      </c>
      <c r="T2273" s="29">
        <v>345000</v>
      </c>
      <c r="U2273" s="29">
        <v>6951750</v>
      </c>
      <c r="V2273" t="s">
        <v>1262</v>
      </c>
      <c r="W2273" t="s">
        <v>1262</v>
      </c>
      <c r="X2273" s="29">
        <v>6951750</v>
      </c>
      <c r="AA2273" s="30">
        <v>45805.333333333336</v>
      </c>
      <c r="AB2273" s="30">
        <v>45812.547222222223</v>
      </c>
      <c r="AC2273" s="30">
        <v>45805.333333333336</v>
      </c>
      <c r="AD2273" s="30">
        <v>45812.547222222223</v>
      </c>
      <c r="AE2273" s="30">
        <v>45861.60833333333</v>
      </c>
      <c r="AF2273" s="30">
        <v>45869.405555555553</v>
      </c>
      <c r="AG2273" t="s">
        <v>1266</v>
      </c>
      <c r="AK2273" t="s">
        <v>1265</v>
      </c>
      <c r="AL2273" t="s">
        <v>2404</v>
      </c>
      <c r="AM2273" t="s">
        <v>1263</v>
      </c>
      <c r="AN2273" t="s">
        <v>1262</v>
      </c>
      <c r="AO2273">
        <v>0</v>
      </c>
      <c r="AQ2273" t="s">
        <v>1261</v>
      </c>
      <c r="AR2273" t="s">
        <v>1260</v>
      </c>
      <c r="AS2273" t="s">
        <v>1259</v>
      </c>
      <c r="AT2273" s="30">
        <v>46069.523611111108</v>
      </c>
    </row>
    <row r="2274" spans="1:46" x14ac:dyDescent="0.25">
      <c r="A2274" t="s">
        <v>1248</v>
      </c>
      <c r="B2274">
        <v>248289</v>
      </c>
      <c r="C2274">
        <v>352194</v>
      </c>
      <c r="D2274">
        <v>405</v>
      </c>
      <c r="E2274" t="s">
        <v>1266</v>
      </c>
      <c r="H2274">
        <v>1852</v>
      </c>
      <c r="K2274" t="s">
        <v>2174</v>
      </c>
      <c r="L2274" t="s">
        <v>2174</v>
      </c>
      <c r="M2274" s="29">
        <v>287857142</v>
      </c>
      <c r="N2274">
        <v>0</v>
      </c>
      <c r="O2274" s="29">
        <v>287857142</v>
      </c>
      <c r="P2274">
        <v>0</v>
      </c>
      <c r="Q2274">
        <v>0</v>
      </c>
      <c r="R2274">
        <v>0</v>
      </c>
      <c r="T2274" s="29">
        <v>21600</v>
      </c>
      <c r="U2274" s="29">
        <v>435240</v>
      </c>
      <c r="V2274" t="s">
        <v>1262</v>
      </c>
      <c r="W2274" t="s">
        <v>1262</v>
      </c>
      <c r="X2274" s="29">
        <v>435240</v>
      </c>
      <c r="AA2274" s="30">
        <v>45904.463888888888</v>
      </c>
      <c r="AB2274" s="30">
        <v>45905.422222222223</v>
      </c>
      <c r="AC2274" s="30">
        <v>45904.463888888888</v>
      </c>
      <c r="AD2274" s="30">
        <v>45905.422222222223</v>
      </c>
      <c r="AE2274" s="30">
        <v>46395.541666666664</v>
      </c>
      <c r="AF2274" s="30">
        <v>46398.458333333336</v>
      </c>
      <c r="AG2274" t="s">
        <v>1266</v>
      </c>
      <c r="AK2274" t="s">
        <v>1265</v>
      </c>
      <c r="AL2274" t="s">
        <v>2403</v>
      </c>
      <c r="AM2274" t="s">
        <v>1263</v>
      </c>
      <c r="AN2274" t="s">
        <v>1262</v>
      </c>
      <c r="AO2274">
        <v>0</v>
      </c>
      <c r="AQ2274" t="s">
        <v>1261</v>
      </c>
      <c r="AR2274" t="s">
        <v>1260</v>
      </c>
      <c r="AS2274" t="s">
        <v>1259</v>
      </c>
      <c r="AT2274" s="30">
        <v>46069.523611111108</v>
      </c>
    </row>
    <row r="2275" spans="1:46" x14ac:dyDescent="0.25">
      <c r="A2275" t="s">
        <v>1248</v>
      </c>
      <c r="B2275">
        <v>248290</v>
      </c>
      <c r="C2275">
        <v>352201</v>
      </c>
      <c r="D2275">
        <v>405</v>
      </c>
      <c r="E2275" t="s">
        <v>1266</v>
      </c>
      <c r="H2275">
        <v>1852</v>
      </c>
      <c r="K2275" t="s">
        <v>2174</v>
      </c>
      <c r="L2275" t="s">
        <v>2174</v>
      </c>
      <c r="M2275" s="29">
        <v>287857142</v>
      </c>
      <c r="N2275">
        <v>0</v>
      </c>
      <c r="O2275" s="29">
        <v>287857142</v>
      </c>
      <c r="P2275">
        <v>0</v>
      </c>
      <c r="Q2275">
        <v>0</v>
      </c>
      <c r="R2275">
        <v>0</v>
      </c>
      <c r="T2275" s="29">
        <v>21600</v>
      </c>
      <c r="U2275" s="29">
        <v>435240</v>
      </c>
      <c r="V2275" t="s">
        <v>1262</v>
      </c>
      <c r="W2275" t="s">
        <v>1262</v>
      </c>
      <c r="X2275" s="29">
        <v>435240</v>
      </c>
      <c r="AA2275" s="30">
        <v>45901.463888888888</v>
      </c>
      <c r="AB2275" s="30">
        <v>45902.422222222223</v>
      </c>
      <c r="AC2275" s="30">
        <v>45901.463888888888</v>
      </c>
      <c r="AD2275" s="30">
        <v>45902.422222222223</v>
      </c>
      <c r="AE2275" s="30">
        <v>46374.541666666664</v>
      </c>
      <c r="AF2275" s="30">
        <v>46377.458333333336</v>
      </c>
      <c r="AG2275" t="s">
        <v>1266</v>
      </c>
      <c r="AK2275" t="s">
        <v>1265</v>
      </c>
      <c r="AL2275" t="s">
        <v>2402</v>
      </c>
      <c r="AM2275" t="s">
        <v>1263</v>
      </c>
      <c r="AN2275" t="s">
        <v>1262</v>
      </c>
      <c r="AO2275">
        <v>0</v>
      </c>
      <c r="AQ2275" t="s">
        <v>1261</v>
      </c>
      <c r="AR2275" t="s">
        <v>1260</v>
      </c>
      <c r="AS2275" t="s">
        <v>1259</v>
      </c>
      <c r="AT2275" s="30">
        <v>46069.523611111108</v>
      </c>
    </row>
    <row r="2276" spans="1:46" x14ac:dyDescent="0.25">
      <c r="A2276" t="s">
        <v>1248</v>
      </c>
      <c r="B2276">
        <v>248291</v>
      </c>
      <c r="C2276">
        <v>352208</v>
      </c>
      <c r="D2276">
        <v>405</v>
      </c>
      <c r="E2276" t="s">
        <v>1266</v>
      </c>
      <c r="H2276">
        <v>1852</v>
      </c>
      <c r="K2276" t="s">
        <v>2174</v>
      </c>
      <c r="L2276" t="s">
        <v>2174</v>
      </c>
      <c r="M2276" s="29">
        <v>287857142</v>
      </c>
      <c r="N2276">
        <v>0</v>
      </c>
      <c r="O2276" s="29">
        <v>287857142</v>
      </c>
      <c r="P2276">
        <v>0</v>
      </c>
      <c r="Q2276">
        <v>0</v>
      </c>
      <c r="R2276">
        <v>0</v>
      </c>
      <c r="T2276" s="29">
        <v>21600</v>
      </c>
      <c r="U2276" s="29">
        <v>435240</v>
      </c>
      <c r="V2276" t="s">
        <v>1262</v>
      </c>
      <c r="W2276" t="s">
        <v>1262</v>
      </c>
      <c r="X2276" s="29">
        <v>435240</v>
      </c>
      <c r="AA2276" s="30">
        <v>45896.463888888888</v>
      </c>
      <c r="AB2276" s="30">
        <v>45897.422222222223</v>
      </c>
      <c r="AC2276" s="30">
        <v>45896.463888888888</v>
      </c>
      <c r="AD2276" s="30">
        <v>45897.422222222223</v>
      </c>
      <c r="AE2276" s="30">
        <v>46357.541666666664</v>
      </c>
      <c r="AF2276" s="30">
        <v>46358.458333333336</v>
      </c>
      <c r="AG2276" t="s">
        <v>1266</v>
      </c>
      <c r="AK2276" t="s">
        <v>1265</v>
      </c>
      <c r="AL2276" t="s">
        <v>2401</v>
      </c>
      <c r="AM2276" t="s">
        <v>1263</v>
      </c>
      <c r="AN2276" t="s">
        <v>1262</v>
      </c>
      <c r="AO2276">
        <v>0</v>
      </c>
      <c r="AQ2276" t="s">
        <v>1261</v>
      </c>
      <c r="AR2276" t="s">
        <v>1260</v>
      </c>
      <c r="AS2276" t="s">
        <v>1259</v>
      </c>
      <c r="AT2276" s="30">
        <v>46069.523611111108</v>
      </c>
    </row>
    <row r="2277" spans="1:46" x14ac:dyDescent="0.25">
      <c r="A2277" t="s">
        <v>1248</v>
      </c>
      <c r="B2277">
        <v>248292</v>
      </c>
      <c r="C2277">
        <v>352215</v>
      </c>
      <c r="D2277">
        <v>405</v>
      </c>
      <c r="E2277" t="s">
        <v>1266</v>
      </c>
      <c r="H2277">
        <v>1852</v>
      </c>
      <c r="K2277" t="s">
        <v>2174</v>
      </c>
      <c r="L2277" t="s">
        <v>2174</v>
      </c>
      <c r="M2277" s="29">
        <v>287857142</v>
      </c>
      <c r="N2277">
        <v>0</v>
      </c>
      <c r="O2277" s="29">
        <v>287857142</v>
      </c>
      <c r="P2277">
        <v>0</v>
      </c>
      <c r="Q2277">
        <v>0</v>
      </c>
      <c r="R2277">
        <v>0</v>
      </c>
      <c r="T2277" s="29">
        <v>21600</v>
      </c>
      <c r="U2277" s="29">
        <v>435240</v>
      </c>
      <c r="V2277" t="s">
        <v>1262</v>
      </c>
      <c r="W2277" t="s">
        <v>1262</v>
      </c>
      <c r="X2277" s="29">
        <v>435240</v>
      </c>
      <c r="AA2277" s="30">
        <v>45891.463888888888</v>
      </c>
      <c r="AB2277" s="30">
        <v>45894.422222222223</v>
      </c>
      <c r="AC2277" s="30">
        <v>45891.463888888888</v>
      </c>
      <c r="AD2277" s="30">
        <v>45894.422222222223</v>
      </c>
      <c r="AE2277" s="30">
        <v>46339.541666666664</v>
      </c>
      <c r="AF2277" s="30">
        <v>46342.458333333336</v>
      </c>
      <c r="AG2277" t="s">
        <v>1266</v>
      </c>
      <c r="AK2277" t="s">
        <v>1265</v>
      </c>
      <c r="AL2277" t="s">
        <v>2400</v>
      </c>
      <c r="AM2277" t="s">
        <v>1263</v>
      </c>
      <c r="AN2277" t="s">
        <v>1262</v>
      </c>
      <c r="AO2277">
        <v>0</v>
      </c>
      <c r="AQ2277" t="s">
        <v>1261</v>
      </c>
      <c r="AR2277" t="s">
        <v>1260</v>
      </c>
      <c r="AS2277" t="s">
        <v>1259</v>
      </c>
      <c r="AT2277" s="30">
        <v>46069.523611111108</v>
      </c>
    </row>
    <row r="2278" spans="1:46" x14ac:dyDescent="0.25">
      <c r="A2278" t="s">
        <v>1248</v>
      </c>
      <c r="B2278">
        <v>248293</v>
      </c>
      <c r="C2278">
        <v>352222</v>
      </c>
      <c r="D2278">
        <v>405</v>
      </c>
      <c r="E2278" t="s">
        <v>1266</v>
      </c>
      <c r="H2278">
        <v>1852</v>
      </c>
      <c r="K2278" t="s">
        <v>2174</v>
      </c>
      <c r="L2278" t="s">
        <v>2174</v>
      </c>
      <c r="M2278" s="29">
        <v>287857142</v>
      </c>
      <c r="N2278">
        <v>0</v>
      </c>
      <c r="O2278" s="29">
        <v>287857142</v>
      </c>
      <c r="P2278">
        <v>0</v>
      </c>
      <c r="Q2278">
        <v>0</v>
      </c>
      <c r="R2278">
        <v>0</v>
      </c>
      <c r="T2278" s="29">
        <v>21600</v>
      </c>
      <c r="U2278" s="29">
        <v>435240</v>
      </c>
      <c r="V2278" t="s">
        <v>1262</v>
      </c>
      <c r="W2278" t="s">
        <v>1262</v>
      </c>
      <c r="X2278" s="29">
        <v>435240</v>
      </c>
      <c r="AA2278" s="30">
        <v>45888.630555555559</v>
      </c>
      <c r="AB2278" s="30">
        <v>45889.588888888888</v>
      </c>
      <c r="AC2278" s="30">
        <v>45888.630555555559</v>
      </c>
      <c r="AD2278" s="30">
        <v>45889.588888888888</v>
      </c>
      <c r="AE2278" s="30">
        <v>46323.541666666664</v>
      </c>
      <c r="AF2278" s="30">
        <v>46324.458333333336</v>
      </c>
      <c r="AG2278" t="s">
        <v>1266</v>
      </c>
      <c r="AK2278" t="s">
        <v>1265</v>
      </c>
      <c r="AL2278" t="s">
        <v>2399</v>
      </c>
      <c r="AM2278" t="s">
        <v>1263</v>
      </c>
      <c r="AN2278" t="s">
        <v>1262</v>
      </c>
      <c r="AO2278">
        <v>0</v>
      </c>
      <c r="AQ2278" t="s">
        <v>1261</v>
      </c>
      <c r="AR2278" t="s">
        <v>1260</v>
      </c>
      <c r="AS2278" t="s">
        <v>1259</v>
      </c>
      <c r="AT2278" s="30">
        <v>46069.523611111108</v>
      </c>
    </row>
    <row r="2279" spans="1:46" x14ac:dyDescent="0.25">
      <c r="A2279" t="s">
        <v>1248</v>
      </c>
      <c r="B2279">
        <v>248294</v>
      </c>
      <c r="C2279">
        <v>352229</v>
      </c>
      <c r="D2279">
        <v>405</v>
      </c>
      <c r="E2279" t="s">
        <v>1266</v>
      </c>
      <c r="H2279">
        <v>1852</v>
      </c>
      <c r="K2279" t="s">
        <v>2174</v>
      </c>
      <c r="L2279" t="s">
        <v>2174</v>
      </c>
      <c r="M2279" s="29">
        <v>287857142</v>
      </c>
      <c r="N2279">
        <v>0</v>
      </c>
      <c r="O2279" s="29">
        <v>287857142</v>
      </c>
      <c r="P2279">
        <v>0</v>
      </c>
      <c r="Q2279">
        <v>0</v>
      </c>
      <c r="R2279">
        <v>0</v>
      </c>
      <c r="T2279" s="29">
        <v>21600</v>
      </c>
      <c r="U2279" s="29">
        <v>435240</v>
      </c>
      <c r="V2279" t="s">
        <v>1262</v>
      </c>
      <c r="W2279" t="s">
        <v>1262</v>
      </c>
      <c r="X2279" s="29">
        <v>435240</v>
      </c>
      <c r="AA2279" s="30">
        <v>45884.672222222223</v>
      </c>
      <c r="AB2279" s="30">
        <v>45887.630555555559</v>
      </c>
      <c r="AC2279" s="30">
        <v>45884.672222222223</v>
      </c>
      <c r="AD2279" s="30">
        <v>45887.630555555559</v>
      </c>
      <c r="AE2279" s="30">
        <v>46307.541666666664</v>
      </c>
      <c r="AF2279" s="30">
        <v>46308.458333333336</v>
      </c>
      <c r="AG2279" t="s">
        <v>1266</v>
      </c>
      <c r="AK2279" t="s">
        <v>1265</v>
      </c>
      <c r="AL2279" t="s">
        <v>2398</v>
      </c>
      <c r="AM2279" t="s">
        <v>1263</v>
      </c>
      <c r="AN2279" t="s">
        <v>1262</v>
      </c>
      <c r="AO2279">
        <v>0</v>
      </c>
      <c r="AQ2279" t="s">
        <v>1261</v>
      </c>
      <c r="AR2279" t="s">
        <v>1260</v>
      </c>
      <c r="AS2279" t="s">
        <v>1259</v>
      </c>
      <c r="AT2279" s="30">
        <v>46069.523611111108</v>
      </c>
    </row>
    <row r="2280" spans="1:46" x14ac:dyDescent="0.25">
      <c r="A2280" t="s">
        <v>1248</v>
      </c>
      <c r="B2280">
        <v>248295</v>
      </c>
      <c r="C2280">
        <v>352236</v>
      </c>
      <c r="D2280">
        <v>405</v>
      </c>
      <c r="E2280" t="s">
        <v>1266</v>
      </c>
      <c r="H2280">
        <v>1852</v>
      </c>
      <c r="K2280" t="s">
        <v>2174</v>
      </c>
      <c r="L2280" t="s">
        <v>2174</v>
      </c>
      <c r="M2280" s="29">
        <v>287857142</v>
      </c>
      <c r="N2280">
        <v>0</v>
      </c>
      <c r="O2280" s="29">
        <v>287857142</v>
      </c>
      <c r="P2280">
        <v>0</v>
      </c>
      <c r="Q2280">
        <v>0</v>
      </c>
      <c r="R2280">
        <v>0</v>
      </c>
      <c r="T2280" s="29">
        <v>21600</v>
      </c>
      <c r="U2280" s="29">
        <v>435240</v>
      </c>
      <c r="V2280" t="s">
        <v>1262</v>
      </c>
      <c r="W2280" t="s">
        <v>1262</v>
      </c>
      <c r="X2280" s="29">
        <v>435240</v>
      </c>
      <c r="AA2280" s="30">
        <v>45883.338888888888</v>
      </c>
      <c r="AB2280" s="30">
        <v>45883.672222222223</v>
      </c>
      <c r="AC2280" s="30">
        <v>45883.338888888888</v>
      </c>
      <c r="AD2280" s="30">
        <v>45883.672222222223</v>
      </c>
      <c r="AE2280" s="30">
        <v>46289.541666666664</v>
      </c>
      <c r="AF2280" s="30">
        <v>46290.458333333336</v>
      </c>
      <c r="AG2280" t="s">
        <v>1266</v>
      </c>
      <c r="AK2280" t="s">
        <v>1265</v>
      </c>
      <c r="AL2280" t="s">
        <v>2397</v>
      </c>
      <c r="AM2280" t="s">
        <v>1263</v>
      </c>
      <c r="AN2280" t="s">
        <v>1262</v>
      </c>
      <c r="AO2280">
        <v>0</v>
      </c>
      <c r="AQ2280" t="s">
        <v>1261</v>
      </c>
      <c r="AR2280" t="s">
        <v>1260</v>
      </c>
      <c r="AS2280" t="s">
        <v>1259</v>
      </c>
      <c r="AT2280" s="30">
        <v>46069.523611111108</v>
      </c>
    </row>
    <row r="2281" spans="1:46" x14ac:dyDescent="0.25">
      <c r="A2281" t="s">
        <v>1248</v>
      </c>
      <c r="B2281">
        <v>248296</v>
      </c>
      <c r="C2281">
        <v>352243</v>
      </c>
      <c r="D2281">
        <v>405</v>
      </c>
      <c r="E2281" t="s">
        <v>1266</v>
      </c>
      <c r="H2281">
        <v>1852</v>
      </c>
      <c r="K2281" t="s">
        <v>2174</v>
      </c>
      <c r="L2281" t="s">
        <v>2174</v>
      </c>
      <c r="M2281" s="29">
        <v>287857142</v>
      </c>
      <c r="N2281">
        <v>0</v>
      </c>
      <c r="O2281" s="29">
        <v>287857142</v>
      </c>
      <c r="P2281">
        <v>0</v>
      </c>
      <c r="Q2281">
        <v>0</v>
      </c>
      <c r="R2281">
        <v>0</v>
      </c>
      <c r="T2281" s="29">
        <v>21600</v>
      </c>
      <c r="U2281" s="29">
        <v>435240</v>
      </c>
      <c r="V2281" t="s">
        <v>1262</v>
      </c>
      <c r="W2281" t="s">
        <v>1262</v>
      </c>
      <c r="X2281" s="29">
        <v>435240</v>
      </c>
      <c r="AA2281" s="30">
        <v>45881.380555555559</v>
      </c>
      <c r="AB2281" s="30">
        <v>45882.338888888888</v>
      </c>
      <c r="AC2281" s="30">
        <v>45881.380555555559</v>
      </c>
      <c r="AD2281" s="30">
        <v>45882.338888888888</v>
      </c>
      <c r="AE2281" s="30">
        <v>46268.447222222225</v>
      </c>
      <c r="AF2281" s="30">
        <v>46269.405555555553</v>
      </c>
      <c r="AG2281" t="s">
        <v>1266</v>
      </c>
      <c r="AK2281" t="s">
        <v>1265</v>
      </c>
      <c r="AL2281" t="s">
        <v>2396</v>
      </c>
      <c r="AM2281" t="s">
        <v>1263</v>
      </c>
      <c r="AN2281" t="s">
        <v>1262</v>
      </c>
      <c r="AO2281">
        <v>0</v>
      </c>
      <c r="AQ2281" t="s">
        <v>1261</v>
      </c>
      <c r="AR2281" t="s">
        <v>1260</v>
      </c>
      <c r="AS2281" t="s">
        <v>1259</v>
      </c>
      <c r="AT2281" s="30">
        <v>46069.523611111108</v>
      </c>
    </row>
    <row r="2282" spans="1:46" x14ac:dyDescent="0.25">
      <c r="A2282" t="s">
        <v>1248</v>
      </c>
      <c r="B2282">
        <v>248297</v>
      </c>
      <c r="C2282">
        <v>352250</v>
      </c>
      <c r="D2282">
        <v>405</v>
      </c>
      <c r="E2282" t="s">
        <v>1266</v>
      </c>
      <c r="H2282">
        <v>1852</v>
      </c>
      <c r="K2282" t="s">
        <v>2174</v>
      </c>
      <c r="L2282" t="s">
        <v>2174</v>
      </c>
      <c r="M2282" s="29">
        <v>287857142</v>
      </c>
      <c r="N2282">
        <v>0</v>
      </c>
      <c r="O2282" s="29">
        <v>287857142</v>
      </c>
      <c r="P2282">
        <v>0</v>
      </c>
      <c r="Q2282">
        <v>0</v>
      </c>
      <c r="R2282">
        <v>0</v>
      </c>
      <c r="T2282" s="29">
        <v>21600</v>
      </c>
      <c r="U2282" s="29">
        <v>435240</v>
      </c>
      <c r="V2282" t="s">
        <v>1262</v>
      </c>
      <c r="W2282" t="s">
        <v>1262</v>
      </c>
      <c r="X2282" s="29">
        <v>435240</v>
      </c>
      <c r="AA2282" s="30">
        <v>45877.422222222223</v>
      </c>
      <c r="AB2282" s="30">
        <v>45880.380555555559</v>
      </c>
      <c r="AC2282" s="30">
        <v>45877.422222222223</v>
      </c>
      <c r="AD2282" s="30">
        <v>45880.380555555559</v>
      </c>
      <c r="AE2282" s="30">
        <v>46252.447222222225</v>
      </c>
      <c r="AF2282" s="30">
        <v>46253.405555555553</v>
      </c>
      <c r="AG2282" t="s">
        <v>1266</v>
      </c>
      <c r="AK2282" t="s">
        <v>1265</v>
      </c>
      <c r="AL2282" t="s">
        <v>2395</v>
      </c>
      <c r="AM2282" t="s">
        <v>1263</v>
      </c>
      <c r="AN2282" t="s">
        <v>1262</v>
      </c>
      <c r="AO2282">
        <v>0</v>
      </c>
      <c r="AQ2282" t="s">
        <v>1261</v>
      </c>
      <c r="AR2282" t="s">
        <v>1260</v>
      </c>
      <c r="AS2282" t="s">
        <v>1259</v>
      </c>
      <c r="AT2282" s="30">
        <v>46069.523611111108</v>
      </c>
    </row>
    <row r="2283" spans="1:46" x14ac:dyDescent="0.25">
      <c r="A2283" t="s">
        <v>1248</v>
      </c>
      <c r="B2283">
        <v>248298</v>
      </c>
      <c r="C2283">
        <v>352257</v>
      </c>
      <c r="D2283">
        <v>405</v>
      </c>
      <c r="E2283" t="s">
        <v>1266</v>
      </c>
      <c r="H2283">
        <v>1852</v>
      </c>
      <c r="K2283" t="s">
        <v>2174</v>
      </c>
      <c r="L2283" t="s">
        <v>2174</v>
      </c>
      <c r="M2283" s="29">
        <v>287857142</v>
      </c>
      <c r="N2283">
        <v>0</v>
      </c>
      <c r="O2283" s="29">
        <v>287857142</v>
      </c>
      <c r="P2283">
        <v>0</v>
      </c>
      <c r="Q2283">
        <v>0</v>
      </c>
      <c r="R2283">
        <v>0</v>
      </c>
      <c r="T2283" s="29">
        <v>21600</v>
      </c>
      <c r="U2283" s="29">
        <v>435240</v>
      </c>
      <c r="V2283" t="s">
        <v>1262</v>
      </c>
      <c r="W2283" t="s">
        <v>1262</v>
      </c>
      <c r="X2283" s="29">
        <v>435240</v>
      </c>
      <c r="AA2283" s="30">
        <v>45875.463888888888</v>
      </c>
      <c r="AB2283" s="30">
        <v>45876.422222222223</v>
      </c>
      <c r="AC2283" s="30">
        <v>45875.463888888888</v>
      </c>
      <c r="AD2283" s="30">
        <v>45876.422222222223</v>
      </c>
      <c r="AE2283" s="30">
        <v>46234.447222222225</v>
      </c>
      <c r="AF2283" s="30">
        <v>46237.405555555553</v>
      </c>
      <c r="AG2283" t="s">
        <v>1266</v>
      </c>
      <c r="AK2283" t="s">
        <v>1265</v>
      </c>
      <c r="AL2283" t="s">
        <v>2394</v>
      </c>
      <c r="AM2283" t="s">
        <v>1263</v>
      </c>
      <c r="AN2283" t="s">
        <v>1262</v>
      </c>
      <c r="AO2283">
        <v>0</v>
      </c>
      <c r="AQ2283" t="s">
        <v>1261</v>
      </c>
      <c r="AR2283" t="s">
        <v>1260</v>
      </c>
      <c r="AS2283" t="s">
        <v>1259</v>
      </c>
      <c r="AT2283" s="30">
        <v>46069.523611111108</v>
      </c>
    </row>
    <row r="2284" spans="1:46" x14ac:dyDescent="0.25">
      <c r="A2284" t="s">
        <v>1248</v>
      </c>
      <c r="B2284">
        <v>248299</v>
      </c>
      <c r="C2284">
        <v>352264</v>
      </c>
      <c r="D2284">
        <v>405</v>
      </c>
      <c r="E2284" t="s">
        <v>1266</v>
      </c>
      <c r="H2284">
        <v>1852</v>
      </c>
      <c r="K2284" t="s">
        <v>2174</v>
      </c>
      <c r="L2284" t="s">
        <v>2174</v>
      </c>
      <c r="M2284" s="29">
        <v>287857142</v>
      </c>
      <c r="N2284">
        <v>0</v>
      </c>
      <c r="O2284" s="29">
        <v>287857142</v>
      </c>
      <c r="P2284">
        <v>0</v>
      </c>
      <c r="Q2284">
        <v>0</v>
      </c>
      <c r="R2284">
        <v>0</v>
      </c>
      <c r="T2284" s="29">
        <v>21600</v>
      </c>
      <c r="U2284" s="29">
        <v>435240</v>
      </c>
      <c r="V2284" t="s">
        <v>1262</v>
      </c>
      <c r="W2284" t="s">
        <v>1262</v>
      </c>
      <c r="X2284" s="29">
        <v>435240</v>
      </c>
      <c r="AA2284" s="30">
        <v>45866.355555555558</v>
      </c>
      <c r="AB2284" s="30">
        <v>45866.688888888886</v>
      </c>
      <c r="AC2284" s="30">
        <v>45866.355555555558</v>
      </c>
      <c r="AD2284" s="30">
        <v>45866.688888888886</v>
      </c>
      <c r="AE2284" s="30">
        <v>46218.447222222225</v>
      </c>
      <c r="AF2284" s="30">
        <v>46219.405555555553</v>
      </c>
      <c r="AG2284" t="s">
        <v>1266</v>
      </c>
      <c r="AK2284" t="s">
        <v>1265</v>
      </c>
      <c r="AL2284" t="s">
        <v>2393</v>
      </c>
      <c r="AM2284" t="s">
        <v>1263</v>
      </c>
      <c r="AN2284" t="s">
        <v>1262</v>
      </c>
      <c r="AO2284">
        <v>0</v>
      </c>
      <c r="AQ2284" t="s">
        <v>1261</v>
      </c>
      <c r="AR2284" t="s">
        <v>1260</v>
      </c>
      <c r="AS2284" t="s">
        <v>1259</v>
      </c>
      <c r="AT2284" s="30">
        <v>46069.523611111108</v>
      </c>
    </row>
    <row r="2285" spans="1:46" x14ac:dyDescent="0.25">
      <c r="A2285" t="s">
        <v>1248</v>
      </c>
      <c r="B2285">
        <v>248300</v>
      </c>
      <c r="C2285">
        <v>352271</v>
      </c>
      <c r="D2285">
        <v>405</v>
      </c>
      <c r="E2285" t="s">
        <v>1266</v>
      </c>
      <c r="H2285">
        <v>1852</v>
      </c>
      <c r="K2285" t="s">
        <v>2174</v>
      </c>
      <c r="L2285" t="s">
        <v>2174</v>
      </c>
      <c r="M2285" s="29">
        <v>287857142</v>
      </c>
      <c r="N2285">
        <v>0</v>
      </c>
      <c r="O2285" s="29">
        <v>287857142</v>
      </c>
      <c r="P2285">
        <v>0</v>
      </c>
      <c r="Q2285">
        <v>0</v>
      </c>
      <c r="R2285">
        <v>0</v>
      </c>
      <c r="T2285" s="29">
        <v>21600</v>
      </c>
      <c r="U2285" s="29">
        <v>435240</v>
      </c>
      <c r="V2285" t="s">
        <v>1262</v>
      </c>
      <c r="W2285" t="s">
        <v>1262</v>
      </c>
      <c r="X2285" s="29">
        <v>435240</v>
      </c>
      <c r="AA2285" s="30">
        <v>45862.397222222222</v>
      </c>
      <c r="AB2285" s="30">
        <v>45863.355555555558</v>
      </c>
      <c r="AC2285" s="30">
        <v>45862.397222222222</v>
      </c>
      <c r="AD2285" s="30">
        <v>45863.355555555558</v>
      </c>
      <c r="AE2285" s="30">
        <v>46202.447222222225</v>
      </c>
      <c r="AF2285" s="30">
        <v>46203.405555555553</v>
      </c>
      <c r="AG2285" t="s">
        <v>1266</v>
      </c>
      <c r="AK2285" t="s">
        <v>1265</v>
      </c>
      <c r="AL2285" t="s">
        <v>2392</v>
      </c>
      <c r="AM2285" t="s">
        <v>1263</v>
      </c>
      <c r="AN2285" t="s">
        <v>1262</v>
      </c>
      <c r="AO2285">
        <v>0</v>
      </c>
      <c r="AQ2285" t="s">
        <v>1261</v>
      </c>
      <c r="AR2285" t="s">
        <v>1260</v>
      </c>
      <c r="AS2285" t="s">
        <v>1259</v>
      </c>
      <c r="AT2285" s="30">
        <v>46069.523611111108</v>
      </c>
    </row>
    <row r="2286" spans="1:46" x14ac:dyDescent="0.25">
      <c r="A2286" t="s">
        <v>1248</v>
      </c>
      <c r="B2286">
        <v>248301</v>
      </c>
      <c r="C2286">
        <v>352278</v>
      </c>
      <c r="D2286">
        <v>405</v>
      </c>
      <c r="E2286" t="s">
        <v>1266</v>
      </c>
      <c r="H2286">
        <v>1852</v>
      </c>
      <c r="K2286" t="s">
        <v>2174</v>
      </c>
      <c r="L2286" t="s">
        <v>2174</v>
      </c>
      <c r="M2286" s="29">
        <v>287857142</v>
      </c>
      <c r="N2286">
        <v>0</v>
      </c>
      <c r="O2286" s="29">
        <v>287857142</v>
      </c>
      <c r="P2286">
        <v>0</v>
      </c>
      <c r="Q2286">
        <v>0</v>
      </c>
      <c r="R2286">
        <v>0</v>
      </c>
      <c r="T2286" s="29">
        <v>21600</v>
      </c>
      <c r="U2286" s="29">
        <v>435240</v>
      </c>
      <c r="V2286" t="s">
        <v>1262</v>
      </c>
      <c r="W2286" t="s">
        <v>1262</v>
      </c>
      <c r="X2286" s="29">
        <v>435240</v>
      </c>
      <c r="AA2286" s="30">
        <v>45860.438888888886</v>
      </c>
      <c r="AB2286" s="30">
        <v>45861.397222222222</v>
      </c>
      <c r="AC2286" s="30">
        <v>45860.438888888886</v>
      </c>
      <c r="AD2286" s="30">
        <v>45861.397222222222</v>
      </c>
      <c r="AE2286" s="30">
        <v>46184.447222222225</v>
      </c>
      <c r="AF2286" s="30">
        <v>46185.405555555553</v>
      </c>
      <c r="AG2286" t="s">
        <v>1266</v>
      </c>
      <c r="AK2286" t="s">
        <v>1265</v>
      </c>
      <c r="AL2286" t="s">
        <v>2391</v>
      </c>
      <c r="AM2286" t="s">
        <v>1263</v>
      </c>
      <c r="AN2286" t="s">
        <v>1262</v>
      </c>
      <c r="AO2286">
        <v>0</v>
      </c>
      <c r="AQ2286" t="s">
        <v>1261</v>
      </c>
      <c r="AR2286" t="s">
        <v>1260</v>
      </c>
      <c r="AS2286" t="s">
        <v>1259</v>
      </c>
      <c r="AT2286" s="30">
        <v>46069.523611111108</v>
      </c>
    </row>
    <row r="2287" spans="1:46" x14ac:dyDescent="0.25">
      <c r="A2287" t="s">
        <v>1248</v>
      </c>
      <c r="B2287">
        <v>248302</v>
      </c>
      <c r="C2287">
        <v>352285</v>
      </c>
      <c r="D2287">
        <v>405</v>
      </c>
      <c r="E2287" t="s">
        <v>1266</v>
      </c>
      <c r="H2287">
        <v>1852</v>
      </c>
      <c r="K2287" t="s">
        <v>2174</v>
      </c>
      <c r="L2287" t="s">
        <v>2174</v>
      </c>
      <c r="M2287" s="29">
        <v>287857142</v>
      </c>
      <c r="N2287">
        <v>0</v>
      </c>
      <c r="O2287" s="29">
        <v>287857142</v>
      </c>
      <c r="P2287">
        <v>0</v>
      </c>
      <c r="Q2287">
        <v>0</v>
      </c>
      <c r="R2287">
        <v>0</v>
      </c>
      <c r="T2287" s="29">
        <v>21600</v>
      </c>
      <c r="U2287" s="29">
        <v>435240</v>
      </c>
      <c r="V2287" t="s">
        <v>1262</v>
      </c>
      <c r="W2287" t="s">
        <v>1262</v>
      </c>
      <c r="X2287" s="29">
        <v>435240</v>
      </c>
      <c r="AA2287" s="30">
        <v>45856.480555555558</v>
      </c>
      <c r="AB2287" s="30">
        <v>45859.438888888886</v>
      </c>
      <c r="AC2287" s="30">
        <v>45856.480555555558</v>
      </c>
      <c r="AD2287" s="30">
        <v>45859.438888888886</v>
      </c>
      <c r="AE2287" s="30">
        <v>46167.447222222225</v>
      </c>
      <c r="AF2287" s="30">
        <v>46168.405555555553</v>
      </c>
      <c r="AG2287" t="s">
        <v>1266</v>
      </c>
      <c r="AK2287" t="s">
        <v>1265</v>
      </c>
      <c r="AL2287" t="s">
        <v>2390</v>
      </c>
      <c r="AM2287" t="s">
        <v>1263</v>
      </c>
      <c r="AN2287" t="s">
        <v>1262</v>
      </c>
      <c r="AO2287">
        <v>0</v>
      </c>
      <c r="AQ2287" t="s">
        <v>1261</v>
      </c>
      <c r="AR2287" t="s">
        <v>1260</v>
      </c>
      <c r="AS2287" t="s">
        <v>1259</v>
      </c>
      <c r="AT2287" s="30">
        <v>46069.523611111108</v>
      </c>
    </row>
    <row r="2288" spans="1:46" x14ac:dyDescent="0.25">
      <c r="A2288" t="s">
        <v>1248</v>
      </c>
      <c r="B2288">
        <v>248303</v>
      </c>
      <c r="C2288">
        <v>352292</v>
      </c>
      <c r="D2288">
        <v>405</v>
      </c>
      <c r="E2288" t="s">
        <v>1266</v>
      </c>
      <c r="H2288">
        <v>1852</v>
      </c>
      <c r="K2288" t="s">
        <v>2174</v>
      </c>
      <c r="L2288" t="s">
        <v>2174</v>
      </c>
      <c r="M2288" s="29">
        <v>287857142</v>
      </c>
      <c r="N2288">
        <v>0</v>
      </c>
      <c r="O2288" s="29">
        <v>287857142</v>
      </c>
      <c r="P2288">
        <v>0</v>
      </c>
      <c r="Q2288">
        <v>0</v>
      </c>
      <c r="R2288">
        <v>0</v>
      </c>
      <c r="T2288" s="29">
        <v>21600</v>
      </c>
      <c r="U2288" s="29">
        <v>435240</v>
      </c>
      <c r="V2288" t="s">
        <v>1262</v>
      </c>
      <c r="W2288" t="s">
        <v>1262</v>
      </c>
      <c r="X2288" s="29">
        <v>435240</v>
      </c>
      <c r="AA2288" s="30">
        <v>45854.563888888886</v>
      </c>
      <c r="AB2288" s="30">
        <v>45855.480555555558</v>
      </c>
      <c r="AC2288" s="30">
        <v>45854.563888888886</v>
      </c>
      <c r="AD2288" s="30">
        <v>45855.480555555558</v>
      </c>
      <c r="AE2288" s="30">
        <v>46149.447222222225</v>
      </c>
      <c r="AF2288" s="30">
        <v>46150.405555555553</v>
      </c>
      <c r="AG2288" t="s">
        <v>1266</v>
      </c>
      <c r="AK2288" t="s">
        <v>1265</v>
      </c>
      <c r="AL2288" t="s">
        <v>2389</v>
      </c>
      <c r="AM2288" t="s">
        <v>1263</v>
      </c>
      <c r="AN2288" t="s">
        <v>1262</v>
      </c>
      <c r="AO2288">
        <v>0</v>
      </c>
      <c r="AQ2288" t="s">
        <v>1261</v>
      </c>
      <c r="AR2288" t="s">
        <v>1260</v>
      </c>
      <c r="AS2288" t="s">
        <v>1259</v>
      </c>
      <c r="AT2288" s="30">
        <v>46069.523611111108</v>
      </c>
    </row>
    <row r="2289" spans="1:46" x14ac:dyDescent="0.25">
      <c r="A2289" t="s">
        <v>1248</v>
      </c>
      <c r="B2289">
        <v>248304</v>
      </c>
      <c r="C2289">
        <v>352299</v>
      </c>
      <c r="D2289">
        <v>405</v>
      </c>
      <c r="E2289" t="s">
        <v>1266</v>
      </c>
      <c r="H2289">
        <v>1852</v>
      </c>
      <c r="K2289" t="s">
        <v>2174</v>
      </c>
      <c r="L2289" t="s">
        <v>2174</v>
      </c>
      <c r="M2289" s="29">
        <v>287857142</v>
      </c>
      <c r="N2289">
        <v>0</v>
      </c>
      <c r="O2289" s="29">
        <v>287857142</v>
      </c>
      <c r="P2289">
        <v>0</v>
      </c>
      <c r="Q2289">
        <v>0</v>
      </c>
      <c r="R2289">
        <v>0</v>
      </c>
      <c r="T2289" s="29">
        <v>21600</v>
      </c>
      <c r="U2289" s="29">
        <v>435240</v>
      </c>
      <c r="V2289" t="s">
        <v>1262</v>
      </c>
      <c r="W2289" t="s">
        <v>1262</v>
      </c>
      <c r="X2289" s="29">
        <v>435240</v>
      </c>
      <c r="AA2289" s="30">
        <v>45852.605555555558</v>
      </c>
      <c r="AB2289" s="30">
        <v>45853.563888888886</v>
      </c>
      <c r="AC2289" s="30">
        <v>45852.605555555558</v>
      </c>
      <c r="AD2289" s="30">
        <v>45853.563888888886</v>
      </c>
      <c r="AE2289" s="30">
        <v>46132.447222222225</v>
      </c>
      <c r="AF2289" s="30">
        <v>46133.405555555553</v>
      </c>
      <c r="AG2289" t="s">
        <v>1266</v>
      </c>
      <c r="AK2289" t="s">
        <v>1265</v>
      </c>
      <c r="AL2289" t="s">
        <v>2388</v>
      </c>
      <c r="AM2289" t="s">
        <v>1263</v>
      </c>
      <c r="AN2289" t="s">
        <v>1262</v>
      </c>
      <c r="AO2289">
        <v>0</v>
      </c>
      <c r="AQ2289" t="s">
        <v>1261</v>
      </c>
      <c r="AR2289" t="s">
        <v>1260</v>
      </c>
      <c r="AS2289" t="s">
        <v>1259</v>
      </c>
      <c r="AT2289" s="30">
        <v>46069.523611111108</v>
      </c>
    </row>
    <row r="2290" spans="1:46" x14ac:dyDescent="0.25">
      <c r="A2290" t="s">
        <v>1248</v>
      </c>
      <c r="B2290">
        <v>248305</v>
      </c>
      <c r="C2290">
        <v>352306</v>
      </c>
      <c r="D2290">
        <v>405</v>
      </c>
      <c r="E2290" t="s">
        <v>1266</v>
      </c>
      <c r="H2290">
        <v>1852</v>
      </c>
      <c r="K2290" t="s">
        <v>2174</v>
      </c>
      <c r="L2290" t="s">
        <v>2174</v>
      </c>
      <c r="M2290" s="29">
        <v>287857142</v>
      </c>
      <c r="N2290">
        <v>0</v>
      </c>
      <c r="O2290" s="29">
        <v>287857142</v>
      </c>
      <c r="P2290">
        <v>0</v>
      </c>
      <c r="Q2290">
        <v>0</v>
      </c>
      <c r="R2290">
        <v>0</v>
      </c>
      <c r="T2290" s="29">
        <v>21600</v>
      </c>
      <c r="U2290" s="29">
        <v>435240</v>
      </c>
      <c r="V2290" t="s">
        <v>1262</v>
      </c>
      <c r="W2290" t="s">
        <v>1262</v>
      </c>
      <c r="X2290" s="29">
        <v>435240</v>
      </c>
      <c r="AA2290" s="30">
        <v>45838.463888888888</v>
      </c>
      <c r="AB2290" s="30">
        <v>45839.422222222223</v>
      </c>
      <c r="AC2290" s="30">
        <v>45838.463888888888</v>
      </c>
      <c r="AD2290" s="30">
        <v>45839.422222222223</v>
      </c>
      <c r="AE2290" s="30">
        <v>46113.447222222225</v>
      </c>
      <c r="AF2290" s="30">
        <v>46114.405555555553</v>
      </c>
      <c r="AG2290" t="s">
        <v>1266</v>
      </c>
      <c r="AK2290" t="s">
        <v>1265</v>
      </c>
      <c r="AL2290" t="s">
        <v>2387</v>
      </c>
      <c r="AM2290" t="s">
        <v>1263</v>
      </c>
      <c r="AN2290" t="s">
        <v>1262</v>
      </c>
      <c r="AO2290">
        <v>0</v>
      </c>
      <c r="AQ2290" t="s">
        <v>1261</v>
      </c>
      <c r="AR2290" t="s">
        <v>1260</v>
      </c>
      <c r="AS2290" t="s">
        <v>1259</v>
      </c>
      <c r="AT2290" s="30">
        <v>46069.523611111108</v>
      </c>
    </row>
    <row r="2291" spans="1:46" x14ac:dyDescent="0.25">
      <c r="A2291" t="s">
        <v>1248</v>
      </c>
      <c r="B2291">
        <v>248306</v>
      </c>
      <c r="C2291">
        <v>352313</v>
      </c>
      <c r="D2291">
        <v>405</v>
      </c>
      <c r="E2291" t="s">
        <v>1266</v>
      </c>
      <c r="H2291">
        <v>1852</v>
      </c>
      <c r="K2291" t="s">
        <v>2174</v>
      </c>
      <c r="L2291" t="s">
        <v>2174</v>
      </c>
      <c r="M2291" s="29">
        <v>287857142</v>
      </c>
      <c r="N2291">
        <v>0</v>
      </c>
      <c r="O2291" s="29">
        <v>287857142</v>
      </c>
      <c r="P2291">
        <v>0</v>
      </c>
      <c r="Q2291">
        <v>0</v>
      </c>
      <c r="R2291">
        <v>0</v>
      </c>
      <c r="T2291" s="29">
        <v>21600</v>
      </c>
      <c r="U2291" s="29">
        <v>435240</v>
      </c>
      <c r="V2291" t="s">
        <v>1262</v>
      </c>
      <c r="W2291" t="s">
        <v>1262</v>
      </c>
      <c r="X2291" s="29">
        <v>435240</v>
      </c>
      <c r="AA2291" s="30">
        <v>45833.672222222223</v>
      </c>
      <c r="AB2291" s="30">
        <v>45834.630555555559</v>
      </c>
      <c r="AC2291" s="30">
        <v>45833.672222222223</v>
      </c>
      <c r="AD2291" s="30">
        <v>45834.630555555559</v>
      </c>
      <c r="AE2291" s="30">
        <v>46097.447222222225</v>
      </c>
      <c r="AF2291" s="30">
        <v>46098.405555555553</v>
      </c>
      <c r="AG2291" t="s">
        <v>1266</v>
      </c>
      <c r="AK2291" t="s">
        <v>1265</v>
      </c>
      <c r="AL2291" t="s">
        <v>2386</v>
      </c>
      <c r="AM2291" t="s">
        <v>1263</v>
      </c>
      <c r="AN2291" t="s">
        <v>1262</v>
      </c>
      <c r="AO2291">
        <v>0</v>
      </c>
      <c r="AQ2291" t="s">
        <v>1261</v>
      </c>
      <c r="AR2291" t="s">
        <v>1260</v>
      </c>
      <c r="AS2291" t="s">
        <v>1259</v>
      </c>
      <c r="AT2291" s="30">
        <v>46069.523611111108</v>
      </c>
    </row>
    <row r="2292" spans="1:46" x14ac:dyDescent="0.25">
      <c r="A2292" t="s">
        <v>1248</v>
      </c>
      <c r="B2292">
        <v>248307</v>
      </c>
      <c r="C2292">
        <v>352320</v>
      </c>
      <c r="D2292">
        <v>405</v>
      </c>
      <c r="E2292" t="s">
        <v>1266</v>
      </c>
      <c r="H2292">
        <v>1852</v>
      </c>
      <c r="K2292" t="s">
        <v>2174</v>
      </c>
      <c r="L2292" t="s">
        <v>2174</v>
      </c>
      <c r="M2292" s="29">
        <v>287857142</v>
      </c>
      <c r="N2292">
        <v>0</v>
      </c>
      <c r="O2292" s="29">
        <v>287857142</v>
      </c>
      <c r="P2292">
        <v>0</v>
      </c>
      <c r="Q2292">
        <v>0</v>
      </c>
      <c r="R2292">
        <v>0</v>
      </c>
      <c r="T2292" s="29">
        <v>21600</v>
      </c>
      <c r="U2292" s="29">
        <v>435240</v>
      </c>
      <c r="V2292" t="s">
        <v>1262</v>
      </c>
      <c r="W2292" t="s">
        <v>1262</v>
      </c>
      <c r="X2292" s="29">
        <v>435240</v>
      </c>
      <c r="AA2292" s="30">
        <v>45832.338888888888</v>
      </c>
      <c r="AB2292" s="30">
        <v>45832.672222222223</v>
      </c>
      <c r="AC2292" s="30">
        <v>45832.338888888888</v>
      </c>
      <c r="AD2292" s="30">
        <v>45832.672222222223</v>
      </c>
      <c r="AE2292" s="30">
        <v>46079.447222222225</v>
      </c>
      <c r="AF2292" s="30">
        <v>46080.405555555553</v>
      </c>
      <c r="AG2292" t="s">
        <v>1266</v>
      </c>
      <c r="AK2292" t="s">
        <v>1265</v>
      </c>
      <c r="AL2292" t="s">
        <v>2385</v>
      </c>
      <c r="AM2292" t="s">
        <v>1263</v>
      </c>
      <c r="AN2292" t="s">
        <v>1262</v>
      </c>
      <c r="AO2292">
        <v>0</v>
      </c>
      <c r="AQ2292" t="s">
        <v>1261</v>
      </c>
      <c r="AR2292" t="s">
        <v>1260</v>
      </c>
      <c r="AS2292" t="s">
        <v>1259</v>
      </c>
      <c r="AT2292" s="30">
        <v>46069.523611111108</v>
      </c>
    </row>
    <row r="2293" spans="1:46" x14ac:dyDescent="0.25">
      <c r="A2293" t="s">
        <v>1248</v>
      </c>
      <c r="B2293">
        <v>248308</v>
      </c>
      <c r="C2293">
        <v>352327</v>
      </c>
      <c r="D2293">
        <v>405</v>
      </c>
      <c r="E2293" t="s">
        <v>1266</v>
      </c>
      <c r="H2293">
        <v>1852</v>
      </c>
      <c r="K2293" t="s">
        <v>2174</v>
      </c>
      <c r="L2293" t="s">
        <v>2174</v>
      </c>
      <c r="M2293" s="29">
        <v>287857142</v>
      </c>
      <c r="N2293">
        <v>0</v>
      </c>
      <c r="O2293" s="29">
        <v>287857142</v>
      </c>
      <c r="P2293">
        <v>0</v>
      </c>
      <c r="Q2293">
        <v>0</v>
      </c>
      <c r="R2293">
        <v>0</v>
      </c>
      <c r="T2293" s="29">
        <v>21600</v>
      </c>
      <c r="U2293" s="29">
        <v>435240</v>
      </c>
      <c r="V2293" t="s">
        <v>1262</v>
      </c>
      <c r="W2293" t="s">
        <v>1262</v>
      </c>
      <c r="X2293" s="29">
        <v>435240</v>
      </c>
      <c r="AA2293" s="30">
        <v>45828.380555555559</v>
      </c>
      <c r="AB2293" s="30">
        <v>45831.338888888888</v>
      </c>
      <c r="AC2293" s="30">
        <v>45828.380555555559</v>
      </c>
      <c r="AD2293" s="30">
        <v>45831.338888888888</v>
      </c>
      <c r="AE2293" s="30">
        <v>46063.447222222225</v>
      </c>
      <c r="AF2293" s="30">
        <v>46064.405555555553</v>
      </c>
      <c r="AG2293" t="s">
        <v>1266</v>
      </c>
      <c r="AK2293" t="s">
        <v>1265</v>
      </c>
      <c r="AL2293" t="s">
        <v>2384</v>
      </c>
      <c r="AM2293" t="s">
        <v>1263</v>
      </c>
      <c r="AN2293" t="s">
        <v>1262</v>
      </c>
      <c r="AO2293">
        <v>0</v>
      </c>
      <c r="AQ2293" t="s">
        <v>1261</v>
      </c>
      <c r="AR2293" t="s">
        <v>1260</v>
      </c>
      <c r="AS2293" t="s">
        <v>1259</v>
      </c>
      <c r="AT2293" s="30">
        <v>46069.523611111108</v>
      </c>
    </row>
    <row r="2294" spans="1:46" x14ac:dyDescent="0.25">
      <c r="A2294" t="s">
        <v>1248</v>
      </c>
      <c r="B2294">
        <v>248309</v>
      </c>
      <c r="C2294">
        <v>352334</v>
      </c>
      <c r="D2294">
        <v>405</v>
      </c>
      <c r="E2294" t="s">
        <v>1266</v>
      </c>
      <c r="H2294">
        <v>1852</v>
      </c>
      <c r="K2294" t="s">
        <v>2174</v>
      </c>
      <c r="L2294" t="s">
        <v>2174</v>
      </c>
      <c r="M2294" s="29">
        <v>287857142</v>
      </c>
      <c r="N2294">
        <v>0</v>
      </c>
      <c r="O2294" s="29">
        <v>287857142</v>
      </c>
      <c r="P2294">
        <v>0</v>
      </c>
      <c r="Q2294">
        <v>0</v>
      </c>
      <c r="R2294">
        <v>0</v>
      </c>
      <c r="T2294" s="29">
        <v>21600</v>
      </c>
      <c r="U2294" s="29">
        <v>435240</v>
      </c>
      <c r="V2294" t="s">
        <v>1262</v>
      </c>
      <c r="W2294" t="s">
        <v>1262</v>
      </c>
      <c r="X2294" s="29">
        <v>435240</v>
      </c>
      <c r="AA2294" s="30">
        <v>45826.422222222223</v>
      </c>
      <c r="AB2294" s="30">
        <v>45827.380555555559</v>
      </c>
      <c r="AC2294" s="30">
        <v>45826.422222222223</v>
      </c>
      <c r="AD2294" s="30">
        <v>45827.380555555559</v>
      </c>
      <c r="AE2294" s="30">
        <v>46045.447222222225</v>
      </c>
      <c r="AF2294" s="30">
        <v>46048.405555555553</v>
      </c>
      <c r="AG2294" t="s">
        <v>1266</v>
      </c>
      <c r="AK2294" t="s">
        <v>1265</v>
      </c>
      <c r="AL2294" t="s">
        <v>2383</v>
      </c>
      <c r="AM2294" t="s">
        <v>1263</v>
      </c>
      <c r="AN2294" t="s">
        <v>1262</v>
      </c>
      <c r="AO2294">
        <v>0</v>
      </c>
      <c r="AQ2294" t="s">
        <v>1261</v>
      </c>
      <c r="AR2294" t="s">
        <v>1260</v>
      </c>
      <c r="AS2294" t="s">
        <v>1259</v>
      </c>
      <c r="AT2294" s="30">
        <v>46069.523611111108</v>
      </c>
    </row>
    <row r="2295" spans="1:46" x14ac:dyDescent="0.25">
      <c r="A2295" t="s">
        <v>1248</v>
      </c>
      <c r="B2295">
        <v>248310</v>
      </c>
      <c r="C2295">
        <v>352341</v>
      </c>
      <c r="D2295">
        <v>405</v>
      </c>
      <c r="E2295" t="s">
        <v>1266</v>
      </c>
      <c r="H2295">
        <v>1852</v>
      </c>
      <c r="K2295" t="s">
        <v>2174</v>
      </c>
      <c r="L2295" t="s">
        <v>2174</v>
      </c>
      <c r="M2295" s="29">
        <v>287857142</v>
      </c>
      <c r="N2295">
        <v>0</v>
      </c>
      <c r="O2295" s="29">
        <v>287857142</v>
      </c>
      <c r="P2295">
        <v>0</v>
      </c>
      <c r="Q2295">
        <v>0</v>
      </c>
      <c r="R2295">
        <v>0</v>
      </c>
      <c r="T2295" s="29">
        <v>21600</v>
      </c>
      <c r="U2295" s="29">
        <v>435240</v>
      </c>
      <c r="V2295" t="s">
        <v>1262</v>
      </c>
      <c r="W2295" t="s">
        <v>1262</v>
      </c>
      <c r="X2295" s="29">
        <v>435240</v>
      </c>
      <c r="AA2295" s="30">
        <v>45824.463888888888</v>
      </c>
      <c r="AB2295" s="30">
        <v>45825.422222222223</v>
      </c>
      <c r="AC2295" s="30">
        <v>45824.463888888888</v>
      </c>
      <c r="AD2295" s="30">
        <v>45825.422222222223</v>
      </c>
      <c r="AE2295" s="30">
        <v>46029.405555555553</v>
      </c>
      <c r="AF2295" s="30">
        <v>46030.363888888889</v>
      </c>
      <c r="AG2295" t="s">
        <v>1266</v>
      </c>
      <c r="AK2295" t="s">
        <v>1265</v>
      </c>
      <c r="AL2295" t="s">
        <v>2382</v>
      </c>
      <c r="AM2295" t="s">
        <v>1263</v>
      </c>
      <c r="AN2295" t="s">
        <v>1262</v>
      </c>
      <c r="AO2295">
        <v>0</v>
      </c>
      <c r="AQ2295" t="s">
        <v>1261</v>
      </c>
      <c r="AR2295" t="s">
        <v>1260</v>
      </c>
      <c r="AS2295" t="s">
        <v>1259</v>
      </c>
      <c r="AT2295" s="30">
        <v>46069.523611111108</v>
      </c>
    </row>
    <row r="2296" spans="1:46" x14ac:dyDescent="0.25">
      <c r="A2296" t="s">
        <v>1248</v>
      </c>
      <c r="B2296">
        <v>248311</v>
      </c>
      <c r="C2296">
        <v>352348</v>
      </c>
      <c r="D2296">
        <v>405</v>
      </c>
      <c r="E2296" t="s">
        <v>1266</v>
      </c>
      <c r="H2296">
        <v>1852</v>
      </c>
      <c r="K2296" t="s">
        <v>2174</v>
      </c>
      <c r="L2296" t="s">
        <v>2174</v>
      </c>
      <c r="M2296" s="29">
        <v>287857142</v>
      </c>
      <c r="N2296">
        <v>0</v>
      </c>
      <c r="O2296" s="29">
        <v>287857142</v>
      </c>
      <c r="P2296">
        <v>0</v>
      </c>
      <c r="Q2296">
        <v>0</v>
      </c>
      <c r="R2296">
        <v>0</v>
      </c>
      <c r="T2296" s="29">
        <v>21600</v>
      </c>
      <c r="U2296" s="29">
        <v>435240</v>
      </c>
      <c r="V2296" t="s">
        <v>1262</v>
      </c>
      <c r="W2296" t="s">
        <v>1262</v>
      </c>
      <c r="X2296" s="29">
        <v>435240</v>
      </c>
      <c r="AA2296" s="30">
        <v>45814.422222222223</v>
      </c>
      <c r="AB2296" s="30">
        <v>45817.380555555559</v>
      </c>
      <c r="AC2296" s="30">
        <v>45814.422222222223</v>
      </c>
      <c r="AD2296" s="30">
        <v>45817.380555555559</v>
      </c>
      <c r="AE2296" s="30">
        <v>46008.363888888889</v>
      </c>
      <c r="AF2296" s="30">
        <v>46008.697222222225</v>
      </c>
      <c r="AG2296" t="s">
        <v>1266</v>
      </c>
      <c r="AK2296" t="s">
        <v>1265</v>
      </c>
      <c r="AL2296" t="s">
        <v>2381</v>
      </c>
      <c r="AM2296" t="s">
        <v>1263</v>
      </c>
      <c r="AN2296" t="s">
        <v>1262</v>
      </c>
      <c r="AO2296">
        <v>0</v>
      </c>
      <c r="AQ2296" t="s">
        <v>1261</v>
      </c>
      <c r="AR2296" t="s">
        <v>1260</v>
      </c>
      <c r="AS2296" t="s">
        <v>1259</v>
      </c>
      <c r="AT2296" s="30">
        <v>46069.523611111108</v>
      </c>
    </row>
    <row r="2297" spans="1:46" x14ac:dyDescent="0.25">
      <c r="A2297" t="s">
        <v>1248</v>
      </c>
      <c r="B2297">
        <v>248312</v>
      </c>
      <c r="C2297">
        <v>352355</v>
      </c>
      <c r="D2297">
        <v>405</v>
      </c>
      <c r="E2297" t="s">
        <v>1266</v>
      </c>
      <c r="H2297">
        <v>1852</v>
      </c>
      <c r="K2297" t="s">
        <v>2174</v>
      </c>
      <c r="L2297" t="s">
        <v>2174</v>
      </c>
      <c r="M2297" s="29">
        <v>287857142</v>
      </c>
      <c r="N2297">
        <v>0</v>
      </c>
      <c r="O2297" s="29">
        <v>287857142</v>
      </c>
      <c r="P2297">
        <v>0</v>
      </c>
      <c r="Q2297">
        <v>0</v>
      </c>
      <c r="R2297">
        <v>0</v>
      </c>
      <c r="T2297" s="29">
        <v>21600</v>
      </c>
      <c r="U2297" s="29">
        <v>435240</v>
      </c>
      <c r="V2297" t="s">
        <v>1262</v>
      </c>
      <c r="W2297" t="s">
        <v>1262</v>
      </c>
      <c r="X2297" s="29">
        <v>435240</v>
      </c>
      <c r="AA2297" s="30">
        <v>45813.463888888888</v>
      </c>
      <c r="AB2297" s="30">
        <v>45814.422222222223</v>
      </c>
      <c r="AC2297" s="30">
        <v>45813.463888888888</v>
      </c>
      <c r="AD2297" s="30">
        <v>45814.422222222223</v>
      </c>
      <c r="AE2297" s="30">
        <v>46002.363888888889</v>
      </c>
      <c r="AF2297" s="30">
        <v>46002.697222222225</v>
      </c>
      <c r="AG2297" t="s">
        <v>1266</v>
      </c>
      <c r="AK2297" t="s">
        <v>1265</v>
      </c>
      <c r="AL2297" t="s">
        <v>2380</v>
      </c>
      <c r="AM2297" t="s">
        <v>1263</v>
      </c>
      <c r="AN2297" t="s">
        <v>1262</v>
      </c>
      <c r="AO2297">
        <v>0</v>
      </c>
      <c r="AQ2297" t="s">
        <v>1261</v>
      </c>
      <c r="AR2297" t="s">
        <v>1260</v>
      </c>
      <c r="AS2297" t="s">
        <v>1259</v>
      </c>
      <c r="AT2297" s="30">
        <v>46069.523611111108</v>
      </c>
    </row>
    <row r="2298" spans="1:46" x14ac:dyDescent="0.25">
      <c r="A2298" t="s">
        <v>1248</v>
      </c>
      <c r="B2298">
        <v>248313</v>
      </c>
      <c r="C2298">
        <v>352362</v>
      </c>
      <c r="D2298">
        <v>405</v>
      </c>
      <c r="E2298" t="s">
        <v>1266</v>
      </c>
      <c r="H2298">
        <v>1852</v>
      </c>
      <c r="K2298" t="s">
        <v>2174</v>
      </c>
      <c r="L2298" t="s">
        <v>2174</v>
      </c>
      <c r="M2298" s="29">
        <v>287857142</v>
      </c>
      <c r="N2298">
        <v>0</v>
      </c>
      <c r="O2298" s="29">
        <v>287857142</v>
      </c>
      <c r="P2298">
        <v>0</v>
      </c>
      <c r="Q2298">
        <v>0</v>
      </c>
      <c r="R2298">
        <v>0</v>
      </c>
      <c r="T2298" s="29">
        <v>21600</v>
      </c>
      <c r="U2298" s="29">
        <v>435240</v>
      </c>
      <c r="V2298" t="s">
        <v>1262</v>
      </c>
      <c r="W2298" t="s">
        <v>1262</v>
      </c>
      <c r="X2298" s="29">
        <v>435240</v>
      </c>
      <c r="AA2298" s="30">
        <v>45812.547222222223</v>
      </c>
      <c r="AB2298" s="30">
        <v>45813.463888888888</v>
      </c>
      <c r="AC2298" s="30">
        <v>45812.547222222223</v>
      </c>
      <c r="AD2298" s="30">
        <v>45813.463888888888</v>
      </c>
      <c r="AE2298" s="30">
        <v>45869.405555555553</v>
      </c>
      <c r="AF2298" s="30">
        <v>45870.363888888889</v>
      </c>
      <c r="AG2298" t="s">
        <v>1266</v>
      </c>
      <c r="AK2298" t="s">
        <v>1265</v>
      </c>
      <c r="AL2298" t="s">
        <v>2379</v>
      </c>
      <c r="AM2298" t="s">
        <v>1263</v>
      </c>
      <c r="AN2298" t="s">
        <v>1262</v>
      </c>
      <c r="AO2298">
        <v>0</v>
      </c>
      <c r="AQ2298" t="s">
        <v>1261</v>
      </c>
      <c r="AR2298" t="s">
        <v>1260</v>
      </c>
      <c r="AS2298" t="s">
        <v>1259</v>
      </c>
      <c r="AT2298" s="30">
        <v>46069.523611111108</v>
      </c>
    </row>
    <row r="2299" spans="1:46" x14ac:dyDescent="0.25">
      <c r="A2299" t="s">
        <v>1248</v>
      </c>
      <c r="B2299">
        <v>248314</v>
      </c>
      <c r="C2299">
        <v>352194</v>
      </c>
      <c r="D2299">
        <v>405</v>
      </c>
      <c r="E2299" t="s">
        <v>1266</v>
      </c>
      <c r="H2299">
        <v>1855</v>
      </c>
      <c r="K2299" t="s">
        <v>1437</v>
      </c>
      <c r="L2299" t="s">
        <v>1437</v>
      </c>
      <c r="M2299" s="29">
        <v>287571428</v>
      </c>
      <c r="N2299">
        <v>0</v>
      </c>
      <c r="O2299" s="29">
        <v>287571428</v>
      </c>
      <c r="P2299">
        <v>0</v>
      </c>
      <c r="Q2299">
        <v>0</v>
      </c>
      <c r="R2299">
        <v>0</v>
      </c>
      <c r="T2299" s="29">
        <v>35000</v>
      </c>
      <c r="U2299" s="29">
        <v>704550</v>
      </c>
      <c r="V2299" t="s">
        <v>1262</v>
      </c>
      <c r="W2299" t="s">
        <v>1262</v>
      </c>
      <c r="X2299" s="29">
        <v>704550</v>
      </c>
      <c r="AA2299" s="30">
        <v>45904.463888888888</v>
      </c>
      <c r="AB2299" s="30">
        <v>45905.422222222223</v>
      </c>
      <c r="AC2299" s="30">
        <v>45904.463888888888</v>
      </c>
      <c r="AD2299" s="30">
        <v>45905.422222222223</v>
      </c>
      <c r="AE2299" s="30">
        <v>46395.541666666664</v>
      </c>
      <c r="AF2299" s="30">
        <v>46398.458333333336</v>
      </c>
      <c r="AG2299" t="s">
        <v>1266</v>
      </c>
      <c r="AK2299" t="s">
        <v>1265</v>
      </c>
      <c r="AL2299" t="s">
        <v>2378</v>
      </c>
      <c r="AM2299" t="s">
        <v>1263</v>
      </c>
      <c r="AN2299" t="s">
        <v>1262</v>
      </c>
      <c r="AO2299">
        <v>0</v>
      </c>
      <c r="AQ2299" t="s">
        <v>1261</v>
      </c>
      <c r="AR2299" t="s">
        <v>1260</v>
      </c>
      <c r="AS2299" t="s">
        <v>1259</v>
      </c>
      <c r="AT2299" s="30">
        <v>46069.523611111108</v>
      </c>
    </row>
    <row r="2300" spans="1:46" x14ac:dyDescent="0.25">
      <c r="A2300" t="s">
        <v>1248</v>
      </c>
      <c r="B2300">
        <v>248315</v>
      </c>
      <c r="C2300">
        <v>352201</v>
      </c>
      <c r="D2300">
        <v>405</v>
      </c>
      <c r="E2300" t="s">
        <v>1266</v>
      </c>
      <c r="H2300">
        <v>1855</v>
      </c>
      <c r="K2300" t="s">
        <v>1437</v>
      </c>
      <c r="L2300" t="s">
        <v>1437</v>
      </c>
      <c r="M2300" s="29">
        <v>287571428</v>
      </c>
      <c r="N2300">
        <v>0</v>
      </c>
      <c r="O2300" s="29">
        <v>287571428</v>
      </c>
      <c r="P2300">
        <v>0</v>
      </c>
      <c r="Q2300">
        <v>0</v>
      </c>
      <c r="R2300">
        <v>0</v>
      </c>
      <c r="T2300" s="29">
        <v>35000</v>
      </c>
      <c r="U2300" s="29">
        <v>704550</v>
      </c>
      <c r="V2300" t="s">
        <v>1262</v>
      </c>
      <c r="W2300" t="s">
        <v>1262</v>
      </c>
      <c r="X2300" s="29">
        <v>704550</v>
      </c>
      <c r="AA2300" s="30">
        <v>45901.463888888888</v>
      </c>
      <c r="AB2300" s="30">
        <v>45902.422222222223</v>
      </c>
      <c r="AC2300" s="30">
        <v>45901.463888888888</v>
      </c>
      <c r="AD2300" s="30">
        <v>45902.422222222223</v>
      </c>
      <c r="AE2300" s="30">
        <v>46374.541666666664</v>
      </c>
      <c r="AF2300" s="30">
        <v>46377.458333333336</v>
      </c>
      <c r="AG2300" t="s">
        <v>1266</v>
      </c>
      <c r="AK2300" t="s">
        <v>1265</v>
      </c>
      <c r="AL2300" t="s">
        <v>2377</v>
      </c>
      <c r="AM2300" t="s">
        <v>1263</v>
      </c>
      <c r="AN2300" t="s">
        <v>1262</v>
      </c>
      <c r="AO2300">
        <v>0</v>
      </c>
      <c r="AQ2300" t="s">
        <v>1261</v>
      </c>
      <c r="AR2300" t="s">
        <v>1260</v>
      </c>
      <c r="AS2300" t="s">
        <v>1259</v>
      </c>
      <c r="AT2300" s="30">
        <v>46069.523611111108</v>
      </c>
    </row>
    <row r="2301" spans="1:46" x14ac:dyDescent="0.25">
      <c r="A2301" t="s">
        <v>1248</v>
      </c>
      <c r="B2301">
        <v>248316</v>
      </c>
      <c r="C2301">
        <v>352208</v>
      </c>
      <c r="D2301">
        <v>405</v>
      </c>
      <c r="E2301" t="s">
        <v>1266</v>
      </c>
      <c r="H2301">
        <v>1855</v>
      </c>
      <c r="K2301" t="s">
        <v>1437</v>
      </c>
      <c r="L2301" t="s">
        <v>1437</v>
      </c>
      <c r="M2301" s="29">
        <v>287571428</v>
      </c>
      <c r="N2301">
        <v>0</v>
      </c>
      <c r="O2301" s="29">
        <v>287571428</v>
      </c>
      <c r="P2301">
        <v>0</v>
      </c>
      <c r="Q2301">
        <v>0</v>
      </c>
      <c r="R2301">
        <v>0</v>
      </c>
      <c r="T2301" s="29">
        <v>35000</v>
      </c>
      <c r="U2301" s="29">
        <v>704550</v>
      </c>
      <c r="V2301" t="s">
        <v>1262</v>
      </c>
      <c r="W2301" t="s">
        <v>1262</v>
      </c>
      <c r="X2301" s="29">
        <v>704550</v>
      </c>
      <c r="AA2301" s="30">
        <v>45896.463888888888</v>
      </c>
      <c r="AB2301" s="30">
        <v>45897.422222222223</v>
      </c>
      <c r="AC2301" s="30">
        <v>45896.463888888888</v>
      </c>
      <c r="AD2301" s="30">
        <v>45897.422222222223</v>
      </c>
      <c r="AE2301" s="30">
        <v>46357.541666666664</v>
      </c>
      <c r="AF2301" s="30">
        <v>46358.458333333336</v>
      </c>
      <c r="AG2301" t="s">
        <v>1266</v>
      </c>
      <c r="AK2301" t="s">
        <v>1265</v>
      </c>
      <c r="AL2301" t="s">
        <v>2376</v>
      </c>
      <c r="AM2301" t="s">
        <v>1263</v>
      </c>
      <c r="AN2301" t="s">
        <v>1262</v>
      </c>
      <c r="AO2301">
        <v>0</v>
      </c>
      <c r="AQ2301" t="s">
        <v>1261</v>
      </c>
      <c r="AR2301" t="s">
        <v>1260</v>
      </c>
      <c r="AS2301" t="s">
        <v>1259</v>
      </c>
      <c r="AT2301" s="30">
        <v>46069.523611111108</v>
      </c>
    </row>
    <row r="2302" spans="1:46" x14ac:dyDescent="0.25">
      <c r="A2302" t="s">
        <v>1248</v>
      </c>
      <c r="B2302">
        <v>248317</v>
      </c>
      <c r="C2302">
        <v>352215</v>
      </c>
      <c r="D2302">
        <v>405</v>
      </c>
      <c r="E2302" t="s">
        <v>1266</v>
      </c>
      <c r="H2302">
        <v>1855</v>
      </c>
      <c r="K2302" t="s">
        <v>1437</v>
      </c>
      <c r="L2302" t="s">
        <v>1437</v>
      </c>
      <c r="M2302" s="29">
        <v>287571428</v>
      </c>
      <c r="N2302">
        <v>0</v>
      </c>
      <c r="O2302" s="29">
        <v>287571428</v>
      </c>
      <c r="P2302">
        <v>0</v>
      </c>
      <c r="Q2302">
        <v>0</v>
      </c>
      <c r="R2302">
        <v>0</v>
      </c>
      <c r="T2302" s="29">
        <v>35000</v>
      </c>
      <c r="U2302" s="29">
        <v>704550</v>
      </c>
      <c r="V2302" t="s">
        <v>1262</v>
      </c>
      <c r="W2302" t="s">
        <v>1262</v>
      </c>
      <c r="X2302" s="29">
        <v>704550</v>
      </c>
      <c r="AA2302" s="30">
        <v>45891.463888888888</v>
      </c>
      <c r="AB2302" s="30">
        <v>45894.422222222223</v>
      </c>
      <c r="AC2302" s="30">
        <v>45891.463888888888</v>
      </c>
      <c r="AD2302" s="30">
        <v>45894.422222222223</v>
      </c>
      <c r="AE2302" s="30">
        <v>46339.541666666664</v>
      </c>
      <c r="AF2302" s="30">
        <v>46342.458333333336</v>
      </c>
      <c r="AG2302" t="s">
        <v>1266</v>
      </c>
      <c r="AK2302" t="s">
        <v>1265</v>
      </c>
      <c r="AL2302" t="s">
        <v>2375</v>
      </c>
      <c r="AM2302" t="s">
        <v>1263</v>
      </c>
      <c r="AN2302" t="s">
        <v>1262</v>
      </c>
      <c r="AO2302">
        <v>0</v>
      </c>
      <c r="AQ2302" t="s">
        <v>1261</v>
      </c>
      <c r="AR2302" t="s">
        <v>1260</v>
      </c>
      <c r="AS2302" t="s">
        <v>1259</v>
      </c>
      <c r="AT2302" s="30">
        <v>46069.523611111108</v>
      </c>
    </row>
    <row r="2303" spans="1:46" x14ac:dyDescent="0.25">
      <c r="A2303" t="s">
        <v>1248</v>
      </c>
      <c r="B2303">
        <v>248318</v>
      </c>
      <c r="C2303">
        <v>352222</v>
      </c>
      <c r="D2303">
        <v>405</v>
      </c>
      <c r="E2303" t="s">
        <v>1266</v>
      </c>
      <c r="H2303">
        <v>1855</v>
      </c>
      <c r="K2303" t="s">
        <v>1437</v>
      </c>
      <c r="L2303" t="s">
        <v>1437</v>
      </c>
      <c r="M2303" s="29">
        <v>287571428</v>
      </c>
      <c r="N2303">
        <v>0</v>
      </c>
      <c r="O2303" s="29">
        <v>287571428</v>
      </c>
      <c r="P2303">
        <v>0</v>
      </c>
      <c r="Q2303">
        <v>0</v>
      </c>
      <c r="R2303">
        <v>0</v>
      </c>
      <c r="T2303" s="29">
        <v>35000</v>
      </c>
      <c r="U2303" s="29">
        <v>704550</v>
      </c>
      <c r="V2303" t="s">
        <v>1262</v>
      </c>
      <c r="W2303" t="s">
        <v>1262</v>
      </c>
      <c r="X2303" s="29">
        <v>704550</v>
      </c>
      <c r="AA2303" s="30">
        <v>45888.630555555559</v>
      </c>
      <c r="AB2303" s="30">
        <v>45889.588888888888</v>
      </c>
      <c r="AC2303" s="30">
        <v>45888.630555555559</v>
      </c>
      <c r="AD2303" s="30">
        <v>45889.588888888888</v>
      </c>
      <c r="AE2303" s="30">
        <v>46323.541666666664</v>
      </c>
      <c r="AF2303" s="30">
        <v>46324.458333333336</v>
      </c>
      <c r="AG2303" t="s">
        <v>1266</v>
      </c>
      <c r="AK2303" t="s">
        <v>1265</v>
      </c>
      <c r="AL2303" t="s">
        <v>2374</v>
      </c>
      <c r="AM2303" t="s">
        <v>1263</v>
      </c>
      <c r="AN2303" t="s">
        <v>1262</v>
      </c>
      <c r="AO2303">
        <v>0</v>
      </c>
      <c r="AQ2303" t="s">
        <v>1261</v>
      </c>
      <c r="AR2303" t="s">
        <v>1260</v>
      </c>
      <c r="AS2303" t="s">
        <v>1259</v>
      </c>
      <c r="AT2303" s="30">
        <v>46069.523611111108</v>
      </c>
    </row>
    <row r="2304" spans="1:46" x14ac:dyDescent="0.25">
      <c r="A2304" t="s">
        <v>1248</v>
      </c>
      <c r="B2304">
        <v>248319</v>
      </c>
      <c r="C2304">
        <v>352229</v>
      </c>
      <c r="D2304">
        <v>405</v>
      </c>
      <c r="E2304" t="s">
        <v>1266</v>
      </c>
      <c r="H2304">
        <v>1855</v>
      </c>
      <c r="K2304" t="s">
        <v>1437</v>
      </c>
      <c r="L2304" t="s">
        <v>1437</v>
      </c>
      <c r="M2304" s="29">
        <v>287571428</v>
      </c>
      <c r="N2304">
        <v>0</v>
      </c>
      <c r="O2304" s="29">
        <v>287571428</v>
      </c>
      <c r="P2304">
        <v>0</v>
      </c>
      <c r="Q2304">
        <v>0</v>
      </c>
      <c r="R2304">
        <v>0</v>
      </c>
      <c r="T2304" s="29">
        <v>35000</v>
      </c>
      <c r="U2304" s="29">
        <v>704550</v>
      </c>
      <c r="V2304" t="s">
        <v>1262</v>
      </c>
      <c r="W2304" t="s">
        <v>1262</v>
      </c>
      <c r="X2304" s="29">
        <v>704550</v>
      </c>
      <c r="AA2304" s="30">
        <v>45884.672222222223</v>
      </c>
      <c r="AB2304" s="30">
        <v>45887.630555555559</v>
      </c>
      <c r="AC2304" s="30">
        <v>45884.672222222223</v>
      </c>
      <c r="AD2304" s="30">
        <v>45887.630555555559</v>
      </c>
      <c r="AE2304" s="30">
        <v>46307.541666666664</v>
      </c>
      <c r="AF2304" s="30">
        <v>46308.458333333336</v>
      </c>
      <c r="AG2304" t="s">
        <v>1266</v>
      </c>
      <c r="AK2304" t="s">
        <v>1265</v>
      </c>
      <c r="AL2304" t="s">
        <v>2373</v>
      </c>
      <c r="AM2304" t="s">
        <v>1263</v>
      </c>
      <c r="AN2304" t="s">
        <v>1262</v>
      </c>
      <c r="AO2304">
        <v>0</v>
      </c>
      <c r="AQ2304" t="s">
        <v>1261</v>
      </c>
      <c r="AR2304" t="s">
        <v>1260</v>
      </c>
      <c r="AS2304" t="s">
        <v>1259</v>
      </c>
      <c r="AT2304" s="30">
        <v>46069.523611111108</v>
      </c>
    </row>
    <row r="2305" spans="1:46" x14ac:dyDescent="0.25">
      <c r="A2305" t="s">
        <v>1248</v>
      </c>
      <c r="B2305">
        <v>248320</v>
      </c>
      <c r="C2305">
        <v>352236</v>
      </c>
      <c r="D2305">
        <v>405</v>
      </c>
      <c r="E2305" t="s">
        <v>1266</v>
      </c>
      <c r="H2305">
        <v>1855</v>
      </c>
      <c r="K2305" t="s">
        <v>1437</v>
      </c>
      <c r="L2305" t="s">
        <v>1437</v>
      </c>
      <c r="M2305" s="29">
        <v>287571428</v>
      </c>
      <c r="N2305">
        <v>0</v>
      </c>
      <c r="O2305" s="29">
        <v>287571428</v>
      </c>
      <c r="P2305">
        <v>0</v>
      </c>
      <c r="Q2305">
        <v>0</v>
      </c>
      <c r="R2305">
        <v>0</v>
      </c>
      <c r="T2305" s="29">
        <v>35000</v>
      </c>
      <c r="U2305" s="29">
        <v>704550</v>
      </c>
      <c r="V2305" t="s">
        <v>1262</v>
      </c>
      <c r="W2305" t="s">
        <v>1262</v>
      </c>
      <c r="X2305" s="29">
        <v>704550</v>
      </c>
      <c r="AA2305" s="30">
        <v>45883.338888888888</v>
      </c>
      <c r="AB2305" s="30">
        <v>45883.672222222223</v>
      </c>
      <c r="AC2305" s="30">
        <v>45883.338888888888</v>
      </c>
      <c r="AD2305" s="30">
        <v>45883.672222222223</v>
      </c>
      <c r="AE2305" s="30">
        <v>46289.541666666664</v>
      </c>
      <c r="AF2305" s="30">
        <v>46290.458333333336</v>
      </c>
      <c r="AG2305" t="s">
        <v>1266</v>
      </c>
      <c r="AK2305" t="s">
        <v>1265</v>
      </c>
      <c r="AL2305" t="s">
        <v>2372</v>
      </c>
      <c r="AM2305" t="s">
        <v>1263</v>
      </c>
      <c r="AN2305" t="s">
        <v>1262</v>
      </c>
      <c r="AO2305">
        <v>0</v>
      </c>
      <c r="AQ2305" t="s">
        <v>1261</v>
      </c>
      <c r="AR2305" t="s">
        <v>1260</v>
      </c>
      <c r="AS2305" t="s">
        <v>1259</v>
      </c>
      <c r="AT2305" s="30">
        <v>46069.523611111108</v>
      </c>
    </row>
    <row r="2306" spans="1:46" x14ac:dyDescent="0.25">
      <c r="A2306" t="s">
        <v>1248</v>
      </c>
      <c r="B2306">
        <v>248321</v>
      </c>
      <c r="C2306">
        <v>352243</v>
      </c>
      <c r="D2306">
        <v>405</v>
      </c>
      <c r="E2306" t="s">
        <v>1266</v>
      </c>
      <c r="H2306">
        <v>1855</v>
      </c>
      <c r="K2306" t="s">
        <v>1437</v>
      </c>
      <c r="L2306" t="s">
        <v>1437</v>
      </c>
      <c r="M2306" s="29">
        <v>287571428</v>
      </c>
      <c r="N2306">
        <v>0</v>
      </c>
      <c r="O2306" s="29">
        <v>287571428</v>
      </c>
      <c r="P2306">
        <v>0</v>
      </c>
      <c r="Q2306">
        <v>0</v>
      </c>
      <c r="R2306">
        <v>0</v>
      </c>
      <c r="T2306" s="29">
        <v>35000</v>
      </c>
      <c r="U2306" s="29">
        <v>704550</v>
      </c>
      <c r="V2306" t="s">
        <v>1262</v>
      </c>
      <c r="W2306" t="s">
        <v>1262</v>
      </c>
      <c r="X2306" s="29">
        <v>704550</v>
      </c>
      <c r="AA2306" s="30">
        <v>45881.380555555559</v>
      </c>
      <c r="AB2306" s="30">
        <v>45882.338888888888</v>
      </c>
      <c r="AC2306" s="30">
        <v>45881.380555555559</v>
      </c>
      <c r="AD2306" s="30">
        <v>45882.338888888888</v>
      </c>
      <c r="AE2306" s="30">
        <v>46268.447222222225</v>
      </c>
      <c r="AF2306" s="30">
        <v>46269.405555555553</v>
      </c>
      <c r="AG2306" t="s">
        <v>1266</v>
      </c>
      <c r="AK2306" t="s">
        <v>1265</v>
      </c>
      <c r="AL2306" t="s">
        <v>2371</v>
      </c>
      <c r="AM2306" t="s">
        <v>1263</v>
      </c>
      <c r="AN2306" t="s">
        <v>1262</v>
      </c>
      <c r="AO2306">
        <v>0</v>
      </c>
      <c r="AQ2306" t="s">
        <v>1261</v>
      </c>
      <c r="AR2306" t="s">
        <v>1260</v>
      </c>
      <c r="AS2306" t="s">
        <v>1259</v>
      </c>
      <c r="AT2306" s="30">
        <v>46069.523611111108</v>
      </c>
    </row>
    <row r="2307" spans="1:46" x14ac:dyDescent="0.25">
      <c r="A2307" t="s">
        <v>1248</v>
      </c>
      <c r="B2307">
        <v>248322</v>
      </c>
      <c r="C2307">
        <v>352250</v>
      </c>
      <c r="D2307">
        <v>405</v>
      </c>
      <c r="E2307" t="s">
        <v>1266</v>
      </c>
      <c r="H2307">
        <v>1855</v>
      </c>
      <c r="K2307" t="s">
        <v>1437</v>
      </c>
      <c r="L2307" t="s">
        <v>1437</v>
      </c>
      <c r="M2307" s="29">
        <v>287571428</v>
      </c>
      <c r="N2307">
        <v>0</v>
      </c>
      <c r="O2307" s="29">
        <v>287571428</v>
      </c>
      <c r="P2307">
        <v>0</v>
      </c>
      <c r="Q2307">
        <v>0</v>
      </c>
      <c r="R2307">
        <v>0</v>
      </c>
      <c r="T2307" s="29">
        <v>35000</v>
      </c>
      <c r="U2307" s="29">
        <v>704550</v>
      </c>
      <c r="V2307" t="s">
        <v>1262</v>
      </c>
      <c r="W2307" t="s">
        <v>1262</v>
      </c>
      <c r="X2307" s="29">
        <v>704550</v>
      </c>
      <c r="AA2307" s="30">
        <v>45877.422222222223</v>
      </c>
      <c r="AB2307" s="30">
        <v>45880.380555555559</v>
      </c>
      <c r="AC2307" s="30">
        <v>45877.422222222223</v>
      </c>
      <c r="AD2307" s="30">
        <v>45880.380555555559</v>
      </c>
      <c r="AE2307" s="30">
        <v>46252.447222222225</v>
      </c>
      <c r="AF2307" s="30">
        <v>46253.405555555553</v>
      </c>
      <c r="AG2307" t="s">
        <v>1266</v>
      </c>
      <c r="AK2307" t="s">
        <v>1265</v>
      </c>
      <c r="AL2307" t="s">
        <v>2370</v>
      </c>
      <c r="AM2307" t="s">
        <v>1263</v>
      </c>
      <c r="AN2307" t="s">
        <v>1262</v>
      </c>
      <c r="AO2307">
        <v>0</v>
      </c>
      <c r="AQ2307" t="s">
        <v>1261</v>
      </c>
      <c r="AR2307" t="s">
        <v>1260</v>
      </c>
      <c r="AS2307" t="s">
        <v>1259</v>
      </c>
      <c r="AT2307" s="30">
        <v>46069.523611111108</v>
      </c>
    </row>
    <row r="2308" spans="1:46" x14ac:dyDescent="0.25">
      <c r="A2308" t="s">
        <v>1248</v>
      </c>
      <c r="B2308">
        <v>248323</v>
      </c>
      <c r="C2308">
        <v>352257</v>
      </c>
      <c r="D2308">
        <v>405</v>
      </c>
      <c r="E2308" t="s">
        <v>1266</v>
      </c>
      <c r="H2308">
        <v>1855</v>
      </c>
      <c r="K2308" t="s">
        <v>1437</v>
      </c>
      <c r="L2308" t="s">
        <v>1437</v>
      </c>
      <c r="M2308" s="29">
        <v>287571428</v>
      </c>
      <c r="N2308">
        <v>0</v>
      </c>
      <c r="O2308" s="29">
        <v>287571428</v>
      </c>
      <c r="P2308">
        <v>0</v>
      </c>
      <c r="Q2308">
        <v>0</v>
      </c>
      <c r="R2308">
        <v>0</v>
      </c>
      <c r="T2308" s="29">
        <v>35000</v>
      </c>
      <c r="U2308" s="29">
        <v>704550</v>
      </c>
      <c r="V2308" t="s">
        <v>1262</v>
      </c>
      <c r="W2308" t="s">
        <v>1262</v>
      </c>
      <c r="X2308" s="29">
        <v>704550</v>
      </c>
      <c r="AA2308" s="30">
        <v>45875.463888888888</v>
      </c>
      <c r="AB2308" s="30">
        <v>45876.422222222223</v>
      </c>
      <c r="AC2308" s="30">
        <v>45875.463888888888</v>
      </c>
      <c r="AD2308" s="30">
        <v>45876.422222222223</v>
      </c>
      <c r="AE2308" s="30">
        <v>46234.447222222225</v>
      </c>
      <c r="AF2308" s="30">
        <v>46237.405555555553</v>
      </c>
      <c r="AG2308" t="s">
        <v>1266</v>
      </c>
      <c r="AK2308" t="s">
        <v>1265</v>
      </c>
      <c r="AL2308" t="s">
        <v>2369</v>
      </c>
      <c r="AM2308" t="s">
        <v>1263</v>
      </c>
      <c r="AN2308" t="s">
        <v>1262</v>
      </c>
      <c r="AO2308">
        <v>0</v>
      </c>
      <c r="AQ2308" t="s">
        <v>1261</v>
      </c>
      <c r="AR2308" t="s">
        <v>1260</v>
      </c>
      <c r="AS2308" t="s">
        <v>1259</v>
      </c>
      <c r="AT2308" s="30">
        <v>46069.523611111108</v>
      </c>
    </row>
    <row r="2309" spans="1:46" x14ac:dyDescent="0.25">
      <c r="A2309" t="s">
        <v>1248</v>
      </c>
      <c r="B2309">
        <v>248324</v>
      </c>
      <c r="C2309">
        <v>352264</v>
      </c>
      <c r="D2309">
        <v>405</v>
      </c>
      <c r="E2309" t="s">
        <v>1266</v>
      </c>
      <c r="H2309">
        <v>1855</v>
      </c>
      <c r="K2309" t="s">
        <v>1437</v>
      </c>
      <c r="L2309" t="s">
        <v>1437</v>
      </c>
      <c r="M2309" s="29">
        <v>287571428</v>
      </c>
      <c r="N2309">
        <v>0</v>
      </c>
      <c r="O2309" s="29">
        <v>287571428</v>
      </c>
      <c r="P2309">
        <v>0</v>
      </c>
      <c r="Q2309">
        <v>0</v>
      </c>
      <c r="R2309">
        <v>0</v>
      </c>
      <c r="T2309" s="29">
        <v>35000</v>
      </c>
      <c r="U2309" s="29">
        <v>704550</v>
      </c>
      <c r="V2309" t="s">
        <v>1262</v>
      </c>
      <c r="W2309" t="s">
        <v>1262</v>
      </c>
      <c r="X2309" s="29">
        <v>704550</v>
      </c>
      <c r="AA2309" s="30">
        <v>45866.355555555558</v>
      </c>
      <c r="AB2309" s="30">
        <v>45866.688888888886</v>
      </c>
      <c r="AC2309" s="30">
        <v>45866.355555555558</v>
      </c>
      <c r="AD2309" s="30">
        <v>45866.688888888886</v>
      </c>
      <c r="AE2309" s="30">
        <v>46218.447222222225</v>
      </c>
      <c r="AF2309" s="30">
        <v>46219.405555555553</v>
      </c>
      <c r="AG2309" t="s">
        <v>1266</v>
      </c>
      <c r="AK2309" t="s">
        <v>1265</v>
      </c>
      <c r="AL2309" t="s">
        <v>2368</v>
      </c>
      <c r="AM2309" t="s">
        <v>1263</v>
      </c>
      <c r="AN2309" t="s">
        <v>1262</v>
      </c>
      <c r="AO2309">
        <v>0</v>
      </c>
      <c r="AQ2309" t="s">
        <v>1261</v>
      </c>
      <c r="AR2309" t="s">
        <v>1260</v>
      </c>
      <c r="AS2309" t="s">
        <v>1259</v>
      </c>
      <c r="AT2309" s="30">
        <v>46069.523611111108</v>
      </c>
    </row>
    <row r="2310" spans="1:46" x14ac:dyDescent="0.25">
      <c r="A2310" t="s">
        <v>1248</v>
      </c>
      <c r="B2310">
        <v>248325</v>
      </c>
      <c r="C2310">
        <v>352271</v>
      </c>
      <c r="D2310">
        <v>405</v>
      </c>
      <c r="E2310" t="s">
        <v>1266</v>
      </c>
      <c r="H2310">
        <v>1855</v>
      </c>
      <c r="K2310" t="s">
        <v>1437</v>
      </c>
      <c r="L2310" t="s">
        <v>1437</v>
      </c>
      <c r="M2310" s="29">
        <v>287571428</v>
      </c>
      <c r="N2310">
        <v>0</v>
      </c>
      <c r="O2310" s="29">
        <v>287571428</v>
      </c>
      <c r="P2310">
        <v>0</v>
      </c>
      <c r="Q2310">
        <v>0</v>
      </c>
      <c r="R2310">
        <v>0</v>
      </c>
      <c r="T2310" s="29">
        <v>35000</v>
      </c>
      <c r="U2310" s="29">
        <v>704550</v>
      </c>
      <c r="V2310" t="s">
        <v>1262</v>
      </c>
      <c r="W2310" t="s">
        <v>1262</v>
      </c>
      <c r="X2310" s="29">
        <v>704550</v>
      </c>
      <c r="AA2310" s="30">
        <v>45862.397222222222</v>
      </c>
      <c r="AB2310" s="30">
        <v>45863.355555555558</v>
      </c>
      <c r="AC2310" s="30">
        <v>45862.397222222222</v>
      </c>
      <c r="AD2310" s="30">
        <v>45863.355555555558</v>
      </c>
      <c r="AE2310" s="30">
        <v>46202.447222222225</v>
      </c>
      <c r="AF2310" s="30">
        <v>46203.405555555553</v>
      </c>
      <c r="AG2310" t="s">
        <v>1266</v>
      </c>
      <c r="AK2310" t="s">
        <v>1265</v>
      </c>
      <c r="AL2310" t="s">
        <v>2367</v>
      </c>
      <c r="AM2310" t="s">
        <v>1263</v>
      </c>
      <c r="AN2310" t="s">
        <v>1262</v>
      </c>
      <c r="AO2310">
        <v>0</v>
      </c>
      <c r="AQ2310" t="s">
        <v>1261</v>
      </c>
      <c r="AR2310" t="s">
        <v>1260</v>
      </c>
      <c r="AS2310" t="s">
        <v>1259</v>
      </c>
      <c r="AT2310" s="30">
        <v>46069.523611111108</v>
      </c>
    </row>
    <row r="2311" spans="1:46" x14ac:dyDescent="0.25">
      <c r="A2311" t="s">
        <v>1248</v>
      </c>
      <c r="B2311">
        <v>248326</v>
      </c>
      <c r="C2311">
        <v>352278</v>
      </c>
      <c r="D2311">
        <v>405</v>
      </c>
      <c r="E2311" t="s">
        <v>1266</v>
      </c>
      <c r="H2311">
        <v>1855</v>
      </c>
      <c r="K2311" t="s">
        <v>1437</v>
      </c>
      <c r="L2311" t="s">
        <v>1437</v>
      </c>
      <c r="M2311" s="29">
        <v>287571428</v>
      </c>
      <c r="N2311">
        <v>0</v>
      </c>
      <c r="O2311" s="29">
        <v>287571428</v>
      </c>
      <c r="P2311">
        <v>0</v>
      </c>
      <c r="Q2311">
        <v>0</v>
      </c>
      <c r="R2311">
        <v>0</v>
      </c>
      <c r="T2311" s="29">
        <v>35000</v>
      </c>
      <c r="U2311" s="29">
        <v>704550</v>
      </c>
      <c r="V2311" t="s">
        <v>1262</v>
      </c>
      <c r="W2311" t="s">
        <v>1262</v>
      </c>
      <c r="X2311" s="29">
        <v>704550</v>
      </c>
      <c r="AA2311" s="30">
        <v>45860.438888888886</v>
      </c>
      <c r="AB2311" s="30">
        <v>45861.397222222222</v>
      </c>
      <c r="AC2311" s="30">
        <v>45860.438888888886</v>
      </c>
      <c r="AD2311" s="30">
        <v>45861.397222222222</v>
      </c>
      <c r="AE2311" s="30">
        <v>46184.447222222225</v>
      </c>
      <c r="AF2311" s="30">
        <v>46185.405555555553</v>
      </c>
      <c r="AG2311" t="s">
        <v>1266</v>
      </c>
      <c r="AK2311" t="s">
        <v>1265</v>
      </c>
      <c r="AL2311" t="s">
        <v>2366</v>
      </c>
      <c r="AM2311" t="s">
        <v>1263</v>
      </c>
      <c r="AN2311" t="s">
        <v>1262</v>
      </c>
      <c r="AO2311">
        <v>0</v>
      </c>
      <c r="AQ2311" t="s">
        <v>1261</v>
      </c>
      <c r="AR2311" t="s">
        <v>1260</v>
      </c>
      <c r="AS2311" t="s">
        <v>1259</v>
      </c>
      <c r="AT2311" s="30">
        <v>46069.523611111108</v>
      </c>
    </row>
    <row r="2312" spans="1:46" x14ac:dyDescent="0.25">
      <c r="A2312" t="s">
        <v>1248</v>
      </c>
      <c r="B2312">
        <v>248327</v>
      </c>
      <c r="C2312">
        <v>352285</v>
      </c>
      <c r="D2312">
        <v>405</v>
      </c>
      <c r="E2312" t="s">
        <v>1266</v>
      </c>
      <c r="H2312">
        <v>1855</v>
      </c>
      <c r="K2312" t="s">
        <v>1437</v>
      </c>
      <c r="L2312" t="s">
        <v>1437</v>
      </c>
      <c r="M2312" s="29">
        <v>287571428</v>
      </c>
      <c r="N2312">
        <v>0</v>
      </c>
      <c r="O2312" s="29">
        <v>287571428</v>
      </c>
      <c r="P2312">
        <v>0</v>
      </c>
      <c r="Q2312">
        <v>0</v>
      </c>
      <c r="R2312">
        <v>0</v>
      </c>
      <c r="T2312" s="29">
        <v>35000</v>
      </c>
      <c r="U2312" s="29">
        <v>704550</v>
      </c>
      <c r="V2312" t="s">
        <v>1262</v>
      </c>
      <c r="W2312" t="s">
        <v>1262</v>
      </c>
      <c r="X2312" s="29">
        <v>704550</v>
      </c>
      <c r="AA2312" s="30">
        <v>45856.480555555558</v>
      </c>
      <c r="AB2312" s="30">
        <v>45859.438888888886</v>
      </c>
      <c r="AC2312" s="30">
        <v>45856.480555555558</v>
      </c>
      <c r="AD2312" s="30">
        <v>45859.438888888886</v>
      </c>
      <c r="AE2312" s="30">
        <v>46167.447222222225</v>
      </c>
      <c r="AF2312" s="30">
        <v>46168.405555555553</v>
      </c>
      <c r="AG2312" t="s">
        <v>1266</v>
      </c>
      <c r="AK2312" t="s">
        <v>1265</v>
      </c>
      <c r="AL2312" t="s">
        <v>2365</v>
      </c>
      <c r="AM2312" t="s">
        <v>1263</v>
      </c>
      <c r="AN2312" t="s">
        <v>1262</v>
      </c>
      <c r="AO2312">
        <v>0</v>
      </c>
      <c r="AQ2312" t="s">
        <v>1261</v>
      </c>
      <c r="AR2312" t="s">
        <v>1260</v>
      </c>
      <c r="AS2312" t="s">
        <v>1259</v>
      </c>
      <c r="AT2312" s="30">
        <v>46069.523611111108</v>
      </c>
    </row>
    <row r="2313" spans="1:46" x14ac:dyDescent="0.25">
      <c r="A2313" t="s">
        <v>1248</v>
      </c>
      <c r="B2313">
        <v>248328</v>
      </c>
      <c r="C2313">
        <v>352292</v>
      </c>
      <c r="D2313">
        <v>405</v>
      </c>
      <c r="E2313" t="s">
        <v>1266</v>
      </c>
      <c r="H2313">
        <v>1855</v>
      </c>
      <c r="K2313" t="s">
        <v>1437</v>
      </c>
      <c r="L2313" t="s">
        <v>1437</v>
      </c>
      <c r="M2313" s="29">
        <v>287571428</v>
      </c>
      <c r="N2313">
        <v>0</v>
      </c>
      <c r="O2313" s="29">
        <v>287571428</v>
      </c>
      <c r="P2313">
        <v>0</v>
      </c>
      <c r="Q2313">
        <v>0</v>
      </c>
      <c r="R2313">
        <v>0</v>
      </c>
      <c r="T2313" s="29">
        <v>35000</v>
      </c>
      <c r="U2313" s="29">
        <v>704550</v>
      </c>
      <c r="V2313" t="s">
        <v>1262</v>
      </c>
      <c r="W2313" t="s">
        <v>1262</v>
      </c>
      <c r="X2313" s="29">
        <v>704550</v>
      </c>
      <c r="AA2313" s="30">
        <v>45854.563888888886</v>
      </c>
      <c r="AB2313" s="30">
        <v>45855.480555555558</v>
      </c>
      <c r="AC2313" s="30">
        <v>45854.563888888886</v>
      </c>
      <c r="AD2313" s="30">
        <v>45855.480555555558</v>
      </c>
      <c r="AE2313" s="30">
        <v>46149.447222222225</v>
      </c>
      <c r="AF2313" s="30">
        <v>46150.405555555553</v>
      </c>
      <c r="AG2313" t="s">
        <v>1266</v>
      </c>
      <c r="AK2313" t="s">
        <v>1265</v>
      </c>
      <c r="AL2313" t="s">
        <v>2364</v>
      </c>
      <c r="AM2313" t="s">
        <v>1263</v>
      </c>
      <c r="AN2313" t="s">
        <v>1262</v>
      </c>
      <c r="AO2313">
        <v>0</v>
      </c>
      <c r="AQ2313" t="s">
        <v>1261</v>
      </c>
      <c r="AR2313" t="s">
        <v>1260</v>
      </c>
      <c r="AS2313" t="s">
        <v>1259</v>
      </c>
      <c r="AT2313" s="30">
        <v>46069.523611111108</v>
      </c>
    </row>
    <row r="2314" spans="1:46" x14ac:dyDescent="0.25">
      <c r="A2314" t="s">
        <v>1248</v>
      </c>
      <c r="B2314">
        <v>248329</v>
      </c>
      <c r="C2314">
        <v>352299</v>
      </c>
      <c r="D2314">
        <v>405</v>
      </c>
      <c r="E2314" t="s">
        <v>1266</v>
      </c>
      <c r="H2314">
        <v>1855</v>
      </c>
      <c r="K2314" t="s">
        <v>1437</v>
      </c>
      <c r="L2314" t="s">
        <v>1437</v>
      </c>
      <c r="M2314" s="29">
        <v>287571428</v>
      </c>
      <c r="N2314">
        <v>0</v>
      </c>
      <c r="O2314" s="29">
        <v>287571428</v>
      </c>
      <c r="P2314">
        <v>0</v>
      </c>
      <c r="Q2314">
        <v>0</v>
      </c>
      <c r="R2314">
        <v>0</v>
      </c>
      <c r="T2314" s="29">
        <v>35000</v>
      </c>
      <c r="U2314" s="29">
        <v>704550</v>
      </c>
      <c r="V2314" t="s">
        <v>1262</v>
      </c>
      <c r="W2314" t="s">
        <v>1262</v>
      </c>
      <c r="X2314" s="29">
        <v>704550</v>
      </c>
      <c r="AA2314" s="30">
        <v>45852.605555555558</v>
      </c>
      <c r="AB2314" s="30">
        <v>45853.563888888886</v>
      </c>
      <c r="AC2314" s="30">
        <v>45852.605555555558</v>
      </c>
      <c r="AD2314" s="30">
        <v>45853.563888888886</v>
      </c>
      <c r="AE2314" s="30">
        <v>46132.447222222225</v>
      </c>
      <c r="AF2314" s="30">
        <v>46133.405555555553</v>
      </c>
      <c r="AG2314" t="s">
        <v>1266</v>
      </c>
      <c r="AK2314" t="s">
        <v>1265</v>
      </c>
      <c r="AL2314" t="s">
        <v>2363</v>
      </c>
      <c r="AM2314" t="s">
        <v>1263</v>
      </c>
      <c r="AN2314" t="s">
        <v>1262</v>
      </c>
      <c r="AO2314">
        <v>0</v>
      </c>
      <c r="AQ2314" t="s">
        <v>1261</v>
      </c>
      <c r="AR2314" t="s">
        <v>1260</v>
      </c>
      <c r="AS2314" t="s">
        <v>1259</v>
      </c>
      <c r="AT2314" s="30">
        <v>46069.523611111108</v>
      </c>
    </row>
    <row r="2315" spans="1:46" x14ac:dyDescent="0.25">
      <c r="A2315" t="s">
        <v>1248</v>
      </c>
      <c r="B2315">
        <v>248330</v>
      </c>
      <c r="C2315">
        <v>352306</v>
      </c>
      <c r="D2315">
        <v>405</v>
      </c>
      <c r="E2315" t="s">
        <v>1266</v>
      </c>
      <c r="H2315">
        <v>1855</v>
      </c>
      <c r="K2315" t="s">
        <v>1437</v>
      </c>
      <c r="L2315" t="s">
        <v>1437</v>
      </c>
      <c r="M2315" s="29">
        <v>287571428</v>
      </c>
      <c r="N2315">
        <v>0</v>
      </c>
      <c r="O2315" s="29">
        <v>287571428</v>
      </c>
      <c r="P2315">
        <v>0</v>
      </c>
      <c r="Q2315">
        <v>0</v>
      </c>
      <c r="R2315">
        <v>0</v>
      </c>
      <c r="T2315" s="29">
        <v>35000</v>
      </c>
      <c r="U2315" s="29">
        <v>704550</v>
      </c>
      <c r="V2315" t="s">
        <v>1262</v>
      </c>
      <c r="W2315" t="s">
        <v>1262</v>
      </c>
      <c r="X2315" s="29">
        <v>704550</v>
      </c>
      <c r="AA2315" s="30">
        <v>45838.463888888888</v>
      </c>
      <c r="AB2315" s="30">
        <v>45839.422222222223</v>
      </c>
      <c r="AC2315" s="30">
        <v>45838.463888888888</v>
      </c>
      <c r="AD2315" s="30">
        <v>45839.422222222223</v>
      </c>
      <c r="AE2315" s="30">
        <v>46113.447222222225</v>
      </c>
      <c r="AF2315" s="30">
        <v>46114.405555555553</v>
      </c>
      <c r="AG2315" t="s">
        <v>1266</v>
      </c>
      <c r="AK2315" t="s">
        <v>1265</v>
      </c>
      <c r="AL2315" t="s">
        <v>2362</v>
      </c>
      <c r="AM2315" t="s">
        <v>1263</v>
      </c>
      <c r="AN2315" t="s">
        <v>1262</v>
      </c>
      <c r="AO2315">
        <v>0</v>
      </c>
      <c r="AQ2315" t="s">
        <v>1261</v>
      </c>
      <c r="AR2315" t="s">
        <v>1260</v>
      </c>
      <c r="AS2315" t="s">
        <v>1259</v>
      </c>
      <c r="AT2315" s="30">
        <v>46069.523611111108</v>
      </c>
    </row>
    <row r="2316" spans="1:46" x14ac:dyDescent="0.25">
      <c r="A2316" t="s">
        <v>1248</v>
      </c>
      <c r="B2316">
        <v>248331</v>
      </c>
      <c r="C2316">
        <v>352313</v>
      </c>
      <c r="D2316">
        <v>405</v>
      </c>
      <c r="E2316" t="s">
        <v>1266</v>
      </c>
      <c r="H2316">
        <v>1855</v>
      </c>
      <c r="K2316" t="s">
        <v>1437</v>
      </c>
      <c r="L2316" t="s">
        <v>1437</v>
      </c>
      <c r="M2316" s="29">
        <v>287571428</v>
      </c>
      <c r="N2316">
        <v>0</v>
      </c>
      <c r="O2316" s="29">
        <v>287571428</v>
      </c>
      <c r="P2316">
        <v>0</v>
      </c>
      <c r="Q2316">
        <v>0</v>
      </c>
      <c r="R2316">
        <v>0</v>
      </c>
      <c r="T2316" s="29">
        <v>35000</v>
      </c>
      <c r="U2316" s="29">
        <v>704550</v>
      </c>
      <c r="V2316" t="s">
        <v>1262</v>
      </c>
      <c r="W2316" t="s">
        <v>1262</v>
      </c>
      <c r="X2316" s="29">
        <v>704550</v>
      </c>
      <c r="AA2316" s="30">
        <v>45833.672222222223</v>
      </c>
      <c r="AB2316" s="30">
        <v>45834.630555555559</v>
      </c>
      <c r="AC2316" s="30">
        <v>45833.672222222223</v>
      </c>
      <c r="AD2316" s="30">
        <v>45834.630555555559</v>
      </c>
      <c r="AE2316" s="30">
        <v>46097.447222222225</v>
      </c>
      <c r="AF2316" s="30">
        <v>46098.405555555553</v>
      </c>
      <c r="AG2316" t="s">
        <v>1266</v>
      </c>
      <c r="AK2316" t="s">
        <v>1265</v>
      </c>
      <c r="AL2316" t="s">
        <v>2361</v>
      </c>
      <c r="AM2316" t="s">
        <v>1263</v>
      </c>
      <c r="AN2316" t="s">
        <v>1262</v>
      </c>
      <c r="AO2316">
        <v>0</v>
      </c>
      <c r="AQ2316" t="s">
        <v>1261</v>
      </c>
      <c r="AR2316" t="s">
        <v>1260</v>
      </c>
      <c r="AS2316" t="s">
        <v>1259</v>
      </c>
      <c r="AT2316" s="30">
        <v>46069.523611111108</v>
      </c>
    </row>
    <row r="2317" spans="1:46" x14ac:dyDescent="0.25">
      <c r="A2317" t="s">
        <v>1248</v>
      </c>
      <c r="B2317">
        <v>248332</v>
      </c>
      <c r="C2317">
        <v>352320</v>
      </c>
      <c r="D2317">
        <v>405</v>
      </c>
      <c r="E2317" t="s">
        <v>1266</v>
      </c>
      <c r="H2317">
        <v>1855</v>
      </c>
      <c r="K2317" t="s">
        <v>1437</v>
      </c>
      <c r="L2317" t="s">
        <v>1437</v>
      </c>
      <c r="M2317" s="29">
        <v>287571428</v>
      </c>
      <c r="N2317">
        <v>0</v>
      </c>
      <c r="O2317" s="29">
        <v>287571428</v>
      </c>
      <c r="P2317">
        <v>0</v>
      </c>
      <c r="Q2317">
        <v>0</v>
      </c>
      <c r="R2317">
        <v>0</v>
      </c>
      <c r="T2317" s="29">
        <v>35000</v>
      </c>
      <c r="U2317" s="29">
        <v>704550</v>
      </c>
      <c r="V2317" t="s">
        <v>1262</v>
      </c>
      <c r="W2317" t="s">
        <v>1262</v>
      </c>
      <c r="X2317" s="29">
        <v>704550</v>
      </c>
      <c r="AA2317" s="30">
        <v>45832.338888888888</v>
      </c>
      <c r="AB2317" s="30">
        <v>45832.672222222223</v>
      </c>
      <c r="AC2317" s="30">
        <v>45832.338888888888</v>
      </c>
      <c r="AD2317" s="30">
        <v>45832.672222222223</v>
      </c>
      <c r="AE2317" s="30">
        <v>46079.447222222225</v>
      </c>
      <c r="AF2317" s="30">
        <v>46080.405555555553</v>
      </c>
      <c r="AG2317" t="s">
        <v>1266</v>
      </c>
      <c r="AK2317" t="s">
        <v>1265</v>
      </c>
      <c r="AL2317" t="s">
        <v>2360</v>
      </c>
      <c r="AM2317" t="s">
        <v>1263</v>
      </c>
      <c r="AN2317" t="s">
        <v>1262</v>
      </c>
      <c r="AO2317">
        <v>0</v>
      </c>
      <c r="AQ2317" t="s">
        <v>1261</v>
      </c>
      <c r="AR2317" t="s">
        <v>1260</v>
      </c>
      <c r="AS2317" t="s">
        <v>1259</v>
      </c>
      <c r="AT2317" s="30">
        <v>46069.523611111108</v>
      </c>
    </row>
    <row r="2318" spans="1:46" x14ac:dyDescent="0.25">
      <c r="A2318" t="s">
        <v>1248</v>
      </c>
      <c r="B2318">
        <v>248333</v>
      </c>
      <c r="C2318">
        <v>352327</v>
      </c>
      <c r="D2318">
        <v>405</v>
      </c>
      <c r="E2318" t="s">
        <v>1266</v>
      </c>
      <c r="H2318">
        <v>1855</v>
      </c>
      <c r="K2318" t="s">
        <v>1437</v>
      </c>
      <c r="L2318" t="s">
        <v>1437</v>
      </c>
      <c r="M2318" s="29">
        <v>287571428</v>
      </c>
      <c r="N2318">
        <v>0</v>
      </c>
      <c r="O2318" s="29">
        <v>287571428</v>
      </c>
      <c r="P2318">
        <v>0</v>
      </c>
      <c r="Q2318">
        <v>0</v>
      </c>
      <c r="R2318">
        <v>0</v>
      </c>
      <c r="T2318" s="29">
        <v>35000</v>
      </c>
      <c r="U2318" s="29">
        <v>704550</v>
      </c>
      <c r="V2318" t="s">
        <v>1262</v>
      </c>
      <c r="W2318" t="s">
        <v>1262</v>
      </c>
      <c r="X2318" s="29">
        <v>704550</v>
      </c>
      <c r="AA2318" s="30">
        <v>45828.380555555559</v>
      </c>
      <c r="AB2318" s="30">
        <v>45831.338888888888</v>
      </c>
      <c r="AC2318" s="30">
        <v>45828.380555555559</v>
      </c>
      <c r="AD2318" s="30">
        <v>45831.338888888888</v>
      </c>
      <c r="AE2318" s="30">
        <v>46063.447222222225</v>
      </c>
      <c r="AF2318" s="30">
        <v>46064.405555555553</v>
      </c>
      <c r="AG2318" t="s">
        <v>1266</v>
      </c>
      <c r="AK2318" t="s">
        <v>1265</v>
      </c>
      <c r="AL2318" t="s">
        <v>2359</v>
      </c>
      <c r="AM2318" t="s">
        <v>1263</v>
      </c>
      <c r="AN2318" t="s">
        <v>1262</v>
      </c>
      <c r="AO2318">
        <v>0</v>
      </c>
      <c r="AQ2318" t="s">
        <v>1261</v>
      </c>
      <c r="AR2318" t="s">
        <v>1260</v>
      </c>
      <c r="AS2318" t="s">
        <v>1259</v>
      </c>
      <c r="AT2318" s="30">
        <v>46069.523611111108</v>
      </c>
    </row>
    <row r="2319" spans="1:46" x14ac:dyDescent="0.25">
      <c r="A2319" t="s">
        <v>1248</v>
      </c>
      <c r="B2319">
        <v>248334</v>
      </c>
      <c r="C2319">
        <v>352334</v>
      </c>
      <c r="D2319">
        <v>405</v>
      </c>
      <c r="E2319" t="s">
        <v>1266</v>
      </c>
      <c r="H2319">
        <v>1855</v>
      </c>
      <c r="K2319" t="s">
        <v>1437</v>
      </c>
      <c r="L2319" t="s">
        <v>1437</v>
      </c>
      <c r="M2319" s="29">
        <v>287571428</v>
      </c>
      <c r="N2319">
        <v>0</v>
      </c>
      <c r="O2319" s="29">
        <v>287571428</v>
      </c>
      <c r="P2319">
        <v>0</v>
      </c>
      <c r="Q2319">
        <v>0</v>
      </c>
      <c r="R2319">
        <v>0</v>
      </c>
      <c r="T2319" s="29">
        <v>35000</v>
      </c>
      <c r="U2319" s="29">
        <v>704550</v>
      </c>
      <c r="V2319" t="s">
        <v>1262</v>
      </c>
      <c r="W2319" t="s">
        <v>1262</v>
      </c>
      <c r="X2319" s="29">
        <v>704550</v>
      </c>
      <c r="AA2319" s="30">
        <v>45826.422222222223</v>
      </c>
      <c r="AB2319" s="30">
        <v>45827.380555555559</v>
      </c>
      <c r="AC2319" s="30">
        <v>45826.422222222223</v>
      </c>
      <c r="AD2319" s="30">
        <v>45827.380555555559</v>
      </c>
      <c r="AE2319" s="30">
        <v>46045.447222222225</v>
      </c>
      <c r="AF2319" s="30">
        <v>46048.405555555553</v>
      </c>
      <c r="AG2319" t="s">
        <v>1266</v>
      </c>
      <c r="AK2319" t="s">
        <v>1265</v>
      </c>
      <c r="AL2319" t="s">
        <v>2358</v>
      </c>
      <c r="AM2319" t="s">
        <v>1263</v>
      </c>
      <c r="AN2319" t="s">
        <v>1262</v>
      </c>
      <c r="AO2319">
        <v>0</v>
      </c>
      <c r="AQ2319" t="s">
        <v>1261</v>
      </c>
      <c r="AR2319" t="s">
        <v>1260</v>
      </c>
      <c r="AS2319" t="s">
        <v>1259</v>
      </c>
      <c r="AT2319" s="30">
        <v>46069.523611111108</v>
      </c>
    </row>
    <row r="2320" spans="1:46" x14ac:dyDescent="0.25">
      <c r="A2320" t="s">
        <v>1248</v>
      </c>
      <c r="B2320">
        <v>248335</v>
      </c>
      <c r="C2320">
        <v>352341</v>
      </c>
      <c r="D2320">
        <v>405</v>
      </c>
      <c r="E2320" t="s">
        <v>1266</v>
      </c>
      <c r="H2320">
        <v>1855</v>
      </c>
      <c r="K2320" t="s">
        <v>1437</v>
      </c>
      <c r="L2320" t="s">
        <v>1437</v>
      </c>
      <c r="M2320" s="29">
        <v>287571428</v>
      </c>
      <c r="N2320">
        <v>0</v>
      </c>
      <c r="O2320" s="29">
        <v>287571428</v>
      </c>
      <c r="P2320">
        <v>0</v>
      </c>
      <c r="Q2320">
        <v>0</v>
      </c>
      <c r="R2320">
        <v>0</v>
      </c>
      <c r="T2320" s="29">
        <v>35000</v>
      </c>
      <c r="U2320" s="29">
        <v>704550</v>
      </c>
      <c r="V2320" t="s">
        <v>1262</v>
      </c>
      <c r="W2320" t="s">
        <v>1262</v>
      </c>
      <c r="X2320" s="29">
        <v>704550</v>
      </c>
      <c r="AA2320" s="30">
        <v>45824.463888888888</v>
      </c>
      <c r="AB2320" s="30">
        <v>45825.422222222223</v>
      </c>
      <c r="AC2320" s="30">
        <v>45824.463888888888</v>
      </c>
      <c r="AD2320" s="30">
        <v>45825.422222222223</v>
      </c>
      <c r="AE2320" s="30">
        <v>46029.405555555553</v>
      </c>
      <c r="AF2320" s="30">
        <v>46030.363888888889</v>
      </c>
      <c r="AG2320" t="s">
        <v>1266</v>
      </c>
      <c r="AK2320" t="s">
        <v>1265</v>
      </c>
      <c r="AL2320" t="s">
        <v>2357</v>
      </c>
      <c r="AM2320" t="s">
        <v>1263</v>
      </c>
      <c r="AN2320" t="s">
        <v>1262</v>
      </c>
      <c r="AO2320">
        <v>0</v>
      </c>
      <c r="AQ2320" t="s">
        <v>1261</v>
      </c>
      <c r="AR2320" t="s">
        <v>1260</v>
      </c>
      <c r="AS2320" t="s">
        <v>1259</v>
      </c>
      <c r="AT2320" s="30">
        <v>46069.523611111108</v>
      </c>
    </row>
    <row r="2321" spans="1:46" x14ac:dyDescent="0.25">
      <c r="A2321" t="s">
        <v>1248</v>
      </c>
      <c r="B2321">
        <v>248336</v>
      </c>
      <c r="C2321">
        <v>352348</v>
      </c>
      <c r="D2321">
        <v>405</v>
      </c>
      <c r="E2321" t="s">
        <v>1266</v>
      </c>
      <c r="H2321">
        <v>1855</v>
      </c>
      <c r="K2321" t="s">
        <v>1437</v>
      </c>
      <c r="L2321" t="s">
        <v>1437</v>
      </c>
      <c r="M2321" s="29">
        <v>287571428</v>
      </c>
      <c r="N2321">
        <v>0</v>
      </c>
      <c r="O2321" s="29">
        <v>287571428</v>
      </c>
      <c r="P2321">
        <v>0</v>
      </c>
      <c r="Q2321">
        <v>0</v>
      </c>
      <c r="R2321">
        <v>0</v>
      </c>
      <c r="T2321" s="29">
        <v>35000</v>
      </c>
      <c r="U2321" s="29">
        <v>704550</v>
      </c>
      <c r="V2321" t="s">
        <v>1262</v>
      </c>
      <c r="W2321" t="s">
        <v>1262</v>
      </c>
      <c r="X2321" s="29">
        <v>704550</v>
      </c>
      <c r="AA2321" s="30">
        <v>45814.422222222223</v>
      </c>
      <c r="AB2321" s="30">
        <v>45817.380555555559</v>
      </c>
      <c r="AC2321" s="30">
        <v>45814.422222222223</v>
      </c>
      <c r="AD2321" s="30">
        <v>45817.380555555559</v>
      </c>
      <c r="AE2321" s="30">
        <v>46008.363888888889</v>
      </c>
      <c r="AF2321" s="30">
        <v>46008.697222222225</v>
      </c>
      <c r="AG2321" t="s">
        <v>1266</v>
      </c>
      <c r="AK2321" t="s">
        <v>1265</v>
      </c>
      <c r="AL2321" t="s">
        <v>2356</v>
      </c>
      <c r="AM2321" t="s">
        <v>1263</v>
      </c>
      <c r="AN2321" t="s">
        <v>1262</v>
      </c>
      <c r="AO2321">
        <v>0</v>
      </c>
      <c r="AQ2321" t="s">
        <v>1261</v>
      </c>
      <c r="AR2321" t="s">
        <v>1260</v>
      </c>
      <c r="AS2321" t="s">
        <v>1259</v>
      </c>
      <c r="AT2321" s="30">
        <v>46069.523611111108</v>
      </c>
    </row>
    <row r="2322" spans="1:46" x14ac:dyDescent="0.25">
      <c r="A2322" t="s">
        <v>1248</v>
      </c>
      <c r="B2322">
        <v>248337</v>
      </c>
      <c r="C2322">
        <v>352355</v>
      </c>
      <c r="D2322">
        <v>405</v>
      </c>
      <c r="E2322" t="s">
        <v>1266</v>
      </c>
      <c r="H2322">
        <v>1855</v>
      </c>
      <c r="K2322" t="s">
        <v>1437</v>
      </c>
      <c r="L2322" t="s">
        <v>1437</v>
      </c>
      <c r="M2322" s="29">
        <v>287571428</v>
      </c>
      <c r="N2322">
        <v>0</v>
      </c>
      <c r="O2322" s="29">
        <v>287571428</v>
      </c>
      <c r="P2322">
        <v>0</v>
      </c>
      <c r="Q2322">
        <v>0</v>
      </c>
      <c r="R2322">
        <v>0</v>
      </c>
      <c r="T2322" s="29">
        <v>35000</v>
      </c>
      <c r="U2322" s="29">
        <v>704550</v>
      </c>
      <c r="V2322" t="s">
        <v>1262</v>
      </c>
      <c r="W2322" t="s">
        <v>1262</v>
      </c>
      <c r="X2322" s="29">
        <v>704550</v>
      </c>
      <c r="AA2322" s="30">
        <v>45813.463888888888</v>
      </c>
      <c r="AB2322" s="30">
        <v>45814.422222222223</v>
      </c>
      <c r="AC2322" s="30">
        <v>45813.463888888888</v>
      </c>
      <c r="AD2322" s="30">
        <v>45814.422222222223</v>
      </c>
      <c r="AE2322" s="30">
        <v>46002.363888888889</v>
      </c>
      <c r="AF2322" s="30">
        <v>46002.697222222225</v>
      </c>
      <c r="AG2322" t="s">
        <v>1266</v>
      </c>
      <c r="AK2322" t="s">
        <v>1265</v>
      </c>
      <c r="AL2322" t="s">
        <v>2355</v>
      </c>
      <c r="AM2322" t="s">
        <v>1263</v>
      </c>
      <c r="AN2322" t="s">
        <v>1262</v>
      </c>
      <c r="AO2322">
        <v>0</v>
      </c>
      <c r="AQ2322" t="s">
        <v>1261</v>
      </c>
      <c r="AR2322" t="s">
        <v>1260</v>
      </c>
      <c r="AS2322" t="s">
        <v>1259</v>
      </c>
      <c r="AT2322" s="30">
        <v>46069.523611111108</v>
      </c>
    </row>
    <row r="2323" spans="1:46" x14ac:dyDescent="0.25">
      <c r="A2323" t="s">
        <v>1248</v>
      </c>
      <c r="B2323">
        <v>248338</v>
      </c>
      <c r="C2323">
        <v>352362</v>
      </c>
      <c r="D2323">
        <v>405</v>
      </c>
      <c r="E2323" t="s">
        <v>1266</v>
      </c>
      <c r="H2323">
        <v>1855</v>
      </c>
      <c r="K2323" t="s">
        <v>1437</v>
      </c>
      <c r="L2323" t="s">
        <v>1437</v>
      </c>
      <c r="M2323" s="29">
        <v>287571428</v>
      </c>
      <c r="N2323">
        <v>0</v>
      </c>
      <c r="O2323" s="29">
        <v>287571428</v>
      </c>
      <c r="P2323">
        <v>0</v>
      </c>
      <c r="Q2323">
        <v>0</v>
      </c>
      <c r="R2323">
        <v>0</v>
      </c>
      <c r="T2323" s="29">
        <v>35000</v>
      </c>
      <c r="U2323" s="29">
        <v>704550</v>
      </c>
      <c r="V2323" t="s">
        <v>1262</v>
      </c>
      <c r="W2323" t="s">
        <v>1262</v>
      </c>
      <c r="X2323" s="29">
        <v>704550</v>
      </c>
      <c r="AA2323" s="30">
        <v>45812.547222222223</v>
      </c>
      <c r="AB2323" s="30">
        <v>45813.463888888888</v>
      </c>
      <c r="AC2323" s="30">
        <v>45812.547222222223</v>
      </c>
      <c r="AD2323" s="30">
        <v>45813.463888888888</v>
      </c>
      <c r="AE2323" s="30">
        <v>45869.405555555553</v>
      </c>
      <c r="AF2323" s="30">
        <v>45870.363888888889</v>
      </c>
      <c r="AG2323" t="s">
        <v>1266</v>
      </c>
      <c r="AK2323" t="s">
        <v>1265</v>
      </c>
      <c r="AL2323" t="s">
        <v>2354</v>
      </c>
      <c r="AM2323" t="s">
        <v>1263</v>
      </c>
      <c r="AN2323" t="s">
        <v>1262</v>
      </c>
      <c r="AO2323">
        <v>0</v>
      </c>
      <c r="AQ2323" t="s">
        <v>1261</v>
      </c>
      <c r="AR2323" t="s">
        <v>1260</v>
      </c>
      <c r="AS2323" t="s">
        <v>1259</v>
      </c>
      <c r="AT2323" s="30">
        <v>46069.523611111108</v>
      </c>
    </row>
    <row r="2324" spans="1:46" x14ac:dyDescent="0.25">
      <c r="A2324" t="s">
        <v>1248</v>
      </c>
      <c r="B2324">
        <v>248389</v>
      </c>
      <c r="C2324">
        <v>352196</v>
      </c>
      <c r="D2324">
        <v>405</v>
      </c>
      <c r="E2324" t="s">
        <v>1266</v>
      </c>
      <c r="H2324">
        <v>1834</v>
      </c>
      <c r="K2324" t="s">
        <v>2331</v>
      </c>
      <c r="L2324" t="s">
        <v>2331</v>
      </c>
      <c r="M2324" s="29">
        <v>146258064</v>
      </c>
      <c r="N2324">
        <v>0</v>
      </c>
      <c r="O2324" s="29">
        <v>146258064</v>
      </c>
      <c r="P2324">
        <v>0</v>
      </c>
      <c r="Q2324">
        <v>0</v>
      </c>
      <c r="R2324">
        <v>0</v>
      </c>
      <c r="T2324" s="29">
        <v>10300</v>
      </c>
      <c r="U2324" s="29">
        <v>467002</v>
      </c>
      <c r="V2324" t="s">
        <v>1262</v>
      </c>
      <c r="W2324" t="s">
        <v>1262</v>
      </c>
      <c r="X2324" s="29">
        <v>467002</v>
      </c>
      <c r="AA2324" s="30">
        <v>45909.380555555559</v>
      </c>
      <c r="AB2324" s="30">
        <v>45915.338888888888</v>
      </c>
      <c r="AC2324" s="30">
        <v>45909.380555555559</v>
      </c>
      <c r="AD2324" s="30">
        <v>45915.338888888888</v>
      </c>
      <c r="AE2324" s="30">
        <v>46400.458333333336</v>
      </c>
      <c r="AF2324" s="30">
        <v>46406.416666666664</v>
      </c>
      <c r="AG2324" t="s">
        <v>1266</v>
      </c>
      <c r="AK2324" t="s">
        <v>1265</v>
      </c>
      <c r="AL2324" t="s">
        <v>2353</v>
      </c>
      <c r="AM2324" t="s">
        <v>1263</v>
      </c>
      <c r="AN2324" t="s">
        <v>1262</v>
      </c>
      <c r="AO2324">
        <v>0</v>
      </c>
      <c r="AQ2324" t="s">
        <v>1261</v>
      </c>
      <c r="AR2324" t="s">
        <v>1260</v>
      </c>
      <c r="AS2324" t="s">
        <v>1259</v>
      </c>
      <c r="AT2324" s="30">
        <v>46069.523611111108</v>
      </c>
    </row>
    <row r="2325" spans="1:46" x14ac:dyDescent="0.25">
      <c r="A2325" t="s">
        <v>1248</v>
      </c>
      <c r="B2325">
        <v>248391</v>
      </c>
      <c r="C2325">
        <v>352210</v>
      </c>
      <c r="D2325">
        <v>405</v>
      </c>
      <c r="E2325" t="s">
        <v>1266</v>
      </c>
      <c r="H2325">
        <v>1834</v>
      </c>
      <c r="K2325" t="s">
        <v>2331</v>
      </c>
      <c r="L2325" t="s">
        <v>2331</v>
      </c>
      <c r="M2325" s="29">
        <v>146258064</v>
      </c>
      <c r="N2325">
        <v>0</v>
      </c>
      <c r="O2325" s="29">
        <v>146258064</v>
      </c>
      <c r="P2325">
        <v>0</v>
      </c>
      <c r="Q2325">
        <v>0</v>
      </c>
      <c r="R2325">
        <v>0</v>
      </c>
      <c r="T2325" s="29">
        <v>10300</v>
      </c>
      <c r="U2325" s="29">
        <v>467002</v>
      </c>
      <c r="V2325" t="s">
        <v>1262</v>
      </c>
      <c r="W2325" t="s">
        <v>1262</v>
      </c>
      <c r="X2325" s="29">
        <v>467002</v>
      </c>
      <c r="AA2325" s="30">
        <v>45901.380555555559</v>
      </c>
      <c r="AB2325" s="30">
        <v>45905.338888888888</v>
      </c>
      <c r="AC2325" s="30">
        <v>45901.380555555559</v>
      </c>
      <c r="AD2325" s="30">
        <v>45905.338888888888</v>
      </c>
      <c r="AE2325" s="30">
        <v>46360.458333333336</v>
      </c>
      <c r="AF2325" s="30">
        <v>46367.416666666664</v>
      </c>
      <c r="AG2325" t="s">
        <v>1266</v>
      </c>
      <c r="AK2325" t="s">
        <v>1265</v>
      </c>
      <c r="AL2325" t="s">
        <v>2352</v>
      </c>
      <c r="AM2325" t="s">
        <v>1263</v>
      </c>
      <c r="AN2325" t="s">
        <v>1262</v>
      </c>
      <c r="AO2325">
        <v>0</v>
      </c>
      <c r="AQ2325" t="s">
        <v>1261</v>
      </c>
      <c r="AR2325" t="s">
        <v>1260</v>
      </c>
      <c r="AS2325" t="s">
        <v>1259</v>
      </c>
      <c r="AT2325" s="30">
        <v>46069.523611111108</v>
      </c>
    </row>
    <row r="2326" spans="1:46" x14ac:dyDescent="0.25">
      <c r="A2326" t="s">
        <v>1248</v>
      </c>
      <c r="B2326">
        <v>248393</v>
      </c>
      <c r="C2326">
        <v>352224</v>
      </c>
      <c r="D2326">
        <v>405</v>
      </c>
      <c r="E2326" t="s">
        <v>1266</v>
      </c>
      <c r="H2326">
        <v>1834</v>
      </c>
      <c r="K2326" t="s">
        <v>2331</v>
      </c>
      <c r="L2326" t="s">
        <v>2331</v>
      </c>
      <c r="M2326" s="29">
        <v>146258064</v>
      </c>
      <c r="N2326">
        <v>0</v>
      </c>
      <c r="O2326" s="29">
        <v>146258064</v>
      </c>
      <c r="P2326">
        <v>0</v>
      </c>
      <c r="Q2326">
        <v>0</v>
      </c>
      <c r="R2326">
        <v>0</v>
      </c>
      <c r="T2326" s="29">
        <v>10300</v>
      </c>
      <c r="U2326" s="29">
        <v>467002</v>
      </c>
      <c r="V2326" t="s">
        <v>1262</v>
      </c>
      <c r="W2326" t="s">
        <v>1262</v>
      </c>
      <c r="X2326" s="29">
        <v>467002</v>
      </c>
      <c r="AA2326" s="30">
        <v>45891.547222222223</v>
      </c>
      <c r="AB2326" s="30">
        <v>45897.463888888888</v>
      </c>
      <c r="AC2326" s="30">
        <v>45891.547222222223</v>
      </c>
      <c r="AD2326" s="30">
        <v>45897.463888888888</v>
      </c>
      <c r="AE2326" s="30">
        <v>46328.458333333336</v>
      </c>
      <c r="AF2326" s="30">
        <v>46332.416666666664</v>
      </c>
      <c r="AG2326" t="s">
        <v>1266</v>
      </c>
      <c r="AK2326" t="s">
        <v>1265</v>
      </c>
      <c r="AL2326" t="s">
        <v>2351</v>
      </c>
      <c r="AM2326" t="s">
        <v>1263</v>
      </c>
      <c r="AN2326" t="s">
        <v>1262</v>
      </c>
      <c r="AO2326">
        <v>0</v>
      </c>
      <c r="AQ2326" t="s">
        <v>1261</v>
      </c>
      <c r="AR2326" t="s">
        <v>1260</v>
      </c>
      <c r="AS2326" t="s">
        <v>1259</v>
      </c>
      <c r="AT2326" s="30">
        <v>46069.523611111108</v>
      </c>
    </row>
    <row r="2327" spans="1:46" x14ac:dyDescent="0.25">
      <c r="A2327" t="s">
        <v>1248</v>
      </c>
      <c r="B2327">
        <v>248394</v>
      </c>
      <c r="C2327">
        <v>352231</v>
      </c>
      <c r="D2327">
        <v>405</v>
      </c>
      <c r="E2327" t="s">
        <v>1266</v>
      </c>
      <c r="H2327">
        <v>1834</v>
      </c>
      <c r="K2327" t="s">
        <v>2331</v>
      </c>
      <c r="L2327" t="s">
        <v>2331</v>
      </c>
      <c r="M2327" s="29">
        <v>146258064</v>
      </c>
      <c r="N2327">
        <v>0</v>
      </c>
      <c r="O2327" s="29">
        <v>146258064</v>
      </c>
      <c r="P2327">
        <v>0</v>
      </c>
      <c r="Q2327">
        <v>0</v>
      </c>
      <c r="R2327">
        <v>0</v>
      </c>
      <c r="T2327" s="29">
        <v>10300</v>
      </c>
      <c r="U2327" s="29">
        <v>467002</v>
      </c>
      <c r="V2327" t="s">
        <v>1262</v>
      </c>
      <c r="W2327" t="s">
        <v>1262</v>
      </c>
      <c r="X2327" s="29">
        <v>467002</v>
      </c>
      <c r="AA2327" s="30">
        <v>45889.588888888888</v>
      </c>
      <c r="AB2327" s="30">
        <v>45895.547222222223</v>
      </c>
      <c r="AC2327" s="30">
        <v>45889.588888888888</v>
      </c>
      <c r="AD2327" s="30">
        <v>45895.547222222223</v>
      </c>
      <c r="AE2327" s="30">
        <v>46310.458333333336</v>
      </c>
      <c r="AF2327" s="30">
        <v>46316.416666666664</v>
      </c>
      <c r="AG2327" t="s">
        <v>1266</v>
      </c>
      <c r="AK2327" t="s">
        <v>1265</v>
      </c>
      <c r="AL2327" t="s">
        <v>2350</v>
      </c>
      <c r="AM2327" t="s">
        <v>1263</v>
      </c>
      <c r="AN2327" t="s">
        <v>1262</v>
      </c>
      <c r="AO2327">
        <v>0</v>
      </c>
      <c r="AQ2327" t="s">
        <v>1261</v>
      </c>
      <c r="AR2327" t="s">
        <v>1260</v>
      </c>
      <c r="AS2327" t="s">
        <v>1259</v>
      </c>
      <c r="AT2327" s="30">
        <v>46069.523611111108</v>
      </c>
    </row>
    <row r="2328" spans="1:46" x14ac:dyDescent="0.25">
      <c r="A2328" t="s">
        <v>1248</v>
      </c>
      <c r="B2328">
        <v>248395</v>
      </c>
      <c r="C2328">
        <v>352238</v>
      </c>
      <c r="D2328">
        <v>405</v>
      </c>
      <c r="E2328" t="s">
        <v>1266</v>
      </c>
      <c r="H2328">
        <v>1834</v>
      </c>
      <c r="K2328" t="s">
        <v>2331</v>
      </c>
      <c r="L2328" t="s">
        <v>2331</v>
      </c>
      <c r="M2328" s="29">
        <v>146258064</v>
      </c>
      <c r="N2328">
        <v>0</v>
      </c>
      <c r="O2328" s="29">
        <v>146258064</v>
      </c>
      <c r="P2328">
        <v>0</v>
      </c>
      <c r="Q2328">
        <v>0</v>
      </c>
      <c r="R2328">
        <v>0</v>
      </c>
      <c r="T2328" s="29">
        <v>10300</v>
      </c>
      <c r="U2328" s="29">
        <v>467002</v>
      </c>
      <c r="V2328" t="s">
        <v>1262</v>
      </c>
      <c r="W2328" t="s">
        <v>1262</v>
      </c>
      <c r="X2328" s="29">
        <v>467002</v>
      </c>
      <c r="AA2328" s="30">
        <v>45887.630555555559</v>
      </c>
      <c r="AB2328" s="30">
        <v>45891.588888888888</v>
      </c>
      <c r="AC2328" s="30">
        <v>45887.630555555559</v>
      </c>
      <c r="AD2328" s="30">
        <v>45891.588888888888</v>
      </c>
      <c r="AE2328" s="30">
        <v>46294.458333333336</v>
      </c>
      <c r="AF2328" s="30">
        <v>46300.416666666664</v>
      </c>
      <c r="AG2328" t="s">
        <v>1266</v>
      </c>
      <c r="AK2328" t="s">
        <v>1265</v>
      </c>
      <c r="AL2328" t="s">
        <v>2349</v>
      </c>
      <c r="AM2328" t="s">
        <v>1263</v>
      </c>
      <c r="AN2328" t="s">
        <v>1262</v>
      </c>
      <c r="AO2328">
        <v>0</v>
      </c>
      <c r="AQ2328" t="s">
        <v>1261</v>
      </c>
      <c r="AR2328" t="s">
        <v>1260</v>
      </c>
      <c r="AS2328" t="s">
        <v>1259</v>
      </c>
      <c r="AT2328" s="30">
        <v>46069.523611111108</v>
      </c>
    </row>
    <row r="2329" spans="1:46" x14ac:dyDescent="0.25">
      <c r="A2329" t="s">
        <v>1248</v>
      </c>
      <c r="B2329">
        <v>248396</v>
      </c>
      <c r="C2329">
        <v>352245</v>
      </c>
      <c r="D2329">
        <v>405</v>
      </c>
      <c r="E2329" t="s">
        <v>1266</v>
      </c>
      <c r="H2329">
        <v>1834</v>
      </c>
      <c r="K2329" t="s">
        <v>2331</v>
      </c>
      <c r="L2329" t="s">
        <v>2331</v>
      </c>
      <c r="M2329" s="29">
        <v>146258064</v>
      </c>
      <c r="N2329">
        <v>0</v>
      </c>
      <c r="O2329" s="29">
        <v>146258064</v>
      </c>
      <c r="P2329">
        <v>0</v>
      </c>
      <c r="Q2329">
        <v>0</v>
      </c>
      <c r="R2329">
        <v>0</v>
      </c>
      <c r="T2329" s="29">
        <v>10300</v>
      </c>
      <c r="U2329" s="29">
        <v>467002</v>
      </c>
      <c r="V2329" t="s">
        <v>1262</v>
      </c>
      <c r="W2329" t="s">
        <v>1262</v>
      </c>
      <c r="X2329" s="29">
        <v>467002</v>
      </c>
      <c r="AA2329" s="30">
        <v>45889.35</v>
      </c>
      <c r="AB2329" s="30">
        <v>45894.683333333334</v>
      </c>
      <c r="AC2329" s="30">
        <v>45889.35</v>
      </c>
      <c r="AD2329" s="30">
        <v>45894.683333333334</v>
      </c>
      <c r="AE2329" s="30">
        <v>46276.458333333336</v>
      </c>
      <c r="AF2329" s="30">
        <v>46282.416666666664</v>
      </c>
      <c r="AG2329" t="s">
        <v>1266</v>
      </c>
      <c r="AK2329" t="s">
        <v>1265</v>
      </c>
      <c r="AL2329" t="s">
        <v>2348</v>
      </c>
      <c r="AM2329" t="s">
        <v>1263</v>
      </c>
      <c r="AN2329" t="s">
        <v>1262</v>
      </c>
      <c r="AO2329">
        <v>0</v>
      </c>
      <c r="AQ2329" t="s">
        <v>1261</v>
      </c>
      <c r="AR2329" t="s">
        <v>1260</v>
      </c>
      <c r="AS2329" t="s">
        <v>1259</v>
      </c>
      <c r="AT2329" s="30">
        <v>46069.523611111108</v>
      </c>
    </row>
    <row r="2330" spans="1:46" x14ac:dyDescent="0.25">
      <c r="A2330" t="s">
        <v>1248</v>
      </c>
      <c r="B2330">
        <v>248397</v>
      </c>
      <c r="C2330">
        <v>352252</v>
      </c>
      <c r="D2330">
        <v>405</v>
      </c>
      <c r="E2330" t="s">
        <v>1266</v>
      </c>
      <c r="H2330">
        <v>1834</v>
      </c>
      <c r="K2330" t="s">
        <v>2331</v>
      </c>
      <c r="L2330" t="s">
        <v>2331</v>
      </c>
      <c r="M2330" s="29">
        <v>146258064</v>
      </c>
      <c r="N2330">
        <v>0</v>
      </c>
      <c r="O2330" s="29">
        <v>146258064</v>
      </c>
      <c r="P2330">
        <v>0</v>
      </c>
      <c r="Q2330">
        <v>0</v>
      </c>
      <c r="R2330">
        <v>0</v>
      </c>
      <c r="T2330" s="29">
        <v>10300</v>
      </c>
      <c r="U2330" s="29">
        <v>467002</v>
      </c>
      <c r="V2330" t="s">
        <v>1262</v>
      </c>
      <c r="W2330" t="s">
        <v>1262</v>
      </c>
      <c r="X2330" s="29">
        <v>467002</v>
      </c>
      <c r="AA2330" s="30">
        <v>45887.39166666667</v>
      </c>
      <c r="AB2330" s="30">
        <v>45891.35</v>
      </c>
      <c r="AC2330" s="30">
        <v>45887.39166666667</v>
      </c>
      <c r="AD2330" s="30">
        <v>45891.35</v>
      </c>
      <c r="AE2330" s="30">
        <v>46260.458333333336</v>
      </c>
      <c r="AF2330" s="30">
        <v>46266.416666666664</v>
      </c>
      <c r="AG2330" t="s">
        <v>1266</v>
      </c>
      <c r="AK2330" t="s">
        <v>1265</v>
      </c>
      <c r="AL2330" t="s">
        <v>2347</v>
      </c>
      <c r="AM2330" t="s">
        <v>1263</v>
      </c>
      <c r="AN2330" t="s">
        <v>1262</v>
      </c>
      <c r="AO2330">
        <v>0</v>
      </c>
      <c r="AQ2330" t="s">
        <v>1261</v>
      </c>
      <c r="AR2330" t="s">
        <v>1260</v>
      </c>
      <c r="AS2330" t="s">
        <v>1259</v>
      </c>
      <c r="AT2330" s="30">
        <v>46069.523611111108</v>
      </c>
    </row>
    <row r="2331" spans="1:46" x14ac:dyDescent="0.25">
      <c r="A2331" t="s">
        <v>1248</v>
      </c>
      <c r="B2331">
        <v>248398</v>
      </c>
      <c r="C2331">
        <v>352259</v>
      </c>
      <c r="D2331">
        <v>405</v>
      </c>
      <c r="E2331" t="s">
        <v>1266</v>
      </c>
      <c r="H2331">
        <v>1834</v>
      </c>
      <c r="K2331" t="s">
        <v>2331</v>
      </c>
      <c r="L2331" t="s">
        <v>2331</v>
      </c>
      <c r="M2331" s="29">
        <v>146258064</v>
      </c>
      <c r="N2331">
        <v>0</v>
      </c>
      <c r="O2331" s="29">
        <v>146258064</v>
      </c>
      <c r="P2331">
        <v>0</v>
      </c>
      <c r="Q2331">
        <v>0</v>
      </c>
      <c r="R2331">
        <v>0</v>
      </c>
      <c r="T2331" s="29">
        <v>10300</v>
      </c>
      <c r="U2331" s="29">
        <v>467002</v>
      </c>
      <c r="V2331" t="s">
        <v>1262</v>
      </c>
      <c r="W2331" t="s">
        <v>1262</v>
      </c>
      <c r="X2331" s="29">
        <v>467002</v>
      </c>
      <c r="AA2331" s="30">
        <v>45883.433333333334</v>
      </c>
      <c r="AB2331" s="30">
        <v>45889.39166666667</v>
      </c>
      <c r="AC2331" s="30">
        <v>45883.433333333334</v>
      </c>
      <c r="AD2331" s="30">
        <v>45889.39166666667</v>
      </c>
      <c r="AE2331" s="30">
        <v>46244.458333333336</v>
      </c>
      <c r="AF2331" s="30">
        <v>46248.416666666664</v>
      </c>
      <c r="AG2331" t="s">
        <v>1266</v>
      </c>
      <c r="AK2331" t="s">
        <v>1265</v>
      </c>
      <c r="AL2331" t="s">
        <v>2346</v>
      </c>
      <c r="AM2331" t="s">
        <v>1263</v>
      </c>
      <c r="AN2331" t="s">
        <v>1262</v>
      </c>
      <c r="AO2331">
        <v>0</v>
      </c>
      <c r="AQ2331" t="s">
        <v>1261</v>
      </c>
      <c r="AR2331" t="s">
        <v>1260</v>
      </c>
      <c r="AS2331" t="s">
        <v>1259</v>
      </c>
      <c r="AT2331" s="30">
        <v>46069.523611111108</v>
      </c>
    </row>
    <row r="2332" spans="1:46" x14ac:dyDescent="0.25">
      <c r="A2332" t="s">
        <v>1248</v>
      </c>
      <c r="B2332">
        <v>248399</v>
      </c>
      <c r="C2332">
        <v>352266</v>
      </c>
      <c r="D2332">
        <v>405</v>
      </c>
      <c r="E2332" t="s">
        <v>1266</v>
      </c>
      <c r="H2332">
        <v>1834</v>
      </c>
      <c r="K2332" t="s">
        <v>2331</v>
      </c>
      <c r="L2332" t="s">
        <v>2331</v>
      </c>
      <c r="M2332" s="29">
        <v>146258064</v>
      </c>
      <c r="N2332">
        <v>0</v>
      </c>
      <c r="O2332" s="29">
        <v>146258064</v>
      </c>
      <c r="P2332">
        <v>0</v>
      </c>
      <c r="Q2332">
        <v>0</v>
      </c>
      <c r="R2332">
        <v>0</v>
      </c>
      <c r="T2332" s="29">
        <v>10300</v>
      </c>
      <c r="U2332" s="29">
        <v>467002</v>
      </c>
      <c r="V2332" t="s">
        <v>1262</v>
      </c>
      <c r="W2332" t="s">
        <v>1262</v>
      </c>
      <c r="X2332" s="29">
        <v>467002</v>
      </c>
      <c r="AA2332" s="30">
        <v>45873.7</v>
      </c>
      <c r="AB2332" s="30">
        <v>45877.658333333333</v>
      </c>
      <c r="AC2332" s="30">
        <v>45873.7</v>
      </c>
      <c r="AD2332" s="30">
        <v>45877.658333333333</v>
      </c>
      <c r="AE2332" s="30">
        <v>46226.458333333336</v>
      </c>
      <c r="AF2332" s="30">
        <v>46232.416666666664</v>
      </c>
      <c r="AG2332" t="s">
        <v>1266</v>
      </c>
      <c r="AK2332" t="s">
        <v>1265</v>
      </c>
      <c r="AL2332" t="s">
        <v>2345</v>
      </c>
      <c r="AM2332" t="s">
        <v>1263</v>
      </c>
      <c r="AN2332" t="s">
        <v>1262</v>
      </c>
      <c r="AO2332">
        <v>0</v>
      </c>
      <c r="AQ2332" t="s">
        <v>1261</v>
      </c>
      <c r="AR2332" t="s">
        <v>1260</v>
      </c>
      <c r="AS2332" t="s">
        <v>1259</v>
      </c>
      <c r="AT2332" s="30">
        <v>46069.523611111108</v>
      </c>
    </row>
    <row r="2333" spans="1:46" x14ac:dyDescent="0.25">
      <c r="A2333" t="s">
        <v>1248</v>
      </c>
      <c r="B2333">
        <v>248400</v>
      </c>
      <c r="C2333">
        <v>352273</v>
      </c>
      <c r="D2333">
        <v>405</v>
      </c>
      <c r="E2333" t="s">
        <v>1266</v>
      </c>
      <c r="H2333">
        <v>1834</v>
      </c>
      <c r="K2333" t="s">
        <v>2331</v>
      </c>
      <c r="L2333" t="s">
        <v>2331</v>
      </c>
      <c r="M2333" s="29">
        <v>146258064</v>
      </c>
      <c r="N2333">
        <v>0</v>
      </c>
      <c r="O2333" s="29">
        <v>146258064</v>
      </c>
      <c r="P2333">
        <v>0</v>
      </c>
      <c r="Q2333">
        <v>0</v>
      </c>
      <c r="R2333">
        <v>0</v>
      </c>
      <c r="T2333" s="29">
        <v>10300</v>
      </c>
      <c r="U2333" s="29">
        <v>467002</v>
      </c>
      <c r="V2333" t="s">
        <v>1262</v>
      </c>
      <c r="W2333" t="s">
        <v>1262</v>
      </c>
      <c r="X2333" s="29">
        <v>467002</v>
      </c>
      <c r="AA2333" s="30">
        <v>45870.366666666669</v>
      </c>
      <c r="AB2333" s="30">
        <v>45875.7</v>
      </c>
      <c r="AC2333" s="30">
        <v>45870.366666666669</v>
      </c>
      <c r="AD2333" s="30">
        <v>45875.7</v>
      </c>
      <c r="AE2333" s="30">
        <v>46210.458333333336</v>
      </c>
      <c r="AF2333" s="30">
        <v>46216.416666666664</v>
      </c>
      <c r="AG2333" t="s">
        <v>1266</v>
      </c>
      <c r="AK2333" t="s">
        <v>1265</v>
      </c>
      <c r="AL2333" t="s">
        <v>2344</v>
      </c>
      <c r="AM2333" t="s">
        <v>1263</v>
      </c>
      <c r="AN2333" t="s">
        <v>1262</v>
      </c>
      <c r="AO2333">
        <v>0</v>
      </c>
      <c r="AQ2333" t="s">
        <v>1261</v>
      </c>
      <c r="AR2333" t="s">
        <v>1260</v>
      </c>
      <c r="AS2333" t="s">
        <v>1259</v>
      </c>
      <c r="AT2333" s="30">
        <v>46069.523611111108</v>
      </c>
    </row>
    <row r="2334" spans="1:46" x14ac:dyDescent="0.25">
      <c r="A2334" t="s">
        <v>1248</v>
      </c>
      <c r="B2334">
        <v>248401</v>
      </c>
      <c r="C2334">
        <v>352280</v>
      </c>
      <c r="D2334">
        <v>405</v>
      </c>
      <c r="E2334" t="s">
        <v>1266</v>
      </c>
      <c r="H2334">
        <v>1834</v>
      </c>
      <c r="K2334" t="s">
        <v>2331</v>
      </c>
      <c r="L2334" t="s">
        <v>2331</v>
      </c>
      <c r="M2334" s="29">
        <v>146258064</v>
      </c>
      <c r="N2334">
        <v>0</v>
      </c>
      <c r="O2334" s="29">
        <v>146258064</v>
      </c>
      <c r="P2334">
        <v>0</v>
      </c>
      <c r="Q2334">
        <v>0</v>
      </c>
      <c r="R2334">
        <v>0</v>
      </c>
      <c r="T2334" s="29">
        <v>10300</v>
      </c>
      <c r="U2334" s="29">
        <v>467002</v>
      </c>
      <c r="V2334" t="s">
        <v>1262</v>
      </c>
      <c r="W2334" t="s">
        <v>1262</v>
      </c>
      <c r="X2334" s="29">
        <v>467002</v>
      </c>
      <c r="AA2334" s="30">
        <v>45868.408333333333</v>
      </c>
      <c r="AB2334" s="30">
        <v>45874.366666666669</v>
      </c>
      <c r="AC2334" s="30">
        <v>45868.408333333333</v>
      </c>
      <c r="AD2334" s="30">
        <v>45874.366666666669</v>
      </c>
      <c r="AE2334" s="30">
        <v>46192.458333333336</v>
      </c>
      <c r="AF2334" s="30">
        <v>46198.416666666664</v>
      </c>
      <c r="AG2334" t="s">
        <v>1266</v>
      </c>
      <c r="AK2334" t="s">
        <v>1265</v>
      </c>
      <c r="AL2334" t="s">
        <v>2343</v>
      </c>
      <c r="AM2334" t="s">
        <v>1263</v>
      </c>
      <c r="AN2334" t="s">
        <v>1262</v>
      </c>
      <c r="AO2334">
        <v>0</v>
      </c>
      <c r="AQ2334" t="s">
        <v>1261</v>
      </c>
      <c r="AR2334" t="s">
        <v>1260</v>
      </c>
      <c r="AS2334" t="s">
        <v>1259</v>
      </c>
      <c r="AT2334" s="30">
        <v>46069.523611111108</v>
      </c>
    </row>
    <row r="2335" spans="1:46" x14ac:dyDescent="0.25">
      <c r="A2335" t="s">
        <v>1248</v>
      </c>
      <c r="B2335">
        <v>248402</v>
      </c>
      <c r="C2335">
        <v>352287</v>
      </c>
      <c r="D2335">
        <v>405</v>
      </c>
      <c r="E2335" t="s">
        <v>1266</v>
      </c>
      <c r="H2335">
        <v>1834</v>
      </c>
      <c r="K2335" t="s">
        <v>2331</v>
      </c>
      <c r="L2335" t="s">
        <v>2331</v>
      </c>
      <c r="M2335" s="29">
        <v>146258064</v>
      </c>
      <c r="N2335">
        <v>0</v>
      </c>
      <c r="O2335" s="29">
        <v>146258064</v>
      </c>
      <c r="P2335">
        <v>0</v>
      </c>
      <c r="Q2335">
        <v>0</v>
      </c>
      <c r="R2335">
        <v>0</v>
      </c>
      <c r="T2335" s="29">
        <v>10300</v>
      </c>
      <c r="U2335" s="29">
        <v>467002</v>
      </c>
      <c r="V2335" t="s">
        <v>1262</v>
      </c>
      <c r="W2335" t="s">
        <v>1262</v>
      </c>
      <c r="X2335" s="29">
        <v>467002</v>
      </c>
      <c r="AA2335" s="30">
        <v>45866.45</v>
      </c>
      <c r="AB2335" s="30">
        <v>45870.408333333333</v>
      </c>
      <c r="AC2335" s="30">
        <v>45866.45</v>
      </c>
      <c r="AD2335" s="30">
        <v>45870.408333333333</v>
      </c>
      <c r="AE2335" s="30">
        <v>46176.458333333336</v>
      </c>
      <c r="AF2335" s="30">
        <v>46182.416666666664</v>
      </c>
      <c r="AG2335" t="s">
        <v>1266</v>
      </c>
      <c r="AK2335" t="s">
        <v>1265</v>
      </c>
      <c r="AL2335" t="s">
        <v>2342</v>
      </c>
      <c r="AM2335" t="s">
        <v>1263</v>
      </c>
      <c r="AN2335" t="s">
        <v>1262</v>
      </c>
      <c r="AO2335">
        <v>0</v>
      </c>
      <c r="AQ2335" t="s">
        <v>1261</v>
      </c>
      <c r="AR2335" t="s">
        <v>1260</v>
      </c>
      <c r="AS2335" t="s">
        <v>1259</v>
      </c>
      <c r="AT2335" s="30">
        <v>46069.523611111108</v>
      </c>
    </row>
    <row r="2336" spans="1:46" x14ac:dyDescent="0.25">
      <c r="A2336" t="s">
        <v>1248</v>
      </c>
      <c r="B2336">
        <v>248403</v>
      </c>
      <c r="C2336">
        <v>352294</v>
      </c>
      <c r="D2336">
        <v>405</v>
      </c>
      <c r="E2336" t="s">
        <v>1266</v>
      </c>
      <c r="H2336">
        <v>1834</v>
      </c>
      <c r="K2336" t="s">
        <v>2331</v>
      </c>
      <c r="L2336" t="s">
        <v>2331</v>
      </c>
      <c r="M2336" s="29">
        <v>146258064</v>
      </c>
      <c r="N2336">
        <v>0</v>
      </c>
      <c r="O2336" s="29">
        <v>146258064</v>
      </c>
      <c r="P2336">
        <v>0</v>
      </c>
      <c r="Q2336">
        <v>0</v>
      </c>
      <c r="R2336">
        <v>0</v>
      </c>
      <c r="T2336" s="29">
        <v>10300</v>
      </c>
      <c r="U2336" s="29">
        <v>467002</v>
      </c>
      <c r="V2336" t="s">
        <v>1262</v>
      </c>
      <c r="W2336" t="s">
        <v>1262</v>
      </c>
      <c r="X2336" s="29">
        <v>467002</v>
      </c>
      <c r="AA2336" s="30">
        <v>45862.491666666669</v>
      </c>
      <c r="AB2336" s="30">
        <v>45868.45</v>
      </c>
      <c r="AC2336" s="30">
        <v>45862.491666666669</v>
      </c>
      <c r="AD2336" s="30">
        <v>45868.45</v>
      </c>
      <c r="AE2336" s="30">
        <v>46157.458333333336</v>
      </c>
      <c r="AF2336" s="30">
        <v>46163.416666666664</v>
      </c>
      <c r="AG2336" t="s">
        <v>1266</v>
      </c>
      <c r="AK2336" t="s">
        <v>1265</v>
      </c>
      <c r="AL2336" t="s">
        <v>2341</v>
      </c>
      <c r="AM2336" t="s">
        <v>1263</v>
      </c>
      <c r="AN2336" t="s">
        <v>1262</v>
      </c>
      <c r="AO2336">
        <v>0</v>
      </c>
      <c r="AQ2336" t="s">
        <v>1261</v>
      </c>
      <c r="AR2336" t="s">
        <v>1260</v>
      </c>
      <c r="AS2336" t="s">
        <v>1259</v>
      </c>
      <c r="AT2336" s="30">
        <v>46069.523611111108</v>
      </c>
    </row>
    <row r="2337" spans="1:46" x14ac:dyDescent="0.25">
      <c r="A2337" t="s">
        <v>1248</v>
      </c>
      <c r="B2337">
        <v>248404</v>
      </c>
      <c r="C2337">
        <v>352301</v>
      </c>
      <c r="D2337">
        <v>405</v>
      </c>
      <c r="E2337" t="s">
        <v>1266</v>
      </c>
      <c r="H2337">
        <v>1834</v>
      </c>
      <c r="K2337" t="s">
        <v>2331</v>
      </c>
      <c r="L2337" t="s">
        <v>2331</v>
      </c>
      <c r="M2337" s="29">
        <v>146258064</v>
      </c>
      <c r="N2337">
        <v>0</v>
      </c>
      <c r="O2337" s="29">
        <v>146258064</v>
      </c>
      <c r="P2337">
        <v>0</v>
      </c>
      <c r="Q2337">
        <v>0</v>
      </c>
      <c r="R2337">
        <v>0</v>
      </c>
      <c r="T2337" s="29">
        <v>10300</v>
      </c>
      <c r="U2337" s="29">
        <v>467002</v>
      </c>
      <c r="V2337" t="s">
        <v>1262</v>
      </c>
      <c r="W2337" t="s">
        <v>1262</v>
      </c>
      <c r="X2337" s="29">
        <v>467002</v>
      </c>
      <c r="AA2337" s="30">
        <v>45860.574999999997</v>
      </c>
      <c r="AB2337" s="30">
        <v>45866.491666666669</v>
      </c>
      <c r="AC2337" s="30">
        <v>45860.574999999997</v>
      </c>
      <c r="AD2337" s="30">
        <v>45866.491666666669</v>
      </c>
      <c r="AE2337" s="30">
        <v>46140.458333333336</v>
      </c>
      <c r="AF2337" s="30">
        <v>46147.416666666664</v>
      </c>
      <c r="AG2337" t="s">
        <v>1266</v>
      </c>
      <c r="AK2337" t="s">
        <v>1265</v>
      </c>
      <c r="AL2337" t="s">
        <v>2340</v>
      </c>
      <c r="AM2337" t="s">
        <v>1263</v>
      </c>
      <c r="AN2337" t="s">
        <v>1262</v>
      </c>
      <c r="AO2337">
        <v>0</v>
      </c>
      <c r="AQ2337" t="s">
        <v>1261</v>
      </c>
      <c r="AR2337" t="s">
        <v>1260</v>
      </c>
      <c r="AS2337" t="s">
        <v>1259</v>
      </c>
      <c r="AT2337" s="30">
        <v>46069.523611111108</v>
      </c>
    </row>
    <row r="2338" spans="1:46" x14ac:dyDescent="0.25">
      <c r="A2338" t="s">
        <v>1248</v>
      </c>
      <c r="B2338">
        <v>248405</v>
      </c>
      <c r="C2338">
        <v>352308</v>
      </c>
      <c r="D2338">
        <v>405</v>
      </c>
      <c r="E2338" t="s">
        <v>1266</v>
      </c>
      <c r="H2338">
        <v>1834</v>
      </c>
      <c r="K2338" t="s">
        <v>2331</v>
      </c>
      <c r="L2338" t="s">
        <v>2331</v>
      </c>
      <c r="M2338" s="29">
        <v>146258064</v>
      </c>
      <c r="N2338">
        <v>0</v>
      </c>
      <c r="O2338" s="29">
        <v>146258064</v>
      </c>
      <c r="P2338">
        <v>0</v>
      </c>
      <c r="Q2338">
        <v>0</v>
      </c>
      <c r="R2338">
        <v>0</v>
      </c>
      <c r="T2338" s="29">
        <v>10300</v>
      </c>
      <c r="U2338" s="29">
        <v>467002</v>
      </c>
      <c r="V2338" t="s">
        <v>1262</v>
      </c>
      <c r="W2338" t="s">
        <v>1262</v>
      </c>
      <c r="X2338" s="29">
        <v>467002</v>
      </c>
      <c r="AA2338" s="30">
        <v>45846.433333333334</v>
      </c>
      <c r="AB2338" s="30">
        <v>45852.39166666667</v>
      </c>
      <c r="AC2338" s="30">
        <v>45846.433333333334</v>
      </c>
      <c r="AD2338" s="30">
        <v>45852.39166666667</v>
      </c>
      <c r="AE2338" s="30">
        <v>46122.458333333336</v>
      </c>
      <c r="AF2338" s="30">
        <v>46128.416666666664</v>
      </c>
      <c r="AG2338" t="s">
        <v>1266</v>
      </c>
      <c r="AK2338" t="s">
        <v>1265</v>
      </c>
      <c r="AL2338" t="s">
        <v>2339</v>
      </c>
      <c r="AM2338" t="s">
        <v>1263</v>
      </c>
      <c r="AN2338" t="s">
        <v>1262</v>
      </c>
      <c r="AO2338">
        <v>0</v>
      </c>
      <c r="AQ2338" t="s">
        <v>1261</v>
      </c>
      <c r="AR2338" t="s">
        <v>1260</v>
      </c>
      <c r="AS2338" t="s">
        <v>1259</v>
      </c>
      <c r="AT2338" s="30">
        <v>46069.523611111108</v>
      </c>
    </row>
    <row r="2339" spans="1:46" x14ac:dyDescent="0.25">
      <c r="A2339" t="s">
        <v>1248</v>
      </c>
      <c r="B2339">
        <v>248406</v>
      </c>
      <c r="C2339">
        <v>352315</v>
      </c>
      <c r="D2339">
        <v>405</v>
      </c>
      <c r="E2339" t="s">
        <v>1266</v>
      </c>
      <c r="H2339">
        <v>1834</v>
      </c>
      <c r="K2339" t="s">
        <v>2331</v>
      </c>
      <c r="L2339" t="s">
        <v>2331</v>
      </c>
      <c r="M2339" s="29">
        <v>146258064</v>
      </c>
      <c r="N2339">
        <v>0</v>
      </c>
      <c r="O2339" s="29">
        <v>146258064</v>
      </c>
      <c r="P2339">
        <v>0</v>
      </c>
      <c r="Q2339">
        <v>0</v>
      </c>
      <c r="R2339">
        <v>0</v>
      </c>
      <c r="T2339" s="29">
        <v>10300</v>
      </c>
      <c r="U2339" s="29">
        <v>467002</v>
      </c>
      <c r="V2339" t="s">
        <v>1262</v>
      </c>
      <c r="W2339" t="s">
        <v>1262</v>
      </c>
      <c r="X2339" s="29">
        <v>467002</v>
      </c>
      <c r="AA2339" s="30">
        <v>45841.64166666667</v>
      </c>
      <c r="AB2339" s="30">
        <v>45847.6</v>
      </c>
      <c r="AC2339" s="30">
        <v>45841.64166666667</v>
      </c>
      <c r="AD2339" s="30">
        <v>45847.6</v>
      </c>
      <c r="AE2339" s="30">
        <v>46105.458333333336</v>
      </c>
      <c r="AF2339" s="30">
        <v>46111.416666666664</v>
      </c>
      <c r="AG2339" t="s">
        <v>1266</v>
      </c>
      <c r="AK2339" t="s">
        <v>1265</v>
      </c>
      <c r="AL2339" t="s">
        <v>2338</v>
      </c>
      <c r="AM2339" t="s">
        <v>1263</v>
      </c>
      <c r="AN2339" t="s">
        <v>1262</v>
      </c>
      <c r="AO2339">
        <v>0</v>
      </c>
      <c r="AQ2339" t="s">
        <v>1261</v>
      </c>
      <c r="AR2339" t="s">
        <v>1260</v>
      </c>
      <c r="AS2339" t="s">
        <v>1259</v>
      </c>
      <c r="AT2339" s="30">
        <v>46069.523611111108</v>
      </c>
    </row>
    <row r="2340" spans="1:46" x14ac:dyDescent="0.25">
      <c r="A2340" t="s">
        <v>1248</v>
      </c>
      <c r="B2340">
        <v>248407</v>
      </c>
      <c r="C2340">
        <v>352322</v>
      </c>
      <c r="D2340">
        <v>405</v>
      </c>
      <c r="E2340" t="s">
        <v>1266</v>
      </c>
      <c r="H2340">
        <v>1834</v>
      </c>
      <c r="K2340" t="s">
        <v>2331</v>
      </c>
      <c r="L2340" t="s">
        <v>2331</v>
      </c>
      <c r="M2340" s="29">
        <v>146258064</v>
      </c>
      <c r="N2340">
        <v>0</v>
      </c>
      <c r="O2340" s="29">
        <v>146258064</v>
      </c>
      <c r="P2340">
        <v>0</v>
      </c>
      <c r="Q2340">
        <v>0</v>
      </c>
      <c r="R2340">
        <v>0</v>
      </c>
      <c r="T2340" s="29">
        <v>10300</v>
      </c>
      <c r="U2340" s="29">
        <v>467002</v>
      </c>
      <c r="V2340" t="s">
        <v>1262</v>
      </c>
      <c r="W2340" t="s">
        <v>1262</v>
      </c>
      <c r="X2340" s="29">
        <v>467002</v>
      </c>
      <c r="AA2340" s="30">
        <v>45839.683333333334</v>
      </c>
      <c r="AB2340" s="30">
        <v>45845.64166666667</v>
      </c>
      <c r="AC2340" s="30">
        <v>45839.683333333334</v>
      </c>
      <c r="AD2340" s="30">
        <v>45845.64166666667</v>
      </c>
      <c r="AE2340" s="30">
        <v>46087.458333333336</v>
      </c>
      <c r="AF2340" s="30">
        <v>46093.416666666664</v>
      </c>
      <c r="AG2340" t="s">
        <v>1266</v>
      </c>
      <c r="AK2340" t="s">
        <v>1265</v>
      </c>
      <c r="AL2340" t="s">
        <v>2337</v>
      </c>
      <c r="AM2340" t="s">
        <v>1263</v>
      </c>
      <c r="AN2340" t="s">
        <v>1262</v>
      </c>
      <c r="AO2340">
        <v>0</v>
      </c>
      <c r="AQ2340" t="s">
        <v>1261</v>
      </c>
      <c r="AR2340" t="s">
        <v>1260</v>
      </c>
      <c r="AS2340" t="s">
        <v>1259</v>
      </c>
      <c r="AT2340" s="30">
        <v>46069.523611111108</v>
      </c>
    </row>
    <row r="2341" spans="1:46" x14ac:dyDescent="0.25">
      <c r="A2341" t="s">
        <v>1248</v>
      </c>
      <c r="B2341">
        <v>248408</v>
      </c>
      <c r="C2341">
        <v>352329</v>
      </c>
      <c r="D2341">
        <v>405</v>
      </c>
      <c r="E2341" t="s">
        <v>1266</v>
      </c>
      <c r="H2341">
        <v>1834</v>
      </c>
      <c r="K2341" t="s">
        <v>2331</v>
      </c>
      <c r="L2341" t="s">
        <v>2331</v>
      </c>
      <c r="M2341" s="29">
        <v>146258064</v>
      </c>
      <c r="N2341">
        <v>0</v>
      </c>
      <c r="O2341" s="29">
        <v>146258064</v>
      </c>
      <c r="P2341">
        <v>0</v>
      </c>
      <c r="Q2341">
        <v>0</v>
      </c>
      <c r="R2341">
        <v>0</v>
      </c>
      <c r="T2341" s="29">
        <v>10300</v>
      </c>
      <c r="U2341" s="29">
        <v>467002</v>
      </c>
      <c r="V2341" t="s">
        <v>1262</v>
      </c>
      <c r="W2341" t="s">
        <v>1262</v>
      </c>
      <c r="X2341" s="29">
        <v>467002</v>
      </c>
      <c r="AA2341" s="30">
        <v>45838.35</v>
      </c>
      <c r="AB2341" s="30">
        <v>45841.683333333334</v>
      </c>
      <c r="AC2341" s="30">
        <v>45838.35</v>
      </c>
      <c r="AD2341" s="30">
        <v>45841.683333333334</v>
      </c>
      <c r="AE2341" s="30">
        <v>46071.458333333336</v>
      </c>
      <c r="AF2341" s="30">
        <v>46077.416666666664</v>
      </c>
      <c r="AG2341" t="s">
        <v>1266</v>
      </c>
      <c r="AK2341" t="s">
        <v>1265</v>
      </c>
      <c r="AL2341" t="s">
        <v>2336</v>
      </c>
      <c r="AM2341" t="s">
        <v>1263</v>
      </c>
      <c r="AN2341" t="s">
        <v>1262</v>
      </c>
      <c r="AO2341">
        <v>0</v>
      </c>
      <c r="AQ2341" t="s">
        <v>1261</v>
      </c>
      <c r="AR2341" t="s">
        <v>1260</v>
      </c>
      <c r="AS2341" t="s">
        <v>1259</v>
      </c>
      <c r="AT2341" s="30">
        <v>46069.523611111108</v>
      </c>
    </row>
    <row r="2342" spans="1:46" x14ac:dyDescent="0.25">
      <c r="A2342" t="s">
        <v>1248</v>
      </c>
      <c r="B2342">
        <v>248409</v>
      </c>
      <c r="C2342">
        <v>352336</v>
      </c>
      <c r="D2342">
        <v>405</v>
      </c>
      <c r="E2342" t="s">
        <v>1266</v>
      </c>
      <c r="H2342">
        <v>1834</v>
      </c>
      <c r="K2342" t="s">
        <v>2331</v>
      </c>
      <c r="L2342" t="s">
        <v>2331</v>
      </c>
      <c r="M2342" s="29">
        <v>146258064</v>
      </c>
      <c r="N2342">
        <v>0</v>
      </c>
      <c r="O2342" s="29">
        <v>146258064</v>
      </c>
      <c r="P2342">
        <v>0</v>
      </c>
      <c r="Q2342">
        <v>0</v>
      </c>
      <c r="R2342">
        <v>0</v>
      </c>
      <c r="T2342" s="29">
        <v>10300</v>
      </c>
      <c r="U2342" s="29">
        <v>467002</v>
      </c>
      <c r="V2342" t="s">
        <v>1262</v>
      </c>
      <c r="W2342" t="s">
        <v>1262</v>
      </c>
      <c r="X2342" s="29">
        <v>467002</v>
      </c>
      <c r="AA2342" s="30">
        <v>45834.39166666667</v>
      </c>
      <c r="AB2342" s="30">
        <v>45840.35</v>
      </c>
      <c r="AC2342" s="30">
        <v>45834.39166666667</v>
      </c>
      <c r="AD2342" s="30">
        <v>45840.35</v>
      </c>
      <c r="AE2342" s="30">
        <v>46055.458333333336</v>
      </c>
      <c r="AF2342" s="30">
        <v>46059.416666666664</v>
      </c>
      <c r="AG2342" t="s">
        <v>1266</v>
      </c>
      <c r="AK2342" t="s">
        <v>1265</v>
      </c>
      <c r="AL2342" t="s">
        <v>2335</v>
      </c>
      <c r="AM2342" t="s">
        <v>1263</v>
      </c>
      <c r="AN2342" t="s">
        <v>1262</v>
      </c>
      <c r="AO2342">
        <v>0</v>
      </c>
      <c r="AQ2342" t="s">
        <v>1261</v>
      </c>
      <c r="AR2342" t="s">
        <v>1260</v>
      </c>
      <c r="AS2342" t="s">
        <v>1259</v>
      </c>
      <c r="AT2342" s="30">
        <v>46069.523611111108</v>
      </c>
    </row>
    <row r="2343" spans="1:46" x14ac:dyDescent="0.25">
      <c r="A2343" t="s">
        <v>1248</v>
      </c>
      <c r="B2343">
        <v>248410</v>
      </c>
      <c r="C2343">
        <v>352343</v>
      </c>
      <c r="D2343">
        <v>405</v>
      </c>
      <c r="E2343" t="s">
        <v>1266</v>
      </c>
      <c r="H2343">
        <v>1834</v>
      </c>
      <c r="K2343" t="s">
        <v>2331</v>
      </c>
      <c r="L2343" t="s">
        <v>2331</v>
      </c>
      <c r="M2343" s="29">
        <v>1416875</v>
      </c>
      <c r="N2343">
        <v>0</v>
      </c>
      <c r="O2343" s="29">
        <v>1416875</v>
      </c>
      <c r="P2343">
        <v>0</v>
      </c>
      <c r="Q2343">
        <v>0</v>
      </c>
      <c r="R2343">
        <v>0</v>
      </c>
      <c r="T2343" s="29">
        <v>10300</v>
      </c>
      <c r="U2343" s="29">
        <v>467002</v>
      </c>
      <c r="V2343" t="s">
        <v>1262</v>
      </c>
      <c r="W2343" t="s">
        <v>1262</v>
      </c>
      <c r="X2343" s="29">
        <v>467002</v>
      </c>
      <c r="AA2343" s="30">
        <v>45832.433333333334</v>
      </c>
      <c r="AB2343" s="30">
        <v>45838.433333333334</v>
      </c>
      <c r="AC2343" s="30">
        <v>45832.433333333334</v>
      </c>
      <c r="AD2343" s="30">
        <v>45838.433333333334</v>
      </c>
      <c r="AE2343" s="30">
        <v>46037.375</v>
      </c>
      <c r="AF2343" s="30">
        <v>46043.375</v>
      </c>
      <c r="AG2343" t="s">
        <v>1266</v>
      </c>
      <c r="AK2343" t="s">
        <v>1265</v>
      </c>
      <c r="AL2343" t="s">
        <v>2334</v>
      </c>
      <c r="AM2343" t="s">
        <v>1263</v>
      </c>
      <c r="AN2343" t="s">
        <v>1262</v>
      </c>
      <c r="AO2343">
        <v>0</v>
      </c>
      <c r="AQ2343" t="s">
        <v>1261</v>
      </c>
      <c r="AR2343" t="s">
        <v>1260</v>
      </c>
      <c r="AS2343" t="s">
        <v>1259</v>
      </c>
      <c r="AT2343" s="30">
        <v>46069.523611111108</v>
      </c>
    </row>
    <row r="2344" spans="1:46" x14ac:dyDescent="0.25">
      <c r="A2344" t="s">
        <v>1248</v>
      </c>
      <c r="B2344">
        <v>248411</v>
      </c>
      <c r="C2344">
        <v>352350</v>
      </c>
      <c r="D2344">
        <v>405</v>
      </c>
      <c r="E2344" t="s">
        <v>1266</v>
      </c>
      <c r="H2344">
        <v>1834</v>
      </c>
      <c r="K2344" t="s">
        <v>2331</v>
      </c>
      <c r="L2344" t="s">
        <v>2331</v>
      </c>
      <c r="M2344" s="29">
        <v>1416875</v>
      </c>
      <c r="N2344">
        <v>0</v>
      </c>
      <c r="O2344" s="29">
        <v>1416875</v>
      </c>
      <c r="P2344">
        <v>0</v>
      </c>
      <c r="Q2344">
        <v>0</v>
      </c>
      <c r="R2344">
        <v>0</v>
      </c>
      <c r="T2344" s="29">
        <v>10300</v>
      </c>
      <c r="U2344" s="29">
        <v>467002</v>
      </c>
      <c r="V2344" t="s">
        <v>1262</v>
      </c>
      <c r="W2344" t="s">
        <v>1262</v>
      </c>
      <c r="X2344" s="29">
        <v>467002</v>
      </c>
      <c r="AA2344" s="30">
        <v>45824.39166666667</v>
      </c>
      <c r="AB2344" s="30">
        <v>45828.39166666667</v>
      </c>
      <c r="AC2344" s="30">
        <v>45824.39166666667</v>
      </c>
      <c r="AD2344" s="30">
        <v>45828.39166666667</v>
      </c>
      <c r="AE2344" s="30">
        <v>46016.333333333336</v>
      </c>
      <c r="AF2344" s="30">
        <v>46021.708333333336</v>
      </c>
      <c r="AG2344" t="s">
        <v>1266</v>
      </c>
      <c r="AK2344" t="s">
        <v>1265</v>
      </c>
      <c r="AL2344" t="s">
        <v>2333</v>
      </c>
      <c r="AM2344" t="s">
        <v>1263</v>
      </c>
      <c r="AN2344" t="s">
        <v>1262</v>
      </c>
      <c r="AO2344">
        <v>0</v>
      </c>
      <c r="AQ2344" t="s">
        <v>1261</v>
      </c>
      <c r="AR2344" t="s">
        <v>1260</v>
      </c>
      <c r="AS2344" t="s">
        <v>1259</v>
      </c>
      <c r="AT2344" s="30">
        <v>46069.523611111108</v>
      </c>
    </row>
    <row r="2345" spans="1:46" x14ac:dyDescent="0.25">
      <c r="A2345" t="s">
        <v>1248</v>
      </c>
      <c r="B2345">
        <v>248412</v>
      </c>
      <c r="C2345">
        <v>352357</v>
      </c>
      <c r="D2345">
        <v>405</v>
      </c>
      <c r="E2345" t="s">
        <v>1266</v>
      </c>
      <c r="H2345">
        <v>1834</v>
      </c>
      <c r="K2345" t="s">
        <v>2331</v>
      </c>
      <c r="L2345" t="s">
        <v>2331</v>
      </c>
      <c r="M2345" s="29">
        <v>1416875</v>
      </c>
      <c r="N2345">
        <v>0</v>
      </c>
      <c r="O2345" s="29">
        <v>1416875</v>
      </c>
      <c r="P2345">
        <v>0</v>
      </c>
      <c r="Q2345">
        <v>0</v>
      </c>
      <c r="R2345">
        <v>0</v>
      </c>
      <c r="T2345" s="29">
        <v>10300</v>
      </c>
      <c r="U2345" s="29">
        <v>467002</v>
      </c>
      <c r="V2345" t="s">
        <v>1262</v>
      </c>
      <c r="W2345" t="s">
        <v>1262</v>
      </c>
      <c r="X2345" s="29">
        <v>467002</v>
      </c>
      <c r="AA2345" s="30">
        <v>45821.433333333334</v>
      </c>
      <c r="AB2345" s="30">
        <v>45827.433333333334</v>
      </c>
      <c r="AC2345" s="30">
        <v>45821.433333333334</v>
      </c>
      <c r="AD2345" s="30">
        <v>45827.433333333334</v>
      </c>
      <c r="AE2345" s="30">
        <v>46010.333333333336</v>
      </c>
      <c r="AF2345" s="30">
        <v>46015.708333333336</v>
      </c>
      <c r="AG2345" t="s">
        <v>1266</v>
      </c>
      <c r="AK2345" t="s">
        <v>1265</v>
      </c>
      <c r="AL2345" t="s">
        <v>2332</v>
      </c>
      <c r="AM2345" t="s">
        <v>1263</v>
      </c>
      <c r="AN2345" t="s">
        <v>1262</v>
      </c>
      <c r="AO2345">
        <v>0</v>
      </c>
      <c r="AQ2345" t="s">
        <v>1261</v>
      </c>
      <c r="AR2345" t="s">
        <v>1260</v>
      </c>
      <c r="AS2345" t="s">
        <v>1259</v>
      </c>
      <c r="AT2345" s="30">
        <v>46069.523611111108</v>
      </c>
    </row>
    <row r="2346" spans="1:46" x14ac:dyDescent="0.25">
      <c r="A2346" t="s">
        <v>1248</v>
      </c>
      <c r="B2346">
        <v>248413</v>
      </c>
      <c r="C2346">
        <v>352364</v>
      </c>
      <c r="D2346">
        <v>405</v>
      </c>
      <c r="E2346" t="s">
        <v>1266</v>
      </c>
      <c r="H2346">
        <v>1834</v>
      </c>
      <c r="K2346" t="s">
        <v>2331</v>
      </c>
      <c r="L2346" t="s">
        <v>2331</v>
      </c>
      <c r="M2346" s="29">
        <v>1416875</v>
      </c>
      <c r="N2346">
        <v>0</v>
      </c>
      <c r="O2346" s="29">
        <v>1416875</v>
      </c>
      <c r="P2346">
        <v>0</v>
      </c>
      <c r="Q2346">
        <v>0</v>
      </c>
      <c r="R2346">
        <v>0</v>
      </c>
      <c r="T2346" s="29">
        <v>10300</v>
      </c>
      <c r="U2346" s="29">
        <v>467002</v>
      </c>
      <c r="V2346" t="s">
        <v>1262</v>
      </c>
      <c r="W2346" t="s">
        <v>1262</v>
      </c>
      <c r="X2346" s="29">
        <v>467002</v>
      </c>
      <c r="AA2346" s="30">
        <v>45820.474999999999</v>
      </c>
      <c r="AB2346" s="30">
        <v>45826.474999999999</v>
      </c>
      <c r="AC2346" s="30">
        <v>45820.474999999999</v>
      </c>
      <c r="AD2346" s="30">
        <v>45826.474999999999</v>
      </c>
      <c r="AE2346" s="30">
        <v>45877.375</v>
      </c>
      <c r="AF2346" s="30">
        <v>45883.375</v>
      </c>
      <c r="AG2346" t="s">
        <v>1266</v>
      </c>
      <c r="AK2346" t="s">
        <v>1265</v>
      </c>
      <c r="AL2346" t="s">
        <v>2330</v>
      </c>
      <c r="AM2346" t="s">
        <v>1263</v>
      </c>
      <c r="AN2346" t="s">
        <v>1262</v>
      </c>
      <c r="AO2346">
        <v>0</v>
      </c>
      <c r="AQ2346" t="s">
        <v>1261</v>
      </c>
      <c r="AR2346" t="s">
        <v>1260</v>
      </c>
      <c r="AS2346" t="s">
        <v>1259</v>
      </c>
      <c r="AT2346" s="30">
        <v>46069.523611111108</v>
      </c>
    </row>
    <row r="2347" spans="1:46" x14ac:dyDescent="0.25">
      <c r="A2347" t="s">
        <v>1248</v>
      </c>
      <c r="B2347">
        <v>248414</v>
      </c>
      <c r="C2347">
        <v>352196</v>
      </c>
      <c r="D2347">
        <v>405</v>
      </c>
      <c r="E2347" t="s">
        <v>1266</v>
      </c>
      <c r="H2347">
        <v>1852</v>
      </c>
      <c r="K2347">
        <v>31</v>
      </c>
      <c r="L2347">
        <v>31</v>
      </c>
      <c r="M2347">
        <v>1</v>
      </c>
      <c r="N2347">
        <v>0</v>
      </c>
      <c r="O2347">
        <v>1</v>
      </c>
      <c r="P2347">
        <v>0</v>
      </c>
      <c r="Q2347">
        <v>0</v>
      </c>
      <c r="R2347">
        <v>0</v>
      </c>
      <c r="T2347" s="29">
        <v>21600</v>
      </c>
      <c r="U2347" s="29">
        <v>669600</v>
      </c>
      <c r="V2347" t="s">
        <v>1262</v>
      </c>
      <c r="W2347" t="s">
        <v>1262</v>
      </c>
      <c r="X2347" s="29">
        <v>669600</v>
      </c>
      <c r="AA2347" s="30">
        <v>45909.380555555559</v>
      </c>
      <c r="AB2347" s="30">
        <v>45915.338888888888</v>
      </c>
      <c r="AC2347" s="30">
        <v>45909.380555555559</v>
      </c>
      <c r="AD2347" s="30">
        <v>45915.338888888888</v>
      </c>
      <c r="AE2347" s="30">
        <v>46400.458333333336</v>
      </c>
      <c r="AF2347" s="30">
        <v>46406.416666666664</v>
      </c>
      <c r="AG2347" t="s">
        <v>1266</v>
      </c>
      <c r="AK2347" t="s">
        <v>1265</v>
      </c>
      <c r="AL2347" t="s">
        <v>2329</v>
      </c>
      <c r="AM2347" t="s">
        <v>1263</v>
      </c>
      <c r="AN2347" t="s">
        <v>1262</v>
      </c>
      <c r="AO2347">
        <v>0</v>
      </c>
      <c r="AQ2347" t="s">
        <v>1261</v>
      </c>
      <c r="AR2347" t="s">
        <v>1260</v>
      </c>
      <c r="AS2347" t="s">
        <v>1259</v>
      </c>
      <c r="AT2347" s="30">
        <v>46069.523611111108</v>
      </c>
    </row>
    <row r="2348" spans="1:46" x14ac:dyDescent="0.25">
      <c r="A2348" t="s">
        <v>1248</v>
      </c>
      <c r="B2348">
        <v>248416</v>
      </c>
      <c r="C2348">
        <v>352210</v>
      </c>
      <c r="D2348">
        <v>405</v>
      </c>
      <c r="E2348" t="s">
        <v>1266</v>
      </c>
      <c r="H2348">
        <v>1852</v>
      </c>
      <c r="K2348">
        <v>31</v>
      </c>
      <c r="L2348">
        <v>31</v>
      </c>
      <c r="M2348">
        <v>1</v>
      </c>
      <c r="N2348">
        <v>0</v>
      </c>
      <c r="O2348">
        <v>1</v>
      </c>
      <c r="P2348">
        <v>0</v>
      </c>
      <c r="Q2348">
        <v>0</v>
      </c>
      <c r="R2348">
        <v>0</v>
      </c>
      <c r="T2348" s="29">
        <v>21600</v>
      </c>
      <c r="U2348" s="29">
        <v>669600</v>
      </c>
      <c r="V2348" t="s">
        <v>1262</v>
      </c>
      <c r="W2348" t="s">
        <v>1262</v>
      </c>
      <c r="X2348" s="29">
        <v>669600</v>
      </c>
      <c r="AA2348" s="30">
        <v>45901.380555555559</v>
      </c>
      <c r="AB2348" s="30">
        <v>45905.338888888888</v>
      </c>
      <c r="AC2348" s="30">
        <v>45901.380555555559</v>
      </c>
      <c r="AD2348" s="30">
        <v>45905.338888888888</v>
      </c>
      <c r="AE2348" s="30">
        <v>46360.458333333336</v>
      </c>
      <c r="AF2348" s="30">
        <v>46367.416666666664</v>
      </c>
      <c r="AG2348" t="s">
        <v>1266</v>
      </c>
      <c r="AK2348" t="s">
        <v>1265</v>
      </c>
      <c r="AL2348" t="s">
        <v>2328</v>
      </c>
      <c r="AM2348" t="s">
        <v>1263</v>
      </c>
      <c r="AN2348" t="s">
        <v>1262</v>
      </c>
      <c r="AO2348">
        <v>0</v>
      </c>
      <c r="AQ2348" t="s">
        <v>1261</v>
      </c>
      <c r="AR2348" t="s">
        <v>1260</v>
      </c>
      <c r="AS2348" t="s">
        <v>1259</v>
      </c>
      <c r="AT2348" s="30">
        <v>46069.523611111108</v>
      </c>
    </row>
    <row r="2349" spans="1:46" x14ac:dyDescent="0.25">
      <c r="A2349" t="s">
        <v>1248</v>
      </c>
      <c r="B2349">
        <v>248418</v>
      </c>
      <c r="C2349">
        <v>352224</v>
      </c>
      <c r="D2349">
        <v>405</v>
      </c>
      <c r="E2349" t="s">
        <v>1266</v>
      </c>
      <c r="H2349">
        <v>1852</v>
      </c>
      <c r="K2349">
        <v>31</v>
      </c>
      <c r="L2349">
        <v>31</v>
      </c>
      <c r="M2349">
        <v>1</v>
      </c>
      <c r="N2349">
        <v>0</v>
      </c>
      <c r="O2349">
        <v>1</v>
      </c>
      <c r="P2349">
        <v>0</v>
      </c>
      <c r="Q2349">
        <v>0</v>
      </c>
      <c r="R2349">
        <v>0</v>
      </c>
      <c r="T2349" s="29">
        <v>21600</v>
      </c>
      <c r="U2349" s="29">
        <v>669600</v>
      </c>
      <c r="V2349" t="s">
        <v>1262</v>
      </c>
      <c r="W2349" t="s">
        <v>1262</v>
      </c>
      <c r="X2349" s="29">
        <v>669600</v>
      </c>
      <c r="AA2349" s="30">
        <v>45891.547222222223</v>
      </c>
      <c r="AB2349" s="30">
        <v>45897.463888888888</v>
      </c>
      <c r="AC2349" s="30">
        <v>45891.547222222223</v>
      </c>
      <c r="AD2349" s="30">
        <v>45897.463888888888</v>
      </c>
      <c r="AE2349" s="30">
        <v>46328.458333333336</v>
      </c>
      <c r="AF2349" s="30">
        <v>46332.416666666664</v>
      </c>
      <c r="AG2349" t="s">
        <v>1266</v>
      </c>
      <c r="AK2349" t="s">
        <v>1265</v>
      </c>
      <c r="AL2349" t="s">
        <v>2327</v>
      </c>
      <c r="AM2349" t="s">
        <v>1263</v>
      </c>
      <c r="AN2349" t="s">
        <v>1262</v>
      </c>
      <c r="AO2349">
        <v>0</v>
      </c>
      <c r="AQ2349" t="s">
        <v>1261</v>
      </c>
      <c r="AR2349" t="s">
        <v>1260</v>
      </c>
      <c r="AS2349" t="s">
        <v>1259</v>
      </c>
      <c r="AT2349" s="30">
        <v>46069.523611111108</v>
      </c>
    </row>
    <row r="2350" spans="1:46" x14ac:dyDescent="0.25">
      <c r="A2350" t="s">
        <v>1248</v>
      </c>
      <c r="B2350">
        <v>248419</v>
      </c>
      <c r="C2350">
        <v>352231</v>
      </c>
      <c r="D2350">
        <v>405</v>
      </c>
      <c r="E2350" t="s">
        <v>1266</v>
      </c>
      <c r="H2350">
        <v>1852</v>
      </c>
      <c r="K2350">
        <v>31</v>
      </c>
      <c r="L2350">
        <v>31</v>
      </c>
      <c r="M2350">
        <v>1</v>
      </c>
      <c r="N2350">
        <v>0</v>
      </c>
      <c r="O2350">
        <v>1</v>
      </c>
      <c r="P2350">
        <v>0</v>
      </c>
      <c r="Q2350">
        <v>0</v>
      </c>
      <c r="R2350">
        <v>0</v>
      </c>
      <c r="T2350" s="29">
        <v>21600</v>
      </c>
      <c r="U2350" s="29">
        <v>669600</v>
      </c>
      <c r="V2350" t="s">
        <v>1262</v>
      </c>
      <c r="W2350" t="s">
        <v>1262</v>
      </c>
      <c r="X2350" s="29">
        <v>669600</v>
      </c>
      <c r="AA2350" s="30">
        <v>45889.588888888888</v>
      </c>
      <c r="AB2350" s="30">
        <v>45895.547222222223</v>
      </c>
      <c r="AC2350" s="30">
        <v>45889.588888888888</v>
      </c>
      <c r="AD2350" s="30">
        <v>45895.547222222223</v>
      </c>
      <c r="AE2350" s="30">
        <v>46310.458333333336</v>
      </c>
      <c r="AF2350" s="30">
        <v>46316.416666666664</v>
      </c>
      <c r="AG2350" t="s">
        <v>1266</v>
      </c>
      <c r="AK2350" t="s">
        <v>1265</v>
      </c>
      <c r="AL2350" t="s">
        <v>2326</v>
      </c>
      <c r="AM2350" t="s">
        <v>1263</v>
      </c>
      <c r="AN2350" t="s">
        <v>1262</v>
      </c>
      <c r="AO2350">
        <v>0</v>
      </c>
      <c r="AQ2350" t="s">
        <v>1261</v>
      </c>
      <c r="AR2350" t="s">
        <v>1260</v>
      </c>
      <c r="AS2350" t="s">
        <v>1259</v>
      </c>
      <c r="AT2350" s="30">
        <v>46069.523611111108</v>
      </c>
    </row>
    <row r="2351" spans="1:46" x14ac:dyDescent="0.25">
      <c r="A2351" t="s">
        <v>1248</v>
      </c>
      <c r="B2351">
        <v>248420</v>
      </c>
      <c r="C2351">
        <v>352238</v>
      </c>
      <c r="D2351">
        <v>405</v>
      </c>
      <c r="E2351" t="s">
        <v>1266</v>
      </c>
      <c r="H2351">
        <v>1852</v>
      </c>
      <c r="K2351">
        <v>31</v>
      </c>
      <c r="L2351">
        <v>31</v>
      </c>
      <c r="M2351">
        <v>1</v>
      </c>
      <c r="N2351">
        <v>0</v>
      </c>
      <c r="O2351">
        <v>1</v>
      </c>
      <c r="P2351">
        <v>0</v>
      </c>
      <c r="Q2351">
        <v>0</v>
      </c>
      <c r="R2351">
        <v>0</v>
      </c>
      <c r="T2351" s="29">
        <v>21600</v>
      </c>
      <c r="U2351" s="29">
        <v>669600</v>
      </c>
      <c r="V2351" t="s">
        <v>1262</v>
      </c>
      <c r="W2351" t="s">
        <v>1262</v>
      </c>
      <c r="X2351" s="29">
        <v>669600</v>
      </c>
      <c r="AA2351" s="30">
        <v>45887.630555555559</v>
      </c>
      <c r="AB2351" s="30">
        <v>45891.588888888888</v>
      </c>
      <c r="AC2351" s="30">
        <v>45887.630555555559</v>
      </c>
      <c r="AD2351" s="30">
        <v>45891.588888888888</v>
      </c>
      <c r="AE2351" s="30">
        <v>46294.458333333336</v>
      </c>
      <c r="AF2351" s="30">
        <v>46300.416666666664</v>
      </c>
      <c r="AG2351" t="s">
        <v>1266</v>
      </c>
      <c r="AK2351" t="s">
        <v>1265</v>
      </c>
      <c r="AL2351" t="s">
        <v>2325</v>
      </c>
      <c r="AM2351" t="s">
        <v>1263</v>
      </c>
      <c r="AN2351" t="s">
        <v>1262</v>
      </c>
      <c r="AO2351">
        <v>0</v>
      </c>
      <c r="AQ2351" t="s">
        <v>1261</v>
      </c>
      <c r="AR2351" t="s">
        <v>1260</v>
      </c>
      <c r="AS2351" t="s">
        <v>1259</v>
      </c>
      <c r="AT2351" s="30">
        <v>46069.523611111108</v>
      </c>
    </row>
    <row r="2352" spans="1:46" x14ac:dyDescent="0.25">
      <c r="A2352" t="s">
        <v>1248</v>
      </c>
      <c r="B2352">
        <v>248421</v>
      </c>
      <c r="C2352">
        <v>352245</v>
      </c>
      <c r="D2352">
        <v>405</v>
      </c>
      <c r="E2352" t="s">
        <v>1266</v>
      </c>
      <c r="H2352">
        <v>1852</v>
      </c>
      <c r="K2352">
        <v>31</v>
      </c>
      <c r="L2352">
        <v>31</v>
      </c>
      <c r="M2352">
        <v>1</v>
      </c>
      <c r="N2352">
        <v>0</v>
      </c>
      <c r="O2352">
        <v>1</v>
      </c>
      <c r="P2352">
        <v>0</v>
      </c>
      <c r="Q2352">
        <v>0</v>
      </c>
      <c r="R2352">
        <v>0</v>
      </c>
      <c r="T2352" s="29">
        <v>21600</v>
      </c>
      <c r="U2352" s="29">
        <v>669600</v>
      </c>
      <c r="V2352" t="s">
        <v>1262</v>
      </c>
      <c r="W2352" t="s">
        <v>1262</v>
      </c>
      <c r="X2352" s="29">
        <v>669600</v>
      </c>
      <c r="AA2352" s="30">
        <v>45889.35</v>
      </c>
      <c r="AB2352" s="30">
        <v>45894.683333333334</v>
      </c>
      <c r="AC2352" s="30">
        <v>45889.35</v>
      </c>
      <c r="AD2352" s="30">
        <v>45894.683333333334</v>
      </c>
      <c r="AE2352" s="30">
        <v>46276.458333333336</v>
      </c>
      <c r="AF2352" s="30">
        <v>46282.416666666664</v>
      </c>
      <c r="AG2352" t="s">
        <v>1266</v>
      </c>
      <c r="AK2352" t="s">
        <v>1265</v>
      </c>
      <c r="AL2352" t="s">
        <v>2324</v>
      </c>
      <c r="AM2352" t="s">
        <v>1263</v>
      </c>
      <c r="AN2352" t="s">
        <v>1262</v>
      </c>
      <c r="AO2352">
        <v>0</v>
      </c>
      <c r="AQ2352" t="s">
        <v>1261</v>
      </c>
      <c r="AR2352" t="s">
        <v>1260</v>
      </c>
      <c r="AS2352" t="s">
        <v>1259</v>
      </c>
      <c r="AT2352" s="30">
        <v>46069.523611111108</v>
      </c>
    </row>
    <row r="2353" spans="1:46" x14ac:dyDescent="0.25">
      <c r="A2353" t="s">
        <v>1248</v>
      </c>
      <c r="B2353">
        <v>248422</v>
      </c>
      <c r="C2353">
        <v>352252</v>
      </c>
      <c r="D2353">
        <v>405</v>
      </c>
      <c r="E2353" t="s">
        <v>1266</v>
      </c>
      <c r="H2353">
        <v>1852</v>
      </c>
      <c r="K2353">
        <v>31</v>
      </c>
      <c r="L2353">
        <v>31</v>
      </c>
      <c r="M2353">
        <v>1</v>
      </c>
      <c r="N2353">
        <v>0</v>
      </c>
      <c r="O2353">
        <v>1</v>
      </c>
      <c r="P2353">
        <v>0</v>
      </c>
      <c r="Q2353">
        <v>0</v>
      </c>
      <c r="R2353">
        <v>0</v>
      </c>
      <c r="T2353" s="29">
        <v>21600</v>
      </c>
      <c r="U2353" s="29">
        <v>669600</v>
      </c>
      <c r="V2353" t="s">
        <v>1262</v>
      </c>
      <c r="W2353" t="s">
        <v>1262</v>
      </c>
      <c r="X2353" s="29">
        <v>669600</v>
      </c>
      <c r="AA2353" s="30">
        <v>45887.39166666667</v>
      </c>
      <c r="AB2353" s="30">
        <v>45891.35</v>
      </c>
      <c r="AC2353" s="30">
        <v>45887.39166666667</v>
      </c>
      <c r="AD2353" s="30">
        <v>45891.35</v>
      </c>
      <c r="AE2353" s="30">
        <v>46260.458333333336</v>
      </c>
      <c r="AF2353" s="30">
        <v>46266.416666666664</v>
      </c>
      <c r="AG2353" t="s">
        <v>1266</v>
      </c>
      <c r="AK2353" t="s">
        <v>1265</v>
      </c>
      <c r="AL2353" t="s">
        <v>2323</v>
      </c>
      <c r="AM2353" t="s">
        <v>1263</v>
      </c>
      <c r="AN2353" t="s">
        <v>1262</v>
      </c>
      <c r="AO2353">
        <v>0</v>
      </c>
      <c r="AQ2353" t="s">
        <v>1261</v>
      </c>
      <c r="AR2353" t="s">
        <v>1260</v>
      </c>
      <c r="AS2353" t="s">
        <v>1259</v>
      </c>
      <c r="AT2353" s="30">
        <v>46069.523611111108</v>
      </c>
    </row>
    <row r="2354" spans="1:46" x14ac:dyDescent="0.25">
      <c r="A2354" t="s">
        <v>1248</v>
      </c>
      <c r="B2354">
        <v>248423</v>
      </c>
      <c r="C2354">
        <v>352259</v>
      </c>
      <c r="D2354">
        <v>405</v>
      </c>
      <c r="E2354" t="s">
        <v>1266</v>
      </c>
      <c r="H2354">
        <v>1852</v>
      </c>
      <c r="K2354">
        <v>31</v>
      </c>
      <c r="L2354">
        <v>31</v>
      </c>
      <c r="M2354">
        <v>1</v>
      </c>
      <c r="N2354">
        <v>0</v>
      </c>
      <c r="O2354">
        <v>1</v>
      </c>
      <c r="P2354">
        <v>0</v>
      </c>
      <c r="Q2354">
        <v>0</v>
      </c>
      <c r="R2354">
        <v>0</v>
      </c>
      <c r="T2354" s="29">
        <v>21600</v>
      </c>
      <c r="U2354" s="29">
        <v>669600</v>
      </c>
      <c r="V2354" t="s">
        <v>1262</v>
      </c>
      <c r="W2354" t="s">
        <v>1262</v>
      </c>
      <c r="X2354" s="29">
        <v>669600</v>
      </c>
      <c r="AA2354" s="30">
        <v>45883.433333333334</v>
      </c>
      <c r="AB2354" s="30">
        <v>45889.39166666667</v>
      </c>
      <c r="AC2354" s="30">
        <v>45883.433333333334</v>
      </c>
      <c r="AD2354" s="30">
        <v>45889.39166666667</v>
      </c>
      <c r="AE2354" s="30">
        <v>46244.458333333336</v>
      </c>
      <c r="AF2354" s="30">
        <v>46248.416666666664</v>
      </c>
      <c r="AG2354" t="s">
        <v>1266</v>
      </c>
      <c r="AK2354" t="s">
        <v>1265</v>
      </c>
      <c r="AL2354" t="s">
        <v>2322</v>
      </c>
      <c r="AM2354" t="s">
        <v>1263</v>
      </c>
      <c r="AN2354" t="s">
        <v>1262</v>
      </c>
      <c r="AO2354">
        <v>0</v>
      </c>
      <c r="AQ2354" t="s">
        <v>1261</v>
      </c>
      <c r="AR2354" t="s">
        <v>1260</v>
      </c>
      <c r="AS2354" t="s">
        <v>1259</v>
      </c>
      <c r="AT2354" s="30">
        <v>46069.523611111108</v>
      </c>
    </row>
    <row r="2355" spans="1:46" x14ac:dyDescent="0.25">
      <c r="A2355" t="s">
        <v>1248</v>
      </c>
      <c r="B2355">
        <v>248424</v>
      </c>
      <c r="C2355">
        <v>352266</v>
      </c>
      <c r="D2355">
        <v>405</v>
      </c>
      <c r="E2355" t="s">
        <v>1266</v>
      </c>
      <c r="H2355">
        <v>1852</v>
      </c>
      <c r="K2355">
        <v>31</v>
      </c>
      <c r="L2355">
        <v>31</v>
      </c>
      <c r="M2355">
        <v>1</v>
      </c>
      <c r="N2355">
        <v>0</v>
      </c>
      <c r="O2355">
        <v>1</v>
      </c>
      <c r="P2355">
        <v>0</v>
      </c>
      <c r="Q2355">
        <v>0</v>
      </c>
      <c r="R2355">
        <v>0</v>
      </c>
      <c r="T2355" s="29">
        <v>21600</v>
      </c>
      <c r="U2355" s="29">
        <v>669600</v>
      </c>
      <c r="V2355" t="s">
        <v>1262</v>
      </c>
      <c r="W2355" t="s">
        <v>1262</v>
      </c>
      <c r="X2355" s="29">
        <v>669600</v>
      </c>
      <c r="AA2355" s="30">
        <v>45873.7</v>
      </c>
      <c r="AB2355" s="30">
        <v>45877.658333333333</v>
      </c>
      <c r="AC2355" s="30">
        <v>45873.7</v>
      </c>
      <c r="AD2355" s="30">
        <v>45877.658333333333</v>
      </c>
      <c r="AE2355" s="30">
        <v>46226.458333333336</v>
      </c>
      <c r="AF2355" s="30">
        <v>46232.416666666664</v>
      </c>
      <c r="AG2355" t="s">
        <v>1266</v>
      </c>
      <c r="AK2355" t="s">
        <v>1265</v>
      </c>
      <c r="AL2355" t="s">
        <v>2321</v>
      </c>
      <c r="AM2355" t="s">
        <v>1263</v>
      </c>
      <c r="AN2355" t="s">
        <v>1262</v>
      </c>
      <c r="AO2355">
        <v>0</v>
      </c>
      <c r="AQ2355" t="s">
        <v>1261</v>
      </c>
      <c r="AR2355" t="s">
        <v>1260</v>
      </c>
      <c r="AS2355" t="s">
        <v>1259</v>
      </c>
      <c r="AT2355" s="30">
        <v>46069.523611111108</v>
      </c>
    </row>
    <row r="2356" spans="1:46" x14ac:dyDescent="0.25">
      <c r="A2356" t="s">
        <v>1248</v>
      </c>
      <c r="B2356">
        <v>248425</v>
      </c>
      <c r="C2356">
        <v>352273</v>
      </c>
      <c r="D2356">
        <v>405</v>
      </c>
      <c r="E2356" t="s">
        <v>1266</v>
      </c>
      <c r="H2356">
        <v>1852</v>
      </c>
      <c r="K2356">
        <v>31</v>
      </c>
      <c r="L2356">
        <v>31</v>
      </c>
      <c r="M2356">
        <v>1</v>
      </c>
      <c r="N2356">
        <v>0</v>
      </c>
      <c r="O2356">
        <v>1</v>
      </c>
      <c r="P2356">
        <v>0</v>
      </c>
      <c r="Q2356">
        <v>0</v>
      </c>
      <c r="R2356">
        <v>0</v>
      </c>
      <c r="T2356" s="29">
        <v>21600</v>
      </c>
      <c r="U2356" s="29">
        <v>669600</v>
      </c>
      <c r="V2356" t="s">
        <v>1262</v>
      </c>
      <c r="W2356" t="s">
        <v>1262</v>
      </c>
      <c r="X2356" s="29">
        <v>669600</v>
      </c>
      <c r="AA2356" s="30">
        <v>45870.366666666669</v>
      </c>
      <c r="AB2356" s="30">
        <v>45875.7</v>
      </c>
      <c r="AC2356" s="30">
        <v>45870.366666666669</v>
      </c>
      <c r="AD2356" s="30">
        <v>45875.7</v>
      </c>
      <c r="AE2356" s="30">
        <v>46210.458333333336</v>
      </c>
      <c r="AF2356" s="30">
        <v>46216.416666666664</v>
      </c>
      <c r="AG2356" t="s">
        <v>1266</v>
      </c>
      <c r="AK2356" t="s">
        <v>1265</v>
      </c>
      <c r="AL2356" t="s">
        <v>2320</v>
      </c>
      <c r="AM2356" t="s">
        <v>1263</v>
      </c>
      <c r="AN2356" t="s">
        <v>1262</v>
      </c>
      <c r="AO2356">
        <v>0</v>
      </c>
      <c r="AQ2356" t="s">
        <v>1261</v>
      </c>
      <c r="AR2356" t="s">
        <v>1260</v>
      </c>
      <c r="AS2356" t="s">
        <v>1259</v>
      </c>
      <c r="AT2356" s="30">
        <v>46069.523611111108</v>
      </c>
    </row>
    <row r="2357" spans="1:46" x14ac:dyDescent="0.25">
      <c r="A2357" t="s">
        <v>1248</v>
      </c>
      <c r="B2357">
        <v>248426</v>
      </c>
      <c r="C2357">
        <v>352280</v>
      </c>
      <c r="D2357">
        <v>405</v>
      </c>
      <c r="E2357" t="s">
        <v>1266</v>
      </c>
      <c r="H2357">
        <v>1852</v>
      </c>
      <c r="K2357">
        <v>31</v>
      </c>
      <c r="L2357">
        <v>31</v>
      </c>
      <c r="M2357">
        <v>1</v>
      </c>
      <c r="N2357">
        <v>0</v>
      </c>
      <c r="O2357">
        <v>1</v>
      </c>
      <c r="P2357">
        <v>0</v>
      </c>
      <c r="Q2357">
        <v>0</v>
      </c>
      <c r="R2357">
        <v>0</v>
      </c>
      <c r="T2357" s="29">
        <v>21600</v>
      </c>
      <c r="U2357" s="29">
        <v>669600</v>
      </c>
      <c r="V2357" t="s">
        <v>1262</v>
      </c>
      <c r="W2357" t="s">
        <v>1262</v>
      </c>
      <c r="X2357" s="29">
        <v>669600</v>
      </c>
      <c r="AA2357" s="30">
        <v>45868.408333333333</v>
      </c>
      <c r="AB2357" s="30">
        <v>45874.366666666669</v>
      </c>
      <c r="AC2357" s="30">
        <v>45868.408333333333</v>
      </c>
      <c r="AD2357" s="30">
        <v>45874.366666666669</v>
      </c>
      <c r="AE2357" s="30">
        <v>46192.458333333336</v>
      </c>
      <c r="AF2357" s="30">
        <v>46198.416666666664</v>
      </c>
      <c r="AG2357" t="s">
        <v>1266</v>
      </c>
      <c r="AK2357" t="s">
        <v>1265</v>
      </c>
      <c r="AL2357" t="s">
        <v>2319</v>
      </c>
      <c r="AM2357" t="s">
        <v>1263</v>
      </c>
      <c r="AN2357" t="s">
        <v>1262</v>
      </c>
      <c r="AO2357">
        <v>0</v>
      </c>
      <c r="AQ2357" t="s">
        <v>1261</v>
      </c>
      <c r="AR2357" t="s">
        <v>1260</v>
      </c>
      <c r="AS2357" t="s">
        <v>1259</v>
      </c>
      <c r="AT2357" s="30">
        <v>46069.523611111108</v>
      </c>
    </row>
    <row r="2358" spans="1:46" x14ac:dyDescent="0.25">
      <c r="A2358" t="s">
        <v>1248</v>
      </c>
      <c r="B2358">
        <v>248427</v>
      </c>
      <c r="C2358">
        <v>352287</v>
      </c>
      <c r="D2358">
        <v>405</v>
      </c>
      <c r="E2358" t="s">
        <v>1266</v>
      </c>
      <c r="H2358">
        <v>1852</v>
      </c>
      <c r="K2358">
        <v>31</v>
      </c>
      <c r="L2358">
        <v>31</v>
      </c>
      <c r="M2358">
        <v>1</v>
      </c>
      <c r="N2358">
        <v>0</v>
      </c>
      <c r="O2358">
        <v>1</v>
      </c>
      <c r="P2358">
        <v>0</v>
      </c>
      <c r="Q2358">
        <v>0</v>
      </c>
      <c r="R2358">
        <v>0</v>
      </c>
      <c r="T2358" s="29">
        <v>21600</v>
      </c>
      <c r="U2358" s="29">
        <v>669600</v>
      </c>
      <c r="V2358" t="s">
        <v>1262</v>
      </c>
      <c r="W2358" t="s">
        <v>1262</v>
      </c>
      <c r="X2358" s="29">
        <v>669600</v>
      </c>
      <c r="AA2358" s="30">
        <v>45866.45</v>
      </c>
      <c r="AB2358" s="30">
        <v>45870.408333333333</v>
      </c>
      <c r="AC2358" s="30">
        <v>45866.45</v>
      </c>
      <c r="AD2358" s="30">
        <v>45870.408333333333</v>
      </c>
      <c r="AE2358" s="30">
        <v>46176.458333333336</v>
      </c>
      <c r="AF2358" s="30">
        <v>46182.416666666664</v>
      </c>
      <c r="AG2358" t="s">
        <v>1266</v>
      </c>
      <c r="AK2358" t="s">
        <v>1265</v>
      </c>
      <c r="AL2358" t="s">
        <v>2318</v>
      </c>
      <c r="AM2358" t="s">
        <v>1263</v>
      </c>
      <c r="AN2358" t="s">
        <v>1262</v>
      </c>
      <c r="AO2358">
        <v>0</v>
      </c>
      <c r="AQ2358" t="s">
        <v>1261</v>
      </c>
      <c r="AR2358" t="s">
        <v>1260</v>
      </c>
      <c r="AS2358" t="s">
        <v>1259</v>
      </c>
      <c r="AT2358" s="30">
        <v>46069.523611111108</v>
      </c>
    </row>
    <row r="2359" spans="1:46" x14ac:dyDescent="0.25">
      <c r="A2359" t="s">
        <v>1248</v>
      </c>
      <c r="B2359">
        <v>248428</v>
      </c>
      <c r="C2359">
        <v>352294</v>
      </c>
      <c r="D2359">
        <v>405</v>
      </c>
      <c r="E2359" t="s">
        <v>1266</v>
      </c>
      <c r="H2359">
        <v>1852</v>
      </c>
      <c r="K2359">
        <v>31</v>
      </c>
      <c r="L2359">
        <v>31</v>
      </c>
      <c r="M2359">
        <v>1</v>
      </c>
      <c r="N2359">
        <v>0</v>
      </c>
      <c r="O2359">
        <v>1</v>
      </c>
      <c r="P2359">
        <v>0</v>
      </c>
      <c r="Q2359">
        <v>0</v>
      </c>
      <c r="R2359">
        <v>0</v>
      </c>
      <c r="T2359" s="29">
        <v>21600</v>
      </c>
      <c r="U2359" s="29">
        <v>669600</v>
      </c>
      <c r="V2359" t="s">
        <v>1262</v>
      </c>
      <c r="W2359" t="s">
        <v>1262</v>
      </c>
      <c r="X2359" s="29">
        <v>669600</v>
      </c>
      <c r="AA2359" s="30">
        <v>45862.491666666669</v>
      </c>
      <c r="AB2359" s="30">
        <v>45868.45</v>
      </c>
      <c r="AC2359" s="30">
        <v>45862.491666666669</v>
      </c>
      <c r="AD2359" s="30">
        <v>45868.45</v>
      </c>
      <c r="AE2359" s="30">
        <v>46157.458333333336</v>
      </c>
      <c r="AF2359" s="30">
        <v>46163.416666666664</v>
      </c>
      <c r="AG2359" t="s">
        <v>1266</v>
      </c>
      <c r="AK2359" t="s">
        <v>1265</v>
      </c>
      <c r="AL2359" t="s">
        <v>2317</v>
      </c>
      <c r="AM2359" t="s">
        <v>1263</v>
      </c>
      <c r="AN2359" t="s">
        <v>1262</v>
      </c>
      <c r="AO2359">
        <v>0</v>
      </c>
      <c r="AQ2359" t="s">
        <v>1261</v>
      </c>
      <c r="AR2359" t="s">
        <v>1260</v>
      </c>
      <c r="AS2359" t="s">
        <v>1259</v>
      </c>
      <c r="AT2359" s="30">
        <v>46069.523611111108</v>
      </c>
    </row>
    <row r="2360" spans="1:46" x14ac:dyDescent="0.25">
      <c r="A2360" t="s">
        <v>1248</v>
      </c>
      <c r="B2360">
        <v>248429</v>
      </c>
      <c r="C2360">
        <v>352301</v>
      </c>
      <c r="D2360">
        <v>405</v>
      </c>
      <c r="E2360" t="s">
        <v>1266</v>
      </c>
      <c r="H2360">
        <v>1852</v>
      </c>
      <c r="K2360">
        <v>31</v>
      </c>
      <c r="L2360">
        <v>31</v>
      </c>
      <c r="M2360">
        <v>1</v>
      </c>
      <c r="N2360">
        <v>0</v>
      </c>
      <c r="O2360">
        <v>1</v>
      </c>
      <c r="P2360">
        <v>0</v>
      </c>
      <c r="Q2360">
        <v>0</v>
      </c>
      <c r="R2360">
        <v>0</v>
      </c>
      <c r="T2360" s="29">
        <v>21600</v>
      </c>
      <c r="U2360" s="29">
        <v>669600</v>
      </c>
      <c r="V2360" t="s">
        <v>1262</v>
      </c>
      <c r="W2360" t="s">
        <v>1262</v>
      </c>
      <c r="X2360" s="29">
        <v>669600</v>
      </c>
      <c r="AA2360" s="30">
        <v>45860.574999999997</v>
      </c>
      <c r="AB2360" s="30">
        <v>45866.491666666669</v>
      </c>
      <c r="AC2360" s="30">
        <v>45860.574999999997</v>
      </c>
      <c r="AD2360" s="30">
        <v>45866.491666666669</v>
      </c>
      <c r="AE2360" s="30">
        <v>46140.458333333336</v>
      </c>
      <c r="AF2360" s="30">
        <v>46147.416666666664</v>
      </c>
      <c r="AG2360" t="s">
        <v>1266</v>
      </c>
      <c r="AK2360" t="s">
        <v>1265</v>
      </c>
      <c r="AL2360" t="s">
        <v>2316</v>
      </c>
      <c r="AM2360" t="s">
        <v>1263</v>
      </c>
      <c r="AN2360" t="s">
        <v>1262</v>
      </c>
      <c r="AO2360">
        <v>0</v>
      </c>
      <c r="AQ2360" t="s">
        <v>1261</v>
      </c>
      <c r="AR2360" t="s">
        <v>1260</v>
      </c>
      <c r="AS2360" t="s">
        <v>1259</v>
      </c>
      <c r="AT2360" s="30">
        <v>46069.523611111108</v>
      </c>
    </row>
    <row r="2361" spans="1:46" x14ac:dyDescent="0.25">
      <c r="A2361" t="s">
        <v>1248</v>
      </c>
      <c r="B2361">
        <v>248430</v>
      </c>
      <c r="C2361">
        <v>352308</v>
      </c>
      <c r="D2361">
        <v>405</v>
      </c>
      <c r="E2361" t="s">
        <v>1266</v>
      </c>
      <c r="H2361">
        <v>1852</v>
      </c>
      <c r="K2361">
        <v>31</v>
      </c>
      <c r="L2361">
        <v>31</v>
      </c>
      <c r="M2361">
        <v>1</v>
      </c>
      <c r="N2361">
        <v>0</v>
      </c>
      <c r="O2361">
        <v>1</v>
      </c>
      <c r="P2361">
        <v>0</v>
      </c>
      <c r="Q2361">
        <v>0</v>
      </c>
      <c r="R2361">
        <v>0</v>
      </c>
      <c r="T2361" s="29">
        <v>21600</v>
      </c>
      <c r="U2361" s="29">
        <v>669600</v>
      </c>
      <c r="V2361" t="s">
        <v>1262</v>
      </c>
      <c r="W2361" t="s">
        <v>1262</v>
      </c>
      <c r="X2361" s="29">
        <v>669600</v>
      </c>
      <c r="AA2361" s="30">
        <v>45846.433333333334</v>
      </c>
      <c r="AB2361" s="30">
        <v>45852.39166666667</v>
      </c>
      <c r="AC2361" s="30">
        <v>45846.433333333334</v>
      </c>
      <c r="AD2361" s="30">
        <v>45852.39166666667</v>
      </c>
      <c r="AE2361" s="30">
        <v>46122.458333333336</v>
      </c>
      <c r="AF2361" s="30">
        <v>46128.416666666664</v>
      </c>
      <c r="AG2361" t="s">
        <v>1266</v>
      </c>
      <c r="AK2361" t="s">
        <v>1265</v>
      </c>
      <c r="AL2361" t="s">
        <v>2315</v>
      </c>
      <c r="AM2361" t="s">
        <v>1263</v>
      </c>
      <c r="AN2361" t="s">
        <v>1262</v>
      </c>
      <c r="AO2361">
        <v>0</v>
      </c>
      <c r="AQ2361" t="s">
        <v>1261</v>
      </c>
      <c r="AR2361" t="s">
        <v>1260</v>
      </c>
      <c r="AS2361" t="s">
        <v>1259</v>
      </c>
      <c r="AT2361" s="30">
        <v>46069.523611111108</v>
      </c>
    </row>
    <row r="2362" spans="1:46" x14ac:dyDescent="0.25">
      <c r="A2362" t="s">
        <v>1248</v>
      </c>
      <c r="B2362">
        <v>248431</v>
      </c>
      <c r="C2362">
        <v>352315</v>
      </c>
      <c r="D2362">
        <v>405</v>
      </c>
      <c r="E2362" t="s">
        <v>1266</v>
      </c>
      <c r="H2362">
        <v>1852</v>
      </c>
      <c r="K2362">
        <v>31</v>
      </c>
      <c r="L2362">
        <v>31</v>
      </c>
      <c r="M2362">
        <v>1</v>
      </c>
      <c r="N2362">
        <v>0</v>
      </c>
      <c r="O2362">
        <v>1</v>
      </c>
      <c r="P2362">
        <v>0</v>
      </c>
      <c r="Q2362">
        <v>0</v>
      </c>
      <c r="R2362">
        <v>0</v>
      </c>
      <c r="T2362" s="29">
        <v>21600</v>
      </c>
      <c r="U2362" s="29">
        <v>669600</v>
      </c>
      <c r="V2362" t="s">
        <v>1262</v>
      </c>
      <c r="W2362" t="s">
        <v>1262</v>
      </c>
      <c r="X2362" s="29">
        <v>669600</v>
      </c>
      <c r="AA2362" s="30">
        <v>45841.64166666667</v>
      </c>
      <c r="AB2362" s="30">
        <v>45847.6</v>
      </c>
      <c r="AC2362" s="30">
        <v>45841.64166666667</v>
      </c>
      <c r="AD2362" s="30">
        <v>45847.6</v>
      </c>
      <c r="AE2362" s="30">
        <v>46105.458333333336</v>
      </c>
      <c r="AF2362" s="30">
        <v>46111.416666666664</v>
      </c>
      <c r="AG2362" t="s">
        <v>1266</v>
      </c>
      <c r="AK2362" t="s">
        <v>1265</v>
      </c>
      <c r="AL2362" t="s">
        <v>2314</v>
      </c>
      <c r="AM2362" t="s">
        <v>1263</v>
      </c>
      <c r="AN2362" t="s">
        <v>1262</v>
      </c>
      <c r="AO2362">
        <v>0</v>
      </c>
      <c r="AQ2362" t="s">
        <v>1261</v>
      </c>
      <c r="AR2362" t="s">
        <v>1260</v>
      </c>
      <c r="AS2362" t="s">
        <v>1259</v>
      </c>
      <c r="AT2362" s="30">
        <v>46069.523611111108</v>
      </c>
    </row>
    <row r="2363" spans="1:46" x14ac:dyDescent="0.25">
      <c r="A2363" t="s">
        <v>1248</v>
      </c>
      <c r="B2363">
        <v>248432</v>
      </c>
      <c r="C2363">
        <v>352322</v>
      </c>
      <c r="D2363">
        <v>405</v>
      </c>
      <c r="E2363" t="s">
        <v>1266</v>
      </c>
      <c r="H2363">
        <v>1852</v>
      </c>
      <c r="K2363">
        <v>31</v>
      </c>
      <c r="L2363">
        <v>31</v>
      </c>
      <c r="M2363">
        <v>1</v>
      </c>
      <c r="N2363">
        <v>0</v>
      </c>
      <c r="O2363">
        <v>1</v>
      </c>
      <c r="P2363">
        <v>0</v>
      </c>
      <c r="Q2363">
        <v>0</v>
      </c>
      <c r="R2363">
        <v>0</v>
      </c>
      <c r="T2363" s="29">
        <v>21600</v>
      </c>
      <c r="U2363" s="29">
        <v>669600</v>
      </c>
      <c r="V2363" t="s">
        <v>1262</v>
      </c>
      <c r="W2363" t="s">
        <v>1262</v>
      </c>
      <c r="X2363" s="29">
        <v>669600</v>
      </c>
      <c r="AA2363" s="30">
        <v>45839.683333333334</v>
      </c>
      <c r="AB2363" s="30">
        <v>45845.64166666667</v>
      </c>
      <c r="AC2363" s="30">
        <v>45839.683333333334</v>
      </c>
      <c r="AD2363" s="30">
        <v>45845.64166666667</v>
      </c>
      <c r="AE2363" s="30">
        <v>46087.458333333336</v>
      </c>
      <c r="AF2363" s="30">
        <v>46093.416666666664</v>
      </c>
      <c r="AG2363" t="s">
        <v>1266</v>
      </c>
      <c r="AK2363" t="s">
        <v>1265</v>
      </c>
      <c r="AL2363" t="s">
        <v>2313</v>
      </c>
      <c r="AM2363" t="s">
        <v>1263</v>
      </c>
      <c r="AN2363" t="s">
        <v>1262</v>
      </c>
      <c r="AO2363">
        <v>0</v>
      </c>
      <c r="AQ2363" t="s">
        <v>1261</v>
      </c>
      <c r="AR2363" t="s">
        <v>1260</v>
      </c>
      <c r="AS2363" t="s">
        <v>1259</v>
      </c>
      <c r="AT2363" s="30">
        <v>46069.523611111108</v>
      </c>
    </row>
    <row r="2364" spans="1:46" x14ac:dyDescent="0.25">
      <c r="A2364" t="s">
        <v>1248</v>
      </c>
      <c r="B2364">
        <v>248433</v>
      </c>
      <c r="C2364">
        <v>352329</v>
      </c>
      <c r="D2364">
        <v>405</v>
      </c>
      <c r="E2364" t="s">
        <v>1266</v>
      </c>
      <c r="H2364">
        <v>1852</v>
      </c>
      <c r="K2364">
        <v>31</v>
      </c>
      <c r="L2364">
        <v>31</v>
      </c>
      <c r="M2364">
        <v>1</v>
      </c>
      <c r="N2364">
        <v>0</v>
      </c>
      <c r="O2364">
        <v>1</v>
      </c>
      <c r="P2364">
        <v>0</v>
      </c>
      <c r="Q2364">
        <v>0</v>
      </c>
      <c r="R2364">
        <v>0</v>
      </c>
      <c r="T2364" s="29">
        <v>21600</v>
      </c>
      <c r="U2364" s="29">
        <v>669600</v>
      </c>
      <c r="V2364" t="s">
        <v>1262</v>
      </c>
      <c r="W2364" t="s">
        <v>1262</v>
      </c>
      <c r="X2364" s="29">
        <v>669600</v>
      </c>
      <c r="AA2364" s="30">
        <v>45838.35</v>
      </c>
      <c r="AB2364" s="30">
        <v>45841.683333333334</v>
      </c>
      <c r="AC2364" s="30">
        <v>45838.35</v>
      </c>
      <c r="AD2364" s="30">
        <v>45841.683333333334</v>
      </c>
      <c r="AE2364" s="30">
        <v>46071.458333333336</v>
      </c>
      <c r="AF2364" s="30">
        <v>46077.416666666664</v>
      </c>
      <c r="AG2364" t="s">
        <v>1266</v>
      </c>
      <c r="AK2364" t="s">
        <v>1265</v>
      </c>
      <c r="AL2364" t="s">
        <v>2312</v>
      </c>
      <c r="AM2364" t="s">
        <v>1263</v>
      </c>
      <c r="AN2364" t="s">
        <v>1262</v>
      </c>
      <c r="AO2364">
        <v>0</v>
      </c>
      <c r="AQ2364" t="s">
        <v>1261</v>
      </c>
      <c r="AR2364" t="s">
        <v>1260</v>
      </c>
      <c r="AS2364" t="s">
        <v>1259</v>
      </c>
      <c r="AT2364" s="30">
        <v>46069.523611111108</v>
      </c>
    </row>
    <row r="2365" spans="1:46" x14ac:dyDescent="0.25">
      <c r="A2365" t="s">
        <v>1248</v>
      </c>
      <c r="B2365">
        <v>248434</v>
      </c>
      <c r="C2365">
        <v>352336</v>
      </c>
      <c r="D2365">
        <v>405</v>
      </c>
      <c r="E2365" t="s">
        <v>1266</v>
      </c>
      <c r="H2365">
        <v>1852</v>
      </c>
      <c r="K2365">
        <v>31</v>
      </c>
      <c r="L2365">
        <v>31</v>
      </c>
      <c r="M2365">
        <v>1</v>
      </c>
      <c r="N2365">
        <v>0</v>
      </c>
      <c r="O2365">
        <v>1</v>
      </c>
      <c r="P2365">
        <v>0</v>
      </c>
      <c r="Q2365">
        <v>0</v>
      </c>
      <c r="R2365">
        <v>0</v>
      </c>
      <c r="T2365" s="29">
        <v>21600</v>
      </c>
      <c r="U2365" s="29">
        <v>669600</v>
      </c>
      <c r="V2365" t="s">
        <v>1262</v>
      </c>
      <c r="W2365" t="s">
        <v>1262</v>
      </c>
      <c r="X2365" s="29">
        <v>669600</v>
      </c>
      <c r="AA2365" s="30">
        <v>45834.39166666667</v>
      </c>
      <c r="AB2365" s="30">
        <v>45840.35</v>
      </c>
      <c r="AC2365" s="30">
        <v>45834.39166666667</v>
      </c>
      <c r="AD2365" s="30">
        <v>45840.35</v>
      </c>
      <c r="AE2365" s="30">
        <v>46055.458333333336</v>
      </c>
      <c r="AF2365" s="30">
        <v>46059.416666666664</v>
      </c>
      <c r="AG2365" t="s">
        <v>1266</v>
      </c>
      <c r="AK2365" t="s">
        <v>1265</v>
      </c>
      <c r="AL2365" t="s">
        <v>2311</v>
      </c>
      <c r="AM2365" t="s">
        <v>1263</v>
      </c>
      <c r="AN2365" t="s">
        <v>1262</v>
      </c>
      <c r="AO2365">
        <v>0</v>
      </c>
      <c r="AQ2365" t="s">
        <v>1261</v>
      </c>
      <c r="AR2365" t="s">
        <v>1260</v>
      </c>
      <c r="AS2365" t="s">
        <v>1259</v>
      </c>
      <c r="AT2365" s="30">
        <v>46069.523611111108</v>
      </c>
    </row>
    <row r="2366" spans="1:46" x14ac:dyDescent="0.25">
      <c r="A2366" t="s">
        <v>1248</v>
      </c>
      <c r="B2366">
        <v>248435</v>
      </c>
      <c r="C2366">
        <v>352343</v>
      </c>
      <c r="D2366">
        <v>405</v>
      </c>
      <c r="E2366" t="s">
        <v>1266</v>
      </c>
      <c r="H2366">
        <v>1852</v>
      </c>
      <c r="K2366">
        <v>32</v>
      </c>
      <c r="L2366">
        <v>32</v>
      </c>
      <c r="M2366">
        <v>1</v>
      </c>
      <c r="N2366">
        <v>0</v>
      </c>
      <c r="O2366">
        <v>1</v>
      </c>
      <c r="P2366">
        <v>0</v>
      </c>
      <c r="Q2366">
        <v>0</v>
      </c>
      <c r="R2366">
        <v>0</v>
      </c>
      <c r="T2366" s="29">
        <v>21600</v>
      </c>
      <c r="U2366" s="29">
        <v>691200</v>
      </c>
      <c r="V2366" t="s">
        <v>1262</v>
      </c>
      <c r="W2366" t="s">
        <v>1262</v>
      </c>
      <c r="X2366" s="29">
        <v>691200</v>
      </c>
      <c r="AA2366" s="30">
        <v>45832.433333333334</v>
      </c>
      <c r="AB2366" s="30">
        <v>45838.433333333334</v>
      </c>
      <c r="AC2366" s="30">
        <v>45832.433333333334</v>
      </c>
      <c r="AD2366" s="30">
        <v>45838.433333333334</v>
      </c>
      <c r="AE2366" s="30">
        <v>46037.375</v>
      </c>
      <c r="AF2366" s="30">
        <v>46043.375</v>
      </c>
      <c r="AG2366" t="s">
        <v>1266</v>
      </c>
      <c r="AK2366" t="s">
        <v>1265</v>
      </c>
      <c r="AL2366" t="s">
        <v>2310</v>
      </c>
      <c r="AM2366" t="s">
        <v>1263</v>
      </c>
      <c r="AN2366" t="s">
        <v>1262</v>
      </c>
      <c r="AO2366">
        <v>0</v>
      </c>
      <c r="AQ2366" t="s">
        <v>1261</v>
      </c>
      <c r="AR2366" t="s">
        <v>1260</v>
      </c>
      <c r="AS2366" t="s">
        <v>1259</v>
      </c>
      <c r="AT2366" s="30">
        <v>46069.523611111108</v>
      </c>
    </row>
    <row r="2367" spans="1:46" x14ac:dyDescent="0.25">
      <c r="A2367" t="s">
        <v>1248</v>
      </c>
      <c r="B2367">
        <v>248436</v>
      </c>
      <c r="C2367">
        <v>352350</v>
      </c>
      <c r="D2367">
        <v>405</v>
      </c>
      <c r="E2367" t="s">
        <v>1266</v>
      </c>
      <c r="H2367">
        <v>1852</v>
      </c>
      <c r="K2367">
        <v>32</v>
      </c>
      <c r="L2367">
        <v>32</v>
      </c>
      <c r="M2367">
        <v>1</v>
      </c>
      <c r="N2367">
        <v>0</v>
      </c>
      <c r="O2367">
        <v>1</v>
      </c>
      <c r="P2367">
        <v>0</v>
      </c>
      <c r="Q2367">
        <v>0</v>
      </c>
      <c r="R2367">
        <v>0</v>
      </c>
      <c r="T2367" s="29">
        <v>21600</v>
      </c>
      <c r="U2367" s="29">
        <v>691200</v>
      </c>
      <c r="V2367" t="s">
        <v>1262</v>
      </c>
      <c r="W2367" t="s">
        <v>1262</v>
      </c>
      <c r="X2367" s="29">
        <v>691200</v>
      </c>
      <c r="AA2367" s="30">
        <v>45824.39166666667</v>
      </c>
      <c r="AB2367" s="30">
        <v>45828.39166666667</v>
      </c>
      <c r="AC2367" s="30">
        <v>45824.39166666667</v>
      </c>
      <c r="AD2367" s="30">
        <v>45828.39166666667</v>
      </c>
      <c r="AE2367" s="30">
        <v>46016.333333333336</v>
      </c>
      <c r="AF2367" s="30">
        <v>46021.708333333336</v>
      </c>
      <c r="AG2367" t="s">
        <v>1266</v>
      </c>
      <c r="AK2367" t="s">
        <v>1265</v>
      </c>
      <c r="AL2367" t="s">
        <v>2309</v>
      </c>
      <c r="AM2367" t="s">
        <v>1263</v>
      </c>
      <c r="AN2367" t="s">
        <v>1262</v>
      </c>
      <c r="AO2367">
        <v>0</v>
      </c>
      <c r="AQ2367" t="s">
        <v>1261</v>
      </c>
      <c r="AR2367" t="s">
        <v>1260</v>
      </c>
      <c r="AS2367" t="s">
        <v>1259</v>
      </c>
      <c r="AT2367" s="30">
        <v>46069.523611111108</v>
      </c>
    </row>
    <row r="2368" spans="1:46" x14ac:dyDescent="0.25">
      <c r="A2368" t="s">
        <v>1248</v>
      </c>
      <c r="B2368">
        <v>248437</v>
      </c>
      <c r="C2368">
        <v>352357</v>
      </c>
      <c r="D2368">
        <v>405</v>
      </c>
      <c r="E2368" t="s">
        <v>1266</v>
      </c>
      <c r="H2368">
        <v>1852</v>
      </c>
      <c r="K2368">
        <v>32</v>
      </c>
      <c r="L2368">
        <v>32</v>
      </c>
      <c r="M2368">
        <v>1</v>
      </c>
      <c r="N2368">
        <v>0</v>
      </c>
      <c r="O2368">
        <v>1</v>
      </c>
      <c r="P2368">
        <v>0</v>
      </c>
      <c r="Q2368">
        <v>0</v>
      </c>
      <c r="R2368">
        <v>0</v>
      </c>
      <c r="T2368" s="29">
        <v>21600</v>
      </c>
      <c r="U2368" s="29">
        <v>691200</v>
      </c>
      <c r="V2368" t="s">
        <v>1262</v>
      </c>
      <c r="W2368" t="s">
        <v>1262</v>
      </c>
      <c r="X2368" s="29">
        <v>691200</v>
      </c>
      <c r="AA2368" s="30">
        <v>45821.433333333334</v>
      </c>
      <c r="AB2368" s="30">
        <v>45827.433333333334</v>
      </c>
      <c r="AC2368" s="30">
        <v>45821.433333333334</v>
      </c>
      <c r="AD2368" s="30">
        <v>45827.433333333334</v>
      </c>
      <c r="AE2368" s="30">
        <v>46010.333333333336</v>
      </c>
      <c r="AF2368" s="30">
        <v>46015.708333333336</v>
      </c>
      <c r="AG2368" t="s">
        <v>1266</v>
      </c>
      <c r="AK2368" t="s">
        <v>1265</v>
      </c>
      <c r="AL2368" t="s">
        <v>2308</v>
      </c>
      <c r="AM2368" t="s">
        <v>1263</v>
      </c>
      <c r="AN2368" t="s">
        <v>1262</v>
      </c>
      <c r="AO2368">
        <v>0</v>
      </c>
      <c r="AQ2368" t="s">
        <v>1261</v>
      </c>
      <c r="AR2368" t="s">
        <v>1260</v>
      </c>
      <c r="AS2368" t="s">
        <v>1259</v>
      </c>
      <c r="AT2368" s="30">
        <v>46069.523611111108</v>
      </c>
    </row>
    <row r="2369" spans="1:46" x14ac:dyDescent="0.25">
      <c r="A2369" t="s">
        <v>1248</v>
      </c>
      <c r="B2369">
        <v>248438</v>
      </c>
      <c r="C2369">
        <v>352364</v>
      </c>
      <c r="D2369">
        <v>405</v>
      </c>
      <c r="E2369" t="s">
        <v>1266</v>
      </c>
      <c r="H2369">
        <v>1852</v>
      </c>
      <c r="K2369">
        <v>32</v>
      </c>
      <c r="L2369">
        <v>32</v>
      </c>
      <c r="M2369">
        <v>1</v>
      </c>
      <c r="N2369">
        <v>0</v>
      </c>
      <c r="O2369">
        <v>1</v>
      </c>
      <c r="P2369">
        <v>0</v>
      </c>
      <c r="Q2369">
        <v>0</v>
      </c>
      <c r="R2369">
        <v>0</v>
      </c>
      <c r="T2369" s="29">
        <v>21600</v>
      </c>
      <c r="U2369" s="29">
        <v>691200</v>
      </c>
      <c r="V2369" t="s">
        <v>1262</v>
      </c>
      <c r="W2369" t="s">
        <v>1262</v>
      </c>
      <c r="X2369" s="29">
        <v>691200</v>
      </c>
      <c r="AA2369" s="30">
        <v>45820.474999999999</v>
      </c>
      <c r="AB2369" s="30">
        <v>45826.474999999999</v>
      </c>
      <c r="AC2369" s="30">
        <v>45820.474999999999</v>
      </c>
      <c r="AD2369" s="30">
        <v>45826.474999999999</v>
      </c>
      <c r="AE2369" s="30">
        <v>45877.375</v>
      </c>
      <c r="AF2369" s="30">
        <v>45883.375</v>
      </c>
      <c r="AG2369" t="s">
        <v>1266</v>
      </c>
      <c r="AK2369" t="s">
        <v>1265</v>
      </c>
      <c r="AL2369" t="s">
        <v>2307</v>
      </c>
      <c r="AM2369" t="s">
        <v>1263</v>
      </c>
      <c r="AN2369" t="s">
        <v>1262</v>
      </c>
      <c r="AO2369">
        <v>0</v>
      </c>
      <c r="AQ2369" t="s">
        <v>1261</v>
      </c>
      <c r="AR2369" t="s">
        <v>1260</v>
      </c>
      <c r="AS2369" t="s">
        <v>1259</v>
      </c>
      <c r="AT2369" s="30">
        <v>46069.523611111108</v>
      </c>
    </row>
    <row r="2370" spans="1:46" x14ac:dyDescent="0.25">
      <c r="A2370" t="s">
        <v>1248</v>
      </c>
      <c r="B2370">
        <v>248440</v>
      </c>
      <c r="C2370">
        <v>352204</v>
      </c>
      <c r="D2370">
        <v>405</v>
      </c>
      <c r="E2370" t="s">
        <v>1266</v>
      </c>
      <c r="H2370">
        <v>1853</v>
      </c>
      <c r="K2370">
        <v>47</v>
      </c>
      <c r="L2370">
        <v>47</v>
      </c>
      <c r="M2370">
        <v>1</v>
      </c>
      <c r="N2370">
        <v>0</v>
      </c>
      <c r="O2370">
        <v>1</v>
      </c>
      <c r="P2370">
        <v>0</v>
      </c>
      <c r="Q2370">
        <v>0</v>
      </c>
      <c r="R2370">
        <v>0</v>
      </c>
      <c r="T2370" s="29">
        <v>21600</v>
      </c>
      <c r="U2370" s="29">
        <v>1015200</v>
      </c>
      <c r="V2370" t="s">
        <v>1262</v>
      </c>
      <c r="W2370" t="s">
        <v>1262</v>
      </c>
      <c r="X2370" s="29">
        <v>1015200</v>
      </c>
      <c r="AA2370" s="30">
        <v>45910.380555555559</v>
      </c>
      <c r="AB2370" s="30">
        <v>45918.338888888888</v>
      </c>
      <c r="AC2370" s="30">
        <v>45910.380555555559</v>
      </c>
      <c r="AD2370" s="30">
        <v>45918.338888888888</v>
      </c>
      <c r="AE2370" s="30">
        <v>46386.416666666664</v>
      </c>
      <c r="AF2370" s="30">
        <v>46398.375</v>
      </c>
      <c r="AG2370" t="s">
        <v>1266</v>
      </c>
      <c r="AK2370" t="s">
        <v>1265</v>
      </c>
      <c r="AL2370" t="s">
        <v>2306</v>
      </c>
      <c r="AM2370" t="s">
        <v>1263</v>
      </c>
      <c r="AN2370" t="s">
        <v>1262</v>
      </c>
      <c r="AO2370">
        <v>0</v>
      </c>
      <c r="AQ2370" t="s">
        <v>1261</v>
      </c>
      <c r="AR2370" t="s">
        <v>1260</v>
      </c>
      <c r="AS2370" t="s">
        <v>1259</v>
      </c>
      <c r="AT2370" s="30">
        <v>46069.523611111108</v>
      </c>
    </row>
    <row r="2371" spans="1:46" x14ac:dyDescent="0.25">
      <c r="A2371" t="s">
        <v>1248</v>
      </c>
      <c r="B2371">
        <v>248442</v>
      </c>
      <c r="C2371">
        <v>352218</v>
      </c>
      <c r="D2371">
        <v>405</v>
      </c>
      <c r="E2371" t="s">
        <v>1266</v>
      </c>
      <c r="H2371">
        <v>1853</v>
      </c>
      <c r="K2371">
        <v>47</v>
      </c>
      <c r="L2371">
        <v>47</v>
      </c>
      <c r="M2371">
        <v>1</v>
      </c>
      <c r="N2371">
        <v>0</v>
      </c>
      <c r="O2371">
        <v>1</v>
      </c>
      <c r="P2371">
        <v>0</v>
      </c>
      <c r="Q2371">
        <v>0</v>
      </c>
      <c r="R2371">
        <v>0</v>
      </c>
      <c r="T2371" s="29">
        <v>21600</v>
      </c>
      <c r="U2371" s="29">
        <v>1015200</v>
      </c>
      <c r="V2371" t="s">
        <v>1262</v>
      </c>
      <c r="W2371" t="s">
        <v>1262</v>
      </c>
      <c r="X2371" s="29">
        <v>1015200</v>
      </c>
      <c r="AA2371" s="30">
        <v>45896.380555555559</v>
      </c>
      <c r="AB2371" s="30">
        <v>45904.338888888888</v>
      </c>
      <c r="AC2371" s="30">
        <v>45896.380555555559</v>
      </c>
      <c r="AD2371" s="30">
        <v>45904.338888888888</v>
      </c>
      <c r="AE2371" s="30">
        <v>46344.416666666664</v>
      </c>
      <c r="AF2371" s="30">
        <v>46352.375</v>
      </c>
      <c r="AG2371" t="s">
        <v>1266</v>
      </c>
      <c r="AK2371" t="s">
        <v>1265</v>
      </c>
      <c r="AL2371" t="s">
        <v>2305</v>
      </c>
      <c r="AM2371" t="s">
        <v>1263</v>
      </c>
      <c r="AN2371" t="s">
        <v>1262</v>
      </c>
      <c r="AO2371">
        <v>0</v>
      </c>
      <c r="AQ2371" t="s">
        <v>1261</v>
      </c>
      <c r="AR2371" t="s">
        <v>1260</v>
      </c>
      <c r="AS2371" t="s">
        <v>1259</v>
      </c>
      <c r="AT2371" s="30">
        <v>46069.523611111108</v>
      </c>
    </row>
    <row r="2372" spans="1:46" x14ac:dyDescent="0.25">
      <c r="A2372" t="s">
        <v>1248</v>
      </c>
      <c r="B2372">
        <v>248464</v>
      </c>
      <c r="C2372">
        <v>352197</v>
      </c>
      <c r="D2372">
        <v>405</v>
      </c>
      <c r="E2372" t="s">
        <v>1266</v>
      </c>
      <c r="H2372">
        <v>1858</v>
      </c>
      <c r="K2372" t="s">
        <v>1466</v>
      </c>
      <c r="L2372" t="s">
        <v>1466</v>
      </c>
      <c r="M2372" t="s">
        <v>2284</v>
      </c>
      <c r="N2372">
        <v>0</v>
      </c>
      <c r="O2372" t="s">
        <v>2284</v>
      </c>
      <c r="P2372">
        <v>0</v>
      </c>
      <c r="Q2372">
        <v>0</v>
      </c>
      <c r="R2372">
        <v>0</v>
      </c>
      <c r="T2372" s="29">
        <v>230000</v>
      </c>
      <c r="U2372" s="29">
        <v>10195900</v>
      </c>
      <c r="V2372" t="s">
        <v>1262</v>
      </c>
      <c r="W2372" t="s">
        <v>1262</v>
      </c>
      <c r="X2372" s="29">
        <v>10195900</v>
      </c>
      <c r="AA2372" s="30">
        <v>45915.380555555559</v>
      </c>
      <c r="AB2372" s="30">
        <v>45923.338888888888</v>
      </c>
      <c r="AC2372" s="30">
        <v>45915.380555555559</v>
      </c>
      <c r="AD2372" s="30">
        <v>45923.338888888888</v>
      </c>
      <c r="AE2372" s="30">
        <v>46406.416666666664</v>
      </c>
      <c r="AF2372" s="30">
        <v>46414.375</v>
      </c>
      <c r="AG2372" t="s">
        <v>1266</v>
      </c>
      <c r="AK2372" t="s">
        <v>1265</v>
      </c>
      <c r="AL2372" t="s">
        <v>2304</v>
      </c>
      <c r="AM2372" t="s">
        <v>1263</v>
      </c>
      <c r="AN2372" t="s">
        <v>1262</v>
      </c>
      <c r="AO2372">
        <v>0</v>
      </c>
      <c r="AQ2372" t="s">
        <v>1261</v>
      </c>
      <c r="AR2372" t="s">
        <v>1260</v>
      </c>
      <c r="AS2372" t="s">
        <v>1259</v>
      </c>
      <c r="AT2372" s="30">
        <v>46069.523611111108</v>
      </c>
    </row>
    <row r="2373" spans="1:46" x14ac:dyDescent="0.25">
      <c r="A2373" t="s">
        <v>1248</v>
      </c>
      <c r="B2373">
        <v>248465</v>
      </c>
      <c r="C2373">
        <v>352204</v>
      </c>
      <c r="D2373">
        <v>405</v>
      </c>
      <c r="E2373" t="s">
        <v>1266</v>
      </c>
      <c r="H2373">
        <v>1858</v>
      </c>
      <c r="K2373">
        <v>47</v>
      </c>
      <c r="L2373">
        <v>47</v>
      </c>
      <c r="M2373">
        <v>1</v>
      </c>
      <c r="N2373">
        <v>0</v>
      </c>
      <c r="O2373">
        <v>1</v>
      </c>
      <c r="P2373">
        <v>0</v>
      </c>
      <c r="Q2373">
        <v>0</v>
      </c>
      <c r="R2373">
        <v>0</v>
      </c>
      <c r="T2373" s="29">
        <v>230000</v>
      </c>
      <c r="U2373" s="29">
        <v>10810000</v>
      </c>
      <c r="V2373" t="s">
        <v>1262</v>
      </c>
      <c r="W2373" t="s">
        <v>1262</v>
      </c>
      <c r="X2373" s="29">
        <v>10810000</v>
      </c>
      <c r="AA2373" s="30">
        <v>45910.380555555559</v>
      </c>
      <c r="AB2373" s="30">
        <v>45918.338888888888</v>
      </c>
      <c r="AC2373" s="30">
        <v>45910.380555555559</v>
      </c>
      <c r="AD2373" s="30">
        <v>45918.338888888888</v>
      </c>
      <c r="AE2373" s="30">
        <v>46386.416666666664</v>
      </c>
      <c r="AF2373" s="30">
        <v>46398.375</v>
      </c>
      <c r="AG2373" t="s">
        <v>1266</v>
      </c>
      <c r="AK2373" t="s">
        <v>1265</v>
      </c>
      <c r="AL2373" t="s">
        <v>2303</v>
      </c>
      <c r="AM2373" t="s">
        <v>1263</v>
      </c>
      <c r="AN2373" t="s">
        <v>1262</v>
      </c>
      <c r="AO2373">
        <v>0</v>
      </c>
      <c r="AQ2373" t="s">
        <v>1261</v>
      </c>
      <c r="AR2373" t="s">
        <v>1260</v>
      </c>
      <c r="AS2373" t="s">
        <v>1259</v>
      </c>
      <c r="AT2373" s="30">
        <v>46069.523611111108</v>
      </c>
    </row>
    <row r="2374" spans="1:46" x14ac:dyDescent="0.25">
      <c r="A2374" t="s">
        <v>1248</v>
      </c>
      <c r="B2374">
        <v>248466</v>
      </c>
      <c r="C2374">
        <v>352211</v>
      </c>
      <c r="D2374">
        <v>405</v>
      </c>
      <c r="E2374" t="s">
        <v>1266</v>
      </c>
      <c r="H2374">
        <v>1858</v>
      </c>
      <c r="K2374" t="s">
        <v>1466</v>
      </c>
      <c r="L2374" t="s">
        <v>1466</v>
      </c>
      <c r="M2374" t="s">
        <v>2284</v>
      </c>
      <c r="N2374">
        <v>0</v>
      </c>
      <c r="O2374" t="s">
        <v>2284</v>
      </c>
      <c r="P2374">
        <v>0</v>
      </c>
      <c r="Q2374">
        <v>0</v>
      </c>
      <c r="R2374">
        <v>0</v>
      </c>
      <c r="T2374" s="29">
        <v>230000</v>
      </c>
      <c r="U2374" s="29">
        <v>10195900</v>
      </c>
      <c r="V2374" t="s">
        <v>1262</v>
      </c>
      <c r="W2374" t="s">
        <v>1262</v>
      </c>
      <c r="X2374" s="29">
        <v>10195900</v>
      </c>
      <c r="AA2374" s="30">
        <v>45905.380555555559</v>
      </c>
      <c r="AB2374" s="30">
        <v>45915.338888888888</v>
      </c>
      <c r="AC2374" s="30">
        <v>45905.380555555559</v>
      </c>
      <c r="AD2374" s="30">
        <v>45915.338888888888</v>
      </c>
      <c r="AE2374" s="30">
        <v>46367.416666666664</v>
      </c>
      <c r="AF2374" s="30">
        <v>46377.375</v>
      </c>
      <c r="AG2374" t="s">
        <v>1266</v>
      </c>
      <c r="AK2374" t="s">
        <v>1265</v>
      </c>
      <c r="AL2374" t="s">
        <v>2302</v>
      </c>
      <c r="AM2374" t="s">
        <v>1263</v>
      </c>
      <c r="AN2374" t="s">
        <v>1262</v>
      </c>
      <c r="AO2374">
        <v>0</v>
      </c>
      <c r="AQ2374" t="s">
        <v>1261</v>
      </c>
      <c r="AR2374" t="s">
        <v>1260</v>
      </c>
      <c r="AS2374" t="s">
        <v>1259</v>
      </c>
      <c r="AT2374" s="30">
        <v>46069.523611111108</v>
      </c>
    </row>
    <row r="2375" spans="1:46" x14ac:dyDescent="0.25">
      <c r="A2375" t="s">
        <v>1248</v>
      </c>
      <c r="B2375">
        <v>248467</v>
      </c>
      <c r="C2375">
        <v>352218</v>
      </c>
      <c r="D2375">
        <v>405</v>
      </c>
      <c r="E2375" t="s">
        <v>1266</v>
      </c>
      <c r="H2375">
        <v>1858</v>
      </c>
      <c r="K2375">
        <v>47</v>
      </c>
      <c r="L2375">
        <v>47</v>
      </c>
      <c r="M2375">
        <v>1</v>
      </c>
      <c r="N2375">
        <v>0</v>
      </c>
      <c r="O2375">
        <v>1</v>
      </c>
      <c r="P2375">
        <v>0</v>
      </c>
      <c r="Q2375">
        <v>0</v>
      </c>
      <c r="R2375">
        <v>0</v>
      </c>
      <c r="T2375" s="29">
        <v>230000</v>
      </c>
      <c r="U2375" s="29">
        <v>10810000</v>
      </c>
      <c r="V2375" t="s">
        <v>1262</v>
      </c>
      <c r="W2375" t="s">
        <v>1262</v>
      </c>
      <c r="X2375" s="29">
        <v>10810000</v>
      </c>
      <c r="AA2375" s="30">
        <v>45896.380555555559</v>
      </c>
      <c r="AB2375" s="30">
        <v>45904.338888888888</v>
      </c>
      <c r="AC2375" s="30">
        <v>45896.380555555559</v>
      </c>
      <c r="AD2375" s="30">
        <v>45904.338888888888</v>
      </c>
      <c r="AE2375" s="30">
        <v>46344.416666666664</v>
      </c>
      <c r="AF2375" s="30">
        <v>46352.375</v>
      </c>
      <c r="AG2375" t="s">
        <v>1266</v>
      </c>
      <c r="AK2375" t="s">
        <v>1265</v>
      </c>
      <c r="AL2375" t="s">
        <v>2301</v>
      </c>
      <c r="AM2375" t="s">
        <v>1263</v>
      </c>
      <c r="AN2375" t="s">
        <v>1262</v>
      </c>
      <c r="AO2375">
        <v>0</v>
      </c>
      <c r="AQ2375" t="s">
        <v>1261</v>
      </c>
      <c r="AR2375" t="s">
        <v>1260</v>
      </c>
      <c r="AS2375" t="s">
        <v>1259</v>
      </c>
      <c r="AT2375" s="30">
        <v>46069.523611111108</v>
      </c>
    </row>
    <row r="2376" spans="1:46" x14ac:dyDescent="0.25">
      <c r="A2376" t="s">
        <v>1248</v>
      </c>
      <c r="B2376">
        <v>248468</v>
      </c>
      <c r="C2376">
        <v>352225</v>
      </c>
      <c r="D2376">
        <v>405</v>
      </c>
      <c r="E2376" t="s">
        <v>1266</v>
      </c>
      <c r="H2376">
        <v>1858</v>
      </c>
      <c r="K2376" t="s">
        <v>1466</v>
      </c>
      <c r="L2376" t="s">
        <v>1466</v>
      </c>
      <c r="M2376" t="s">
        <v>2284</v>
      </c>
      <c r="N2376">
        <v>0</v>
      </c>
      <c r="O2376" t="s">
        <v>2284</v>
      </c>
      <c r="P2376">
        <v>0</v>
      </c>
      <c r="Q2376">
        <v>0</v>
      </c>
      <c r="R2376">
        <v>0</v>
      </c>
      <c r="T2376" s="29">
        <v>230000</v>
      </c>
      <c r="U2376" s="29">
        <v>10195900</v>
      </c>
      <c r="V2376" t="s">
        <v>1262</v>
      </c>
      <c r="W2376" t="s">
        <v>1262</v>
      </c>
      <c r="X2376" s="29">
        <v>10195900</v>
      </c>
      <c r="AA2376" s="30">
        <v>45897.547222222223</v>
      </c>
      <c r="AB2376" s="30">
        <v>45905.463888888888</v>
      </c>
      <c r="AC2376" s="30">
        <v>45897.547222222223</v>
      </c>
      <c r="AD2376" s="30">
        <v>45905.463888888888</v>
      </c>
      <c r="AE2376" s="30">
        <v>46332.416666666664</v>
      </c>
      <c r="AF2376" s="30">
        <v>46342.375</v>
      </c>
      <c r="AG2376" t="s">
        <v>1266</v>
      </c>
      <c r="AK2376" t="s">
        <v>1265</v>
      </c>
      <c r="AL2376" t="s">
        <v>2300</v>
      </c>
      <c r="AM2376" t="s">
        <v>1263</v>
      </c>
      <c r="AN2376" t="s">
        <v>1262</v>
      </c>
      <c r="AO2376">
        <v>0</v>
      </c>
      <c r="AQ2376" t="s">
        <v>1261</v>
      </c>
      <c r="AR2376" t="s">
        <v>1260</v>
      </c>
      <c r="AS2376" t="s">
        <v>1259</v>
      </c>
      <c r="AT2376" s="30">
        <v>46069.523611111108</v>
      </c>
    </row>
    <row r="2377" spans="1:46" x14ac:dyDescent="0.25">
      <c r="A2377" t="s">
        <v>1248</v>
      </c>
      <c r="B2377">
        <v>248469</v>
      </c>
      <c r="C2377">
        <v>352232</v>
      </c>
      <c r="D2377">
        <v>405</v>
      </c>
      <c r="E2377" t="s">
        <v>1266</v>
      </c>
      <c r="H2377">
        <v>1858</v>
      </c>
      <c r="K2377" t="s">
        <v>1466</v>
      </c>
      <c r="L2377" t="s">
        <v>1466</v>
      </c>
      <c r="M2377" t="s">
        <v>2284</v>
      </c>
      <c r="N2377">
        <v>0</v>
      </c>
      <c r="O2377" t="s">
        <v>2284</v>
      </c>
      <c r="P2377">
        <v>0</v>
      </c>
      <c r="Q2377">
        <v>0</v>
      </c>
      <c r="R2377">
        <v>0</v>
      </c>
      <c r="T2377" s="29">
        <v>230000</v>
      </c>
      <c r="U2377" s="29">
        <v>10195900</v>
      </c>
      <c r="V2377" t="s">
        <v>1262</v>
      </c>
      <c r="W2377" t="s">
        <v>1262</v>
      </c>
      <c r="X2377" s="29">
        <v>10195900</v>
      </c>
      <c r="AA2377" s="30">
        <v>45895.588888888888</v>
      </c>
      <c r="AB2377" s="30">
        <v>45903.547222222223</v>
      </c>
      <c r="AC2377" s="30">
        <v>45895.588888888888</v>
      </c>
      <c r="AD2377" s="30">
        <v>45903.547222222223</v>
      </c>
      <c r="AE2377" s="30">
        <v>46316.416666666664</v>
      </c>
      <c r="AF2377" s="30">
        <v>46324.375</v>
      </c>
      <c r="AG2377" t="s">
        <v>1266</v>
      </c>
      <c r="AK2377" t="s">
        <v>1265</v>
      </c>
      <c r="AL2377" t="s">
        <v>2299</v>
      </c>
      <c r="AM2377" t="s">
        <v>1263</v>
      </c>
      <c r="AN2377" t="s">
        <v>1262</v>
      </c>
      <c r="AO2377">
        <v>0</v>
      </c>
      <c r="AQ2377" t="s">
        <v>1261</v>
      </c>
      <c r="AR2377" t="s">
        <v>1260</v>
      </c>
      <c r="AS2377" t="s">
        <v>1259</v>
      </c>
      <c r="AT2377" s="30">
        <v>46069.523611111108</v>
      </c>
    </row>
    <row r="2378" spans="1:46" x14ac:dyDescent="0.25">
      <c r="A2378" t="s">
        <v>1248</v>
      </c>
      <c r="B2378">
        <v>248470</v>
      </c>
      <c r="C2378">
        <v>352239</v>
      </c>
      <c r="D2378">
        <v>405</v>
      </c>
      <c r="E2378" t="s">
        <v>1266</v>
      </c>
      <c r="H2378">
        <v>1858</v>
      </c>
      <c r="K2378" t="s">
        <v>1466</v>
      </c>
      <c r="L2378" t="s">
        <v>1466</v>
      </c>
      <c r="M2378" t="s">
        <v>2284</v>
      </c>
      <c r="N2378">
        <v>0</v>
      </c>
      <c r="O2378" t="s">
        <v>2284</v>
      </c>
      <c r="P2378">
        <v>0</v>
      </c>
      <c r="Q2378">
        <v>0</v>
      </c>
      <c r="R2378">
        <v>0</v>
      </c>
      <c r="T2378" s="29">
        <v>230000</v>
      </c>
      <c r="U2378" s="29">
        <v>10195900</v>
      </c>
      <c r="V2378" t="s">
        <v>1262</v>
      </c>
      <c r="W2378" t="s">
        <v>1262</v>
      </c>
      <c r="X2378" s="29">
        <v>10195900</v>
      </c>
      <c r="AA2378" s="30">
        <v>45891.630555555559</v>
      </c>
      <c r="AB2378" s="30">
        <v>45901.588888888888</v>
      </c>
      <c r="AC2378" s="30">
        <v>45891.630555555559</v>
      </c>
      <c r="AD2378" s="30">
        <v>45901.588888888888</v>
      </c>
      <c r="AE2378" s="30">
        <v>46300.416666666664</v>
      </c>
      <c r="AF2378" s="30">
        <v>46308.375</v>
      </c>
      <c r="AG2378" t="s">
        <v>1266</v>
      </c>
      <c r="AK2378" t="s">
        <v>1265</v>
      </c>
      <c r="AL2378" t="s">
        <v>2298</v>
      </c>
      <c r="AM2378" t="s">
        <v>1263</v>
      </c>
      <c r="AN2378" t="s">
        <v>1262</v>
      </c>
      <c r="AO2378">
        <v>0</v>
      </c>
      <c r="AQ2378" t="s">
        <v>1261</v>
      </c>
      <c r="AR2378" t="s">
        <v>1260</v>
      </c>
      <c r="AS2378" t="s">
        <v>1259</v>
      </c>
      <c r="AT2378" s="30">
        <v>46069.523611111108</v>
      </c>
    </row>
    <row r="2379" spans="1:46" x14ac:dyDescent="0.25">
      <c r="A2379" t="s">
        <v>1248</v>
      </c>
      <c r="B2379">
        <v>248471</v>
      </c>
      <c r="C2379">
        <v>352246</v>
      </c>
      <c r="D2379">
        <v>405</v>
      </c>
      <c r="E2379" t="s">
        <v>1266</v>
      </c>
      <c r="H2379">
        <v>1858</v>
      </c>
      <c r="K2379" t="s">
        <v>1466</v>
      </c>
      <c r="L2379" t="s">
        <v>1466</v>
      </c>
      <c r="M2379" t="s">
        <v>2284</v>
      </c>
      <c r="N2379">
        <v>0</v>
      </c>
      <c r="O2379" t="s">
        <v>2284</v>
      </c>
      <c r="P2379">
        <v>0</v>
      </c>
      <c r="Q2379">
        <v>0</v>
      </c>
      <c r="R2379">
        <v>0</v>
      </c>
      <c r="T2379" s="29">
        <v>230000</v>
      </c>
      <c r="U2379" s="29">
        <v>10195900</v>
      </c>
      <c r="V2379" t="s">
        <v>1262</v>
      </c>
      <c r="W2379" t="s">
        <v>1262</v>
      </c>
      <c r="X2379" s="29">
        <v>10195900</v>
      </c>
      <c r="AA2379" s="30">
        <v>45895.35</v>
      </c>
      <c r="AB2379" s="30">
        <v>45902.683333333334</v>
      </c>
      <c r="AC2379" s="30">
        <v>45895.35</v>
      </c>
      <c r="AD2379" s="30">
        <v>45902.683333333334</v>
      </c>
      <c r="AE2379" s="30">
        <v>46282.416666666664</v>
      </c>
      <c r="AF2379" s="30">
        <v>46290.375</v>
      </c>
      <c r="AG2379" t="s">
        <v>1266</v>
      </c>
      <c r="AK2379" t="s">
        <v>1265</v>
      </c>
      <c r="AL2379" t="s">
        <v>2297</v>
      </c>
      <c r="AM2379" t="s">
        <v>1263</v>
      </c>
      <c r="AN2379" t="s">
        <v>1262</v>
      </c>
      <c r="AO2379">
        <v>0</v>
      </c>
      <c r="AQ2379" t="s">
        <v>1261</v>
      </c>
      <c r="AR2379" t="s">
        <v>1260</v>
      </c>
      <c r="AS2379" t="s">
        <v>1259</v>
      </c>
      <c r="AT2379" s="30">
        <v>46069.523611111108</v>
      </c>
    </row>
    <row r="2380" spans="1:46" x14ac:dyDescent="0.25">
      <c r="A2380" t="s">
        <v>1248</v>
      </c>
      <c r="B2380">
        <v>248472</v>
      </c>
      <c r="C2380">
        <v>352253</v>
      </c>
      <c r="D2380">
        <v>405</v>
      </c>
      <c r="E2380" t="s">
        <v>1266</v>
      </c>
      <c r="H2380">
        <v>1858</v>
      </c>
      <c r="K2380" t="s">
        <v>1466</v>
      </c>
      <c r="L2380" t="s">
        <v>1466</v>
      </c>
      <c r="M2380" t="s">
        <v>2284</v>
      </c>
      <c r="N2380">
        <v>0</v>
      </c>
      <c r="O2380" t="s">
        <v>2284</v>
      </c>
      <c r="P2380">
        <v>0</v>
      </c>
      <c r="Q2380">
        <v>0</v>
      </c>
      <c r="R2380">
        <v>0</v>
      </c>
      <c r="T2380" s="29">
        <v>230000</v>
      </c>
      <c r="U2380" s="29">
        <v>10195900</v>
      </c>
      <c r="V2380" t="s">
        <v>1262</v>
      </c>
      <c r="W2380" t="s">
        <v>1262</v>
      </c>
      <c r="X2380" s="29">
        <v>10195900</v>
      </c>
      <c r="AA2380" s="30">
        <v>45891.39166666667</v>
      </c>
      <c r="AB2380" s="30">
        <v>45901.35</v>
      </c>
      <c r="AC2380" s="30">
        <v>45891.39166666667</v>
      </c>
      <c r="AD2380" s="30">
        <v>45901.35</v>
      </c>
      <c r="AE2380" s="30">
        <v>46266.416666666664</v>
      </c>
      <c r="AF2380" s="30">
        <v>46274.375</v>
      </c>
      <c r="AG2380" t="s">
        <v>1266</v>
      </c>
      <c r="AK2380" t="s">
        <v>1265</v>
      </c>
      <c r="AL2380" t="s">
        <v>2296</v>
      </c>
      <c r="AM2380" t="s">
        <v>1263</v>
      </c>
      <c r="AN2380" t="s">
        <v>1262</v>
      </c>
      <c r="AO2380">
        <v>0</v>
      </c>
      <c r="AQ2380" t="s">
        <v>1261</v>
      </c>
      <c r="AR2380" t="s">
        <v>1260</v>
      </c>
      <c r="AS2380" t="s">
        <v>1259</v>
      </c>
      <c r="AT2380" s="30">
        <v>46069.523611111108</v>
      </c>
    </row>
    <row r="2381" spans="1:46" x14ac:dyDescent="0.25">
      <c r="A2381" t="s">
        <v>1248</v>
      </c>
      <c r="B2381">
        <v>248473</v>
      </c>
      <c r="C2381">
        <v>352260</v>
      </c>
      <c r="D2381">
        <v>405</v>
      </c>
      <c r="E2381" t="s">
        <v>1266</v>
      </c>
      <c r="H2381">
        <v>1858</v>
      </c>
      <c r="K2381" t="s">
        <v>1466</v>
      </c>
      <c r="L2381" t="s">
        <v>1466</v>
      </c>
      <c r="M2381" t="s">
        <v>2284</v>
      </c>
      <c r="N2381">
        <v>0</v>
      </c>
      <c r="O2381" t="s">
        <v>2284</v>
      </c>
      <c r="P2381">
        <v>0</v>
      </c>
      <c r="Q2381">
        <v>0</v>
      </c>
      <c r="R2381">
        <v>0</v>
      </c>
      <c r="T2381" s="29">
        <v>230000</v>
      </c>
      <c r="U2381" s="29">
        <v>10195900</v>
      </c>
      <c r="V2381" t="s">
        <v>1262</v>
      </c>
      <c r="W2381" t="s">
        <v>1262</v>
      </c>
      <c r="X2381" s="29">
        <v>10195900</v>
      </c>
      <c r="AA2381" s="30">
        <v>45889.433333333334</v>
      </c>
      <c r="AB2381" s="30">
        <v>45897.39166666667</v>
      </c>
      <c r="AC2381" s="30">
        <v>45889.433333333334</v>
      </c>
      <c r="AD2381" s="30">
        <v>45897.39166666667</v>
      </c>
      <c r="AE2381" s="30">
        <v>46248.416666666664</v>
      </c>
      <c r="AF2381" s="30">
        <v>46258.375</v>
      </c>
      <c r="AG2381" t="s">
        <v>1266</v>
      </c>
      <c r="AK2381" t="s">
        <v>1265</v>
      </c>
      <c r="AL2381" t="s">
        <v>2295</v>
      </c>
      <c r="AM2381" t="s">
        <v>1263</v>
      </c>
      <c r="AN2381" t="s">
        <v>1262</v>
      </c>
      <c r="AO2381">
        <v>0</v>
      </c>
      <c r="AQ2381" t="s">
        <v>1261</v>
      </c>
      <c r="AR2381" t="s">
        <v>1260</v>
      </c>
      <c r="AS2381" t="s">
        <v>1259</v>
      </c>
      <c r="AT2381" s="30">
        <v>46069.523611111108</v>
      </c>
    </row>
    <row r="2382" spans="1:46" x14ac:dyDescent="0.25">
      <c r="A2382" t="s">
        <v>1248</v>
      </c>
      <c r="B2382">
        <v>248474</v>
      </c>
      <c r="C2382">
        <v>352267</v>
      </c>
      <c r="D2382">
        <v>405</v>
      </c>
      <c r="E2382" t="s">
        <v>1266</v>
      </c>
      <c r="H2382">
        <v>1858</v>
      </c>
      <c r="K2382" t="s">
        <v>1466</v>
      </c>
      <c r="L2382" t="s">
        <v>1466</v>
      </c>
      <c r="M2382" t="s">
        <v>2284</v>
      </c>
      <c r="N2382">
        <v>0</v>
      </c>
      <c r="O2382" t="s">
        <v>2284</v>
      </c>
      <c r="P2382">
        <v>0</v>
      </c>
      <c r="Q2382">
        <v>0</v>
      </c>
      <c r="R2382">
        <v>0</v>
      </c>
      <c r="T2382" s="29">
        <v>230000</v>
      </c>
      <c r="U2382" s="29">
        <v>10195900</v>
      </c>
      <c r="V2382" t="s">
        <v>1262</v>
      </c>
      <c r="W2382" t="s">
        <v>1262</v>
      </c>
      <c r="X2382" s="29">
        <v>10195900</v>
      </c>
      <c r="AA2382" s="30">
        <v>45877.7</v>
      </c>
      <c r="AB2382" s="30">
        <v>45887.658333333333</v>
      </c>
      <c r="AC2382" s="30">
        <v>45877.7</v>
      </c>
      <c r="AD2382" s="30">
        <v>45887.658333333333</v>
      </c>
      <c r="AE2382" s="30">
        <v>46232.416666666664</v>
      </c>
      <c r="AF2382" s="30">
        <v>46240.375</v>
      </c>
      <c r="AG2382" t="s">
        <v>1266</v>
      </c>
      <c r="AK2382" t="s">
        <v>1265</v>
      </c>
      <c r="AL2382" t="s">
        <v>2294</v>
      </c>
      <c r="AM2382" t="s">
        <v>1263</v>
      </c>
      <c r="AN2382" t="s">
        <v>1262</v>
      </c>
      <c r="AO2382">
        <v>0</v>
      </c>
      <c r="AQ2382" t="s">
        <v>1261</v>
      </c>
      <c r="AR2382" t="s">
        <v>1260</v>
      </c>
      <c r="AS2382" t="s">
        <v>1259</v>
      </c>
      <c r="AT2382" s="30">
        <v>46069.523611111108</v>
      </c>
    </row>
    <row r="2383" spans="1:46" x14ac:dyDescent="0.25">
      <c r="A2383" t="s">
        <v>1248</v>
      </c>
      <c r="B2383">
        <v>248475</v>
      </c>
      <c r="C2383">
        <v>352274</v>
      </c>
      <c r="D2383">
        <v>405</v>
      </c>
      <c r="E2383" t="s">
        <v>1266</v>
      </c>
      <c r="H2383">
        <v>1858</v>
      </c>
      <c r="K2383" t="s">
        <v>1466</v>
      </c>
      <c r="L2383" t="s">
        <v>1466</v>
      </c>
      <c r="M2383" t="s">
        <v>2284</v>
      </c>
      <c r="N2383">
        <v>0</v>
      </c>
      <c r="O2383" t="s">
        <v>2284</v>
      </c>
      <c r="P2383">
        <v>0</v>
      </c>
      <c r="Q2383">
        <v>0</v>
      </c>
      <c r="R2383">
        <v>0</v>
      </c>
      <c r="T2383" s="29">
        <v>230000</v>
      </c>
      <c r="U2383" s="29">
        <v>10195900</v>
      </c>
      <c r="V2383" t="s">
        <v>1262</v>
      </c>
      <c r="W2383" t="s">
        <v>1262</v>
      </c>
      <c r="X2383" s="29">
        <v>10195900</v>
      </c>
      <c r="AA2383" s="30">
        <v>45876.366666666669</v>
      </c>
      <c r="AB2383" s="30">
        <v>45883.7</v>
      </c>
      <c r="AC2383" s="30">
        <v>45876.366666666669</v>
      </c>
      <c r="AD2383" s="30">
        <v>45883.7</v>
      </c>
      <c r="AE2383" s="30">
        <v>46216.416666666664</v>
      </c>
      <c r="AF2383" s="30">
        <v>46224.375</v>
      </c>
      <c r="AG2383" t="s">
        <v>1266</v>
      </c>
      <c r="AK2383" t="s">
        <v>1265</v>
      </c>
      <c r="AL2383" t="s">
        <v>2293</v>
      </c>
      <c r="AM2383" t="s">
        <v>1263</v>
      </c>
      <c r="AN2383" t="s">
        <v>1262</v>
      </c>
      <c r="AO2383">
        <v>0</v>
      </c>
      <c r="AQ2383" t="s">
        <v>1261</v>
      </c>
      <c r="AR2383" t="s">
        <v>1260</v>
      </c>
      <c r="AS2383" t="s">
        <v>1259</v>
      </c>
      <c r="AT2383" s="30">
        <v>46069.523611111108</v>
      </c>
    </row>
    <row r="2384" spans="1:46" x14ac:dyDescent="0.25">
      <c r="A2384" t="s">
        <v>1248</v>
      </c>
      <c r="B2384">
        <v>248476</v>
      </c>
      <c r="C2384">
        <v>352281</v>
      </c>
      <c r="D2384">
        <v>405</v>
      </c>
      <c r="E2384" t="s">
        <v>1266</v>
      </c>
      <c r="H2384">
        <v>1858</v>
      </c>
      <c r="K2384" t="s">
        <v>1466</v>
      </c>
      <c r="L2384" t="s">
        <v>1466</v>
      </c>
      <c r="M2384" t="s">
        <v>2284</v>
      </c>
      <c r="N2384">
        <v>0</v>
      </c>
      <c r="O2384" t="s">
        <v>2284</v>
      </c>
      <c r="P2384">
        <v>0</v>
      </c>
      <c r="Q2384">
        <v>0</v>
      </c>
      <c r="R2384">
        <v>0</v>
      </c>
      <c r="T2384" s="29">
        <v>230000</v>
      </c>
      <c r="U2384" s="29">
        <v>10195900</v>
      </c>
      <c r="V2384" t="s">
        <v>1262</v>
      </c>
      <c r="W2384" t="s">
        <v>1262</v>
      </c>
      <c r="X2384" s="29">
        <v>10195900</v>
      </c>
      <c r="AA2384" s="30">
        <v>45874.408333333333</v>
      </c>
      <c r="AB2384" s="30">
        <v>45882.366666666669</v>
      </c>
      <c r="AC2384" s="30">
        <v>45874.408333333333</v>
      </c>
      <c r="AD2384" s="30">
        <v>45882.366666666669</v>
      </c>
      <c r="AE2384" s="30">
        <v>46198.416666666664</v>
      </c>
      <c r="AF2384" s="30">
        <v>46206.375</v>
      </c>
      <c r="AG2384" t="s">
        <v>1266</v>
      </c>
      <c r="AK2384" t="s">
        <v>1265</v>
      </c>
      <c r="AL2384" t="s">
        <v>2292</v>
      </c>
      <c r="AM2384" t="s">
        <v>1263</v>
      </c>
      <c r="AN2384" t="s">
        <v>1262</v>
      </c>
      <c r="AO2384">
        <v>0</v>
      </c>
      <c r="AQ2384" t="s">
        <v>1261</v>
      </c>
      <c r="AR2384" t="s">
        <v>1260</v>
      </c>
      <c r="AS2384" t="s">
        <v>1259</v>
      </c>
      <c r="AT2384" s="30">
        <v>46069.523611111108</v>
      </c>
    </row>
    <row r="2385" spans="1:46" x14ac:dyDescent="0.25">
      <c r="A2385" t="s">
        <v>1248</v>
      </c>
      <c r="B2385">
        <v>248477</v>
      </c>
      <c r="C2385">
        <v>352288</v>
      </c>
      <c r="D2385">
        <v>405</v>
      </c>
      <c r="E2385" t="s">
        <v>1266</v>
      </c>
      <c r="H2385">
        <v>1858</v>
      </c>
      <c r="K2385" t="s">
        <v>1466</v>
      </c>
      <c r="L2385" t="s">
        <v>1466</v>
      </c>
      <c r="M2385" t="s">
        <v>2284</v>
      </c>
      <c r="N2385">
        <v>0</v>
      </c>
      <c r="O2385" t="s">
        <v>2284</v>
      </c>
      <c r="P2385">
        <v>0</v>
      </c>
      <c r="Q2385">
        <v>0</v>
      </c>
      <c r="R2385">
        <v>0</v>
      </c>
      <c r="T2385" s="29">
        <v>230000</v>
      </c>
      <c r="U2385" s="29">
        <v>10195900</v>
      </c>
      <c r="V2385" t="s">
        <v>1262</v>
      </c>
      <c r="W2385" t="s">
        <v>1262</v>
      </c>
      <c r="X2385" s="29">
        <v>10195900</v>
      </c>
      <c r="AA2385" s="30">
        <v>45870.45</v>
      </c>
      <c r="AB2385" s="30">
        <v>45880.408333333333</v>
      </c>
      <c r="AC2385" s="30">
        <v>45870.45</v>
      </c>
      <c r="AD2385" s="30">
        <v>45880.408333333333</v>
      </c>
      <c r="AE2385" s="30">
        <v>46182.416666666664</v>
      </c>
      <c r="AF2385" s="30">
        <v>46190.375</v>
      </c>
      <c r="AG2385" t="s">
        <v>1266</v>
      </c>
      <c r="AK2385" t="s">
        <v>1265</v>
      </c>
      <c r="AL2385" t="s">
        <v>2291</v>
      </c>
      <c r="AM2385" t="s">
        <v>1263</v>
      </c>
      <c r="AN2385" t="s">
        <v>1262</v>
      </c>
      <c r="AO2385">
        <v>0</v>
      </c>
      <c r="AQ2385" t="s">
        <v>1261</v>
      </c>
      <c r="AR2385" t="s">
        <v>1260</v>
      </c>
      <c r="AS2385" t="s">
        <v>1259</v>
      </c>
      <c r="AT2385" s="30">
        <v>46069.523611111108</v>
      </c>
    </row>
    <row r="2386" spans="1:46" x14ac:dyDescent="0.25">
      <c r="A2386" t="s">
        <v>1248</v>
      </c>
      <c r="B2386">
        <v>248478</v>
      </c>
      <c r="C2386">
        <v>352295</v>
      </c>
      <c r="D2386">
        <v>405</v>
      </c>
      <c r="E2386" t="s">
        <v>1266</v>
      </c>
      <c r="H2386">
        <v>1858</v>
      </c>
      <c r="K2386" t="s">
        <v>1466</v>
      </c>
      <c r="L2386" t="s">
        <v>1466</v>
      </c>
      <c r="M2386" t="s">
        <v>2284</v>
      </c>
      <c r="N2386">
        <v>0</v>
      </c>
      <c r="O2386" t="s">
        <v>2284</v>
      </c>
      <c r="P2386">
        <v>0</v>
      </c>
      <c r="Q2386">
        <v>0</v>
      </c>
      <c r="R2386">
        <v>0</v>
      </c>
      <c r="T2386" s="29">
        <v>230000</v>
      </c>
      <c r="U2386" s="29">
        <v>10195900</v>
      </c>
      <c r="V2386" t="s">
        <v>1262</v>
      </c>
      <c r="W2386" t="s">
        <v>1262</v>
      </c>
      <c r="X2386" s="29">
        <v>10195900</v>
      </c>
      <c r="AA2386" s="30">
        <v>45868.491666666669</v>
      </c>
      <c r="AB2386" s="30">
        <v>45876.45</v>
      </c>
      <c r="AC2386" s="30">
        <v>45868.491666666669</v>
      </c>
      <c r="AD2386" s="30">
        <v>45876.45</v>
      </c>
      <c r="AE2386" s="30">
        <v>46163.416666666664</v>
      </c>
      <c r="AF2386" s="30">
        <v>46171.375</v>
      </c>
      <c r="AG2386" t="s">
        <v>1266</v>
      </c>
      <c r="AK2386" t="s">
        <v>1265</v>
      </c>
      <c r="AL2386" t="s">
        <v>2290</v>
      </c>
      <c r="AM2386" t="s">
        <v>1263</v>
      </c>
      <c r="AN2386" t="s">
        <v>1262</v>
      </c>
      <c r="AO2386">
        <v>0</v>
      </c>
      <c r="AQ2386" t="s">
        <v>1261</v>
      </c>
      <c r="AR2386" t="s">
        <v>1260</v>
      </c>
      <c r="AS2386" t="s">
        <v>1259</v>
      </c>
      <c r="AT2386" s="30">
        <v>46069.523611111108</v>
      </c>
    </row>
    <row r="2387" spans="1:46" x14ac:dyDescent="0.25">
      <c r="A2387" t="s">
        <v>1248</v>
      </c>
      <c r="B2387">
        <v>248479</v>
      </c>
      <c r="C2387">
        <v>352302</v>
      </c>
      <c r="D2387">
        <v>405</v>
      </c>
      <c r="E2387" t="s">
        <v>1266</v>
      </c>
      <c r="H2387">
        <v>1858</v>
      </c>
      <c r="K2387" t="s">
        <v>1466</v>
      </c>
      <c r="L2387" t="s">
        <v>1466</v>
      </c>
      <c r="M2387" t="s">
        <v>2284</v>
      </c>
      <c r="N2387">
        <v>0</v>
      </c>
      <c r="O2387" t="s">
        <v>2284</v>
      </c>
      <c r="P2387">
        <v>0</v>
      </c>
      <c r="Q2387">
        <v>0</v>
      </c>
      <c r="R2387">
        <v>0</v>
      </c>
      <c r="T2387" s="29">
        <v>230000</v>
      </c>
      <c r="U2387" s="29">
        <v>10195900</v>
      </c>
      <c r="V2387" t="s">
        <v>1262</v>
      </c>
      <c r="W2387" t="s">
        <v>1262</v>
      </c>
      <c r="X2387" s="29">
        <v>10195900</v>
      </c>
      <c r="AA2387" s="30">
        <v>45866.574999999997</v>
      </c>
      <c r="AB2387" s="30">
        <v>45874.491666666669</v>
      </c>
      <c r="AC2387" s="30">
        <v>45866.574999999997</v>
      </c>
      <c r="AD2387" s="30">
        <v>45874.491666666669</v>
      </c>
      <c r="AE2387" s="30">
        <v>46147.416666666664</v>
      </c>
      <c r="AF2387" s="30">
        <v>46155.375</v>
      </c>
      <c r="AG2387" t="s">
        <v>1266</v>
      </c>
      <c r="AK2387" t="s">
        <v>1265</v>
      </c>
      <c r="AL2387" t="s">
        <v>2289</v>
      </c>
      <c r="AM2387" t="s">
        <v>1263</v>
      </c>
      <c r="AN2387" t="s">
        <v>1262</v>
      </c>
      <c r="AO2387">
        <v>0</v>
      </c>
      <c r="AQ2387" t="s">
        <v>1261</v>
      </c>
      <c r="AR2387" t="s">
        <v>1260</v>
      </c>
      <c r="AS2387" t="s">
        <v>1259</v>
      </c>
      <c r="AT2387" s="30">
        <v>46069.523611111108</v>
      </c>
    </row>
    <row r="2388" spans="1:46" x14ac:dyDescent="0.25">
      <c r="A2388" t="s">
        <v>1248</v>
      </c>
      <c r="B2388">
        <v>248480</v>
      </c>
      <c r="C2388">
        <v>352309</v>
      </c>
      <c r="D2388">
        <v>405</v>
      </c>
      <c r="E2388" t="s">
        <v>1266</v>
      </c>
      <c r="H2388">
        <v>1858</v>
      </c>
      <c r="K2388" t="s">
        <v>1466</v>
      </c>
      <c r="L2388" t="s">
        <v>1466</v>
      </c>
      <c r="M2388" t="s">
        <v>2284</v>
      </c>
      <c r="N2388">
        <v>0</v>
      </c>
      <c r="O2388" t="s">
        <v>2284</v>
      </c>
      <c r="P2388">
        <v>0</v>
      </c>
      <c r="Q2388">
        <v>0</v>
      </c>
      <c r="R2388">
        <v>0</v>
      </c>
      <c r="T2388" s="29">
        <v>230000</v>
      </c>
      <c r="U2388" s="29">
        <v>10195900</v>
      </c>
      <c r="V2388" t="s">
        <v>1262</v>
      </c>
      <c r="W2388" t="s">
        <v>1262</v>
      </c>
      <c r="X2388" s="29">
        <v>10195900</v>
      </c>
      <c r="AA2388" s="30">
        <v>45852.433333333334</v>
      </c>
      <c r="AB2388" s="30">
        <v>45860.39166666667</v>
      </c>
      <c r="AC2388" s="30">
        <v>45852.433333333334</v>
      </c>
      <c r="AD2388" s="30">
        <v>45860.39166666667</v>
      </c>
      <c r="AE2388" s="30">
        <v>46128.416666666664</v>
      </c>
      <c r="AF2388" s="30">
        <v>46136.375</v>
      </c>
      <c r="AG2388" t="s">
        <v>1266</v>
      </c>
      <c r="AK2388" t="s">
        <v>1265</v>
      </c>
      <c r="AL2388" t="s">
        <v>2288</v>
      </c>
      <c r="AM2388" t="s">
        <v>1263</v>
      </c>
      <c r="AN2388" t="s">
        <v>1262</v>
      </c>
      <c r="AO2388">
        <v>0</v>
      </c>
      <c r="AQ2388" t="s">
        <v>1261</v>
      </c>
      <c r="AR2388" t="s">
        <v>1260</v>
      </c>
      <c r="AS2388" t="s">
        <v>1259</v>
      </c>
      <c r="AT2388" s="30">
        <v>46069.523611111108</v>
      </c>
    </row>
    <row r="2389" spans="1:46" x14ac:dyDescent="0.25">
      <c r="A2389" t="s">
        <v>1248</v>
      </c>
      <c r="B2389">
        <v>248481</v>
      </c>
      <c r="C2389">
        <v>352316</v>
      </c>
      <c r="D2389">
        <v>405</v>
      </c>
      <c r="E2389" t="s">
        <v>1266</v>
      </c>
      <c r="H2389">
        <v>1858</v>
      </c>
      <c r="K2389" t="s">
        <v>1466</v>
      </c>
      <c r="L2389" t="s">
        <v>1466</v>
      </c>
      <c r="M2389" t="s">
        <v>2284</v>
      </c>
      <c r="N2389">
        <v>0</v>
      </c>
      <c r="O2389" t="s">
        <v>2284</v>
      </c>
      <c r="P2389">
        <v>0</v>
      </c>
      <c r="Q2389">
        <v>0</v>
      </c>
      <c r="R2389">
        <v>0</v>
      </c>
      <c r="T2389" s="29">
        <v>230000</v>
      </c>
      <c r="U2389" s="29">
        <v>10195900</v>
      </c>
      <c r="V2389" t="s">
        <v>1262</v>
      </c>
      <c r="W2389" t="s">
        <v>1262</v>
      </c>
      <c r="X2389" s="29">
        <v>10195900</v>
      </c>
      <c r="AA2389" s="30">
        <v>45847.64166666667</v>
      </c>
      <c r="AB2389" s="30">
        <v>45855.6</v>
      </c>
      <c r="AC2389" s="30">
        <v>45847.64166666667</v>
      </c>
      <c r="AD2389" s="30">
        <v>45855.6</v>
      </c>
      <c r="AE2389" s="30">
        <v>46111.416666666664</v>
      </c>
      <c r="AF2389" s="30">
        <v>46120.375</v>
      </c>
      <c r="AG2389" t="s">
        <v>1266</v>
      </c>
      <c r="AK2389" t="s">
        <v>1265</v>
      </c>
      <c r="AL2389" t="s">
        <v>2287</v>
      </c>
      <c r="AM2389" t="s">
        <v>1263</v>
      </c>
      <c r="AN2389" t="s">
        <v>1262</v>
      </c>
      <c r="AO2389">
        <v>0</v>
      </c>
      <c r="AQ2389" t="s">
        <v>1261</v>
      </c>
      <c r="AR2389" t="s">
        <v>1260</v>
      </c>
      <c r="AS2389" t="s">
        <v>1259</v>
      </c>
      <c r="AT2389" s="30">
        <v>46069.523611111108</v>
      </c>
    </row>
    <row r="2390" spans="1:46" x14ac:dyDescent="0.25">
      <c r="A2390" t="s">
        <v>1248</v>
      </c>
      <c r="B2390">
        <v>248482</v>
      </c>
      <c r="C2390">
        <v>352323</v>
      </c>
      <c r="D2390">
        <v>405</v>
      </c>
      <c r="E2390" t="s">
        <v>1266</v>
      </c>
      <c r="H2390">
        <v>1858</v>
      </c>
      <c r="K2390" t="s">
        <v>1466</v>
      </c>
      <c r="L2390" t="s">
        <v>1466</v>
      </c>
      <c r="M2390" t="s">
        <v>2284</v>
      </c>
      <c r="N2390">
        <v>0</v>
      </c>
      <c r="O2390" t="s">
        <v>2284</v>
      </c>
      <c r="P2390">
        <v>0</v>
      </c>
      <c r="Q2390">
        <v>0</v>
      </c>
      <c r="R2390">
        <v>0</v>
      </c>
      <c r="T2390" s="29">
        <v>230000</v>
      </c>
      <c r="U2390" s="29">
        <v>10195900</v>
      </c>
      <c r="V2390" t="s">
        <v>1262</v>
      </c>
      <c r="W2390" t="s">
        <v>1262</v>
      </c>
      <c r="X2390" s="29">
        <v>10195900</v>
      </c>
      <c r="AA2390" s="30">
        <v>45845.683333333334</v>
      </c>
      <c r="AB2390" s="30">
        <v>45853.64166666667</v>
      </c>
      <c r="AC2390" s="30">
        <v>45845.683333333334</v>
      </c>
      <c r="AD2390" s="30">
        <v>45853.64166666667</v>
      </c>
      <c r="AE2390" s="30">
        <v>46093.416666666664</v>
      </c>
      <c r="AF2390" s="30">
        <v>46101.375</v>
      </c>
      <c r="AG2390" t="s">
        <v>1266</v>
      </c>
      <c r="AK2390" t="s">
        <v>1265</v>
      </c>
      <c r="AL2390" t="s">
        <v>2286</v>
      </c>
      <c r="AM2390" t="s">
        <v>1263</v>
      </c>
      <c r="AN2390" t="s">
        <v>1262</v>
      </c>
      <c r="AO2390">
        <v>0</v>
      </c>
      <c r="AQ2390" t="s">
        <v>1261</v>
      </c>
      <c r="AR2390" t="s">
        <v>1260</v>
      </c>
      <c r="AS2390" t="s">
        <v>1259</v>
      </c>
      <c r="AT2390" s="30">
        <v>46069.523611111108</v>
      </c>
    </row>
    <row r="2391" spans="1:46" x14ac:dyDescent="0.25">
      <c r="A2391" t="s">
        <v>1248</v>
      </c>
      <c r="B2391">
        <v>248483</v>
      </c>
      <c r="C2391">
        <v>352330</v>
      </c>
      <c r="D2391">
        <v>405</v>
      </c>
      <c r="E2391" t="s">
        <v>1266</v>
      </c>
      <c r="H2391">
        <v>1858</v>
      </c>
      <c r="K2391" t="s">
        <v>1466</v>
      </c>
      <c r="L2391" t="s">
        <v>1466</v>
      </c>
      <c r="M2391" t="s">
        <v>2284</v>
      </c>
      <c r="N2391">
        <v>0</v>
      </c>
      <c r="O2391" t="s">
        <v>2284</v>
      </c>
      <c r="P2391">
        <v>0</v>
      </c>
      <c r="Q2391">
        <v>0</v>
      </c>
      <c r="R2391">
        <v>0</v>
      </c>
      <c r="T2391" s="29">
        <v>230000</v>
      </c>
      <c r="U2391" s="29">
        <v>10195900</v>
      </c>
      <c r="V2391" t="s">
        <v>1262</v>
      </c>
      <c r="W2391" t="s">
        <v>1262</v>
      </c>
      <c r="X2391" s="29">
        <v>10195900</v>
      </c>
      <c r="AA2391" s="30">
        <v>45842.35</v>
      </c>
      <c r="AB2391" s="30">
        <v>45849.683333333334</v>
      </c>
      <c r="AC2391" s="30">
        <v>45842.35</v>
      </c>
      <c r="AD2391" s="30">
        <v>45849.683333333334</v>
      </c>
      <c r="AE2391" s="30">
        <v>46077.416666666664</v>
      </c>
      <c r="AF2391" s="30">
        <v>46085.375</v>
      </c>
      <c r="AG2391" t="s">
        <v>1266</v>
      </c>
      <c r="AK2391" t="s">
        <v>1265</v>
      </c>
      <c r="AL2391" t="s">
        <v>2285</v>
      </c>
      <c r="AM2391" t="s">
        <v>1263</v>
      </c>
      <c r="AN2391" t="s">
        <v>1262</v>
      </c>
      <c r="AO2391">
        <v>0</v>
      </c>
      <c r="AQ2391" t="s">
        <v>1261</v>
      </c>
      <c r="AR2391" t="s">
        <v>1260</v>
      </c>
      <c r="AS2391" t="s">
        <v>1259</v>
      </c>
      <c r="AT2391" s="30">
        <v>46069.523611111108</v>
      </c>
    </row>
    <row r="2392" spans="1:46" x14ac:dyDescent="0.25">
      <c r="A2392" t="s">
        <v>1248</v>
      </c>
      <c r="B2392">
        <v>248484</v>
      </c>
      <c r="C2392">
        <v>352337</v>
      </c>
      <c r="D2392">
        <v>405</v>
      </c>
      <c r="E2392" t="s">
        <v>1266</v>
      </c>
      <c r="H2392">
        <v>1858</v>
      </c>
      <c r="K2392" t="s">
        <v>1466</v>
      </c>
      <c r="L2392" t="s">
        <v>1466</v>
      </c>
      <c r="M2392" t="s">
        <v>2284</v>
      </c>
      <c r="N2392">
        <v>0</v>
      </c>
      <c r="O2392" t="s">
        <v>2284</v>
      </c>
      <c r="P2392">
        <v>0</v>
      </c>
      <c r="Q2392">
        <v>0</v>
      </c>
      <c r="R2392">
        <v>0</v>
      </c>
      <c r="T2392" s="29">
        <v>230000</v>
      </c>
      <c r="U2392" s="29">
        <v>10195900</v>
      </c>
      <c r="V2392" t="s">
        <v>1262</v>
      </c>
      <c r="W2392" t="s">
        <v>1262</v>
      </c>
      <c r="X2392" s="29">
        <v>10195900</v>
      </c>
      <c r="AA2392" s="30">
        <v>45840.39166666667</v>
      </c>
      <c r="AB2392" s="30">
        <v>45848.35</v>
      </c>
      <c r="AC2392" s="30">
        <v>45840.39166666667</v>
      </c>
      <c r="AD2392" s="30">
        <v>45848.35</v>
      </c>
      <c r="AE2392" s="30">
        <v>46059.416666666664</v>
      </c>
      <c r="AF2392" s="30">
        <v>46069.375</v>
      </c>
      <c r="AG2392" t="s">
        <v>1266</v>
      </c>
      <c r="AK2392" t="s">
        <v>1265</v>
      </c>
      <c r="AL2392" t="s">
        <v>2283</v>
      </c>
      <c r="AM2392" t="s">
        <v>1263</v>
      </c>
      <c r="AN2392" t="s">
        <v>1262</v>
      </c>
      <c r="AO2392">
        <v>0</v>
      </c>
      <c r="AQ2392" t="s">
        <v>1261</v>
      </c>
      <c r="AR2392" t="s">
        <v>1260</v>
      </c>
      <c r="AS2392" t="s">
        <v>1259</v>
      </c>
      <c r="AT2392" s="30">
        <v>46069.523611111108</v>
      </c>
    </row>
    <row r="2393" spans="1:46" x14ac:dyDescent="0.25">
      <c r="A2393" t="s">
        <v>1248</v>
      </c>
      <c r="B2393">
        <v>248485</v>
      </c>
      <c r="C2393">
        <v>352344</v>
      </c>
      <c r="D2393">
        <v>405</v>
      </c>
      <c r="E2393" t="s">
        <v>1266</v>
      </c>
      <c r="H2393">
        <v>1858</v>
      </c>
      <c r="K2393" t="s">
        <v>1466</v>
      </c>
      <c r="L2393" t="s">
        <v>1466</v>
      </c>
      <c r="M2393" t="s">
        <v>2279</v>
      </c>
      <c r="N2393">
        <v>0</v>
      </c>
      <c r="O2393" t="s">
        <v>2279</v>
      </c>
      <c r="P2393">
        <v>0</v>
      </c>
      <c r="Q2393">
        <v>0</v>
      </c>
      <c r="R2393">
        <v>0</v>
      </c>
      <c r="T2393" s="29">
        <v>230000</v>
      </c>
      <c r="U2393" s="29">
        <v>10195900</v>
      </c>
      <c r="V2393" t="s">
        <v>1262</v>
      </c>
      <c r="W2393" t="s">
        <v>1262</v>
      </c>
      <c r="X2393" s="29">
        <v>10195900</v>
      </c>
      <c r="AA2393" s="30">
        <v>45838.433333333334</v>
      </c>
      <c r="AB2393" s="30">
        <v>45846.433333333334</v>
      </c>
      <c r="AC2393" s="30">
        <v>45838.433333333334</v>
      </c>
      <c r="AD2393" s="30">
        <v>45846.433333333334</v>
      </c>
      <c r="AE2393" s="30">
        <v>46043.375</v>
      </c>
      <c r="AF2393" s="30">
        <v>46051.375</v>
      </c>
      <c r="AG2393" t="s">
        <v>1266</v>
      </c>
      <c r="AK2393" t="s">
        <v>1265</v>
      </c>
      <c r="AL2393" t="s">
        <v>2282</v>
      </c>
      <c r="AM2393" t="s">
        <v>1263</v>
      </c>
      <c r="AN2393" t="s">
        <v>1262</v>
      </c>
      <c r="AO2393">
        <v>0</v>
      </c>
      <c r="AQ2393" t="s">
        <v>1261</v>
      </c>
      <c r="AR2393" t="s">
        <v>1260</v>
      </c>
      <c r="AS2393" t="s">
        <v>1259</v>
      </c>
      <c r="AT2393" s="30">
        <v>46069.523611111108</v>
      </c>
    </row>
    <row r="2394" spans="1:46" x14ac:dyDescent="0.25">
      <c r="A2394" t="s">
        <v>1248</v>
      </c>
      <c r="B2394">
        <v>248486</v>
      </c>
      <c r="C2394">
        <v>352351</v>
      </c>
      <c r="D2394">
        <v>405</v>
      </c>
      <c r="E2394" t="s">
        <v>1266</v>
      </c>
      <c r="H2394">
        <v>1858</v>
      </c>
      <c r="K2394" t="s">
        <v>1466</v>
      </c>
      <c r="L2394" t="s">
        <v>1466</v>
      </c>
      <c r="M2394" t="s">
        <v>2279</v>
      </c>
      <c r="N2394">
        <v>0</v>
      </c>
      <c r="O2394" t="s">
        <v>2279</v>
      </c>
      <c r="P2394">
        <v>0</v>
      </c>
      <c r="Q2394">
        <v>0</v>
      </c>
      <c r="R2394">
        <v>0</v>
      </c>
      <c r="T2394" s="29">
        <v>230000</v>
      </c>
      <c r="U2394" s="29">
        <v>10195900</v>
      </c>
      <c r="V2394" t="s">
        <v>1262</v>
      </c>
      <c r="W2394" t="s">
        <v>1262</v>
      </c>
      <c r="X2394" s="29">
        <v>10195900</v>
      </c>
      <c r="AA2394" s="30">
        <v>45828.39166666667</v>
      </c>
      <c r="AB2394" s="30">
        <v>45838.39166666667</v>
      </c>
      <c r="AC2394" s="30">
        <v>45828.39166666667</v>
      </c>
      <c r="AD2394" s="30">
        <v>45838.39166666667</v>
      </c>
      <c r="AE2394" s="30">
        <v>46022.333333333336</v>
      </c>
      <c r="AF2394" s="30">
        <v>46031.708333333336</v>
      </c>
      <c r="AG2394" t="s">
        <v>1266</v>
      </c>
      <c r="AK2394" t="s">
        <v>1265</v>
      </c>
      <c r="AL2394" t="s">
        <v>2281</v>
      </c>
      <c r="AM2394" t="s">
        <v>1263</v>
      </c>
      <c r="AN2394" t="s">
        <v>1262</v>
      </c>
      <c r="AO2394">
        <v>0</v>
      </c>
      <c r="AQ2394" t="s">
        <v>1261</v>
      </c>
      <c r="AR2394" t="s">
        <v>1260</v>
      </c>
      <c r="AS2394" t="s">
        <v>1259</v>
      </c>
      <c r="AT2394" s="30">
        <v>46069.523611111108</v>
      </c>
    </row>
    <row r="2395" spans="1:46" x14ac:dyDescent="0.25">
      <c r="A2395" t="s">
        <v>1248</v>
      </c>
      <c r="B2395">
        <v>248487</v>
      </c>
      <c r="C2395">
        <v>352358</v>
      </c>
      <c r="D2395">
        <v>405</v>
      </c>
      <c r="E2395" t="s">
        <v>1266</v>
      </c>
      <c r="H2395">
        <v>1858</v>
      </c>
      <c r="K2395" t="s">
        <v>1466</v>
      </c>
      <c r="L2395" t="s">
        <v>1466</v>
      </c>
      <c r="M2395" t="s">
        <v>2279</v>
      </c>
      <c r="N2395">
        <v>0</v>
      </c>
      <c r="O2395" t="s">
        <v>2279</v>
      </c>
      <c r="P2395">
        <v>0</v>
      </c>
      <c r="Q2395">
        <v>0</v>
      </c>
      <c r="R2395">
        <v>0</v>
      </c>
      <c r="T2395" s="29">
        <v>230000</v>
      </c>
      <c r="U2395" s="29">
        <v>10195900</v>
      </c>
      <c r="V2395" t="s">
        <v>1262</v>
      </c>
      <c r="W2395" t="s">
        <v>1262</v>
      </c>
      <c r="X2395" s="29">
        <v>10195900</v>
      </c>
      <c r="AA2395" s="30">
        <v>45827.433333333334</v>
      </c>
      <c r="AB2395" s="30">
        <v>45835.433333333334</v>
      </c>
      <c r="AC2395" s="30">
        <v>45827.433333333334</v>
      </c>
      <c r="AD2395" s="30">
        <v>45835.433333333334</v>
      </c>
      <c r="AE2395" s="30">
        <v>46016.333333333336</v>
      </c>
      <c r="AF2395" s="30">
        <v>46024.708333333336</v>
      </c>
      <c r="AG2395" t="s">
        <v>1266</v>
      </c>
      <c r="AK2395" t="s">
        <v>1265</v>
      </c>
      <c r="AL2395" t="s">
        <v>2280</v>
      </c>
      <c r="AM2395" t="s">
        <v>1263</v>
      </c>
      <c r="AN2395" t="s">
        <v>1262</v>
      </c>
      <c r="AO2395">
        <v>0</v>
      </c>
      <c r="AQ2395" t="s">
        <v>1261</v>
      </c>
      <c r="AR2395" t="s">
        <v>1260</v>
      </c>
      <c r="AS2395" t="s">
        <v>1259</v>
      </c>
      <c r="AT2395" s="30">
        <v>46069.523611111108</v>
      </c>
    </row>
    <row r="2396" spans="1:46" x14ac:dyDescent="0.25">
      <c r="A2396" t="s">
        <v>1248</v>
      </c>
      <c r="B2396">
        <v>248488</v>
      </c>
      <c r="C2396">
        <v>352365</v>
      </c>
      <c r="D2396">
        <v>405</v>
      </c>
      <c r="E2396" t="s">
        <v>1266</v>
      </c>
      <c r="H2396">
        <v>1858</v>
      </c>
      <c r="K2396" t="s">
        <v>1466</v>
      </c>
      <c r="L2396" t="s">
        <v>1466</v>
      </c>
      <c r="M2396" t="s">
        <v>2279</v>
      </c>
      <c r="N2396">
        <v>0</v>
      </c>
      <c r="O2396" t="s">
        <v>2279</v>
      </c>
      <c r="P2396">
        <v>0</v>
      </c>
      <c r="Q2396">
        <v>0</v>
      </c>
      <c r="R2396">
        <v>0</v>
      </c>
      <c r="T2396" s="29">
        <v>230000</v>
      </c>
      <c r="U2396" s="29">
        <v>10195900</v>
      </c>
      <c r="V2396" t="s">
        <v>1262</v>
      </c>
      <c r="W2396" t="s">
        <v>1262</v>
      </c>
      <c r="X2396" s="29">
        <v>10195900</v>
      </c>
      <c r="AA2396" s="30">
        <v>45826.474999999999</v>
      </c>
      <c r="AB2396" s="30">
        <v>45834.474999999999</v>
      </c>
      <c r="AC2396" s="30">
        <v>45826.474999999999</v>
      </c>
      <c r="AD2396" s="30">
        <v>45834.474999999999</v>
      </c>
      <c r="AE2396" s="30">
        <v>45883.375</v>
      </c>
      <c r="AF2396" s="30">
        <v>45891.375</v>
      </c>
      <c r="AG2396" t="s">
        <v>1266</v>
      </c>
      <c r="AK2396" t="s">
        <v>1265</v>
      </c>
      <c r="AL2396" t="s">
        <v>2278</v>
      </c>
      <c r="AM2396" t="s">
        <v>1263</v>
      </c>
      <c r="AN2396" t="s">
        <v>1262</v>
      </c>
      <c r="AO2396">
        <v>0</v>
      </c>
      <c r="AQ2396" t="s">
        <v>1261</v>
      </c>
      <c r="AR2396" t="s">
        <v>1260</v>
      </c>
      <c r="AS2396" t="s">
        <v>1259</v>
      </c>
      <c r="AT2396" s="30">
        <v>46069.523611111108</v>
      </c>
    </row>
    <row r="2397" spans="1:46" x14ac:dyDescent="0.25">
      <c r="A2397" t="s">
        <v>1248</v>
      </c>
      <c r="B2397">
        <v>248496</v>
      </c>
      <c r="C2397">
        <v>120010</v>
      </c>
      <c r="D2397">
        <v>405</v>
      </c>
      <c r="E2397" t="s">
        <v>1266</v>
      </c>
      <c r="G2397">
        <v>745</v>
      </c>
      <c r="H2397">
        <v>1815</v>
      </c>
      <c r="K2397">
        <v>63</v>
      </c>
      <c r="L2397">
        <v>63</v>
      </c>
      <c r="M2397" t="s">
        <v>2276</v>
      </c>
      <c r="N2397">
        <v>0</v>
      </c>
      <c r="O2397" t="s">
        <v>2276</v>
      </c>
      <c r="P2397">
        <v>0</v>
      </c>
      <c r="Q2397">
        <v>0</v>
      </c>
      <c r="R2397">
        <v>0</v>
      </c>
      <c r="T2397" s="29">
        <v>500400</v>
      </c>
      <c r="U2397" s="29">
        <v>31525200</v>
      </c>
      <c r="V2397" t="s">
        <v>1262</v>
      </c>
      <c r="W2397" t="s">
        <v>1262</v>
      </c>
      <c r="X2397" s="29">
        <v>31525200</v>
      </c>
      <c r="AA2397" s="30">
        <v>46226.333333333336</v>
      </c>
      <c r="AB2397" s="30">
        <v>46281.708333333336</v>
      </c>
      <c r="AC2397" s="30">
        <v>46226.333333333336</v>
      </c>
      <c r="AD2397" s="30">
        <v>46281.708333333336</v>
      </c>
      <c r="AE2397" s="30">
        <v>46374.333333333336</v>
      </c>
      <c r="AF2397" s="30">
        <v>46434.708333333336</v>
      </c>
      <c r="AG2397" t="s">
        <v>1266</v>
      </c>
      <c r="AK2397" t="s">
        <v>1265</v>
      </c>
      <c r="AL2397" t="s">
        <v>2277</v>
      </c>
      <c r="AM2397" t="s">
        <v>1263</v>
      </c>
      <c r="AN2397" t="s">
        <v>1262</v>
      </c>
      <c r="AO2397">
        <v>0</v>
      </c>
      <c r="AQ2397" t="s">
        <v>1261</v>
      </c>
      <c r="AR2397" t="s">
        <v>1260</v>
      </c>
      <c r="AS2397" t="s">
        <v>1259</v>
      </c>
      <c r="AT2397" s="30">
        <v>46070.59375</v>
      </c>
    </row>
    <row r="2398" spans="1:46" x14ac:dyDescent="0.25">
      <c r="A2398" t="s">
        <v>1248</v>
      </c>
      <c r="B2398">
        <v>248497</v>
      </c>
      <c r="C2398">
        <v>120010</v>
      </c>
      <c r="D2398">
        <v>405</v>
      </c>
      <c r="E2398" t="s">
        <v>1266</v>
      </c>
      <c r="G2398">
        <v>745</v>
      </c>
      <c r="H2398">
        <v>1890</v>
      </c>
      <c r="K2398">
        <v>63</v>
      </c>
      <c r="L2398">
        <v>63</v>
      </c>
      <c r="M2398" t="s">
        <v>2276</v>
      </c>
      <c r="N2398">
        <v>0</v>
      </c>
      <c r="O2398" t="s">
        <v>2276</v>
      </c>
      <c r="P2398">
        <v>0</v>
      </c>
      <c r="Q2398">
        <v>0</v>
      </c>
      <c r="R2398">
        <v>0</v>
      </c>
      <c r="T2398" s="29">
        <v>977670</v>
      </c>
      <c r="U2398" s="29">
        <v>61593210</v>
      </c>
      <c r="V2398" t="s">
        <v>1262</v>
      </c>
      <c r="W2398" t="s">
        <v>1262</v>
      </c>
      <c r="X2398" s="29">
        <v>61593210</v>
      </c>
      <c r="AA2398" s="30">
        <v>46226.333333333336</v>
      </c>
      <c r="AB2398" s="30">
        <v>46281.708333333336</v>
      </c>
      <c r="AC2398" s="30">
        <v>46226.333333333336</v>
      </c>
      <c r="AD2398" s="30">
        <v>46281.708333333336</v>
      </c>
      <c r="AE2398" s="30">
        <v>46374.333333333336</v>
      </c>
      <c r="AF2398" s="30">
        <v>46434.708333333336</v>
      </c>
      <c r="AG2398" t="s">
        <v>1266</v>
      </c>
      <c r="AK2398" t="s">
        <v>1265</v>
      </c>
      <c r="AL2398" t="s">
        <v>2275</v>
      </c>
      <c r="AM2398" t="s">
        <v>1263</v>
      </c>
      <c r="AN2398" t="s">
        <v>1262</v>
      </c>
      <c r="AO2398">
        <v>0</v>
      </c>
      <c r="AQ2398" t="s">
        <v>1261</v>
      </c>
      <c r="AR2398" t="s">
        <v>1260</v>
      </c>
      <c r="AS2398" t="s">
        <v>1259</v>
      </c>
      <c r="AT2398" s="30">
        <v>46070.59375</v>
      </c>
    </row>
    <row r="2399" spans="1:46" x14ac:dyDescent="0.25">
      <c r="A2399" t="s">
        <v>1248</v>
      </c>
      <c r="B2399">
        <v>248498</v>
      </c>
      <c r="C2399">
        <v>120010</v>
      </c>
      <c r="D2399">
        <v>405</v>
      </c>
      <c r="E2399" t="s">
        <v>1266</v>
      </c>
      <c r="G2399">
        <v>745</v>
      </c>
      <c r="H2399">
        <v>1891</v>
      </c>
      <c r="K2399" t="s">
        <v>2274</v>
      </c>
      <c r="L2399" t="s">
        <v>2274</v>
      </c>
      <c r="M2399" t="s">
        <v>2273</v>
      </c>
      <c r="N2399">
        <v>0</v>
      </c>
      <c r="O2399" t="s">
        <v>2273</v>
      </c>
      <c r="P2399">
        <v>0</v>
      </c>
      <c r="Q2399">
        <v>0</v>
      </c>
      <c r="R2399">
        <v>0</v>
      </c>
      <c r="T2399" s="29">
        <v>146455</v>
      </c>
      <c r="U2399" s="29">
        <v>24911995</v>
      </c>
      <c r="V2399" t="s">
        <v>1262</v>
      </c>
      <c r="W2399" t="s">
        <v>1262</v>
      </c>
      <c r="X2399" s="29">
        <v>24911995</v>
      </c>
      <c r="AA2399" s="30">
        <v>46226.333333333336</v>
      </c>
      <c r="AB2399" s="30">
        <v>46281.708333333336</v>
      </c>
      <c r="AC2399" s="30">
        <v>46226.333333333336</v>
      </c>
      <c r="AD2399" s="30">
        <v>46281.708333333336</v>
      </c>
      <c r="AE2399" s="30">
        <v>46374.333333333336</v>
      </c>
      <c r="AF2399" s="30">
        <v>46434.708333333336</v>
      </c>
      <c r="AG2399" t="s">
        <v>1266</v>
      </c>
      <c r="AK2399" t="s">
        <v>1265</v>
      </c>
      <c r="AL2399" t="s">
        <v>2272</v>
      </c>
      <c r="AM2399" t="s">
        <v>1263</v>
      </c>
      <c r="AN2399" t="s">
        <v>1262</v>
      </c>
      <c r="AO2399">
        <v>0</v>
      </c>
      <c r="AQ2399" t="s">
        <v>1261</v>
      </c>
      <c r="AR2399" t="s">
        <v>1260</v>
      </c>
      <c r="AS2399" t="s">
        <v>1259</v>
      </c>
      <c r="AT2399" s="30">
        <v>46070.59375</v>
      </c>
    </row>
    <row r="2400" spans="1:46" x14ac:dyDescent="0.25">
      <c r="A2400" t="s">
        <v>1248</v>
      </c>
      <c r="B2400">
        <v>248499</v>
      </c>
      <c r="C2400">
        <v>119813</v>
      </c>
      <c r="D2400">
        <v>405</v>
      </c>
      <c r="E2400" t="s">
        <v>1266</v>
      </c>
      <c r="G2400">
        <v>745</v>
      </c>
      <c r="H2400">
        <v>1815</v>
      </c>
      <c r="K2400">
        <v>75</v>
      </c>
      <c r="L2400">
        <v>75</v>
      </c>
      <c r="M2400" t="s">
        <v>2270</v>
      </c>
      <c r="N2400">
        <v>0</v>
      </c>
      <c r="O2400" t="s">
        <v>2270</v>
      </c>
      <c r="P2400">
        <v>0</v>
      </c>
      <c r="Q2400">
        <v>0</v>
      </c>
      <c r="R2400">
        <v>0</v>
      </c>
      <c r="T2400" s="29">
        <v>500400</v>
      </c>
      <c r="U2400" s="29">
        <v>37530000</v>
      </c>
      <c r="V2400" t="s">
        <v>1262</v>
      </c>
      <c r="W2400" t="s">
        <v>1262</v>
      </c>
      <c r="X2400" s="29">
        <v>37530000</v>
      </c>
      <c r="AA2400" s="30">
        <v>46409.333333333336</v>
      </c>
      <c r="AB2400" s="30">
        <v>46464.708333333336</v>
      </c>
      <c r="AC2400" s="30">
        <v>46409.333333333336</v>
      </c>
      <c r="AD2400" s="30">
        <v>46464.708333333336</v>
      </c>
      <c r="AE2400" s="30">
        <v>46409.333333333336</v>
      </c>
      <c r="AF2400" s="30">
        <v>46464.708333333336</v>
      </c>
      <c r="AG2400" t="s">
        <v>1266</v>
      </c>
      <c r="AK2400" t="s">
        <v>1265</v>
      </c>
      <c r="AL2400" t="s">
        <v>2271</v>
      </c>
      <c r="AM2400" t="s">
        <v>1263</v>
      </c>
      <c r="AN2400" t="s">
        <v>1262</v>
      </c>
      <c r="AO2400">
        <v>0</v>
      </c>
      <c r="AQ2400" t="s">
        <v>1261</v>
      </c>
      <c r="AR2400" t="s">
        <v>1260</v>
      </c>
      <c r="AS2400" t="s">
        <v>1259</v>
      </c>
      <c r="AT2400" s="30">
        <v>46070.595138888886</v>
      </c>
    </row>
    <row r="2401" spans="1:46" x14ac:dyDescent="0.25">
      <c r="A2401" t="s">
        <v>1248</v>
      </c>
      <c r="B2401">
        <v>248500</v>
      </c>
      <c r="C2401">
        <v>119813</v>
      </c>
      <c r="D2401">
        <v>405</v>
      </c>
      <c r="E2401" t="s">
        <v>1266</v>
      </c>
      <c r="G2401">
        <v>745</v>
      </c>
      <c r="H2401">
        <v>1890</v>
      </c>
      <c r="K2401">
        <v>75</v>
      </c>
      <c r="L2401">
        <v>75</v>
      </c>
      <c r="M2401" t="s">
        <v>2270</v>
      </c>
      <c r="N2401">
        <v>0</v>
      </c>
      <c r="O2401" t="s">
        <v>2270</v>
      </c>
      <c r="P2401">
        <v>0</v>
      </c>
      <c r="Q2401">
        <v>0</v>
      </c>
      <c r="R2401">
        <v>0</v>
      </c>
      <c r="T2401" s="29">
        <v>977670</v>
      </c>
      <c r="U2401" s="29">
        <v>73325250</v>
      </c>
      <c r="V2401" t="s">
        <v>1262</v>
      </c>
      <c r="W2401" t="s">
        <v>1262</v>
      </c>
      <c r="X2401" s="29">
        <v>73325250</v>
      </c>
      <c r="AA2401" s="30">
        <v>46409.333333333336</v>
      </c>
      <c r="AB2401" s="30">
        <v>46464.708333333336</v>
      </c>
      <c r="AC2401" s="30">
        <v>46409.333333333336</v>
      </c>
      <c r="AD2401" s="30">
        <v>46464.708333333336</v>
      </c>
      <c r="AE2401" s="30">
        <v>46409.333333333336</v>
      </c>
      <c r="AF2401" s="30">
        <v>46464.708333333336</v>
      </c>
      <c r="AG2401" t="s">
        <v>1266</v>
      </c>
      <c r="AK2401" t="s">
        <v>1265</v>
      </c>
      <c r="AL2401" t="s">
        <v>2269</v>
      </c>
      <c r="AM2401" t="s">
        <v>1263</v>
      </c>
      <c r="AN2401" t="s">
        <v>1262</v>
      </c>
      <c r="AO2401">
        <v>0</v>
      </c>
      <c r="AQ2401" t="s">
        <v>1261</v>
      </c>
      <c r="AR2401" t="s">
        <v>1260</v>
      </c>
      <c r="AS2401" t="s">
        <v>1259</v>
      </c>
      <c r="AT2401" s="30">
        <v>46070.595833333333</v>
      </c>
    </row>
    <row r="2402" spans="1:46" x14ac:dyDescent="0.25">
      <c r="A2402" t="s">
        <v>1248</v>
      </c>
      <c r="B2402">
        <v>248501</v>
      </c>
      <c r="C2402">
        <v>119813</v>
      </c>
      <c r="D2402">
        <v>405</v>
      </c>
      <c r="E2402" t="s">
        <v>1266</v>
      </c>
      <c r="G2402">
        <v>745</v>
      </c>
      <c r="H2402">
        <v>1891</v>
      </c>
      <c r="K2402" t="s">
        <v>2268</v>
      </c>
      <c r="L2402" t="s">
        <v>2268</v>
      </c>
      <c r="M2402" t="s">
        <v>2267</v>
      </c>
      <c r="N2402">
        <v>0</v>
      </c>
      <c r="O2402" t="s">
        <v>2267</v>
      </c>
      <c r="P2402">
        <v>0</v>
      </c>
      <c r="Q2402">
        <v>0</v>
      </c>
      <c r="R2402">
        <v>0</v>
      </c>
      <c r="T2402" s="29">
        <v>146455</v>
      </c>
      <c r="U2402" s="29">
        <v>29657137</v>
      </c>
      <c r="V2402" t="s">
        <v>1262</v>
      </c>
      <c r="W2402" t="s">
        <v>1262</v>
      </c>
      <c r="X2402" s="29">
        <v>29657137</v>
      </c>
      <c r="AA2402" s="30">
        <v>46409.333333333336</v>
      </c>
      <c r="AB2402" s="30">
        <v>46464.708333333336</v>
      </c>
      <c r="AC2402" s="30">
        <v>46409.333333333336</v>
      </c>
      <c r="AD2402" s="30">
        <v>46464.708333333336</v>
      </c>
      <c r="AE2402" s="30">
        <v>46409.333333333336</v>
      </c>
      <c r="AF2402" s="30">
        <v>46464.708333333336</v>
      </c>
      <c r="AG2402" t="s">
        <v>1266</v>
      </c>
      <c r="AK2402" t="s">
        <v>1265</v>
      </c>
      <c r="AL2402" t="s">
        <v>2266</v>
      </c>
      <c r="AM2402" t="s">
        <v>1263</v>
      </c>
      <c r="AN2402" t="s">
        <v>1262</v>
      </c>
      <c r="AO2402">
        <v>0</v>
      </c>
      <c r="AQ2402" t="s">
        <v>1261</v>
      </c>
      <c r="AR2402" t="s">
        <v>1260</v>
      </c>
      <c r="AS2402" t="s">
        <v>1259</v>
      </c>
      <c r="AT2402" s="30">
        <v>46070.595833333333</v>
      </c>
    </row>
    <row r="2403" spans="1:46" x14ac:dyDescent="0.25">
      <c r="A2403" t="s">
        <v>1248</v>
      </c>
      <c r="B2403">
        <v>251639</v>
      </c>
      <c r="C2403">
        <v>352046</v>
      </c>
      <c r="D2403">
        <v>405</v>
      </c>
      <c r="E2403" t="s">
        <v>1266</v>
      </c>
      <c r="G2403">
        <v>745</v>
      </c>
      <c r="H2403">
        <v>1867</v>
      </c>
      <c r="K2403" s="29">
        <v>1513043</v>
      </c>
      <c r="L2403" s="29">
        <v>1513043</v>
      </c>
      <c r="M2403" t="s">
        <v>2246</v>
      </c>
      <c r="N2403">
        <v>0</v>
      </c>
      <c r="O2403" t="s">
        <v>2246</v>
      </c>
      <c r="P2403">
        <v>0</v>
      </c>
      <c r="Q2403">
        <v>0</v>
      </c>
      <c r="R2403">
        <v>0</v>
      </c>
      <c r="T2403" s="29">
        <v>205000</v>
      </c>
      <c r="U2403" s="29">
        <v>310174</v>
      </c>
      <c r="V2403" t="s">
        <v>1262</v>
      </c>
      <c r="W2403" t="s">
        <v>1262</v>
      </c>
      <c r="X2403" s="29">
        <v>310174</v>
      </c>
      <c r="AA2403" s="30">
        <v>45797.625</v>
      </c>
      <c r="AB2403" s="30">
        <v>45800.625</v>
      </c>
      <c r="AC2403" s="30">
        <v>45797.625</v>
      </c>
      <c r="AD2403" s="30">
        <v>45800.625</v>
      </c>
      <c r="AE2403" s="30">
        <v>45863.333333333336</v>
      </c>
      <c r="AF2403" s="30">
        <v>45867.708333333336</v>
      </c>
      <c r="AG2403" t="s">
        <v>1266</v>
      </c>
      <c r="AK2403" t="s">
        <v>1265</v>
      </c>
      <c r="AL2403" t="s">
        <v>2265</v>
      </c>
      <c r="AM2403" t="s">
        <v>1263</v>
      </c>
      <c r="AN2403" t="s">
        <v>1262</v>
      </c>
      <c r="AO2403">
        <v>0</v>
      </c>
      <c r="AQ2403" t="s">
        <v>1261</v>
      </c>
      <c r="AR2403" t="s">
        <v>1260</v>
      </c>
      <c r="AS2403" t="s">
        <v>1259</v>
      </c>
      <c r="AT2403" s="30">
        <v>46071.738194444442</v>
      </c>
    </row>
    <row r="2404" spans="1:46" x14ac:dyDescent="0.25">
      <c r="A2404" t="s">
        <v>1248</v>
      </c>
      <c r="B2404">
        <v>251640</v>
      </c>
      <c r="C2404">
        <v>352053</v>
      </c>
      <c r="D2404">
        <v>405</v>
      </c>
      <c r="E2404" t="s">
        <v>1266</v>
      </c>
      <c r="G2404">
        <v>745</v>
      </c>
      <c r="H2404">
        <v>1867</v>
      </c>
      <c r="K2404" t="s">
        <v>2219</v>
      </c>
      <c r="L2404" t="s">
        <v>2219</v>
      </c>
      <c r="M2404" t="s">
        <v>2246</v>
      </c>
      <c r="N2404">
        <v>0</v>
      </c>
      <c r="O2404" t="s">
        <v>2246</v>
      </c>
      <c r="P2404">
        <v>0</v>
      </c>
      <c r="Q2404">
        <v>0</v>
      </c>
      <c r="R2404">
        <v>0</v>
      </c>
      <c r="T2404" s="29">
        <v>205000</v>
      </c>
      <c r="U2404" s="29">
        <v>297250</v>
      </c>
      <c r="V2404" t="s">
        <v>1262</v>
      </c>
      <c r="W2404" t="s">
        <v>1262</v>
      </c>
      <c r="X2404" s="29">
        <v>297250</v>
      </c>
      <c r="AA2404" s="30">
        <v>45793.625</v>
      </c>
      <c r="AB2404" s="30">
        <v>45798.583333333336</v>
      </c>
      <c r="AC2404" s="30">
        <v>45793.625</v>
      </c>
      <c r="AD2404" s="30">
        <v>45798.583333333336</v>
      </c>
      <c r="AE2404" s="30">
        <v>45859.625</v>
      </c>
      <c r="AF2404" s="30">
        <v>45862.583333333336</v>
      </c>
      <c r="AG2404" t="s">
        <v>1266</v>
      </c>
      <c r="AK2404" t="s">
        <v>1265</v>
      </c>
      <c r="AL2404" t="s">
        <v>2264</v>
      </c>
      <c r="AM2404" t="s">
        <v>1263</v>
      </c>
      <c r="AN2404" t="s">
        <v>1262</v>
      </c>
      <c r="AO2404">
        <v>0</v>
      </c>
      <c r="AQ2404" t="s">
        <v>1261</v>
      </c>
      <c r="AR2404" t="s">
        <v>1260</v>
      </c>
      <c r="AS2404" t="s">
        <v>1259</v>
      </c>
      <c r="AT2404" s="30">
        <v>46071.738194444442</v>
      </c>
    </row>
    <row r="2405" spans="1:46" x14ac:dyDescent="0.25">
      <c r="A2405" t="s">
        <v>1248</v>
      </c>
      <c r="B2405">
        <v>251641</v>
      </c>
      <c r="C2405">
        <v>352060</v>
      </c>
      <c r="D2405">
        <v>405</v>
      </c>
      <c r="E2405" t="s">
        <v>1266</v>
      </c>
      <c r="G2405">
        <v>745</v>
      </c>
      <c r="H2405">
        <v>1867</v>
      </c>
      <c r="K2405" t="s">
        <v>2219</v>
      </c>
      <c r="L2405" t="s">
        <v>2219</v>
      </c>
      <c r="M2405" t="s">
        <v>2246</v>
      </c>
      <c r="N2405">
        <v>0</v>
      </c>
      <c r="O2405" t="s">
        <v>2246</v>
      </c>
      <c r="P2405">
        <v>0</v>
      </c>
      <c r="Q2405">
        <v>0</v>
      </c>
      <c r="R2405">
        <v>0</v>
      </c>
      <c r="T2405" s="29">
        <v>205000</v>
      </c>
      <c r="U2405" s="29">
        <v>297250</v>
      </c>
      <c r="V2405" t="s">
        <v>1262</v>
      </c>
      <c r="W2405" t="s">
        <v>1262</v>
      </c>
      <c r="X2405" s="29">
        <v>297250</v>
      </c>
      <c r="AA2405" s="30">
        <v>45791.666666666664</v>
      </c>
      <c r="AB2405" s="30">
        <v>45796.625</v>
      </c>
      <c r="AC2405" s="30">
        <v>45791.666666666664</v>
      </c>
      <c r="AD2405" s="30">
        <v>45796.625</v>
      </c>
      <c r="AE2405" s="30">
        <v>45853.625</v>
      </c>
      <c r="AF2405" s="30">
        <v>45856.583333333336</v>
      </c>
      <c r="AG2405" t="s">
        <v>1266</v>
      </c>
      <c r="AK2405" t="s">
        <v>1265</v>
      </c>
      <c r="AL2405" t="s">
        <v>2263</v>
      </c>
      <c r="AM2405" t="s">
        <v>1263</v>
      </c>
      <c r="AN2405" t="s">
        <v>1262</v>
      </c>
      <c r="AO2405">
        <v>0</v>
      </c>
      <c r="AQ2405" t="s">
        <v>1261</v>
      </c>
      <c r="AR2405" t="s">
        <v>1260</v>
      </c>
      <c r="AS2405" t="s">
        <v>1259</v>
      </c>
      <c r="AT2405" s="30">
        <v>46071.738194444442</v>
      </c>
    </row>
    <row r="2406" spans="1:46" x14ac:dyDescent="0.25">
      <c r="A2406" t="s">
        <v>1248</v>
      </c>
      <c r="B2406">
        <v>251642</v>
      </c>
      <c r="C2406">
        <v>352067</v>
      </c>
      <c r="D2406">
        <v>405</v>
      </c>
      <c r="E2406" t="s">
        <v>1266</v>
      </c>
      <c r="G2406">
        <v>745</v>
      </c>
      <c r="H2406">
        <v>1867</v>
      </c>
      <c r="K2406" s="29">
        <v>1513043</v>
      </c>
      <c r="L2406" s="29">
        <v>1513043</v>
      </c>
      <c r="M2406" t="s">
        <v>2246</v>
      </c>
      <c r="N2406">
        <v>0</v>
      </c>
      <c r="O2406" t="s">
        <v>2246</v>
      </c>
      <c r="P2406">
        <v>0</v>
      </c>
      <c r="Q2406">
        <v>0</v>
      </c>
      <c r="R2406">
        <v>0</v>
      </c>
      <c r="T2406" s="29">
        <v>205000</v>
      </c>
      <c r="U2406" s="29">
        <v>310174</v>
      </c>
      <c r="V2406" t="s">
        <v>1262</v>
      </c>
      <c r="W2406" t="s">
        <v>1262</v>
      </c>
      <c r="X2406" s="29">
        <v>310174</v>
      </c>
      <c r="AA2406" s="30">
        <v>45779.458333333336</v>
      </c>
      <c r="AB2406" s="30">
        <v>45784.458333333336</v>
      </c>
      <c r="AC2406" s="30">
        <v>45779.458333333336</v>
      </c>
      <c r="AD2406" s="30">
        <v>45784.458333333336</v>
      </c>
      <c r="AE2406" s="30">
        <v>45848.333333333336</v>
      </c>
      <c r="AF2406" s="30">
        <v>45852.708333333336</v>
      </c>
      <c r="AG2406" t="s">
        <v>1266</v>
      </c>
      <c r="AK2406" t="s">
        <v>1265</v>
      </c>
      <c r="AL2406" t="s">
        <v>2262</v>
      </c>
      <c r="AM2406" t="s">
        <v>1263</v>
      </c>
      <c r="AN2406" t="s">
        <v>1262</v>
      </c>
      <c r="AO2406">
        <v>0</v>
      </c>
      <c r="AQ2406" t="s">
        <v>1261</v>
      </c>
      <c r="AR2406" t="s">
        <v>1260</v>
      </c>
      <c r="AS2406" t="s">
        <v>1259</v>
      </c>
      <c r="AT2406" s="30">
        <v>46071.738194444442</v>
      </c>
    </row>
    <row r="2407" spans="1:46" x14ac:dyDescent="0.25">
      <c r="A2407" t="s">
        <v>1248</v>
      </c>
      <c r="B2407">
        <v>251643</v>
      </c>
      <c r="C2407">
        <v>352074</v>
      </c>
      <c r="D2407">
        <v>405</v>
      </c>
      <c r="E2407" t="s">
        <v>1266</v>
      </c>
      <c r="G2407">
        <v>745</v>
      </c>
      <c r="H2407">
        <v>1867</v>
      </c>
      <c r="K2407" t="s">
        <v>2219</v>
      </c>
      <c r="L2407" t="s">
        <v>2219</v>
      </c>
      <c r="M2407" t="s">
        <v>2246</v>
      </c>
      <c r="N2407">
        <v>0</v>
      </c>
      <c r="O2407" t="s">
        <v>2246</v>
      </c>
      <c r="P2407">
        <v>0</v>
      </c>
      <c r="Q2407">
        <v>0</v>
      </c>
      <c r="R2407">
        <v>0</v>
      </c>
      <c r="T2407" s="29">
        <v>205000</v>
      </c>
      <c r="U2407" s="29">
        <v>297250</v>
      </c>
      <c r="V2407" t="s">
        <v>1262</v>
      </c>
      <c r="W2407" t="s">
        <v>1262</v>
      </c>
      <c r="X2407" s="29">
        <v>297250</v>
      </c>
      <c r="AA2407" s="30">
        <v>45777.458333333336</v>
      </c>
      <c r="AB2407" s="30">
        <v>45782.416666666664</v>
      </c>
      <c r="AC2407" s="30">
        <v>45777.458333333336</v>
      </c>
      <c r="AD2407" s="30">
        <v>45782.416666666664</v>
      </c>
      <c r="AE2407" s="30">
        <v>45835.583333333336</v>
      </c>
      <c r="AF2407" s="30">
        <v>45840.5</v>
      </c>
      <c r="AG2407" t="s">
        <v>1266</v>
      </c>
      <c r="AK2407" t="s">
        <v>1265</v>
      </c>
      <c r="AL2407" t="s">
        <v>2261</v>
      </c>
      <c r="AM2407" t="s">
        <v>1263</v>
      </c>
      <c r="AN2407" t="s">
        <v>1262</v>
      </c>
      <c r="AO2407">
        <v>0</v>
      </c>
      <c r="AQ2407" t="s">
        <v>1261</v>
      </c>
      <c r="AR2407" t="s">
        <v>1260</v>
      </c>
      <c r="AS2407" t="s">
        <v>1259</v>
      </c>
      <c r="AT2407" s="30">
        <v>46071.738194444442</v>
      </c>
    </row>
    <row r="2408" spans="1:46" x14ac:dyDescent="0.25">
      <c r="A2408" t="s">
        <v>1248</v>
      </c>
      <c r="B2408">
        <v>251644</v>
      </c>
      <c r="C2408">
        <v>352081</v>
      </c>
      <c r="D2408">
        <v>405</v>
      </c>
      <c r="E2408" t="s">
        <v>1266</v>
      </c>
      <c r="G2408">
        <v>745</v>
      </c>
      <c r="H2408">
        <v>1867</v>
      </c>
      <c r="K2408" t="s">
        <v>2219</v>
      </c>
      <c r="L2408" t="s">
        <v>2219</v>
      </c>
      <c r="M2408" t="s">
        <v>2246</v>
      </c>
      <c r="N2408">
        <v>0</v>
      </c>
      <c r="O2408" t="s">
        <v>2246</v>
      </c>
      <c r="P2408">
        <v>0</v>
      </c>
      <c r="Q2408">
        <v>0</v>
      </c>
      <c r="R2408">
        <v>0</v>
      </c>
      <c r="T2408" s="29">
        <v>205000</v>
      </c>
      <c r="U2408" s="29">
        <v>297250</v>
      </c>
      <c r="V2408" t="s">
        <v>1262</v>
      </c>
      <c r="W2408" t="s">
        <v>1262</v>
      </c>
      <c r="X2408" s="29">
        <v>297250</v>
      </c>
      <c r="AA2408" s="30">
        <v>45775.541666666664</v>
      </c>
      <c r="AB2408" s="30">
        <v>45778.458333333336</v>
      </c>
      <c r="AC2408" s="30">
        <v>45775.541666666664</v>
      </c>
      <c r="AD2408" s="30">
        <v>45778.458333333336</v>
      </c>
      <c r="AE2408" s="30">
        <v>45831.583333333336</v>
      </c>
      <c r="AF2408" s="30">
        <v>45834.5</v>
      </c>
      <c r="AG2408" t="s">
        <v>1266</v>
      </c>
      <c r="AK2408" t="s">
        <v>1265</v>
      </c>
      <c r="AL2408" t="s">
        <v>2260</v>
      </c>
      <c r="AM2408" t="s">
        <v>1263</v>
      </c>
      <c r="AN2408" t="s">
        <v>1262</v>
      </c>
      <c r="AO2408">
        <v>0</v>
      </c>
      <c r="AQ2408" t="s">
        <v>1261</v>
      </c>
      <c r="AR2408" t="s">
        <v>1260</v>
      </c>
      <c r="AS2408" t="s">
        <v>1259</v>
      </c>
      <c r="AT2408" s="30">
        <v>46071.738194444442</v>
      </c>
    </row>
    <row r="2409" spans="1:46" x14ac:dyDescent="0.25">
      <c r="A2409" t="s">
        <v>1248</v>
      </c>
      <c r="B2409">
        <v>251645</v>
      </c>
      <c r="C2409">
        <v>352088</v>
      </c>
      <c r="D2409">
        <v>405</v>
      </c>
      <c r="E2409" t="s">
        <v>1266</v>
      </c>
      <c r="G2409">
        <v>745</v>
      </c>
      <c r="H2409">
        <v>1867</v>
      </c>
      <c r="K2409" t="s">
        <v>2219</v>
      </c>
      <c r="L2409" t="s">
        <v>2219</v>
      </c>
      <c r="M2409" t="s">
        <v>2246</v>
      </c>
      <c r="N2409">
        <v>0</v>
      </c>
      <c r="O2409" t="s">
        <v>2246</v>
      </c>
      <c r="P2409">
        <v>0</v>
      </c>
      <c r="Q2409">
        <v>0</v>
      </c>
      <c r="R2409">
        <v>0</v>
      </c>
      <c r="T2409" s="29">
        <v>205000</v>
      </c>
      <c r="U2409" s="29">
        <v>297250</v>
      </c>
      <c r="V2409" t="s">
        <v>1262</v>
      </c>
      <c r="W2409" t="s">
        <v>1262</v>
      </c>
      <c r="X2409" s="29">
        <v>297250</v>
      </c>
      <c r="AA2409" s="30">
        <v>45771.583333333336</v>
      </c>
      <c r="AB2409" s="30">
        <v>45776.5</v>
      </c>
      <c r="AC2409" s="30">
        <v>45771.583333333336</v>
      </c>
      <c r="AD2409" s="30">
        <v>45776.5</v>
      </c>
      <c r="AE2409" s="30">
        <v>45825.583333333336</v>
      </c>
      <c r="AF2409" s="30">
        <v>45828.5</v>
      </c>
      <c r="AG2409" t="s">
        <v>1266</v>
      </c>
      <c r="AK2409" t="s">
        <v>1265</v>
      </c>
      <c r="AL2409" t="s">
        <v>2259</v>
      </c>
      <c r="AM2409" t="s">
        <v>1263</v>
      </c>
      <c r="AN2409" t="s">
        <v>1262</v>
      </c>
      <c r="AO2409">
        <v>0</v>
      </c>
      <c r="AQ2409" t="s">
        <v>1261</v>
      </c>
      <c r="AR2409" t="s">
        <v>1260</v>
      </c>
      <c r="AS2409" t="s">
        <v>1259</v>
      </c>
      <c r="AT2409" s="30">
        <v>46071.738194444442</v>
      </c>
    </row>
    <row r="2410" spans="1:46" x14ac:dyDescent="0.25">
      <c r="A2410" t="s">
        <v>1248</v>
      </c>
      <c r="B2410">
        <v>251646</v>
      </c>
      <c r="C2410">
        <v>352095</v>
      </c>
      <c r="D2410">
        <v>405</v>
      </c>
      <c r="E2410" t="s">
        <v>1266</v>
      </c>
      <c r="G2410">
        <v>745</v>
      </c>
      <c r="H2410">
        <v>1867</v>
      </c>
      <c r="K2410" t="s">
        <v>2219</v>
      </c>
      <c r="L2410" t="s">
        <v>2219</v>
      </c>
      <c r="M2410" t="s">
        <v>2246</v>
      </c>
      <c r="N2410">
        <v>0</v>
      </c>
      <c r="O2410" t="s">
        <v>2246</v>
      </c>
      <c r="P2410">
        <v>0</v>
      </c>
      <c r="Q2410">
        <v>0</v>
      </c>
      <c r="R2410">
        <v>0</v>
      </c>
      <c r="T2410" s="29">
        <v>205000</v>
      </c>
      <c r="U2410" s="29">
        <v>297250</v>
      </c>
      <c r="V2410" t="s">
        <v>1262</v>
      </c>
      <c r="W2410" t="s">
        <v>1262</v>
      </c>
      <c r="X2410" s="29">
        <v>297250</v>
      </c>
      <c r="AA2410" s="30">
        <v>45769.625</v>
      </c>
      <c r="AB2410" s="30">
        <v>45772.583333333336</v>
      </c>
      <c r="AC2410" s="30">
        <v>45769.625</v>
      </c>
      <c r="AD2410" s="30">
        <v>45772.583333333336</v>
      </c>
      <c r="AE2410" s="30">
        <v>45819.583333333336</v>
      </c>
      <c r="AF2410" s="30">
        <v>45824.5</v>
      </c>
      <c r="AG2410" t="s">
        <v>1266</v>
      </c>
      <c r="AK2410" t="s">
        <v>1265</v>
      </c>
      <c r="AL2410" t="s">
        <v>2258</v>
      </c>
      <c r="AM2410" t="s">
        <v>1263</v>
      </c>
      <c r="AN2410" t="s">
        <v>1262</v>
      </c>
      <c r="AO2410">
        <v>0</v>
      </c>
      <c r="AQ2410" t="s">
        <v>1261</v>
      </c>
      <c r="AR2410" t="s">
        <v>1260</v>
      </c>
      <c r="AS2410" t="s">
        <v>1259</v>
      </c>
      <c r="AT2410" s="30">
        <v>46071.738194444442</v>
      </c>
    </row>
    <row r="2411" spans="1:46" x14ac:dyDescent="0.25">
      <c r="A2411" t="s">
        <v>1248</v>
      </c>
      <c r="B2411">
        <v>251647</v>
      </c>
      <c r="C2411">
        <v>352102</v>
      </c>
      <c r="D2411">
        <v>405</v>
      </c>
      <c r="E2411" t="s">
        <v>1266</v>
      </c>
      <c r="G2411">
        <v>745</v>
      </c>
      <c r="H2411">
        <v>1867</v>
      </c>
      <c r="K2411" t="s">
        <v>2219</v>
      </c>
      <c r="L2411" t="s">
        <v>2219</v>
      </c>
      <c r="M2411" t="s">
        <v>2246</v>
      </c>
      <c r="N2411">
        <v>0</v>
      </c>
      <c r="O2411" t="s">
        <v>2246</v>
      </c>
      <c r="P2411">
        <v>0</v>
      </c>
      <c r="Q2411">
        <v>0</v>
      </c>
      <c r="R2411">
        <v>0</v>
      </c>
      <c r="T2411" s="29">
        <v>205000</v>
      </c>
      <c r="U2411" s="29">
        <v>297250</v>
      </c>
      <c r="V2411" t="s">
        <v>1262</v>
      </c>
      <c r="W2411" t="s">
        <v>1262</v>
      </c>
      <c r="X2411" s="29">
        <v>297250</v>
      </c>
      <c r="AA2411" s="30">
        <v>45765.666666666664</v>
      </c>
      <c r="AB2411" s="30">
        <v>45770.625</v>
      </c>
      <c r="AC2411" s="30">
        <v>45765.666666666664</v>
      </c>
      <c r="AD2411" s="30">
        <v>45770.625</v>
      </c>
      <c r="AE2411" s="30">
        <v>45813.583333333336</v>
      </c>
      <c r="AF2411" s="30">
        <v>45818.5</v>
      </c>
      <c r="AG2411" t="s">
        <v>1266</v>
      </c>
      <c r="AK2411" t="s">
        <v>1265</v>
      </c>
      <c r="AL2411" t="e">
        <f>+hqf6yZMnkmodClFFRDjnQ</f>
        <v>#NAME?</v>
      </c>
      <c r="AM2411" t="s">
        <v>1263</v>
      </c>
      <c r="AN2411" t="s">
        <v>1262</v>
      </c>
      <c r="AO2411">
        <v>0</v>
      </c>
      <c r="AQ2411" t="s">
        <v>1261</v>
      </c>
      <c r="AR2411" t="s">
        <v>1260</v>
      </c>
      <c r="AS2411" t="s">
        <v>1259</v>
      </c>
      <c r="AT2411" s="30">
        <v>46071.738194444442</v>
      </c>
    </row>
    <row r="2412" spans="1:46" x14ac:dyDescent="0.25">
      <c r="A2412" t="s">
        <v>1248</v>
      </c>
      <c r="B2412">
        <v>251648</v>
      </c>
      <c r="C2412">
        <v>352109</v>
      </c>
      <c r="D2412">
        <v>405</v>
      </c>
      <c r="E2412" t="s">
        <v>1266</v>
      </c>
      <c r="G2412">
        <v>745</v>
      </c>
      <c r="H2412">
        <v>1867</v>
      </c>
      <c r="K2412" t="s">
        <v>2219</v>
      </c>
      <c r="L2412" t="s">
        <v>2219</v>
      </c>
      <c r="M2412" t="s">
        <v>2246</v>
      </c>
      <c r="N2412">
        <v>0</v>
      </c>
      <c r="O2412" t="s">
        <v>2246</v>
      </c>
      <c r="P2412">
        <v>0</v>
      </c>
      <c r="Q2412">
        <v>0</v>
      </c>
      <c r="R2412">
        <v>0</v>
      </c>
      <c r="T2412" s="29">
        <v>205000</v>
      </c>
      <c r="U2412" s="29">
        <v>297250</v>
      </c>
      <c r="V2412" t="s">
        <v>1262</v>
      </c>
      <c r="W2412" t="s">
        <v>1262</v>
      </c>
      <c r="X2412" s="29">
        <v>297250</v>
      </c>
      <c r="AA2412" s="30">
        <v>45756.333333333336</v>
      </c>
      <c r="AB2412" s="30">
        <v>45758.666666666664</v>
      </c>
      <c r="AC2412" s="30">
        <v>45756.333333333336</v>
      </c>
      <c r="AD2412" s="30">
        <v>45758.666666666664</v>
      </c>
      <c r="AE2412" s="30">
        <v>45807.583333333336</v>
      </c>
      <c r="AF2412" s="30">
        <v>45812.5</v>
      </c>
      <c r="AG2412" t="s">
        <v>1266</v>
      </c>
      <c r="AK2412" t="s">
        <v>1265</v>
      </c>
      <c r="AL2412" t="s">
        <v>2257</v>
      </c>
      <c r="AM2412" t="s">
        <v>1263</v>
      </c>
      <c r="AN2412" t="s">
        <v>1262</v>
      </c>
      <c r="AO2412">
        <v>0</v>
      </c>
      <c r="AQ2412" t="s">
        <v>1261</v>
      </c>
      <c r="AR2412" t="s">
        <v>1260</v>
      </c>
      <c r="AS2412" t="s">
        <v>1259</v>
      </c>
      <c r="AT2412" s="30">
        <v>46071.738194444442</v>
      </c>
    </row>
    <row r="2413" spans="1:46" x14ac:dyDescent="0.25">
      <c r="A2413" t="s">
        <v>1248</v>
      </c>
      <c r="B2413">
        <v>251649</v>
      </c>
      <c r="C2413">
        <v>352116</v>
      </c>
      <c r="D2413">
        <v>405</v>
      </c>
      <c r="E2413" t="s">
        <v>1266</v>
      </c>
      <c r="G2413">
        <v>745</v>
      </c>
      <c r="H2413">
        <v>1867</v>
      </c>
      <c r="K2413" t="s">
        <v>2219</v>
      </c>
      <c r="L2413" t="s">
        <v>2219</v>
      </c>
      <c r="M2413" t="s">
        <v>2246</v>
      </c>
      <c r="N2413">
        <v>0</v>
      </c>
      <c r="O2413" t="s">
        <v>2246</v>
      </c>
      <c r="P2413">
        <v>0</v>
      </c>
      <c r="Q2413">
        <v>0</v>
      </c>
      <c r="R2413">
        <v>0</v>
      </c>
      <c r="T2413" s="29">
        <v>205000</v>
      </c>
      <c r="U2413" s="29">
        <v>297250</v>
      </c>
      <c r="V2413" t="s">
        <v>1262</v>
      </c>
      <c r="W2413" t="s">
        <v>1262</v>
      </c>
      <c r="X2413" s="29">
        <v>297250</v>
      </c>
      <c r="AA2413" s="30">
        <v>45754.375</v>
      </c>
      <c r="AB2413" s="30">
        <v>45756.708333333336</v>
      </c>
      <c r="AC2413" s="30">
        <v>45754.375</v>
      </c>
      <c r="AD2413" s="30">
        <v>45756.708333333336</v>
      </c>
      <c r="AE2413" s="30">
        <v>45803.583333333336</v>
      </c>
      <c r="AF2413" s="30">
        <v>45806.5</v>
      </c>
      <c r="AG2413" t="s">
        <v>1266</v>
      </c>
      <c r="AK2413" t="s">
        <v>1265</v>
      </c>
      <c r="AL2413" t="s">
        <v>2256</v>
      </c>
      <c r="AM2413" t="s">
        <v>1263</v>
      </c>
      <c r="AN2413" t="s">
        <v>1262</v>
      </c>
      <c r="AO2413">
        <v>0</v>
      </c>
      <c r="AQ2413" t="s">
        <v>1261</v>
      </c>
      <c r="AR2413" t="s">
        <v>1260</v>
      </c>
      <c r="AS2413" t="s">
        <v>1259</v>
      </c>
      <c r="AT2413" s="30">
        <v>46071.738194444442</v>
      </c>
    </row>
    <row r="2414" spans="1:46" x14ac:dyDescent="0.25">
      <c r="A2414" t="s">
        <v>1248</v>
      </c>
      <c r="B2414">
        <v>251650</v>
      </c>
      <c r="C2414">
        <v>352123</v>
      </c>
      <c r="D2414">
        <v>405</v>
      </c>
      <c r="E2414" t="s">
        <v>1266</v>
      </c>
      <c r="G2414">
        <v>745</v>
      </c>
      <c r="H2414">
        <v>1867</v>
      </c>
      <c r="K2414" t="s">
        <v>2219</v>
      </c>
      <c r="L2414" t="s">
        <v>2219</v>
      </c>
      <c r="M2414" t="s">
        <v>2246</v>
      </c>
      <c r="N2414">
        <v>0</v>
      </c>
      <c r="O2414" t="s">
        <v>2246</v>
      </c>
      <c r="P2414">
        <v>0</v>
      </c>
      <c r="Q2414">
        <v>0</v>
      </c>
      <c r="R2414">
        <v>0</v>
      </c>
      <c r="T2414" s="29">
        <v>205000</v>
      </c>
      <c r="U2414" s="29">
        <v>297250</v>
      </c>
      <c r="V2414" t="s">
        <v>1262</v>
      </c>
      <c r="W2414" t="s">
        <v>1262</v>
      </c>
      <c r="X2414" s="29">
        <v>297250</v>
      </c>
      <c r="AA2414" s="30">
        <v>45750.416666666664</v>
      </c>
      <c r="AB2414" s="30">
        <v>45755.375</v>
      </c>
      <c r="AC2414" s="30">
        <v>45750.416666666664</v>
      </c>
      <c r="AD2414" s="30">
        <v>45755.375</v>
      </c>
      <c r="AE2414" s="30">
        <v>45797.583333333336</v>
      </c>
      <c r="AF2414" s="30">
        <v>45800.5</v>
      </c>
      <c r="AG2414" t="s">
        <v>1266</v>
      </c>
      <c r="AK2414" t="s">
        <v>1265</v>
      </c>
      <c r="AL2414" t="s">
        <v>2255</v>
      </c>
      <c r="AM2414" t="s">
        <v>1263</v>
      </c>
      <c r="AN2414" t="s">
        <v>1262</v>
      </c>
      <c r="AO2414">
        <v>0</v>
      </c>
      <c r="AQ2414" t="s">
        <v>1261</v>
      </c>
      <c r="AR2414" t="s">
        <v>1260</v>
      </c>
      <c r="AS2414" t="s">
        <v>1259</v>
      </c>
      <c r="AT2414" s="30">
        <v>46071.738194444442</v>
      </c>
    </row>
    <row r="2415" spans="1:46" x14ac:dyDescent="0.25">
      <c r="A2415" t="s">
        <v>1248</v>
      </c>
      <c r="B2415">
        <v>251651</v>
      </c>
      <c r="C2415">
        <v>352130</v>
      </c>
      <c r="D2415">
        <v>405</v>
      </c>
      <c r="E2415" t="s">
        <v>1266</v>
      </c>
      <c r="G2415">
        <v>745</v>
      </c>
      <c r="H2415">
        <v>1867</v>
      </c>
      <c r="K2415" t="s">
        <v>2219</v>
      </c>
      <c r="L2415" t="s">
        <v>2219</v>
      </c>
      <c r="M2415" t="s">
        <v>2246</v>
      </c>
      <c r="N2415">
        <v>0</v>
      </c>
      <c r="O2415" t="s">
        <v>2246</v>
      </c>
      <c r="P2415">
        <v>0</v>
      </c>
      <c r="Q2415">
        <v>0</v>
      </c>
      <c r="R2415">
        <v>0</v>
      </c>
      <c r="T2415" s="29">
        <v>205000</v>
      </c>
      <c r="U2415" s="29">
        <v>297250</v>
      </c>
      <c r="V2415" t="s">
        <v>1262</v>
      </c>
      <c r="W2415" t="s">
        <v>1262</v>
      </c>
      <c r="X2415" s="29">
        <v>297250</v>
      </c>
      <c r="AA2415" s="30">
        <v>45748.458333333336</v>
      </c>
      <c r="AB2415" s="30">
        <v>45751.416666666664</v>
      </c>
      <c r="AC2415" s="30">
        <v>45748.458333333336</v>
      </c>
      <c r="AD2415" s="30">
        <v>45751.416666666664</v>
      </c>
      <c r="AE2415" s="30">
        <v>45791.583333333336</v>
      </c>
      <c r="AF2415" s="30">
        <v>45796.5</v>
      </c>
      <c r="AG2415" t="s">
        <v>1266</v>
      </c>
      <c r="AK2415" t="s">
        <v>1265</v>
      </c>
      <c r="AL2415" t="s">
        <v>2254</v>
      </c>
      <c r="AM2415" t="s">
        <v>1263</v>
      </c>
      <c r="AN2415" t="s">
        <v>1262</v>
      </c>
      <c r="AO2415">
        <v>0</v>
      </c>
      <c r="AQ2415" t="s">
        <v>1261</v>
      </c>
      <c r="AR2415" t="s">
        <v>1260</v>
      </c>
      <c r="AS2415" t="s">
        <v>1259</v>
      </c>
      <c r="AT2415" s="30">
        <v>46071.738194444442</v>
      </c>
    </row>
    <row r="2416" spans="1:46" x14ac:dyDescent="0.25">
      <c r="A2416" t="s">
        <v>1248</v>
      </c>
      <c r="B2416">
        <v>251652</v>
      </c>
      <c r="C2416">
        <v>352137</v>
      </c>
      <c r="D2416">
        <v>405</v>
      </c>
      <c r="E2416" t="s">
        <v>1266</v>
      </c>
      <c r="G2416">
        <v>745</v>
      </c>
      <c r="H2416">
        <v>1867</v>
      </c>
      <c r="K2416" t="s">
        <v>2219</v>
      </c>
      <c r="L2416" t="s">
        <v>2219</v>
      </c>
      <c r="M2416" t="s">
        <v>2246</v>
      </c>
      <c r="N2416">
        <v>0</v>
      </c>
      <c r="O2416" t="s">
        <v>2246</v>
      </c>
      <c r="P2416">
        <v>0</v>
      </c>
      <c r="Q2416">
        <v>0</v>
      </c>
      <c r="R2416">
        <v>0</v>
      </c>
      <c r="T2416" s="29">
        <v>205000</v>
      </c>
      <c r="U2416" s="29">
        <v>297250</v>
      </c>
      <c r="V2416" t="s">
        <v>1262</v>
      </c>
      <c r="W2416" t="s">
        <v>1262</v>
      </c>
      <c r="X2416" s="29">
        <v>297250</v>
      </c>
      <c r="AA2416" s="30">
        <v>45744.541666666664</v>
      </c>
      <c r="AB2416" s="30">
        <v>45749.458333333336</v>
      </c>
      <c r="AC2416" s="30">
        <v>45744.541666666664</v>
      </c>
      <c r="AD2416" s="30">
        <v>45749.458333333336</v>
      </c>
      <c r="AE2416" s="30">
        <v>45785.583333333336</v>
      </c>
      <c r="AF2416" s="30">
        <v>45790.5</v>
      </c>
      <c r="AG2416" t="s">
        <v>1266</v>
      </c>
      <c r="AK2416" t="s">
        <v>1265</v>
      </c>
      <c r="AL2416" t="s">
        <v>2253</v>
      </c>
      <c r="AM2416" t="s">
        <v>1263</v>
      </c>
      <c r="AN2416" t="s">
        <v>1262</v>
      </c>
      <c r="AO2416">
        <v>0</v>
      </c>
      <c r="AQ2416" t="s">
        <v>1261</v>
      </c>
      <c r="AR2416" t="s">
        <v>1260</v>
      </c>
      <c r="AS2416" t="s">
        <v>1259</v>
      </c>
      <c r="AT2416" s="30">
        <v>46071.738194444442</v>
      </c>
    </row>
    <row r="2417" spans="1:46" x14ac:dyDescent="0.25">
      <c r="A2417" t="s">
        <v>1248</v>
      </c>
      <c r="B2417">
        <v>251653</v>
      </c>
      <c r="C2417">
        <v>352144</v>
      </c>
      <c r="D2417">
        <v>405</v>
      </c>
      <c r="E2417" t="s">
        <v>1266</v>
      </c>
      <c r="G2417">
        <v>745</v>
      </c>
      <c r="H2417">
        <v>1867</v>
      </c>
      <c r="K2417" t="s">
        <v>2219</v>
      </c>
      <c r="L2417" t="s">
        <v>2219</v>
      </c>
      <c r="M2417" t="s">
        <v>2246</v>
      </c>
      <c r="N2417">
        <v>0</v>
      </c>
      <c r="O2417" t="s">
        <v>2246</v>
      </c>
      <c r="P2417">
        <v>0</v>
      </c>
      <c r="Q2417">
        <v>0</v>
      </c>
      <c r="R2417">
        <v>0</v>
      </c>
      <c r="T2417" s="29">
        <v>205000</v>
      </c>
      <c r="U2417" s="29">
        <v>297250</v>
      </c>
      <c r="V2417" t="s">
        <v>1262</v>
      </c>
      <c r="W2417" t="s">
        <v>1262</v>
      </c>
      <c r="X2417" s="29">
        <v>297250</v>
      </c>
      <c r="AA2417" s="30">
        <v>45742.583333333336</v>
      </c>
      <c r="AB2417" s="30">
        <v>45747.5</v>
      </c>
      <c r="AC2417" s="30">
        <v>45742.583333333336</v>
      </c>
      <c r="AD2417" s="30">
        <v>45747.5</v>
      </c>
      <c r="AE2417" s="30">
        <v>45779.583333333336</v>
      </c>
      <c r="AF2417" s="30">
        <v>45784.5</v>
      </c>
      <c r="AG2417" t="s">
        <v>1266</v>
      </c>
      <c r="AK2417" t="s">
        <v>1265</v>
      </c>
      <c r="AL2417" t="s">
        <v>2252</v>
      </c>
      <c r="AM2417" t="s">
        <v>1263</v>
      </c>
      <c r="AN2417" t="s">
        <v>1262</v>
      </c>
      <c r="AO2417">
        <v>0</v>
      </c>
      <c r="AQ2417" t="s">
        <v>1261</v>
      </c>
      <c r="AR2417" t="s">
        <v>1260</v>
      </c>
      <c r="AS2417" t="s">
        <v>1259</v>
      </c>
      <c r="AT2417" s="30">
        <v>46071.738194444442</v>
      </c>
    </row>
    <row r="2418" spans="1:46" x14ac:dyDescent="0.25">
      <c r="A2418" t="s">
        <v>1248</v>
      </c>
      <c r="B2418">
        <v>251654</v>
      </c>
      <c r="C2418">
        <v>352151</v>
      </c>
      <c r="D2418">
        <v>405</v>
      </c>
      <c r="E2418" t="s">
        <v>1266</v>
      </c>
      <c r="G2418">
        <v>745</v>
      </c>
      <c r="H2418">
        <v>1867</v>
      </c>
      <c r="K2418" t="s">
        <v>2219</v>
      </c>
      <c r="L2418" t="s">
        <v>2219</v>
      </c>
      <c r="M2418" t="s">
        <v>2246</v>
      </c>
      <c r="N2418">
        <v>0</v>
      </c>
      <c r="O2418" t="s">
        <v>2246</v>
      </c>
      <c r="P2418">
        <v>0</v>
      </c>
      <c r="Q2418">
        <v>0</v>
      </c>
      <c r="R2418">
        <v>0</v>
      </c>
      <c r="T2418" s="29">
        <v>205000</v>
      </c>
      <c r="U2418" s="29">
        <v>297250</v>
      </c>
      <c r="V2418" t="s">
        <v>1262</v>
      </c>
      <c r="W2418" t="s">
        <v>1262</v>
      </c>
      <c r="X2418" s="29">
        <v>297250</v>
      </c>
      <c r="AA2418" s="30">
        <v>45740.625</v>
      </c>
      <c r="AB2418" s="30">
        <v>45743.583333333336</v>
      </c>
      <c r="AC2418" s="30">
        <v>45740.625</v>
      </c>
      <c r="AD2418" s="30">
        <v>45743.583333333336</v>
      </c>
      <c r="AE2418" s="30">
        <v>45775.583333333336</v>
      </c>
      <c r="AF2418" s="30">
        <v>45778.5</v>
      </c>
      <c r="AG2418" t="s">
        <v>1266</v>
      </c>
      <c r="AK2418" t="s">
        <v>1265</v>
      </c>
      <c r="AL2418" t="s">
        <v>2251</v>
      </c>
      <c r="AM2418" t="s">
        <v>1263</v>
      </c>
      <c r="AN2418" t="s">
        <v>1262</v>
      </c>
      <c r="AO2418">
        <v>0</v>
      </c>
      <c r="AQ2418" t="s">
        <v>1261</v>
      </c>
      <c r="AR2418" t="s">
        <v>1260</v>
      </c>
      <c r="AS2418" t="s">
        <v>1259</v>
      </c>
      <c r="AT2418" s="30">
        <v>46071.738194444442</v>
      </c>
    </row>
    <row r="2419" spans="1:46" x14ac:dyDescent="0.25">
      <c r="A2419" t="s">
        <v>1248</v>
      </c>
      <c r="B2419">
        <v>251655</v>
      </c>
      <c r="C2419">
        <v>352158</v>
      </c>
      <c r="D2419">
        <v>405</v>
      </c>
      <c r="E2419" t="s">
        <v>1266</v>
      </c>
      <c r="G2419">
        <v>745</v>
      </c>
      <c r="H2419">
        <v>1867</v>
      </c>
      <c r="K2419" t="s">
        <v>2219</v>
      </c>
      <c r="L2419" t="s">
        <v>2219</v>
      </c>
      <c r="M2419" t="s">
        <v>2246</v>
      </c>
      <c r="N2419">
        <v>0</v>
      </c>
      <c r="O2419" t="s">
        <v>2246</v>
      </c>
      <c r="P2419">
        <v>0</v>
      </c>
      <c r="Q2419">
        <v>0</v>
      </c>
      <c r="R2419">
        <v>0</v>
      </c>
      <c r="T2419" s="29">
        <v>205000</v>
      </c>
      <c r="U2419" s="29">
        <v>297250</v>
      </c>
      <c r="V2419" t="s">
        <v>1262</v>
      </c>
      <c r="W2419" t="s">
        <v>1262</v>
      </c>
      <c r="X2419" s="29">
        <v>297250</v>
      </c>
      <c r="AA2419" s="30">
        <v>45736.666666666664</v>
      </c>
      <c r="AB2419" s="30">
        <v>45741.625</v>
      </c>
      <c r="AC2419" s="30">
        <v>45736.666666666664</v>
      </c>
      <c r="AD2419" s="30">
        <v>45741.625</v>
      </c>
      <c r="AE2419" s="30">
        <v>45769.583333333336</v>
      </c>
      <c r="AF2419" s="30">
        <v>45772.5</v>
      </c>
      <c r="AG2419" t="s">
        <v>1266</v>
      </c>
      <c r="AK2419" t="s">
        <v>1265</v>
      </c>
      <c r="AL2419" t="s">
        <v>2250</v>
      </c>
      <c r="AM2419" t="s">
        <v>1263</v>
      </c>
      <c r="AN2419" t="s">
        <v>1262</v>
      </c>
      <c r="AO2419">
        <v>0</v>
      </c>
      <c r="AQ2419" t="s">
        <v>1261</v>
      </c>
      <c r="AR2419" t="s">
        <v>1260</v>
      </c>
      <c r="AS2419" t="s">
        <v>1259</v>
      </c>
      <c r="AT2419" s="30">
        <v>46071.738194444442</v>
      </c>
    </row>
    <row r="2420" spans="1:46" x14ac:dyDescent="0.25">
      <c r="A2420" t="s">
        <v>1248</v>
      </c>
      <c r="B2420">
        <v>251656</v>
      </c>
      <c r="C2420">
        <v>352165</v>
      </c>
      <c r="D2420">
        <v>405</v>
      </c>
      <c r="E2420" t="s">
        <v>1266</v>
      </c>
      <c r="G2420">
        <v>745</v>
      </c>
      <c r="H2420">
        <v>1867</v>
      </c>
      <c r="K2420" t="s">
        <v>2219</v>
      </c>
      <c r="L2420" t="s">
        <v>2219</v>
      </c>
      <c r="M2420" t="s">
        <v>2246</v>
      </c>
      <c r="N2420">
        <v>0</v>
      </c>
      <c r="O2420" t="s">
        <v>2246</v>
      </c>
      <c r="P2420">
        <v>0</v>
      </c>
      <c r="Q2420">
        <v>0</v>
      </c>
      <c r="R2420">
        <v>0</v>
      </c>
      <c r="T2420" s="29">
        <v>205000</v>
      </c>
      <c r="U2420" s="29">
        <v>297250</v>
      </c>
      <c r="V2420" t="s">
        <v>1262</v>
      </c>
      <c r="W2420" t="s">
        <v>1262</v>
      </c>
      <c r="X2420" s="29">
        <v>297250</v>
      </c>
      <c r="AA2420" s="30">
        <v>45723.625</v>
      </c>
      <c r="AB2420" s="30">
        <v>45728.583333333336</v>
      </c>
      <c r="AC2420" s="30">
        <v>45723.625</v>
      </c>
      <c r="AD2420" s="30">
        <v>45728.583333333336</v>
      </c>
      <c r="AE2420" s="30">
        <v>45763.583333333336</v>
      </c>
      <c r="AF2420" s="30">
        <v>45768.5</v>
      </c>
      <c r="AG2420" t="s">
        <v>1266</v>
      </c>
      <c r="AK2420" t="s">
        <v>1265</v>
      </c>
      <c r="AL2420" t="s">
        <v>2249</v>
      </c>
      <c r="AM2420" t="s">
        <v>1263</v>
      </c>
      <c r="AN2420" t="s">
        <v>1262</v>
      </c>
      <c r="AO2420">
        <v>0</v>
      </c>
      <c r="AQ2420" t="s">
        <v>1261</v>
      </c>
      <c r="AR2420" t="s">
        <v>1260</v>
      </c>
      <c r="AS2420" t="s">
        <v>1259</v>
      </c>
      <c r="AT2420" s="30">
        <v>46071.738194444442</v>
      </c>
    </row>
    <row r="2421" spans="1:46" x14ac:dyDescent="0.25">
      <c r="A2421" t="s">
        <v>1248</v>
      </c>
      <c r="B2421">
        <v>251657</v>
      </c>
      <c r="C2421">
        <v>352172</v>
      </c>
      <c r="D2421">
        <v>405</v>
      </c>
      <c r="E2421" t="s">
        <v>1266</v>
      </c>
      <c r="G2421">
        <v>745</v>
      </c>
      <c r="H2421">
        <v>1867</v>
      </c>
      <c r="K2421" t="s">
        <v>2219</v>
      </c>
      <c r="L2421" t="s">
        <v>2219</v>
      </c>
      <c r="M2421" t="s">
        <v>2246</v>
      </c>
      <c r="N2421">
        <v>0</v>
      </c>
      <c r="O2421" t="s">
        <v>2246</v>
      </c>
      <c r="P2421">
        <v>0</v>
      </c>
      <c r="Q2421">
        <v>0</v>
      </c>
      <c r="R2421">
        <v>0</v>
      </c>
      <c r="T2421" s="29">
        <v>205000</v>
      </c>
      <c r="U2421" s="29">
        <v>297250</v>
      </c>
      <c r="V2421" t="s">
        <v>1262</v>
      </c>
      <c r="W2421" t="s">
        <v>1262</v>
      </c>
      <c r="X2421" s="29">
        <v>297250</v>
      </c>
      <c r="AA2421" s="30">
        <v>45720.666666666664</v>
      </c>
      <c r="AB2421" s="30">
        <v>45723.625</v>
      </c>
      <c r="AC2421" s="30">
        <v>45720.666666666664</v>
      </c>
      <c r="AD2421" s="30">
        <v>45723.625</v>
      </c>
      <c r="AE2421" s="30">
        <v>45757.583333333336</v>
      </c>
      <c r="AF2421" s="30">
        <v>45762.5</v>
      </c>
      <c r="AG2421" t="s">
        <v>1266</v>
      </c>
      <c r="AK2421" t="s">
        <v>1265</v>
      </c>
      <c r="AL2421" t="s">
        <v>2248</v>
      </c>
      <c r="AM2421" t="s">
        <v>1263</v>
      </c>
      <c r="AN2421" t="s">
        <v>1262</v>
      </c>
      <c r="AO2421">
        <v>0</v>
      </c>
      <c r="AQ2421" t="s">
        <v>1261</v>
      </c>
      <c r="AR2421" t="s">
        <v>1260</v>
      </c>
      <c r="AS2421" t="s">
        <v>1259</v>
      </c>
      <c r="AT2421" s="30">
        <v>46071.738194444442</v>
      </c>
    </row>
    <row r="2422" spans="1:46" x14ac:dyDescent="0.25">
      <c r="A2422" t="s">
        <v>1248</v>
      </c>
      <c r="B2422">
        <v>251658</v>
      </c>
      <c r="C2422">
        <v>352179</v>
      </c>
      <c r="D2422">
        <v>405</v>
      </c>
      <c r="E2422" t="s">
        <v>1266</v>
      </c>
      <c r="G2422">
        <v>745</v>
      </c>
      <c r="H2422">
        <v>1867</v>
      </c>
      <c r="K2422" t="s">
        <v>2219</v>
      </c>
      <c r="L2422" t="s">
        <v>2219</v>
      </c>
      <c r="M2422" t="s">
        <v>2246</v>
      </c>
      <c r="N2422">
        <v>0</v>
      </c>
      <c r="O2422" t="s">
        <v>2246</v>
      </c>
      <c r="P2422">
        <v>0</v>
      </c>
      <c r="Q2422">
        <v>0</v>
      </c>
      <c r="R2422">
        <v>0</v>
      </c>
      <c r="T2422" s="29">
        <v>205000</v>
      </c>
      <c r="U2422" s="29">
        <v>297250</v>
      </c>
      <c r="V2422" t="s">
        <v>1262</v>
      </c>
      <c r="W2422" t="s">
        <v>1262</v>
      </c>
      <c r="X2422" s="29">
        <v>297250</v>
      </c>
      <c r="AA2422" s="30">
        <v>45726.333333333336</v>
      </c>
      <c r="AB2422" s="30">
        <v>45728.666666666664</v>
      </c>
      <c r="AC2422" s="30">
        <v>45726.333333333336</v>
      </c>
      <c r="AD2422" s="30">
        <v>45728.666666666664</v>
      </c>
      <c r="AE2422" s="30">
        <v>45751.583333333336</v>
      </c>
      <c r="AF2422" s="30">
        <v>45756.5</v>
      </c>
      <c r="AG2422" t="s">
        <v>1266</v>
      </c>
      <c r="AK2422" t="s">
        <v>1265</v>
      </c>
      <c r="AL2422" t="s">
        <v>2247</v>
      </c>
      <c r="AM2422" t="s">
        <v>1263</v>
      </c>
      <c r="AN2422" t="s">
        <v>1262</v>
      </c>
      <c r="AO2422">
        <v>0</v>
      </c>
      <c r="AQ2422" t="s">
        <v>1261</v>
      </c>
      <c r="AR2422" t="s">
        <v>1260</v>
      </c>
      <c r="AS2422" t="s">
        <v>1259</v>
      </c>
      <c r="AT2422" s="30">
        <v>46071.738194444442</v>
      </c>
    </row>
    <row r="2423" spans="1:46" x14ac:dyDescent="0.25">
      <c r="A2423" t="s">
        <v>1248</v>
      </c>
      <c r="B2423">
        <v>251659</v>
      </c>
      <c r="C2423">
        <v>352186</v>
      </c>
      <c r="D2423">
        <v>405</v>
      </c>
      <c r="E2423" t="s">
        <v>1266</v>
      </c>
      <c r="G2423">
        <v>745</v>
      </c>
      <c r="H2423">
        <v>1867</v>
      </c>
      <c r="K2423" s="29">
        <v>1513043</v>
      </c>
      <c r="L2423" s="29">
        <v>1513043</v>
      </c>
      <c r="M2423" t="s">
        <v>2246</v>
      </c>
      <c r="N2423">
        <v>0</v>
      </c>
      <c r="O2423" t="s">
        <v>2246</v>
      </c>
      <c r="P2423">
        <v>0</v>
      </c>
      <c r="Q2423">
        <v>0</v>
      </c>
      <c r="R2423">
        <v>0</v>
      </c>
      <c r="T2423" s="29">
        <v>205000</v>
      </c>
      <c r="U2423" s="29">
        <v>310174</v>
      </c>
      <c r="V2423" t="s">
        <v>1262</v>
      </c>
      <c r="W2423" t="s">
        <v>1262</v>
      </c>
      <c r="X2423" s="29">
        <v>310174</v>
      </c>
      <c r="AA2423" s="30">
        <v>45721.333333333336</v>
      </c>
      <c r="AB2423" s="30">
        <v>45723.708333333336</v>
      </c>
      <c r="AC2423" s="30">
        <v>45721.333333333336</v>
      </c>
      <c r="AD2423" s="30">
        <v>45723.708333333336</v>
      </c>
      <c r="AE2423" s="30">
        <v>45747.333333333336</v>
      </c>
      <c r="AF2423" s="30">
        <v>45749.708333333336</v>
      </c>
      <c r="AG2423" t="s">
        <v>1266</v>
      </c>
      <c r="AK2423" t="s">
        <v>1265</v>
      </c>
      <c r="AL2423" t="s">
        <v>2245</v>
      </c>
      <c r="AM2423" t="s">
        <v>1263</v>
      </c>
      <c r="AN2423" t="s">
        <v>1262</v>
      </c>
      <c r="AO2423">
        <v>0</v>
      </c>
      <c r="AQ2423" t="s">
        <v>1261</v>
      </c>
      <c r="AR2423" t="s">
        <v>1260</v>
      </c>
      <c r="AS2423" t="s">
        <v>1259</v>
      </c>
      <c r="AT2423" s="30">
        <v>46071.738194444442</v>
      </c>
    </row>
    <row r="2424" spans="1:46" x14ac:dyDescent="0.25">
      <c r="A2424" t="s">
        <v>1248</v>
      </c>
      <c r="B2424">
        <v>252855</v>
      </c>
      <c r="C2424">
        <v>352193</v>
      </c>
      <c r="D2424">
        <v>405</v>
      </c>
      <c r="E2424" t="s">
        <v>1266</v>
      </c>
      <c r="G2424">
        <v>745</v>
      </c>
      <c r="H2424">
        <v>1867</v>
      </c>
      <c r="K2424" t="s">
        <v>2219</v>
      </c>
      <c r="L2424" t="s">
        <v>2219</v>
      </c>
      <c r="M2424" t="s">
        <v>2218</v>
      </c>
      <c r="N2424">
        <v>0</v>
      </c>
      <c r="O2424" t="s">
        <v>2218</v>
      </c>
      <c r="P2424">
        <v>0</v>
      </c>
      <c r="Q2424">
        <v>0</v>
      </c>
      <c r="R2424">
        <v>0</v>
      </c>
      <c r="T2424" s="29">
        <v>205000</v>
      </c>
      <c r="U2424" s="29">
        <v>297250</v>
      </c>
      <c r="V2424" t="s">
        <v>1262</v>
      </c>
      <c r="W2424" t="s">
        <v>1262</v>
      </c>
      <c r="X2424" s="29">
        <v>297250</v>
      </c>
      <c r="AA2424" s="30">
        <v>45896.666666666664</v>
      </c>
      <c r="AB2424" s="30">
        <v>45897.425000000003</v>
      </c>
      <c r="AC2424" s="30">
        <v>45896.666666666664</v>
      </c>
      <c r="AD2424" s="30">
        <v>45897.425000000003</v>
      </c>
      <c r="AE2424" s="30">
        <v>46395.366666666669</v>
      </c>
      <c r="AF2424" s="30">
        <v>46395.5</v>
      </c>
      <c r="AG2424" t="s">
        <v>1266</v>
      </c>
      <c r="AK2424" t="s">
        <v>1265</v>
      </c>
      <c r="AL2424" t="s">
        <v>2244</v>
      </c>
      <c r="AM2424" t="s">
        <v>1263</v>
      </c>
      <c r="AN2424" t="s">
        <v>1262</v>
      </c>
      <c r="AO2424">
        <v>0</v>
      </c>
      <c r="AQ2424" t="s">
        <v>1261</v>
      </c>
      <c r="AR2424" t="s">
        <v>1260</v>
      </c>
      <c r="AS2424" t="s">
        <v>1259</v>
      </c>
      <c r="AT2424" s="30">
        <v>46072.478472222225</v>
      </c>
    </row>
    <row r="2425" spans="1:46" x14ac:dyDescent="0.25">
      <c r="A2425" t="s">
        <v>1248</v>
      </c>
      <c r="B2425">
        <v>252856</v>
      </c>
      <c r="C2425">
        <v>352200</v>
      </c>
      <c r="D2425">
        <v>405</v>
      </c>
      <c r="E2425" t="s">
        <v>1266</v>
      </c>
      <c r="G2425">
        <v>745</v>
      </c>
      <c r="H2425">
        <v>1867</v>
      </c>
      <c r="K2425" t="s">
        <v>2219</v>
      </c>
      <c r="L2425" t="s">
        <v>2219</v>
      </c>
      <c r="M2425" t="s">
        <v>2218</v>
      </c>
      <c r="N2425">
        <v>0</v>
      </c>
      <c r="O2425" t="s">
        <v>2218</v>
      </c>
      <c r="P2425">
        <v>0</v>
      </c>
      <c r="Q2425">
        <v>0</v>
      </c>
      <c r="R2425">
        <v>0</v>
      </c>
      <c r="T2425" s="29">
        <v>205000</v>
      </c>
      <c r="U2425" s="29">
        <v>297250</v>
      </c>
      <c r="V2425" t="s">
        <v>1262</v>
      </c>
      <c r="W2425" t="s">
        <v>1262</v>
      </c>
      <c r="X2425" s="29">
        <v>297250</v>
      </c>
      <c r="AA2425" s="30">
        <v>45891.666666666664</v>
      </c>
      <c r="AB2425" s="30">
        <v>45894.425000000003</v>
      </c>
      <c r="AC2425" s="30">
        <v>45891.666666666664</v>
      </c>
      <c r="AD2425" s="30">
        <v>45894.425000000003</v>
      </c>
      <c r="AE2425" s="30">
        <v>46374.366666666669</v>
      </c>
      <c r="AF2425" s="30">
        <v>46374.5</v>
      </c>
      <c r="AG2425" t="s">
        <v>1266</v>
      </c>
      <c r="AK2425" t="s">
        <v>1265</v>
      </c>
      <c r="AL2425" t="s">
        <v>2243</v>
      </c>
      <c r="AM2425" t="s">
        <v>1263</v>
      </c>
      <c r="AN2425" t="s">
        <v>1262</v>
      </c>
      <c r="AO2425">
        <v>0</v>
      </c>
      <c r="AQ2425" t="s">
        <v>1261</v>
      </c>
      <c r="AR2425" t="s">
        <v>1260</v>
      </c>
      <c r="AS2425" t="s">
        <v>1259</v>
      </c>
      <c r="AT2425" s="30">
        <v>46072.478472222225</v>
      </c>
    </row>
    <row r="2426" spans="1:46" x14ac:dyDescent="0.25">
      <c r="A2426" t="s">
        <v>1248</v>
      </c>
      <c r="B2426">
        <v>252857</v>
      </c>
      <c r="C2426">
        <v>352207</v>
      </c>
      <c r="D2426">
        <v>405</v>
      </c>
      <c r="E2426" t="s">
        <v>1266</v>
      </c>
      <c r="G2426">
        <v>745</v>
      </c>
      <c r="H2426">
        <v>1867</v>
      </c>
      <c r="K2426" t="s">
        <v>2219</v>
      </c>
      <c r="L2426" t="s">
        <v>2219</v>
      </c>
      <c r="M2426" t="s">
        <v>2218</v>
      </c>
      <c r="N2426">
        <v>0</v>
      </c>
      <c r="O2426" t="s">
        <v>2218</v>
      </c>
      <c r="P2426">
        <v>0</v>
      </c>
      <c r="Q2426">
        <v>0</v>
      </c>
      <c r="R2426">
        <v>0</v>
      </c>
      <c r="T2426" s="29">
        <v>205000</v>
      </c>
      <c r="U2426" s="29">
        <v>297250</v>
      </c>
      <c r="V2426" t="s">
        <v>1262</v>
      </c>
      <c r="W2426" t="s">
        <v>1262</v>
      </c>
      <c r="X2426" s="29">
        <v>297250</v>
      </c>
      <c r="AA2426" s="30">
        <v>45888.666666666664</v>
      </c>
      <c r="AB2426" s="30">
        <v>45889.425000000003</v>
      </c>
      <c r="AC2426" s="30">
        <v>45888.666666666664</v>
      </c>
      <c r="AD2426" s="30">
        <v>45889.425000000003</v>
      </c>
      <c r="AE2426" s="30">
        <v>46357.366666666669</v>
      </c>
      <c r="AF2426" s="30">
        <v>46357.5</v>
      </c>
      <c r="AG2426" t="s">
        <v>1266</v>
      </c>
      <c r="AK2426" t="s">
        <v>1265</v>
      </c>
      <c r="AL2426" t="s">
        <v>2242</v>
      </c>
      <c r="AM2426" t="s">
        <v>1263</v>
      </c>
      <c r="AN2426" t="s">
        <v>1262</v>
      </c>
      <c r="AO2426">
        <v>0</v>
      </c>
      <c r="AQ2426" t="s">
        <v>1261</v>
      </c>
      <c r="AR2426" t="s">
        <v>1260</v>
      </c>
      <c r="AS2426" t="s">
        <v>1259</v>
      </c>
      <c r="AT2426" s="30">
        <v>46072.478472222225</v>
      </c>
    </row>
    <row r="2427" spans="1:46" x14ac:dyDescent="0.25">
      <c r="A2427" t="s">
        <v>1248</v>
      </c>
      <c r="B2427">
        <v>252858</v>
      </c>
      <c r="C2427">
        <v>352214</v>
      </c>
      <c r="D2427">
        <v>405</v>
      </c>
      <c r="E2427" t="s">
        <v>1266</v>
      </c>
      <c r="G2427">
        <v>745</v>
      </c>
      <c r="H2427">
        <v>1867</v>
      </c>
      <c r="K2427" t="s">
        <v>2219</v>
      </c>
      <c r="L2427" t="s">
        <v>2219</v>
      </c>
      <c r="M2427" t="s">
        <v>2241</v>
      </c>
      <c r="N2427">
        <v>0</v>
      </c>
      <c r="O2427" t="s">
        <v>2241</v>
      </c>
      <c r="P2427">
        <v>0</v>
      </c>
      <c r="Q2427">
        <v>0</v>
      </c>
      <c r="R2427">
        <v>0</v>
      </c>
      <c r="T2427" s="29">
        <v>205000</v>
      </c>
      <c r="U2427" s="29">
        <v>297250</v>
      </c>
      <c r="V2427" t="s">
        <v>1262</v>
      </c>
      <c r="W2427" t="s">
        <v>1262</v>
      </c>
      <c r="X2427" s="29">
        <v>297250</v>
      </c>
      <c r="AA2427" s="30">
        <v>45883.666666666664</v>
      </c>
      <c r="AB2427" s="30">
        <v>45891.463888888888</v>
      </c>
      <c r="AC2427" s="30">
        <v>45883.666666666664</v>
      </c>
      <c r="AD2427" s="30">
        <v>45891.463888888888</v>
      </c>
      <c r="AE2427" s="30">
        <v>46331.702777777777</v>
      </c>
      <c r="AF2427" s="30">
        <v>46339.5</v>
      </c>
      <c r="AG2427" t="s">
        <v>1266</v>
      </c>
      <c r="AK2427" t="s">
        <v>1265</v>
      </c>
      <c r="AL2427" t="s">
        <v>2240</v>
      </c>
      <c r="AM2427" t="s">
        <v>1263</v>
      </c>
      <c r="AN2427" t="s">
        <v>1262</v>
      </c>
      <c r="AO2427">
        <v>0</v>
      </c>
      <c r="AQ2427" t="s">
        <v>1261</v>
      </c>
      <c r="AR2427" t="s">
        <v>1260</v>
      </c>
      <c r="AS2427" t="s">
        <v>1259</v>
      </c>
      <c r="AT2427" s="30">
        <v>46072.478472222225</v>
      </c>
    </row>
    <row r="2428" spans="1:46" x14ac:dyDescent="0.25">
      <c r="A2428" t="s">
        <v>1248</v>
      </c>
      <c r="B2428">
        <v>252859</v>
      </c>
      <c r="C2428">
        <v>352221</v>
      </c>
      <c r="D2428">
        <v>405</v>
      </c>
      <c r="E2428" t="s">
        <v>1266</v>
      </c>
      <c r="G2428">
        <v>745</v>
      </c>
      <c r="H2428">
        <v>1867</v>
      </c>
      <c r="K2428" t="s">
        <v>2219</v>
      </c>
      <c r="L2428" t="s">
        <v>2219</v>
      </c>
      <c r="M2428" t="s">
        <v>2218</v>
      </c>
      <c r="N2428">
        <v>0</v>
      </c>
      <c r="O2428" t="s">
        <v>2218</v>
      </c>
      <c r="P2428">
        <v>0</v>
      </c>
      <c r="Q2428">
        <v>0</v>
      </c>
      <c r="R2428">
        <v>0</v>
      </c>
      <c r="T2428" s="29">
        <v>205000</v>
      </c>
      <c r="U2428" s="29">
        <v>297250</v>
      </c>
      <c r="V2428" t="s">
        <v>1262</v>
      </c>
      <c r="W2428" t="s">
        <v>1262</v>
      </c>
      <c r="X2428" s="29">
        <v>297250</v>
      </c>
      <c r="AA2428" s="30">
        <v>45881.416666666664</v>
      </c>
      <c r="AB2428" s="30">
        <v>45881.591666666667</v>
      </c>
      <c r="AC2428" s="30">
        <v>45881.416666666664</v>
      </c>
      <c r="AD2428" s="30">
        <v>45881.591666666667</v>
      </c>
      <c r="AE2428" s="30">
        <v>46323.366666666669</v>
      </c>
      <c r="AF2428" s="30">
        <v>46323.5</v>
      </c>
      <c r="AG2428" t="s">
        <v>1266</v>
      </c>
      <c r="AK2428" t="s">
        <v>1265</v>
      </c>
      <c r="AL2428" t="s">
        <v>2239</v>
      </c>
      <c r="AM2428" t="s">
        <v>1263</v>
      </c>
      <c r="AN2428" t="s">
        <v>1262</v>
      </c>
      <c r="AO2428">
        <v>0</v>
      </c>
      <c r="AQ2428" t="s">
        <v>1261</v>
      </c>
      <c r="AR2428" t="s">
        <v>1260</v>
      </c>
      <c r="AS2428" t="s">
        <v>1259</v>
      </c>
      <c r="AT2428" s="30">
        <v>46072.478472222225</v>
      </c>
    </row>
    <row r="2429" spans="1:46" x14ac:dyDescent="0.25">
      <c r="A2429" t="s">
        <v>1248</v>
      </c>
      <c r="B2429">
        <v>252860</v>
      </c>
      <c r="C2429">
        <v>352228</v>
      </c>
      <c r="D2429">
        <v>405</v>
      </c>
      <c r="E2429" t="s">
        <v>1266</v>
      </c>
      <c r="G2429">
        <v>745</v>
      </c>
      <c r="H2429">
        <v>1867</v>
      </c>
      <c r="K2429" t="s">
        <v>2219</v>
      </c>
      <c r="L2429" t="s">
        <v>2219</v>
      </c>
      <c r="M2429" t="s">
        <v>2218</v>
      </c>
      <c r="N2429">
        <v>0</v>
      </c>
      <c r="O2429" t="s">
        <v>2218</v>
      </c>
      <c r="P2429">
        <v>0</v>
      </c>
      <c r="Q2429">
        <v>0</v>
      </c>
      <c r="R2429">
        <v>0</v>
      </c>
      <c r="T2429" s="29">
        <v>205000</v>
      </c>
      <c r="U2429" s="29">
        <v>297250</v>
      </c>
      <c r="V2429" t="s">
        <v>1262</v>
      </c>
      <c r="W2429" t="s">
        <v>1262</v>
      </c>
      <c r="X2429" s="29">
        <v>297250</v>
      </c>
      <c r="AA2429" s="30">
        <v>45877.458333333336</v>
      </c>
      <c r="AB2429" s="30">
        <v>45877.633333333331</v>
      </c>
      <c r="AC2429" s="30">
        <v>45877.458333333336</v>
      </c>
      <c r="AD2429" s="30">
        <v>45877.633333333331</v>
      </c>
      <c r="AE2429" s="30">
        <v>46307.366666666669</v>
      </c>
      <c r="AF2429" s="30">
        <v>46307.5</v>
      </c>
      <c r="AG2429" t="s">
        <v>1266</v>
      </c>
      <c r="AK2429" t="s">
        <v>1265</v>
      </c>
      <c r="AL2429" t="s">
        <v>2238</v>
      </c>
      <c r="AM2429" t="s">
        <v>1263</v>
      </c>
      <c r="AN2429" t="s">
        <v>1262</v>
      </c>
      <c r="AO2429">
        <v>0</v>
      </c>
      <c r="AQ2429" t="s">
        <v>1261</v>
      </c>
      <c r="AR2429" t="s">
        <v>1260</v>
      </c>
      <c r="AS2429" t="s">
        <v>1259</v>
      </c>
      <c r="AT2429" s="30">
        <v>46072.478472222225</v>
      </c>
    </row>
    <row r="2430" spans="1:46" x14ac:dyDescent="0.25">
      <c r="A2430" t="s">
        <v>1248</v>
      </c>
      <c r="B2430">
        <v>252861</v>
      </c>
      <c r="C2430">
        <v>352235</v>
      </c>
      <c r="D2430">
        <v>405</v>
      </c>
      <c r="E2430" t="s">
        <v>1266</v>
      </c>
      <c r="G2430">
        <v>745</v>
      </c>
      <c r="H2430">
        <v>1867</v>
      </c>
      <c r="K2430" t="s">
        <v>2219</v>
      </c>
      <c r="L2430" t="s">
        <v>2219</v>
      </c>
      <c r="M2430" t="s">
        <v>2218</v>
      </c>
      <c r="N2430">
        <v>0</v>
      </c>
      <c r="O2430" t="s">
        <v>2218</v>
      </c>
      <c r="P2430">
        <v>0</v>
      </c>
      <c r="Q2430">
        <v>0</v>
      </c>
      <c r="R2430">
        <v>0</v>
      </c>
      <c r="T2430" s="29">
        <v>205000</v>
      </c>
      <c r="U2430" s="29">
        <v>297250</v>
      </c>
      <c r="V2430" t="s">
        <v>1262</v>
      </c>
      <c r="W2430" t="s">
        <v>1262</v>
      </c>
      <c r="X2430" s="29">
        <v>297250</v>
      </c>
      <c r="AA2430" s="30">
        <v>45875.541666666664</v>
      </c>
      <c r="AB2430" s="30">
        <v>45875.675000000003</v>
      </c>
      <c r="AC2430" s="30">
        <v>45875.541666666664</v>
      </c>
      <c r="AD2430" s="30">
        <v>45875.675000000003</v>
      </c>
      <c r="AE2430" s="30">
        <v>46289.366666666669</v>
      </c>
      <c r="AF2430" s="30">
        <v>46289.5</v>
      </c>
      <c r="AG2430" t="s">
        <v>1266</v>
      </c>
      <c r="AK2430" t="s">
        <v>1265</v>
      </c>
      <c r="AL2430" t="s">
        <v>2237</v>
      </c>
      <c r="AM2430" t="s">
        <v>1263</v>
      </c>
      <c r="AN2430" t="s">
        <v>1262</v>
      </c>
      <c r="AO2430">
        <v>0</v>
      </c>
      <c r="AQ2430" t="s">
        <v>1261</v>
      </c>
      <c r="AR2430" t="s">
        <v>1260</v>
      </c>
      <c r="AS2430" t="s">
        <v>1259</v>
      </c>
      <c r="AT2430" s="30">
        <v>46072.478472222225</v>
      </c>
    </row>
    <row r="2431" spans="1:46" x14ac:dyDescent="0.25">
      <c r="A2431" t="s">
        <v>1248</v>
      </c>
      <c r="B2431">
        <v>252862</v>
      </c>
      <c r="C2431">
        <v>352242</v>
      </c>
      <c r="D2431">
        <v>405</v>
      </c>
      <c r="E2431" t="s">
        <v>1266</v>
      </c>
      <c r="G2431">
        <v>745</v>
      </c>
      <c r="H2431">
        <v>1867</v>
      </c>
      <c r="K2431" t="s">
        <v>2219</v>
      </c>
      <c r="L2431" t="s">
        <v>2219</v>
      </c>
      <c r="M2431" t="s">
        <v>2218</v>
      </c>
      <c r="N2431">
        <v>0</v>
      </c>
      <c r="O2431" t="s">
        <v>2218</v>
      </c>
      <c r="P2431">
        <v>0</v>
      </c>
      <c r="Q2431">
        <v>0</v>
      </c>
      <c r="R2431">
        <v>0</v>
      </c>
      <c r="T2431" s="29">
        <v>205000</v>
      </c>
      <c r="U2431" s="29">
        <v>297250</v>
      </c>
      <c r="V2431" t="s">
        <v>1262</v>
      </c>
      <c r="W2431" t="s">
        <v>1262</v>
      </c>
      <c r="X2431" s="29">
        <v>297250</v>
      </c>
      <c r="AA2431" s="30">
        <v>45873.583333333336</v>
      </c>
      <c r="AB2431" s="30">
        <v>45874.341666666667</v>
      </c>
      <c r="AC2431" s="30">
        <v>45873.583333333336</v>
      </c>
      <c r="AD2431" s="30">
        <v>45874.341666666667</v>
      </c>
      <c r="AE2431" s="30">
        <v>46267.688888888886</v>
      </c>
      <c r="AF2431" s="30">
        <v>46268.447222222225</v>
      </c>
      <c r="AG2431" t="s">
        <v>1266</v>
      </c>
      <c r="AK2431" t="s">
        <v>1265</v>
      </c>
      <c r="AL2431" t="s">
        <v>2236</v>
      </c>
      <c r="AM2431" t="s">
        <v>1263</v>
      </c>
      <c r="AN2431" t="s">
        <v>1262</v>
      </c>
      <c r="AO2431">
        <v>0</v>
      </c>
      <c r="AQ2431" t="s">
        <v>1261</v>
      </c>
      <c r="AR2431" t="s">
        <v>1260</v>
      </c>
      <c r="AS2431" t="s">
        <v>1259</v>
      </c>
      <c r="AT2431" s="30">
        <v>46072.478472222225</v>
      </c>
    </row>
    <row r="2432" spans="1:46" x14ac:dyDescent="0.25">
      <c r="A2432" t="s">
        <v>1248</v>
      </c>
      <c r="B2432">
        <v>252863</v>
      </c>
      <c r="C2432">
        <v>352249</v>
      </c>
      <c r="D2432">
        <v>405</v>
      </c>
      <c r="E2432" t="s">
        <v>1266</v>
      </c>
      <c r="G2432">
        <v>745</v>
      </c>
      <c r="H2432">
        <v>1867</v>
      </c>
      <c r="K2432" t="s">
        <v>2219</v>
      </c>
      <c r="L2432" t="s">
        <v>2219</v>
      </c>
      <c r="M2432" t="s">
        <v>2218</v>
      </c>
      <c r="N2432">
        <v>0</v>
      </c>
      <c r="O2432" t="s">
        <v>2218</v>
      </c>
      <c r="P2432">
        <v>0</v>
      </c>
      <c r="Q2432">
        <v>0</v>
      </c>
      <c r="R2432">
        <v>0</v>
      </c>
      <c r="T2432" s="29">
        <v>205000</v>
      </c>
      <c r="U2432" s="29">
        <v>297250</v>
      </c>
      <c r="V2432" t="s">
        <v>1262</v>
      </c>
      <c r="W2432" t="s">
        <v>1262</v>
      </c>
      <c r="X2432" s="29">
        <v>297250</v>
      </c>
      <c r="AA2432" s="30">
        <v>45869.625</v>
      </c>
      <c r="AB2432" s="30">
        <v>45870.383333333331</v>
      </c>
      <c r="AC2432" s="30">
        <v>45869.625</v>
      </c>
      <c r="AD2432" s="30">
        <v>45870.383333333331</v>
      </c>
      <c r="AE2432" s="30">
        <v>46251.688888888886</v>
      </c>
      <c r="AF2432" s="30">
        <v>46252.447222222225</v>
      </c>
      <c r="AG2432" t="s">
        <v>1266</v>
      </c>
      <c r="AK2432" t="s">
        <v>1265</v>
      </c>
      <c r="AL2432" t="s">
        <v>2235</v>
      </c>
      <c r="AM2432" t="s">
        <v>1263</v>
      </c>
      <c r="AN2432" t="s">
        <v>1262</v>
      </c>
      <c r="AO2432">
        <v>0</v>
      </c>
      <c r="AQ2432" t="s">
        <v>1261</v>
      </c>
      <c r="AR2432" t="s">
        <v>1260</v>
      </c>
      <c r="AS2432" t="s">
        <v>1259</v>
      </c>
      <c r="AT2432" s="30">
        <v>46072.478472222225</v>
      </c>
    </row>
    <row r="2433" spans="1:46" x14ac:dyDescent="0.25">
      <c r="A2433" t="s">
        <v>1248</v>
      </c>
      <c r="B2433">
        <v>252864</v>
      </c>
      <c r="C2433">
        <v>352256</v>
      </c>
      <c r="D2433">
        <v>405</v>
      </c>
      <c r="E2433" t="s">
        <v>1266</v>
      </c>
      <c r="G2433">
        <v>745</v>
      </c>
      <c r="H2433">
        <v>1867</v>
      </c>
      <c r="K2433" t="s">
        <v>2219</v>
      </c>
      <c r="L2433" t="s">
        <v>2219</v>
      </c>
      <c r="M2433" t="s">
        <v>2218</v>
      </c>
      <c r="N2433">
        <v>0</v>
      </c>
      <c r="O2433" t="s">
        <v>2218</v>
      </c>
      <c r="P2433">
        <v>0</v>
      </c>
      <c r="Q2433">
        <v>0</v>
      </c>
      <c r="R2433">
        <v>0</v>
      </c>
      <c r="T2433" s="29">
        <v>205000</v>
      </c>
      <c r="U2433" s="29">
        <v>297250</v>
      </c>
      <c r="V2433" t="s">
        <v>1262</v>
      </c>
      <c r="W2433" t="s">
        <v>1262</v>
      </c>
      <c r="X2433" s="29">
        <v>297250</v>
      </c>
      <c r="AA2433" s="30">
        <v>45867.666666666664</v>
      </c>
      <c r="AB2433" s="30">
        <v>45868.425000000003</v>
      </c>
      <c r="AC2433" s="30">
        <v>45867.666666666664</v>
      </c>
      <c r="AD2433" s="30">
        <v>45868.425000000003</v>
      </c>
      <c r="AE2433" s="30">
        <v>46233.688888888886</v>
      </c>
      <c r="AF2433" s="30">
        <v>46234.447222222225</v>
      </c>
      <c r="AG2433" t="s">
        <v>1266</v>
      </c>
      <c r="AK2433" t="s">
        <v>1265</v>
      </c>
      <c r="AL2433" t="s">
        <v>2234</v>
      </c>
      <c r="AM2433" t="s">
        <v>1263</v>
      </c>
      <c r="AN2433" t="s">
        <v>1262</v>
      </c>
      <c r="AO2433">
        <v>0</v>
      </c>
      <c r="AQ2433" t="s">
        <v>1261</v>
      </c>
      <c r="AR2433" t="s">
        <v>1260</v>
      </c>
      <c r="AS2433" t="s">
        <v>1259</v>
      </c>
      <c r="AT2433" s="30">
        <v>46072.478472222225</v>
      </c>
    </row>
    <row r="2434" spans="1:46" x14ac:dyDescent="0.25">
      <c r="A2434" t="s">
        <v>1248</v>
      </c>
      <c r="B2434">
        <v>252865</v>
      </c>
      <c r="C2434">
        <v>352263</v>
      </c>
      <c r="D2434">
        <v>405</v>
      </c>
      <c r="E2434" t="s">
        <v>1266</v>
      </c>
      <c r="G2434">
        <v>745</v>
      </c>
      <c r="H2434">
        <v>1867</v>
      </c>
      <c r="K2434" t="s">
        <v>2219</v>
      </c>
      <c r="L2434" t="s">
        <v>2219</v>
      </c>
      <c r="M2434" t="s">
        <v>2218</v>
      </c>
      <c r="N2434">
        <v>0</v>
      </c>
      <c r="O2434" t="s">
        <v>2218</v>
      </c>
      <c r="P2434">
        <v>0</v>
      </c>
      <c r="Q2434">
        <v>0</v>
      </c>
      <c r="R2434">
        <v>0</v>
      </c>
      <c r="T2434" s="29">
        <v>205000</v>
      </c>
      <c r="U2434" s="29">
        <v>297250</v>
      </c>
      <c r="V2434" t="s">
        <v>1262</v>
      </c>
      <c r="W2434" t="s">
        <v>1262</v>
      </c>
      <c r="X2434" s="29">
        <v>297250</v>
      </c>
      <c r="AA2434" s="30">
        <v>45856.558333333334</v>
      </c>
      <c r="AB2434" s="30">
        <v>45856.691666666666</v>
      </c>
      <c r="AC2434" s="30">
        <v>45856.558333333334</v>
      </c>
      <c r="AD2434" s="30">
        <v>45856.691666666666</v>
      </c>
      <c r="AE2434" s="30">
        <v>46217.688888888886</v>
      </c>
      <c r="AF2434" s="30">
        <v>46218.447222222225</v>
      </c>
      <c r="AG2434" t="s">
        <v>1266</v>
      </c>
      <c r="AK2434" t="s">
        <v>1265</v>
      </c>
      <c r="AL2434" t="s">
        <v>2233</v>
      </c>
      <c r="AM2434" t="s">
        <v>1263</v>
      </c>
      <c r="AN2434" t="s">
        <v>1262</v>
      </c>
      <c r="AO2434">
        <v>0</v>
      </c>
      <c r="AQ2434" t="s">
        <v>1261</v>
      </c>
      <c r="AR2434" t="s">
        <v>1260</v>
      </c>
      <c r="AS2434" t="s">
        <v>1259</v>
      </c>
      <c r="AT2434" s="30">
        <v>46072.478472222225</v>
      </c>
    </row>
    <row r="2435" spans="1:46" x14ac:dyDescent="0.25">
      <c r="A2435" t="s">
        <v>1248</v>
      </c>
      <c r="B2435">
        <v>252866</v>
      </c>
      <c r="C2435">
        <v>352270</v>
      </c>
      <c r="D2435">
        <v>405</v>
      </c>
      <c r="E2435" t="s">
        <v>1266</v>
      </c>
      <c r="G2435">
        <v>745</v>
      </c>
      <c r="H2435">
        <v>1867</v>
      </c>
      <c r="K2435" t="s">
        <v>2219</v>
      </c>
      <c r="L2435" t="s">
        <v>2219</v>
      </c>
      <c r="M2435" t="s">
        <v>2218</v>
      </c>
      <c r="N2435">
        <v>0</v>
      </c>
      <c r="O2435" t="s">
        <v>2218</v>
      </c>
      <c r="P2435">
        <v>0</v>
      </c>
      <c r="Q2435">
        <v>0</v>
      </c>
      <c r="R2435">
        <v>0</v>
      </c>
      <c r="T2435" s="29">
        <v>205000</v>
      </c>
      <c r="U2435" s="29">
        <v>297250</v>
      </c>
      <c r="V2435" t="s">
        <v>1262</v>
      </c>
      <c r="W2435" t="s">
        <v>1262</v>
      </c>
      <c r="X2435" s="29">
        <v>297250</v>
      </c>
      <c r="AA2435" s="30">
        <v>45854.6</v>
      </c>
      <c r="AB2435" s="30">
        <v>45855.35833333333</v>
      </c>
      <c r="AC2435" s="30">
        <v>45854.6</v>
      </c>
      <c r="AD2435" s="30">
        <v>45855.35833333333</v>
      </c>
      <c r="AE2435" s="30">
        <v>46199.688888888886</v>
      </c>
      <c r="AF2435" s="30">
        <v>46202.447222222225</v>
      </c>
      <c r="AG2435" t="s">
        <v>1266</v>
      </c>
      <c r="AK2435" t="s">
        <v>1265</v>
      </c>
      <c r="AL2435" t="s">
        <v>2232</v>
      </c>
      <c r="AM2435" t="s">
        <v>1263</v>
      </c>
      <c r="AN2435" t="s">
        <v>1262</v>
      </c>
      <c r="AO2435">
        <v>0</v>
      </c>
      <c r="AQ2435" t="s">
        <v>1261</v>
      </c>
      <c r="AR2435" t="s">
        <v>1260</v>
      </c>
      <c r="AS2435" t="s">
        <v>1259</v>
      </c>
      <c r="AT2435" s="30">
        <v>46072.478472222225</v>
      </c>
    </row>
    <row r="2436" spans="1:46" x14ac:dyDescent="0.25">
      <c r="A2436" t="s">
        <v>1248</v>
      </c>
      <c r="B2436">
        <v>252867</v>
      </c>
      <c r="C2436">
        <v>352277</v>
      </c>
      <c r="D2436">
        <v>405</v>
      </c>
      <c r="E2436" t="s">
        <v>1266</v>
      </c>
      <c r="G2436">
        <v>745</v>
      </c>
      <c r="H2436">
        <v>1867</v>
      </c>
      <c r="K2436" t="s">
        <v>2219</v>
      </c>
      <c r="L2436" t="s">
        <v>2219</v>
      </c>
      <c r="M2436" t="s">
        <v>2218</v>
      </c>
      <c r="N2436">
        <v>0</v>
      </c>
      <c r="O2436" t="s">
        <v>2218</v>
      </c>
      <c r="P2436">
        <v>0</v>
      </c>
      <c r="Q2436">
        <v>0</v>
      </c>
      <c r="R2436">
        <v>0</v>
      </c>
      <c r="T2436" s="29">
        <v>205000</v>
      </c>
      <c r="U2436" s="29">
        <v>297250</v>
      </c>
      <c r="V2436" t="s">
        <v>1262</v>
      </c>
      <c r="W2436" t="s">
        <v>1262</v>
      </c>
      <c r="X2436" s="29">
        <v>297250</v>
      </c>
      <c r="AA2436" s="30">
        <v>45852.64166666667</v>
      </c>
      <c r="AB2436" s="30">
        <v>45853.4</v>
      </c>
      <c r="AC2436" s="30">
        <v>45852.64166666667</v>
      </c>
      <c r="AD2436" s="30">
        <v>45853.4</v>
      </c>
      <c r="AE2436" s="30">
        <v>46183.688888888886</v>
      </c>
      <c r="AF2436" s="30">
        <v>46184.447222222225</v>
      </c>
      <c r="AG2436" t="s">
        <v>1266</v>
      </c>
      <c r="AK2436" t="s">
        <v>1265</v>
      </c>
      <c r="AL2436" t="s">
        <v>2231</v>
      </c>
      <c r="AM2436" t="s">
        <v>1263</v>
      </c>
      <c r="AN2436" t="s">
        <v>1262</v>
      </c>
      <c r="AO2436">
        <v>0</v>
      </c>
      <c r="AQ2436" t="s">
        <v>1261</v>
      </c>
      <c r="AR2436" t="s">
        <v>1260</v>
      </c>
      <c r="AS2436" t="s">
        <v>1259</v>
      </c>
      <c r="AT2436" s="30">
        <v>46072.478472222225</v>
      </c>
    </row>
    <row r="2437" spans="1:46" x14ac:dyDescent="0.25">
      <c r="A2437" t="s">
        <v>1248</v>
      </c>
      <c r="B2437">
        <v>252868</v>
      </c>
      <c r="C2437">
        <v>352284</v>
      </c>
      <c r="D2437">
        <v>405</v>
      </c>
      <c r="E2437" t="s">
        <v>1266</v>
      </c>
      <c r="G2437">
        <v>745</v>
      </c>
      <c r="H2437">
        <v>1867</v>
      </c>
      <c r="K2437" t="s">
        <v>2219</v>
      </c>
      <c r="L2437" t="s">
        <v>2219</v>
      </c>
      <c r="M2437" t="s">
        <v>2218</v>
      </c>
      <c r="N2437">
        <v>0</v>
      </c>
      <c r="O2437" t="s">
        <v>2218</v>
      </c>
      <c r="P2437">
        <v>0</v>
      </c>
      <c r="Q2437">
        <v>0</v>
      </c>
      <c r="R2437">
        <v>0</v>
      </c>
      <c r="T2437" s="29">
        <v>205000</v>
      </c>
      <c r="U2437" s="29">
        <v>297250</v>
      </c>
      <c r="V2437" t="s">
        <v>1262</v>
      </c>
      <c r="W2437" t="s">
        <v>1262</v>
      </c>
      <c r="X2437" s="29">
        <v>297250</v>
      </c>
      <c r="AA2437" s="30">
        <v>45848.683333333334</v>
      </c>
      <c r="AB2437" s="30">
        <v>45849.441666666666</v>
      </c>
      <c r="AC2437" s="30">
        <v>45848.683333333334</v>
      </c>
      <c r="AD2437" s="30">
        <v>45849.441666666666</v>
      </c>
      <c r="AE2437" s="30">
        <v>46164.688888888886</v>
      </c>
      <c r="AF2437" s="30">
        <v>46167.447222222225</v>
      </c>
      <c r="AG2437" t="s">
        <v>1266</v>
      </c>
      <c r="AK2437" t="s">
        <v>1265</v>
      </c>
      <c r="AL2437" t="s">
        <v>2230</v>
      </c>
      <c r="AM2437" t="s">
        <v>1263</v>
      </c>
      <c r="AN2437" t="s">
        <v>1262</v>
      </c>
      <c r="AO2437">
        <v>0</v>
      </c>
      <c r="AQ2437" t="s">
        <v>1261</v>
      </c>
      <c r="AR2437" t="s">
        <v>1260</v>
      </c>
      <c r="AS2437" t="s">
        <v>1259</v>
      </c>
      <c r="AT2437" s="30">
        <v>46072.478472222225</v>
      </c>
    </row>
    <row r="2438" spans="1:46" x14ac:dyDescent="0.25">
      <c r="A2438" t="s">
        <v>1248</v>
      </c>
      <c r="B2438">
        <v>252869</v>
      </c>
      <c r="C2438">
        <v>352291</v>
      </c>
      <c r="D2438">
        <v>405</v>
      </c>
      <c r="E2438" t="s">
        <v>1266</v>
      </c>
      <c r="G2438">
        <v>745</v>
      </c>
      <c r="H2438">
        <v>1867</v>
      </c>
      <c r="K2438" t="s">
        <v>2219</v>
      </c>
      <c r="L2438" t="s">
        <v>2219</v>
      </c>
      <c r="M2438" t="s">
        <v>2218</v>
      </c>
      <c r="N2438">
        <v>0</v>
      </c>
      <c r="O2438" t="s">
        <v>2218</v>
      </c>
      <c r="P2438">
        <v>0</v>
      </c>
      <c r="Q2438">
        <v>0</v>
      </c>
      <c r="R2438">
        <v>0</v>
      </c>
      <c r="T2438" s="29">
        <v>205000</v>
      </c>
      <c r="U2438" s="29">
        <v>297250</v>
      </c>
      <c r="V2438" t="s">
        <v>1262</v>
      </c>
      <c r="W2438" t="s">
        <v>1262</v>
      </c>
      <c r="X2438" s="29">
        <v>297250</v>
      </c>
      <c r="AA2438" s="30">
        <v>45847.35</v>
      </c>
      <c r="AB2438" s="30">
        <v>45847.48333333333</v>
      </c>
      <c r="AC2438" s="30">
        <v>45847.35</v>
      </c>
      <c r="AD2438" s="30">
        <v>45847.48333333333</v>
      </c>
      <c r="AE2438" s="30">
        <v>46148.688888888886</v>
      </c>
      <c r="AF2438" s="30">
        <v>46149.447222222225</v>
      </c>
      <c r="AG2438" t="s">
        <v>1266</v>
      </c>
      <c r="AK2438" t="s">
        <v>1265</v>
      </c>
      <c r="AL2438" t="s">
        <v>2229</v>
      </c>
      <c r="AM2438" t="s">
        <v>1263</v>
      </c>
      <c r="AN2438" t="s">
        <v>1262</v>
      </c>
      <c r="AO2438">
        <v>0</v>
      </c>
      <c r="AQ2438" t="s">
        <v>1261</v>
      </c>
      <c r="AR2438" t="s">
        <v>1260</v>
      </c>
      <c r="AS2438" t="s">
        <v>1259</v>
      </c>
      <c r="AT2438" s="30">
        <v>46072.478472222225</v>
      </c>
    </row>
    <row r="2439" spans="1:46" x14ac:dyDescent="0.25">
      <c r="A2439" t="s">
        <v>1248</v>
      </c>
      <c r="B2439">
        <v>252870</v>
      </c>
      <c r="C2439">
        <v>352298</v>
      </c>
      <c r="D2439">
        <v>405</v>
      </c>
      <c r="E2439" t="s">
        <v>1266</v>
      </c>
      <c r="G2439">
        <v>745</v>
      </c>
      <c r="H2439">
        <v>1867</v>
      </c>
      <c r="K2439" t="s">
        <v>2219</v>
      </c>
      <c r="L2439" t="s">
        <v>2219</v>
      </c>
      <c r="M2439" t="s">
        <v>2218</v>
      </c>
      <c r="N2439">
        <v>0</v>
      </c>
      <c r="O2439" t="s">
        <v>2218</v>
      </c>
      <c r="P2439">
        <v>0</v>
      </c>
      <c r="Q2439">
        <v>0</v>
      </c>
      <c r="R2439">
        <v>0</v>
      </c>
      <c r="T2439" s="29">
        <v>205000</v>
      </c>
      <c r="U2439" s="29">
        <v>297250</v>
      </c>
      <c r="V2439" t="s">
        <v>1262</v>
      </c>
      <c r="W2439" t="s">
        <v>1262</v>
      </c>
      <c r="X2439" s="29">
        <v>297250</v>
      </c>
      <c r="AA2439" s="30">
        <v>45845.39166666667</v>
      </c>
      <c r="AB2439" s="30">
        <v>45845.566666666666</v>
      </c>
      <c r="AC2439" s="30">
        <v>45845.39166666667</v>
      </c>
      <c r="AD2439" s="30">
        <v>45845.566666666666</v>
      </c>
      <c r="AE2439" s="30">
        <v>46129.688888888886</v>
      </c>
      <c r="AF2439" s="30">
        <v>46132.447222222225</v>
      </c>
      <c r="AG2439" t="s">
        <v>1266</v>
      </c>
      <c r="AK2439" t="s">
        <v>1265</v>
      </c>
      <c r="AL2439" t="s">
        <v>2228</v>
      </c>
      <c r="AM2439" t="s">
        <v>1263</v>
      </c>
      <c r="AN2439" t="s">
        <v>1262</v>
      </c>
      <c r="AO2439">
        <v>0</v>
      </c>
      <c r="AQ2439" t="s">
        <v>1261</v>
      </c>
      <c r="AR2439" t="s">
        <v>1260</v>
      </c>
      <c r="AS2439" t="s">
        <v>1259</v>
      </c>
      <c r="AT2439" s="30">
        <v>46072.478472222225</v>
      </c>
    </row>
    <row r="2440" spans="1:46" x14ac:dyDescent="0.25">
      <c r="A2440" t="s">
        <v>1248</v>
      </c>
      <c r="B2440">
        <v>252871</v>
      </c>
      <c r="C2440">
        <v>352305</v>
      </c>
      <c r="D2440">
        <v>405</v>
      </c>
      <c r="E2440" t="s">
        <v>1266</v>
      </c>
      <c r="G2440">
        <v>745</v>
      </c>
      <c r="H2440">
        <v>1867</v>
      </c>
      <c r="K2440" t="s">
        <v>2219</v>
      </c>
      <c r="L2440" t="s">
        <v>2219</v>
      </c>
      <c r="M2440" t="s">
        <v>2218</v>
      </c>
      <c r="N2440">
        <v>0</v>
      </c>
      <c r="O2440" t="s">
        <v>2218</v>
      </c>
      <c r="P2440">
        <v>0</v>
      </c>
      <c r="Q2440">
        <v>0</v>
      </c>
      <c r="R2440">
        <v>0</v>
      </c>
      <c r="T2440" s="29">
        <v>205000</v>
      </c>
      <c r="U2440" s="29">
        <v>297250</v>
      </c>
      <c r="V2440" t="s">
        <v>1262</v>
      </c>
      <c r="W2440" t="s">
        <v>1262</v>
      </c>
      <c r="X2440" s="29">
        <v>297250</v>
      </c>
      <c r="AA2440" s="30">
        <v>45828.666666666664</v>
      </c>
      <c r="AB2440" s="30">
        <v>45831.425000000003</v>
      </c>
      <c r="AC2440" s="30">
        <v>45828.666666666664</v>
      </c>
      <c r="AD2440" s="30">
        <v>45831.425000000003</v>
      </c>
      <c r="AE2440" s="30">
        <v>46112.688888888886</v>
      </c>
      <c r="AF2440" s="30">
        <v>46113.447222222225</v>
      </c>
      <c r="AG2440" t="s">
        <v>1266</v>
      </c>
      <c r="AK2440" t="s">
        <v>1265</v>
      </c>
      <c r="AL2440" t="s">
        <v>2227</v>
      </c>
      <c r="AM2440" t="s">
        <v>1263</v>
      </c>
      <c r="AN2440" t="s">
        <v>1262</v>
      </c>
      <c r="AO2440">
        <v>0</v>
      </c>
      <c r="AQ2440" t="s">
        <v>1261</v>
      </c>
      <c r="AR2440" t="s">
        <v>1260</v>
      </c>
      <c r="AS2440" t="s">
        <v>1259</v>
      </c>
      <c r="AT2440" s="30">
        <v>46072.478472222225</v>
      </c>
    </row>
    <row r="2441" spans="1:46" x14ac:dyDescent="0.25">
      <c r="A2441" t="s">
        <v>1248</v>
      </c>
      <c r="B2441">
        <v>252872</v>
      </c>
      <c r="C2441">
        <v>352312</v>
      </c>
      <c r="D2441">
        <v>405</v>
      </c>
      <c r="E2441" t="s">
        <v>1266</v>
      </c>
      <c r="G2441">
        <v>745</v>
      </c>
      <c r="H2441">
        <v>1867</v>
      </c>
      <c r="K2441" t="s">
        <v>2219</v>
      </c>
      <c r="L2441" t="s">
        <v>2219</v>
      </c>
      <c r="M2441" t="s">
        <v>2218</v>
      </c>
      <c r="N2441">
        <v>0</v>
      </c>
      <c r="O2441" t="s">
        <v>2218</v>
      </c>
      <c r="P2441">
        <v>0</v>
      </c>
      <c r="Q2441">
        <v>0</v>
      </c>
      <c r="R2441">
        <v>0</v>
      </c>
      <c r="T2441" s="29">
        <v>205000</v>
      </c>
      <c r="U2441" s="29">
        <v>297250</v>
      </c>
      <c r="V2441" t="s">
        <v>1262</v>
      </c>
      <c r="W2441" t="s">
        <v>1262</v>
      </c>
      <c r="X2441" s="29">
        <v>297250</v>
      </c>
      <c r="AA2441" s="30">
        <v>45826.458333333336</v>
      </c>
      <c r="AB2441" s="30">
        <v>45826.633333333331</v>
      </c>
      <c r="AC2441" s="30">
        <v>45826.458333333336</v>
      </c>
      <c r="AD2441" s="30">
        <v>45826.633333333331</v>
      </c>
      <c r="AE2441" s="30">
        <v>46094.688888888886</v>
      </c>
      <c r="AF2441" s="30">
        <v>46097.447222222225</v>
      </c>
      <c r="AG2441" t="s">
        <v>1266</v>
      </c>
      <c r="AK2441" t="s">
        <v>1265</v>
      </c>
      <c r="AL2441" t="s">
        <v>2226</v>
      </c>
      <c r="AM2441" t="s">
        <v>1263</v>
      </c>
      <c r="AN2441" t="s">
        <v>1262</v>
      </c>
      <c r="AO2441">
        <v>0</v>
      </c>
      <c r="AQ2441" t="s">
        <v>1261</v>
      </c>
      <c r="AR2441" t="s">
        <v>1260</v>
      </c>
      <c r="AS2441" t="s">
        <v>1259</v>
      </c>
      <c r="AT2441" s="30">
        <v>46072.478472222225</v>
      </c>
    </row>
    <row r="2442" spans="1:46" x14ac:dyDescent="0.25">
      <c r="A2442" t="s">
        <v>1248</v>
      </c>
      <c r="B2442">
        <v>252873</v>
      </c>
      <c r="C2442">
        <v>352319</v>
      </c>
      <c r="D2442">
        <v>405</v>
      </c>
      <c r="E2442" t="s">
        <v>1266</v>
      </c>
      <c r="G2442">
        <v>745</v>
      </c>
      <c r="H2442">
        <v>1867</v>
      </c>
      <c r="K2442" t="s">
        <v>2219</v>
      </c>
      <c r="L2442" t="s">
        <v>2219</v>
      </c>
      <c r="M2442" t="s">
        <v>2218</v>
      </c>
      <c r="N2442">
        <v>0</v>
      </c>
      <c r="O2442" t="s">
        <v>2218</v>
      </c>
      <c r="P2442">
        <v>0</v>
      </c>
      <c r="Q2442">
        <v>0</v>
      </c>
      <c r="R2442">
        <v>0</v>
      </c>
      <c r="T2442" s="29">
        <v>205000</v>
      </c>
      <c r="U2442" s="29">
        <v>297250</v>
      </c>
      <c r="V2442" t="s">
        <v>1262</v>
      </c>
      <c r="W2442" t="s">
        <v>1262</v>
      </c>
      <c r="X2442" s="29">
        <v>297250</v>
      </c>
      <c r="AA2442" s="30">
        <v>45824.541666666664</v>
      </c>
      <c r="AB2442" s="30">
        <v>45824.675000000003</v>
      </c>
      <c r="AC2442" s="30">
        <v>45824.541666666664</v>
      </c>
      <c r="AD2442" s="30">
        <v>45824.675000000003</v>
      </c>
      <c r="AE2442" s="30">
        <v>46078.688888888886</v>
      </c>
      <c r="AF2442" s="30">
        <v>46079.447222222225</v>
      </c>
      <c r="AG2442" t="s">
        <v>1266</v>
      </c>
      <c r="AK2442" t="s">
        <v>1265</v>
      </c>
      <c r="AL2442" t="s">
        <v>2225</v>
      </c>
      <c r="AM2442" t="s">
        <v>1263</v>
      </c>
      <c r="AN2442" t="s">
        <v>1262</v>
      </c>
      <c r="AO2442">
        <v>0</v>
      </c>
      <c r="AQ2442" t="s">
        <v>1261</v>
      </c>
      <c r="AR2442" t="s">
        <v>1260</v>
      </c>
      <c r="AS2442" t="s">
        <v>1259</v>
      </c>
      <c r="AT2442" s="30">
        <v>46072.478472222225</v>
      </c>
    </row>
    <row r="2443" spans="1:46" x14ac:dyDescent="0.25">
      <c r="A2443" t="s">
        <v>1248</v>
      </c>
      <c r="B2443">
        <v>252874</v>
      </c>
      <c r="C2443">
        <v>352326</v>
      </c>
      <c r="D2443">
        <v>405</v>
      </c>
      <c r="E2443" t="s">
        <v>1266</v>
      </c>
      <c r="G2443">
        <v>745</v>
      </c>
      <c r="H2443">
        <v>1867</v>
      </c>
      <c r="K2443" t="s">
        <v>2219</v>
      </c>
      <c r="L2443" t="s">
        <v>2219</v>
      </c>
      <c r="M2443" t="s">
        <v>2218</v>
      </c>
      <c r="N2443">
        <v>0</v>
      </c>
      <c r="O2443" t="s">
        <v>2218</v>
      </c>
      <c r="P2443">
        <v>0</v>
      </c>
      <c r="Q2443">
        <v>0</v>
      </c>
      <c r="R2443">
        <v>0</v>
      </c>
      <c r="T2443" s="29">
        <v>205000</v>
      </c>
      <c r="U2443" s="29">
        <v>297250</v>
      </c>
      <c r="V2443" t="s">
        <v>1262</v>
      </c>
      <c r="W2443" t="s">
        <v>1262</v>
      </c>
      <c r="X2443" s="29">
        <v>297250</v>
      </c>
      <c r="AA2443" s="30">
        <v>45820.583333333336</v>
      </c>
      <c r="AB2443" s="30">
        <v>45821.341666666667</v>
      </c>
      <c r="AC2443" s="30">
        <v>45820.583333333336</v>
      </c>
      <c r="AD2443" s="30">
        <v>45821.341666666667</v>
      </c>
      <c r="AE2443" s="30">
        <v>46062.688888888886</v>
      </c>
      <c r="AF2443" s="30">
        <v>46063.447222222225</v>
      </c>
      <c r="AG2443" t="s">
        <v>1266</v>
      </c>
      <c r="AK2443" t="s">
        <v>1265</v>
      </c>
      <c r="AL2443" t="s">
        <v>2224</v>
      </c>
      <c r="AM2443" t="s">
        <v>1263</v>
      </c>
      <c r="AN2443" t="s">
        <v>1262</v>
      </c>
      <c r="AO2443">
        <v>0</v>
      </c>
      <c r="AQ2443" t="s">
        <v>1261</v>
      </c>
      <c r="AR2443" t="s">
        <v>1260</v>
      </c>
      <c r="AS2443" t="s">
        <v>1259</v>
      </c>
      <c r="AT2443" s="30">
        <v>46072.478472222225</v>
      </c>
    </row>
    <row r="2444" spans="1:46" x14ac:dyDescent="0.25">
      <c r="A2444" t="s">
        <v>1248</v>
      </c>
      <c r="B2444">
        <v>252875</v>
      </c>
      <c r="C2444">
        <v>352333</v>
      </c>
      <c r="D2444">
        <v>405</v>
      </c>
      <c r="E2444" t="s">
        <v>1266</v>
      </c>
      <c r="G2444">
        <v>745</v>
      </c>
      <c r="H2444">
        <v>1867</v>
      </c>
      <c r="K2444" t="s">
        <v>2219</v>
      </c>
      <c r="L2444" t="s">
        <v>2219</v>
      </c>
      <c r="M2444" t="s">
        <v>2218</v>
      </c>
      <c r="N2444">
        <v>0</v>
      </c>
      <c r="O2444" t="s">
        <v>2218</v>
      </c>
      <c r="P2444">
        <v>0</v>
      </c>
      <c r="Q2444">
        <v>0</v>
      </c>
      <c r="R2444">
        <v>0</v>
      </c>
      <c r="T2444" s="29">
        <v>205000</v>
      </c>
      <c r="U2444" s="29">
        <v>297250</v>
      </c>
      <c r="V2444" t="s">
        <v>1262</v>
      </c>
      <c r="W2444" t="s">
        <v>1262</v>
      </c>
      <c r="X2444" s="29">
        <v>297250</v>
      </c>
      <c r="AA2444" s="30">
        <v>45818.625</v>
      </c>
      <c r="AB2444" s="30">
        <v>45819.383333333331</v>
      </c>
      <c r="AC2444" s="30">
        <v>45818.625</v>
      </c>
      <c r="AD2444" s="30">
        <v>45819.383333333331</v>
      </c>
      <c r="AE2444" s="30">
        <v>46044.688888888886</v>
      </c>
      <c r="AF2444" s="30">
        <v>46045.447222222225</v>
      </c>
      <c r="AG2444" t="s">
        <v>1266</v>
      </c>
      <c r="AK2444" t="s">
        <v>1265</v>
      </c>
      <c r="AL2444" t="s">
        <v>2223</v>
      </c>
      <c r="AM2444" t="s">
        <v>1263</v>
      </c>
      <c r="AN2444" t="s">
        <v>1262</v>
      </c>
      <c r="AO2444">
        <v>0</v>
      </c>
      <c r="AQ2444" t="s">
        <v>1261</v>
      </c>
      <c r="AR2444" t="s">
        <v>1260</v>
      </c>
      <c r="AS2444" t="s">
        <v>1259</v>
      </c>
      <c r="AT2444" s="30">
        <v>46072.478472222225</v>
      </c>
    </row>
    <row r="2445" spans="1:46" x14ac:dyDescent="0.25">
      <c r="A2445" t="s">
        <v>1248</v>
      </c>
      <c r="B2445">
        <v>252876</v>
      </c>
      <c r="C2445">
        <v>352340</v>
      </c>
      <c r="D2445">
        <v>405</v>
      </c>
      <c r="E2445" t="s">
        <v>1266</v>
      </c>
      <c r="G2445">
        <v>745</v>
      </c>
      <c r="H2445">
        <v>1867</v>
      </c>
      <c r="K2445" t="s">
        <v>2219</v>
      </c>
      <c r="L2445" t="s">
        <v>2219</v>
      </c>
      <c r="M2445" t="s">
        <v>2218</v>
      </c>
      <c r="N2445">
        <v>0</v>
      </c>
      <c r="O2445" t="s">
        <v>2218</v>
      </c>
      <c r="P2445">
        <v>0</v>
      </c>
      <c r="Q2445">
        <v>0</v>
      </c>
      <c r="R2445">
        <v>0</v>
      </c>
      <c r="T2445" s="29">
        <v>205000</v>
      </c>
      <c r="U2445" s="29">
        <v>297250</v>
      </c>
      <c r="V2445" t="s">
        <v>1262</v>
      </c>
      <c r="W2445" t="s">
        <v>1262</v>
      </c>
      <c r="X2445" s="29">
        <v>297250</v>
      </c>
      <c r="AA2445" s="30">
        <v>45814.666666666664</v>
      </c>
      <c r="AB2445" s="30">
        <v>45817.425000000003</v>
      </c>
      <c r="AC2445" s="30">
        <v>45814.666666666664</v>
      </c>
      <c r="AD2445" s="30">
        <v>45817.425000000003</v>
      </c>
      <c r="AE2445" s="30">
        <v>46027.647222222222</v>
      </c>
      <c r="AF2445" s="30">
        <v>46029.405555555553</v>
      </c>
      <c r="AG2445" t="s">
        <v>1266</v>
      </c>
      <c r="AK2445" t="s">
        <v>1265</v>
      </c>
      <c r="AL2445" t="s">
        <v>2222</v>
      </c>
      <c r="AM2445" t="s">
        <v>1263</v>
      </c>
      <c r="AN2445" t="s">
        <v>1262</v>
      </c>
      <c r="AO2445">
        <v>0</v>
      </c>
      <c r="AQ2445" t="s">
        <v>1261</v>
      </c>
      <c r="AR2445" t="s">
        <v>1260</v>
      </c>
      <c r="AS2445" t="s">
        <v>1259</v>
      </c>
      <c r="AT2445" s="30">
        <v>46072.478472222225</v>
      </c>
    </row>
    <row r="2446" spans="1:46" x14ac:dyDescent="0.25">
      <c r="A2446" t="s">
        <v>1248</v>
      </c>
      <c r="B2446">
        <v>252877</v>
      </c>
      <c r="C2446">
        <v>352347</v>
      </c>
      <c r="D2446">
        <v>405</v>
      </c>
      <c r="E2446" t="s">
        <v>1266</v>
      </c>
      <c r="G2446">
        <v>745</v>
      </c>
      <c r="H2446">
        <v>1867</v>
      </c>
      <c r="K2446" t="s">
        <v>2219</v>
      </c>
      <c r="L2446" t="s">
        <v>2219</v>
      </c>
      <c r="M2446" t="s">
        <v>2218</v>
      </c>
      <c r="N2446">
        <v>0</v>
      </c>
      <c r="O2446" t="s">
        <v>2218</v>
      </c>
      <c r="P2446">
        <v>0</v>
      </c>
      <c r="Q2446">
        <v>0</v>
      </c>
      <c r="R2446">
        <v>0</v>
      </c>
      <c r="T2446" s="29">
        <v>205000</v>
      </c>
      <c r="U2446" s="29">
        <v>297250</v>
      </c>
      <c r="V2446" t="s">
        <v>1262</v>
      </c>
      <c r="W2446" t="s">
        <v>1262</v>
      </c>
      <c r="X2446" s="29">
        <v>297250</v>
      </c>
      <c r="AA2446" s="30">
        <v>45806.625</v>
      </c>
      <c r="AB2446" s="30">
        <v>45807.383333333331</v>
      </c>
      <c r="AC2446" s="30">
        <v>45806.625</v>
      </c>
      <c r="AD2446" s="30">
        <v>45807.383333333331</v>
      </c>
      <c r="AE2446" s="30">
        <v>46007.605555555558</v>
      </c>
      <c r="AF2446" s="30">
        <v>46008.363888888889</v>
      </c>
      <c r="AG2446" t="s">
        <v>1266</v>
      </c>
      <c r="AK2446" t="s">
        <v>1265</v>
      </c>
      <c r="AL2446" t="s">
        <v>2221</v>
      </c>
      <c r="AM2446" t="s">
        <v>1263</v>
      </c>
      <c r="AN2446" t="s">
        <v>1262</v>
      </c>
      <c r="AO2446">
        <v>0</v>
      </c>
      <c r="AQ2446" t="s">
        <v>1261</v>
      </c>
      <c r="AR2446" t="s">
        <v>1260</v>
      </c>
      <c r="AS2446" t="s">
        <v>1259</v>
      </c>
      <c r="AT2446" s="30">
        <v>46072.478472222225</v>
      </c>
    </row>
    <row r="2447" spans="1:46" x14ac:dyDescent="0.25">
      <c r="A2447" t="s">
        <v>1248</v>
      </c>
      <c r="B2447">
        <v>252878</v>
      </c>
      <c r="C2447">
        <v>352354</v>
      </c>
      <c r="D2447">
        <v>405</v>
      </c>
      <c r="E2447" t="s">
        <v>1266</v>
      </c>
      <c r="G2447">
        <v>745</v>
      </c>
      <c r="H2447">
        <v>1867</v>
      </c>
      <c r="K2447" t="s">
        <v>2219</v>
      </c>
      <c r="L2447" t="s">
        <v>2219</v>
      </c>
      <c r="M2447" t="s">
        <v>2218</v>
      </c>
      <c r="N2447">
        <v>0</v>
      </c>
      <c r="O2447" t="s">
        <v>2218</v>
      </c>
      <c r="P2447">
        <v>0</v>
      </c>
      <c r="Q2447">
        <v>0</v>
      </c>
      <c r="R2447">
        <v>0</v>
      </c>
      <c r="T2447" s="29">
        <v>205000</v>
      </c>
      <c r="U2447" s="29">
        <v>297250</v>
      </c>
      <c r="V2447" t="s">
        <v>1262</v>
      </c>
      <c r="W2447" t="s">
        <v>1262</v>
      </c>
      <c r="X2447" s="29">
        <v>297250</v>
      </c>
      <c r="AA2447" s="30">
        <v>45805.666666666664</v>
      </c>
      <c r="AB2447" s="30">
        <v>45806.425000000003</v>
      </c>
      <c r="AC2447" s="30">
        <v>45805.666666666664</v>
      </c>
      <c r="AD2447" s="30">
        <v>45806.425000000003</v>
      </c>
      <c r="AE2447" s="30">
        <v>46001.605555555558</v>
      </c>
      <c r="AF2447" s="30">
        <v>46002.363888888889</v>
      </c>
      <c r="AG2447" t="s">
        <v>1266</v>
      </c>
      <c r="AK2447" t="s">
        <v>1265</v>
      </c>
      <c r="AL2447" t="s">
        <v>2220</v>
      </c>
      <c r="AM2447" t="s">
        <v>1263</v>
      </c>
      <c r="AN2447" t="s">
        <v>1262</v>
      </c>
      <c r="AO2447">
        <v>0</v>
      </c>
      <c r="AQ2447" t="s">
        <v>1261</v>
      </c>
      <c r="AR2447" t="s">
        <v>1260</v>
      </c>
      <c r="AS2447" t="s">
        <v>1259</v>
      </c>
      <c r="AT2447" s="30">
        <v>46072.478472222225</v>
      </c>
    </row>
    <row r="2448" spans="1:46" x14ac:dyDescent="0.25">
      <c r="A2448" t="s">
        <v>1248</v>
      </c>
      <c r="B2448">
        <v>252879</v>
      </c>
      <c r="C2448">
        <v>352361</v>
      </c>
      <c r="D2448">
        <v>405</v>
      </c>
      <c r="E2448" t="s">
        <v>1266</v>
      </c>
      <c r="G2448">
        <v>745</v>
      </c>
      <c r="H2448">
        <v>1867</v>
      </c>
      <c r="K2448" t="s">
        <v>2219</v>
      </c>
      <c r="L2448" t="s">
        <v>2219</v>
      </c>
      <c r="M2448" t="s">
        <v>2218</v>
      </c>
      <c r="N2448">
        <v>0</v>
      </c>
      <c r="O2448" t="s">
        <v>2218</v>
      </c>
      <c r="P2448">
        <v>0</v>
      </c>
      <c r="Q2448">
        <v>0</v>
      </c>
      <c r="R2448">
        <v>0</v>
      </c>
      <c r="T2448" s="29">
        <v>205000</v>
      </c>
      <c r="U2448" s="29">
        <v>297250</v>
      </c>
      <c r="V2448" t="s">
        <v>1262</v>
      </c>
      <c r="W2448" t="s">
        <v>1262</v>
      </c>
      <c r="X2448" s="29">
        <v>297250</v>
      </c>
      <c r="AA2448" s="30">
        <v>45805.333333333336</v>
      </c>
      <c r="AB2448" s="30">
        <v>45805.466666666667</v>
      </c>
      <c r="AC2448" s="30">
        <v>45805.333333333336</v>
      </c>
      <c r="AD2448" s="30">
        <v>45805.466666666667</v>
      </c>
      <c r="AE2448" s="30">
        <v>45868.647222222222</v>
      </c>
      <c r="AF2448" s="30">
        <v>45869.405555555553</v>
      </c>
      <c r="AG2448" t="s">
        <v>1266</v>
      </c>
      <c r="AK2448" t="s">
        <v>1265</v>
      </c>
      <c r="AL2448" t="s">
        <v>2217</v>
      </c>
      <c r="AM2448" t="s">
        <v>1263</v>
      </c>
      <c r="AN2448" t="s">
        <v>1262</v>
      </c>
      <c r="AO2448">
        <v>0</v>
      </c>
      <c r="AQ2448" t="s">
        <v>1261</v>
      </c>
      <c r="AR2448" t="s">
        <v>1260</v>
      </c>
      <c r="AS2448" t="s">
        <v>1259</v>
      </c>
      <c r="AT2448" s="30">
        <v>46072.478472222225</v>
      </c>
    </row>
    <row r="2449" spans="1:46" x14ac:dyDescent="0.25">
      <c r="A2449" t="s">
        <v>1248</v>
      </c>
      <c r="B2449">
        <v>252881</v>
      </c>
      <c r="C2449">
        <v>352047</v>
      </c>
      <c r="D2449">
        <v>405</v>
      </c>
      <c r="E2449" t="s">
        <v>1266</v>
      </c>
      <c r="G2449">
        <v>745</v>
      </c>
      <c r="H2449">
        <v>1853</v>
      </c>
      <c r="K2449" s="29">
        <v>23028571</v>
      </c>
      <c r="L2449" s="29">
        <v>23028571</v>
      </c>
      <c r="M2449" s="29">
        <v>287857142</v>
      </c>
      <c r="N2449">
        <v>0</v>
      </c>
      <c r="O2449" s="29">
        <v>287857142</v>
      </c>
      <c r="P2449">
        <v>0</v>
      </c>
      <c r="Q2449">
        <v>0</v>
      </c>
      <c r="R2449">
        <v>0</v>
      </c>
      <c r="T2449" s="29">
        <v>21600</v>
      </c>
      <c r="U2449" s="29">
        <v>497417</v>
      </c>
      <c r="V2449" t="s">
        <v>1262</v>
      </c>
      <c r="W2449" t="s">
        <v>1262</v>
      </c>
      <c r="X2449" s="29">
        <v>497417</v>
      </c>
      <c r="AA2449" s="30">
        <v>45800.625</v>
      </c>
      <c r="AB2449" s="30">
        <v>45803.625</v>
      </c>
      <c r="AC2449" s="30">
        <v>45800.625</v>
      </c>
      <c r="AD2449" s="30">
        <v>45803.625</v>
      </c>
      <c r="AE2449" s="30">
        <v>45868.333333333336</v>
      </c>
      <c r="AF2449" s="30">
        <v>45868.708333333336</v>
      </c>
      <c r="AG2449" t="s">
        <v>1266</v>
      </c>
      <c r="AK2449" t="s">
        <v>1265</v>
      </c>
      <c r="AL2449" t="s">
        <v>2216</v>
      </c>
      <c r="AM2449" t="s">
        <v>1263</v>
      </c>
      <c r="AN2449" t="s">
        <v>1262</v>
      </c>
      <c r="AO2449">
        <v>0</v>
      </c>
      <c r="AQ2449" t="s">
        <v>1261</v>
      </c>
      <c r="AR2449" t="s">
        <v>1260</v>
      </c>
      <c r="AS2449" t="s">
        <v>1259</v>
      </c>
      <c r="AT2449" s="30">
        <v>46072.515972222223</v>
      </c>
    </row>
    <row r="2450" spans="1:46" x14ac:dyDescent="0.25">
      <c r="A2450" t="s">
        <v>1248</v>
      </c>
      <c r="B2450">
        <v>252882</v>
      </c>
      <c r="C2450">
        <v>352054</v>
      </c>
      <c r="D2450">
        <v>405</v>
      </c>
      <c r="E2450" t="s">
        <v>1266</v>
      </c>
      <c r="G2450">
        <v>745</v>
      </c>
      <c r="H2450">
        <v>1853</v>
      </c>
      <c r="K2450" t="s">
        <v>2174</v>
      </c>
      <c r="L2450" t="s">
        <v>2174</v>
      </c>
      <c r="M2450" s="29">
        <v>287857142</v>
      </c>
      <c r="N2450">
        <v>0</v>
      </c>
      <c r="O2450" s="29">
        <v>287857142</v>
      </c>
      <c r="P2450">
        <v>0</v>
      </c>
      <c r="Q2450">
        <v>0</v>
      </c>
      <c r="R2450">
        <v>0</v>
      </c>
      <c r="T2450" s="29">
        <v>21600</v>
      </c>
      <c r="U2450" s="29">
        <v>435240</v>
      </c>
      <c r="V2450" t="s">
        <v>1262</v>
      </c>
      <c r="W2450" t="s">
        <v>1262</v>
      </c>
      <c r="X2450" s="29">
        <v>435240</v>
      </c>
      <c r="AA2450" s="30">
        <v>45798.583333333336</v>
      </c>
      <c r="AB2450" s="30">
        <v>45799.5</v>
      </c>
      <c r="AC2450" s="30">
        <v>45798.583333333336</v>
      </c>
      <c r="AD2450" s="30">
        <v>45799.5</v>
      </c>
      <c r="AE2450" s="30">
        <v>45862.583333333336</v>
      </c>
      <c r="AF2450" s="30">
        <v>45863.5</v>
      </c>
      <c r="AG2450" t="s">
        <v>1266</v>
      </c>
      <c r="AK2450" t="s">
        <v>1265</v>
      </c>
      <c r="AL2450" t="s">
        <v>2215</v>
      </c>
      <c r="AM2450" t="s">
        <v>1263</v>
      </c>
      <c r="AN2450" t="s">
        <v>1262</v>
      </c>
      <c r="AO2450">
        <v>0</v>
      </c>
      <c r="AQ2450" t="s">
        <v>1261</v>
      </c>
      <c r="AR2450" t="s">
        <v>1260</v>
      </c>
      <c r="AS2450" t="s">
        <v>1259</v>
      </c>
      <c r="AT2450" s="30">
        <v>46072.515972222223</v>
      </c>
    </row>
    <row r="2451" spans="1:46" x14ac:dyDescent="0.25">
      <c r="A2451" t="s">
        <v>1248</v>
      </c>
      <c r="B2451">
        <v>252883</v>
      </c>
      <c r="C2451">
        <v>352061</v>
      </c>
      <c r="D2451">
        <v>405</v>
      </c>
      <c r="E2451" t="s">
        <v>1266</v>
      </c>
      <c r="G2451">
        <v>745</v>
      </c>
      <c r="H2451">
        <v>1853</v>
      </c>
      <c r="K2451" t="s">
        <v>2174</v>
      </c>
      <c r="L2451" t="s">
        <v>2174</v>
      </c>
      <c r="M2451" s="29">
        <v>287857142</v>
      </c>
      <c r="N2451">
        <v>0</v>
      </c>
      <c r="O2451" s="29">
        <v>287857142</v>
      </c>
      <c r="P2451">
        <v>0</v>
      </c>
      <c r="Q2451">
        <v>0</v>
      </c>
      <c r="R2451">
        <v>0</v>
      </c>
      <c r="T2451" s="29">
        <v>21600</v>
      </c>
      <c r="U2451" s="29">
        <v>435240</v>
      </c>
      <c r="V2451" t="s">
        <v>1262</v>
      </c>
      <c r="W2451" t="s">
        <v>1262</v>
      </c>
      <c r="X2451" s="29">
        <v>435240</v>
      </c>
      <c r="AA2451" s="30">
        <v>45796.625</v>
      </c>
      <c r="AB2451" s="30">
        <v>45797.583333333336</v>
      </c>
      <c r="AC2451" s="30">
        <v>45796.625</v>
      </c>
      <c r="AD2451" s="30">
        <v>45797.583333333336</v>
      </c>
      <c r="AE2451" s="30">
        <v>45856.583333333336</v>
      </c>
      <c r="AF2451" s="30">
        <v>45859.5</v>
      </c>
      <c r="AG2451" t="s">
        <v>1266</v>
      </c>
      <c r="AK2451" t="s">
        <v>1265</v>
      </c>
      <c r="AL2451" t="s">
        <v>2214</v>
      </c>
      <c r="AM2451" t="s">
        <v>1263</v>
      </c>
      <c r="AN2451" t="s">
        <v>1262</v>
      </c>
      <c r="AO2451">
        <v>0</v>
      </c>
      <c r="AQ2451" t="s">
        <v>1261</v>
      </c>
      <c r="AR2451" t="s">
        <v>1260</v>
      </c>
      <c r="AS2451" t="s">
        <v>1259</v>
      </c>
      <c r="AT2451" s="30">
        <v>46072.515972222223</v>
      </c>
    </row>
    <row r="2452" spans="1:46" x14ac:dyDescent="0.25">
      <c r="A2452" t="s">
        <v>1248</v>
      </c>
      <c r="B2452">
        <v>252884</v>
      </c>
      <c r="C2452">
        <v>352068</v>
      </c>
      <c r="D2452">
        <v>405</v>
      </c>
      <c r="E2452" t="s">
        <v>1266</v>
      </c>
      <c r="G2452">
        <v>745</v>
      </c>
      <c r="H2452">
        <v>1853</v>
      </c>
      <c r="K2452" s="29">
        <v>23028571</v>
      </c>
      <c r="L2452" s="29">
        <v>23028571</v>
      </c>
      <c r="M2452" s="29">
        <v>287857142</v>
      </c>
      <c r="N2452">
        <v>0</v>
      </c>
      <c r="O2452" s="29">
        <v>287857142</v>
      </c>
      <c r="P2452">
        <v>0</v>
      </c>
      <c r="Q2452">
        <v>0</v>
      </c>
      <c r="R2452">
        <v>0</v>
      </c>
      <c r="T2452" s="29">
        <v>21600</v>
      </c>
      <c r="U2452" s="29">
        <v>497417</v>
      </c>
      <c r="V2452" t="s">
        <v>1262</v>
      </c>
      <c r="W2452" t="s">
        <v>1262</v>
      </c>
      <c r="X2452" s="29">
        <v>497417</v>
      </c>
      <c r="AA2452" s="30">
        <v>45784.458333333336</v>
      </c>
      <c r="AB2452" s="30">
        <v>45785.458333333336</v>
      </c>
      <c r="AC2452" s="30">
        <v>45784.458333333336</v>
      </c>
      <c r="AD2452" s="30">
        <v>45785.458333333336</v>
      </c>
      <c r="AE2452" s="30">
        <v>45853.333333333336</v>
      </c>
      <c r="AF2452" s="30">
        <v>45853.708333333336</v>
      </c>
      <c r="AG2452" t="s">
        <v>1266</v>
      </c>
      <c r="AK2452" t="s">
        <v>1265</v>
      </c>
      <c r="AL2452" t="s">
        <v>2213</v>
      </c>
      <c r="AM2452" t="s">
        <v>1263</v>
      </c>
      <c r="AN2452" t="s">
        <v>1262</v>
      </c>
      <c r="AO2452">
        <v>0</v>
      </c>
      <c r="AQ2452" t="s">
        <v>1261</v>
      </c>
      <c r="AR2452" t="s">
        <v>1260</v>
      </c>
      <c r="AS2452" t="s">
        <v>1259</v>
      </c>
      <c r="AT2452" s="30">
        <v>46072.515972222223</v>
      </c>
    </row>
    <row r="2453" spans="1:46" x14ac:dyDescent="0.25">
      <c r="A2453" t="s">
        <v>1248</v>
      </c>
      <c r="B2453">
        <v>252885</v>
      </c>
      <c r="C2453">
        <v>352075</v>
      </c>
      <c r="D2453">
        <v>405</v>
      </c>
      <c r="E2453" t="s">
        <v>1266</v>
      </c>
      <c r="G2453">
        <v>745</v>
      </c>
      <c r="H2453">
        <v>1853</v>
      </c>
      <c r="K2453" t="s">
        <v>2174</v>
      </c>
      <c r="L2453" t="s">
        <v>2174</v>
      </c>
      <c r="M2453" s="29">
        <v>287857142</v>
      </c>
      <c r="N2453">
        <v>0</v>
      </c>
      <c r="O2453" s="29">
        <v>287857142</v>
      </c>
      <c r="P2453">
        <v>0</v>
      </c>
      <c r="Q2453">
        <v>0</v>
      </c>
      <c r="R2453">
        <v>0</v>
      </c>
      <c r="T2453" s="29">
        <v>21600</v>
      </c>
      <c r="U2453" s="29">
        <v>435240</v>
      </c>
      <c r="V2453" t="s">
        <v>1262</v>
      </c>
      <c r="W2453" t="s">
        <v>1262</v>
      </c>
      <c r="X2453" s="29">
        <v>435240</v>
      </c>
      <c r="AA2453" s="30">
        <v>45782.416666666664</v>
      </c>
      <c r="AB2453" s="30">
        <v>45783.375</v>
      </c>
      <c r="AC2453" s="30">
        <v>45782.416666666664</v>
      </c>
      <c r="AD2453" s="30">
        <v>45783.375</v>
      </c>
      <c r="AE2453" s="30">
        <v>45840.541666666664</v>
      </c>
      <c r="AF2453" s="30">
        <v>45841.458333333336</v>
      </c>
      <c r="AG2453" t="s">
        <v>1266</v>
      </c>
      <c r="AK2453" t="s">
        <v>1265</v>
      </c>
      <c r="AL2453" t="s">
        <v>2212</v>
      </c>
      <c r="AM2453" t="s">
        <v>1263</v>
      </c>
      <c r="AN2453" t="s">
        <v>1262</v>
      </c>
      <c r="AO2453">
        <v>0</v>
      </c>
      <c r="AQ2453" t="s">
        <v>1261</v>
      </c>
      <c r="AR2453" t="s">
        <v>1260</v>
      </c>
      <c r="AS2453" t="s">
        <v>1259</v>
      </c>
      <c r="AT2453" s="30">
        <v>46072.515972222223</v>
      </c>
    </row>
    <row r="2454" spans="1:46" x14ac:dyDescent="0.25">
      <c r="A2454" t="s">
        <v>1248</v>
      </c>
      <c r="B2454">
        <v>252886</v>
      </c>
      <c r="C2454">
        <v>352082</v>
      </c>
      <c r="D2454">
        <v>405</v>
      </c>
      <c r="E2454" t="s">
        <v>1266</v>
      </c>
      <c r="G2454">
        <v>745</v>
      </c>
      <c r="H2454">
        <v>1853</v>
      </c>
      <c r="K2454" t="s">
        <v>2174</v>
      </c>
      <c r="L2454" t="s">
        <v>2174</v>
      </c>
      <c r="M2454" s="29">
        <v>287857142</v>
      </c>
      <c r="N2454">
        <v>0</v>
      </c>
      <c r="O2454" s="29">
        <v>287857142</v>
      </c>
      <c r="P2454">
        <v>0</v>
      </c>
      <c r="Q2454">
        <v>0</v>
      </c>
      <c r="R2454">
        <v>0</v>
      </c>
      <c r="T2454" s="29">
        <v>21600</v>
      </c>
      <c r="U2454" s="29">
        <v>435240</v>
      </c>
      <c r="V2454" t="s">
        <v>1262</v>
      </c>
      <c r="W2454" t="s">
        <v>1262</v>
      </c>
      <c r="X2454" s="29">
        <v>435240</v>
      </c>
      <c r="AA2454" s="30">
        <v>45778.458333333336</v>
      </c>
      <c r="AB2454" s="30">
        <v>45779.416666666664</v>
      </c>
      <c r="AC2454" s="30">
        <v>45778.458333333336</v>
      </c>
      <c r="AD2454" s="30">
        <v>45779.416666666664</v>
      </c>
      <c r="AE2454" s="30">
        <v>45834.541666666664</v>
      </c>
      <c r="AF2454" s="30">
        <v>45835.458333333336</v>
      </c>
      <c r="AG2454" t="s">
        <v>1266</v>
      </c>
      <c r="AK2454" t="s">
        <v>1265</v>
      </c>
      <c r="AL2454" t="s">
        <v>2211</v>
      </c>
      <c r="AM2454" t="s">
        <v>1263</v>
      </c>
      <c r="AN2454" t="s">
        <v>1262</v>
      </c>
      <c r="AO2454">
        <v>0</v>
      </c>
      <c r="AQ2454" t="s">
        <v>1261</v>
      </c>
      <c r="AR2454" t="s">
        <v>1260</v>
      </c>
      <c r="AS2454" t="s">
        <v>1259</v>
      </c>
      <c r="AT2454" s="30">
        <v>46072.515972222223</v>
      </c>
    </row>
    <row r="2455" spans="1:46" x14ac:dyDescent="0.25">
      <c r="A2455" t="s">
        <v>1248</v>
      </c>
      <c r="B2455">
        <v>252887</v>
      </c>
      <c r="C2455">
        <v>352089</v>
      </c>
      <c r="D2455">
        <v>405</v>
      </c>
      <c r="E2455" t="s">
        <v>1266</v>
      </c>
      <c r="G2455">
        <v>745</v>
      </c>
      <c r="H2455">
        <v>1853</v>
      </c>
      <c r="K2455" t="s">
        <v>2174</v>
      </c>
      <c r="L2455" t="s">
        <v>2174</v>
      </c>
      <c r="M2455" s="29">
        <v>287857142</v>
      </c>
      <c r="N2455">
        <v>0</v>
      </c>
      <c r="O2455" s="29">
        <v>287857142</v>
      </c>
      <c r="P2455">
        <v>0</v>
      </c>
      <c r="Q2455">
        <v>0</v>
      </c>
      <c r="R2455">
        <v>0</v>
      </c>
      <c r="T2455" s="29">
        <v>21600</v>
      </c>
      <c r="U2455" s="29">
        <v>435240</v>
      </c>
      <c r="V2455" t="s">
        <v>1262</v>
      </c>
      <c r="W2455" t="s">
        <v>1262</v>
      </c>
      <c r="X2455" s="29">
        <v>435240</v>
      </c>
      <c r="AA2455" s="30">
        <v>45776.541666666664</v>
      </c>
      <c r="AB2455" s="30">
        <v>45777.458333333336</v>
      </c>
      <c r="AC2455" s="30">
        <v>45776.541666666664</v>
      </c>
      <c r="AD2455" s="30">
        <v>45777.458333333336</v>
      </c>
      <c r="AE2455" s="30">
        <v>45828.541666666664</v>
      </c>
      <c r="AF2455" s="30">
        <v>45831.458333333336</v>
      </c>
      <c r="AG2455" t="s">
        <v>1266</v>
      </c>
      <c r="AK2455" t="s">
        <v>1265</v>
      </c>
      <c r="AL2455" t="s">
        <v>2210</v>
      </c>
      <c r="AM2455" t="s">
        <v>1263</v>
      </c>
      <c r="AN2455" t="s">
        <v>1262</v>
      </c>
      <c r="AO2455">
        <v>0</v>
      </c>
      <c r="AQ2455" t="s">
        <v>1261</v>
      </c>
      <c r="AR2455" t="s">
        <v>1260</v>
      </c>
      <c r="AS2455" t="s">
        <v>1259</v>
      </c>
      <c r="AT2455" s="30">
        <v>46072.515972222223</v>
      </c>
    </row>
    <row r="2456" spans="1:46" x14ac:dyDescent="0.25">
      <c r="A2456" t="s">
        <v>1248</v>
      </c>
      <c r="B2456">
        <v>252888</v>
      </c>
      <c r="C2456">
        <v>352096</v>
      </c>
      <c r="D2456">
        <v>405</v>
      </c>
      <c r="E2456" t="s">
        <v>1266</v>
      </c>
      <c r="G2456">
        <v>745</v>
      </c>
      <c r="H2456">
        <v>1853</v>
      </c>
      <c r="K2456" t="s">
        <v>2174</v>
      </c>
      <c r="L2456" t="s">
        <v>2174</v>
      </c>
      <c r="M2456" s="29">
        <v>287857142</v>
      </c>
      <c r="N2456">
        <v>0</v>
      </c>
      <c r="O2456" s="29">
        <v>287857142</v>
      </c>
      <c r="P2456">
        <v>0</v>
      </c>
      <c r="Q2456">
        <v>0</v>
      </c>
      <c r="R2456">
        <v>0</v>
      </c>
      <c r="T2456" s="29">
        <v>21600</v>
      </c>
      <c r="U2456" s="29">
        <v>435240</v>
      </c>
      <c r="V2456" t="s">
        <v>1262</v>
      </c>
      <c r="W2456" t="s">
        <v>1262</v>
      </c>
      <c r="X2456" s="29">
        <v>435240</v>
      </c>
      <c r="AA2456" s="30">
        <v>45772.583333333336</v>
      </c>
      <c r="AB2456" s="30">
        <v>45775.5</v>
      </c>
      <c r="AC2456" s="30">
        <v>45772.583333333336</v>
      </c>
      <c r="AD2456" s="30">
        <v>45775.5</v>
      </c>
      <c r="AE2456" s="30">
        <v>45824.541666666664</v>
      </c>
      <c r="AF2456" s="30">
        <v>45825.458333333336</v>
      </c>
      <c r="AG2456" t="s">
        <v>1266</v>
      </c>
      <c r="AK2456" t="s">
        <v>1265</v>
      </c>
      <c r="AL2456" t="s">
        <v>2209</v>
      </c>
      <c r="AM2456" t="s">
        <v>1263</v>
      </c>
      <c r="AN2456" t="s">
        <v>1262</v>
      </c>
      <c r="AO2456">
        <v>0</v>
      </c>
      <c r="AQ2456" t="s">
        <v>1261</v>
      </c>
      <c r="AR2456" t="s">
        <v>1260</v>
      </c>
      <c r="AS2456" t="s">
        <v>1259</v>
      </c>
      <c r="AT2456" s="30">
        <v>46072.515972222223</v>
      </c>
    </row>
    <row r="2457" spans="1:46" x14ac:dyDescent="0.25">
      <c r="A2457" t="s">
        <v>1248</v>
      </c>
      <c r="B2457">
        <v>252889</v>
      </c>
      <c r="C2457">
        <v>352103</v>
      </c>
      <c r="D2457">
        <v>405</v>
      </c>
      <c r="E2457" t="s">
        <v>1266</v>
      </c>
      <c r="G2457">
        <v>745</v>
      </c>
      <c r="H2457">
        <v>1853</v>
      </c>
      <c r="K2457" t="s">
        <v>2174</v>
      </c>
      <c r="L2457" t="s">
        <v>2174</v>
      </c>
      <c r="M2457" s="29">
        <v>287857142</v>
      </c>
      <c r="N2457">
        <v>0</v>
      </c>
      <c r="O2457" s="29">
        <v>287857142</v>
      </c>
      <c r="P2457">
        <v>0</v>
      </c>
      <c r="Q2457">
        <v>0</v>
      </c>
      <c r="R2457">
        <v>0</v>
      </c>
      <c r="T2457" s="29">
        <v>21600</v>
      </c>
      <c r="U2457" s="29">
        <v>435240</v>
      </c>
      <c r="V2457" t="s">
        <v>1262</v>
      </c>
      <c r="W2457" t="s">
        <v>1262</v>
      </c>
      <c r="X2457" s="29">
        <v>435240</v>
      </c>
      <c r="AA2457" s="30">
        <v>45770.625</v>
      </c>
      <c r="AB2457" s="30">
        <v>45771.583333333336</v>
      </c>
      <c r="AC2457" s="30">
        <v>45770.625</v>
      </c>
      <c r="AD2457" s="30">
        <v>45771.583333333336</v>
      </c>
      <c r="AE2457" s="30">
        <v>45818.541666666664</v>
      </c>
      <c r="AF2457" s="30">
        <v>45819.458333333336</v>
      </c>
      <c r="AG2457" t="s">
        <v>1266</v>
      </c>
      <c r="AK2457" t="s">
        <v>1265</v>
      </c>
      <c r="AL2457" t="s">
        <v>2208</v>
      </c>
      <c r="AM2457" t="s">
        <v>1263</v>
      </c>
      <c r="AN2457" t="s">
        <v>1262</v>
      </c>
      <c r="AO2457">
        <v>0</v>
      </c>
      <c r="AQ2457" t="s">
        <v>1261</v>
      </c>
      <c r="AR2457" t="s">
        <v>1260</v>
      </c>
      <c r="AS2457" t="s">
        <v>1259</v>
      </c>
      <c r="AT2457" s="30">
        <v>46072.515972222223</v>
      </c>
    </row>
    <row r="2458" spans="1:46" x14ac:dyDescent="0.25">
      <c r="A2458" t="s">
        <v>1248</v>
      </c>
      <c r="B2458">
        <v>252890</v>
      </c>
      <c r="C2458">
        <v>352110</v>
      </c>
      <c r="D2458">
        <v>405</v>
      </c>
      <c r="E2458" t="s">
        <v>1266</v>
      </c>
      <c r="G2458">
        <v>745</v>
      </c>
      <c r="H2458">
        <v>1853</v>
      </c>
      <c r="K2458" t="s">
        <v>2174</v>
      </c>
      <c r="L2458" t="s">
        <v>2174</v>
      </c>
      <c r="M2458" s="29">
        <v>287857142</v>
      </c>
      <c r="N2458">
        <v>0</v>
      </c>
      <c r="O2458" s="29">
        <v>287857142</v>
      </c>
      <c r="P2458">
        <v>0</v>
      </c>
      <c r="Q2458">
        <v>0</v>
      </c>
      <c r="R2458">
        <v>0</v>
      </c>
      <c r="T2458" s="29">
        <v>21600</v>
      </c>
      <c r="U2458" s="29">
        <v>435240</v>
      </c>
      <c r="V2458" t="s">
        <v>1262</v>
      </c>
      <c r="W2458" t="s">
        <v>1262</v>
      </c>
      <c r="X2458" s="29">
        <v>435240</v>
      </c>
      <c r="AA2458" s="30">
        <v>45758.666666666664</v>
      </c>
      <c r="AB2458" s="30">
        <v>45761.625</v>
      </c>
      <c r="AC2458" s="30">
        <v>45758.666666666664</v>
      </c>
      <c r="AD2458" s="30">
        <v>45761.625</v>
      </c>
      <c r="AE2458" s="30">
        <v>45812.541666666664</v>
      </c>
      <c r="AF2458" s="30">
        <v>45813.458333333336</v>
      </c>
      <c r="AG2458" t="s">
        <v>1266</v>
      </c>
      <c r="AK2458" t="s">
        <v>1265</v>
      </c>
      <c r="AL2458" t="s">
        <v>2207</v>
      </c>
      <c r="AM2458" t="s">
        <v>1263</v>
      </c>
      <c r="AN2458" t="s">
        <v>1262</v>
      </c>
      <c r="AO2458">
        <v>0</v>
      </c>
      <c r="AQ2458" t="s">
        <v>1261</v>
      </c>
      <c r="AR2458" t="s">
        <v>1260</v>
      </c>
      <c r="AS2458" t="s">
        <v>1259</v>
      </c>
      <c r="AT2458" s="30">
        <v>46072.515972222223</v>
      </c>
    </row>
    <row r="2459" spans="1:46" x14ac:dyDescent="0.25">
      <c r="A2459" t="s">
        <v>1248</v>
      </c>
      <c r="B2459">
        <v>252891</v>
      </c>
      <c r="C2459">
        <v>352117</v>
      </c>
      <c r="D2459">
        <v>405</v>
      </c>
      <c r="E2459" t="s">
        <v>1266</v>
      </c>
      <c r="G2459">
        <v>745</v>
      </c>
      <c r="H2459">
        <v>1853</v>
      </c>
      <c r="K2459" t="s">
        <v>2174</v>
      </c>
      <c r="L2459" t="s">
        <v>2174</v>
      </c>
      <c r="M2459" s="29">
        <v>287857142</v>
      </c>
      <c r="N2459">
        <v>0</v>
      </c>
      <c r="O2459" s="29">
        <v>287857142</v>
      </c>
      <c r="P2459">
        <v>0</v>
      </c>
      <c r="Q2459">
        <v>0</v>
      </c>
      <c r="R2459">
        <v>0</v>
      </c>
      <c r="T2459" s="29">
        <v>21600</v>
      </c>
      <c r="U2459" s="29">
        <v>435240</v>
      </c>
      <c r="V2459" t="s">
        <v>1262</v>
      </c>
      <c r="W2459" t="s">
        <v>1262</v>
      </c>
      <c r="X2459" s="29">
        <v>435240</v>
      </c>
      <c r="AA2459" s="30">
        <v>45757.333333333336</v>
      </c>
      <c r="AB2459" s="30">
        <v>45757.666666666664</v>
      </c>
      <c r="AC2459" s="30">
        <v>45757.333333333336</v>
      </c>
      <c r="AD2459" s="30">
        <v>45757.666666666664</v>
      </c>
      <c r="AE2459" s="30">
        <v>45806.541666666664</v>
      </c>
      <c r="AF2459" s="30">
        <v>45807.458333333336</v>
      </c>
      <c r="AG2459" t="s">
        <v>1266</v>
      </c>
      <c r="AK2459" t="s">
        <v>1265</v>
      </c>
      <c r="AL2459" t="s">
        <v>2206</v>
      </c>
      <c r="AM2459" t="s">
        <v>1263</v>
      </c>
      <c r="AN2459" t="s">
        <v>1262</v>
      </c>
      <c r="AO2459">
        <v>0</v>
      </c>
      <c r="AQ2459" t="s">
        <v>1261</v>
      </c>
      <c r="AR2459" t="s">
        <v>1260</v>
      </c>
      <c r="AS2459" t="s">
        <v>1259</v>
      </c>
      <c r="AT2459" s="30">
        <v>46072.515972222223</v>
      </c>
    </row>
    <row r="2460" spans="1:46" x14ac:dyDescent="0.25">
      <c r="A2460" t="s">
        <v>1248</v>
      </c>
      <c r="B2460">
        <v>252892</v>
      </c>
      <c r="C2460">
        <v>352124</v>
      </c>
      <c r="D2460">
        <v>405</v>
      </c>
      <c r="E2460" t="s">
        <v>1266</v>
      </c>
      <c r="G2460">
        <v>745</v>
      </c>
      <c r="H2460">
        <v>1853</v>
      </c>
      <c r="K2460" t="s">
        <v>2174</v>
      </c>
      <c r="L2460" t="s">
        <v>2174</v>
      </c>
      <c r="M2460" s="29">
        <v>287857142</v>
      </c>
      <c r="N2460">
        <v>0</v>
      </c>
      <c r="O2460" s="29">
        <v>287857142</v>
      </c>
      <c r="P2460">
        <v>0</v>
      </c>
      <c r="Q2460">
        <v>0</v>
      </c>
      <c r="R2460">
        <v>0</v>
      </c>
      <c r="T2460" s="29">
        <v>21600</v>
      </c>
      <c r="U2460" s="29">
        <v>435240</v>
      </c>
      <c r="V2460" t="s">
        <v>1262</v>
      </c>
      <c r="W2460" t="s">
        <v>1262</v>
      </c>
      <c r="X2460" s="29">
        <v>435240</v>
      </c>
      <c r="AA2460" s="30">
        <v>45755.375</v>
      </c>
      <c r="AB2460" s="30">
        <v>45755.708333333336</v>
      </c>
      <c r="AC2460" s="30">
        <v>45755.375</v>
      </c>
      <c r="AD2460" s="30">
        <v>45755.708333333336</v>
      </c>
      <c r="AE2460" s="30">
        <v>45800.541666666664</v>
      </c>
      <c r="AF2460" s="30">
        <v>45803.458333333336</v>
      </c>
      <c r="AG2460" t="s">
        <v>1266</v>
      </c>
      <c r="AK2460" t="s">
        <v>1265</v>
      </c>
      <c r="AL2460" t="s">
        <v>2205</v>
      </c>
      <c r="AM2460" t="s">
        <v>1263</v>
      </c>
      <c r="AN2460" t="s">
        <v>1262</v>
      </c>
      <c r="AO2460">
        <v>0</v>
      </c>
      <c r="AQ2460" t="s">
        <v>1261</v>
      </c>
      <c r="AR2460" t="s">
        <v>1260</v>
      </c>
      <c r="AS2460" t="s">
        <v>1259</v>
      </c>
      <c r="AT2460" s="30">
        <v>46072.515972222223</v>
      </c>
    </row>
    <row r="2461" spans="1:46" x14ac:dyDescent="0.25">
      <c r="A2461" t="s">
        <v>1248</v>
      </c>
      <c r="B2461">
        <v>252893</v>
      </c>
      <c r="C2461">
        <v>352131</v>
      </c>
      <c r="D2461">
        <v>405</v>
      </c>
      <c r="E2461" t="s">
        <v>1266</v>
      </c>
      <c r="G2461">
        <v>745</v>
      </c>
      <c r="H2461">
        <v>1853</v>
      </c>
      <c r="K2461" t="s">
        <v>2174</v>
      </c>
      <c r="L2461" t="s">
        <v>2174</v>
      </c>
      <c r="M2461" s="29">
        <v>287857142</v>
      </c>
      <c r="N2461">
        <v>0</v>
      </c>
      <c r="O2461" s="29">
        <v>287857142</v>
      </c>
      <c r="P2461">
        <v>0</v>
      </c>
      <c r="Q2461">
        <v>0</v>
      </c>
      <c r="R2461">
        <v>0</v>
      </c>
      <c r="T2461" s="29">
        <v>21600</v>
      </c>
      <c r="U2461" s="29">
        <v>435240</v>
      </c>
      <c r="V2461" t="s">
        <v>1262</v>
      </c>
      <c r="W2461" t="s">
        <v>1262</v>
      </c>
      <c r="X2461" s="29">
        <v>435240</v>
      </c>
      <c r="AA2461" s="30">
        <v>45751.416666666664</v>
      </c>
      <c r="AB2461" s="30">
        <v>45754.375</v>
      </c>
      <c r="AC2461" s="30">
        <v>45751.416666666664</v>
      </c>
      <c r="AD2461" s="30">
        <v>45754.375</v>
      </c>
      <c r="AE2461" s="30">
        <v>45796.541666666664</v>
      </c>
      <c r="AF2461" s="30">
        <v>45797.458333333336</v>
      </c>
      <c r="AG2461" t="s">
        <v>1266</v>
      </c>
      <c r="AK2461" t="s">
        <v>1265</v>
      </c>
      <c r="AL2461" t="s">
        <v>2204</v>
      </c>
      <c r="AM2461" t="s">
        <v>1263</v>
      </c>
      <c r="AN2461" t="s">
        <v>1262</v>
      </c>
      <c r="AO2461">
        <v>0</v>
      </c>
      <c r="AQ2461" t="s">
        <v>1261</v>
      </c>
      <c r="AR2461" t="s">
        <v>1260</v>
      </c>
      <c r="AS2461" t="s">
        <v>1259</v>
      </c>
      <c r="AT2461" s="30">
        <v>46072.515972222223</v>
      </c>
    </row>
    <row r="2462" spans="1:46" x14ac:dyDescent="0.25">
      <c r="A2462" t="s">
        <v>1248</v>
      </c>
      <c r="B2462">
        <v>252894</v>
      </c>
      <c r="C2462">
        <v>352138</v>
      </c>
      <c r="D2462">
        <v>405</v>
      </c>
      <c r="E2462" t="s">
        <v>1266</v>
      </c>
      <c r="G2462">
        <v>745</v>
      </c>
      <c r="H2462">
        <v>1853</v>
      </c>
      <c r="K2462" t="s">
        <v>2174</v>
      </c>
      <c r="L2462" t="s">
        <v>2174</v>
      </c>
      <c r="M2462" s="29">
        <v>287857142</v>
      </c>
      <c r="N2462">
        <v>0</v>
      </c>
      <c r="O2462" s="29">
        <v>287857142</v>
      </c>
      <c r="P2462">
        <v>0</v>
      </c>
      <c r="Q2462">
        <v>0</v>
      </c>
      <c r="R2462">
        <v>0</v>
      </c>
      <c r="T2462" s="29">
        <v>21600</v>
      </c>
      <c r="U2462" s="29">
        <v>435240</v>
      </c>
      <c r="V2462" t="s">
        <v>1262</v>
      </c>
      <c r="W2462" t="s">
        <v>1262</v>
      </c>
      <c r="X2462" s="29">
        <v>435240</v>
      </c>
      <c r="AA2462" s="30">
        <v>45749.458333333336</v>
      </c>
      <c r="AB2462" s="30">
        <v>45750.416666666664</v>
      </c>
      <c r="AC2462" s="30">
        <v>45749.458333333336</v>
      </c>
      <c r="AD2462" s="30">
        <v>45750.416666666664</v>
      </c>
      <c r="AE2462" s="30">
        <v>45790.541666666664</v>
      </c>
      <c r="AF2462" s="30">
        <v>45791.458333333336</v>
      </c>
      <c r="AG2462" t="s">
        <v>1266</v>
      </c>
      <c r="AK2462" t="s">
        <v>1265</v>
      </c>
      <c r="AL2462" t="s">
        <v>2203</v>
      </c>
      <c r="AM2462" t="s">
        <v>1263</v>
      </c>
      <c r="AN2462" t="s">
        <v>1262</v>
      </c>
      <c r="AO2462">
        <v>0</v>
      </c>
      <c r="AQ2462" t="s">
        <v>1261</v>
      </c>
      <c r="AR2462" t="s">
        <v>1260</v>
      </c>
      <c r="AS2462" t="s">
        <v>1259</v>
      </c>
      <c r="AT2462" s="30">
        <v>46072.515972222223</v>
      </c>
    </row>
    <row r="2463" spans="1:46" x14ac:dyDescent="0.25">
      <c r="A2463" t="s">
        <v>1248</v>
      </c>
      <c r="B2463">
        <v>252895</v>
      </c>
      <c r="C2463">
        <v>352145</v>
      </c>
      <c r="D2463">
        <v>405</v>
      </c>
      <c r="E2463" t="s">
        <v>1266</v>
      </c>
      <c r="G2463">
        <v>745</v>
      </c>
      <c r="H2463">
        <v>1853</v>
      </c>
      <c r="K2463" t="s">
        <v>2174</v>
      </c>
      <c r="L2463" t="s">
        <v>2174</v>
      </c>
      <c r="M2463" s="29">
        <v>287857142</v>
      </c>
      <c r="N2463">
        <v>0</v>
      </c>
      <c r="O2463" s="29">
        <v>287857142</v>
      </c>
      <c r="P2463">
        <v>0</v>
      </c>
      <c r="Q2463">
        <v>0</v>
      </c>
      <c r="R2463">
        <v>0</v>
      </c>
      <c r="T2463" s="29">
        <v>21600</v>
      </c>
      <c r="U2463" s="29">
        <v>435240</v>
      </c>
      <c r="V2463" t="s">
        <v>1262</v>
      </c>
      <c r="W2463" t="s">
        <v>1262</v>
      </c>
      <c r="X2463" s="29">
        <v>435240</v>
      </c>
      <c r="AA2463" s="30">
        <v>45747.541666666664</v>
      </c>
      <c r="AB2463" s="30">
        <v>45748.458333333336</v>
      </c>
      <c r="AC2463" s="30">
        <v>45747.541666666664</v>
      </c>
      <c r="AD2463" s="30">
        <v>45748.458333333336</v>
      </c>
      <c r="AE2463" s="30">
        <v>45784.541666666664</v>
      </c>
      <c r="AF2463" s="30">
        <v>45785.458333333336</v>
      </c>
      <c r="AG2463" t="s">
        <v>1266</v>
      </c>
      <c r="AK2463" t="s">
        <v>1265</v>
      </c>
      <c r="AL2463" t="s">
        <v>2202</v>
      </c>
      <c r="AM2463" t="s">
        <v>1263</v>
      </c>
      <c r="AN2463" t="s">
        <v>1262</v>
      </c>
      <c r="AO2463">
        <v>0</v>
      </c>
      <c r="AQ2463" t="s">
        <v>1261</v>
      </c>
      <c r="AR2463" t="s">
        <v>1260</v>
      </c>
      <c r="AS2463" t="s">
        <v>1259</v>
      </c>
      <c r="AT2463" s="30">
        <v>46072.515972222223</v>
      </c>
    </row>
    <row r="2464" spans="1:46" x14ac:dyDescent="0.25">
      <c r="A2464" t="s">
        <v>1248</v>
      </c>
      <c r="B2464">
        <v>252896</v>
      </c>
      <c r="C2464">
        <v>352152</v>
      </c>
      <c r="D2464">
        <v>405</v>
      </c>
      <c r="E2464" t="s">
        <v>1266</v>
      </c>
      <c r="G2464">
        <v>745</v>
      </c>
      <c r="H2464">
        <v>1853</v>
      </c>
      <c r="K2464" t="s">
        <v>2174</v>
      </c>
      <c r="L2464" t="s">
        <v>2174</v>
      </c>
      <c r="M2464" s="29">
        <v>287857142</v>
      </c>
      <c r="N2464">
        <v>0</v>
      </c>
      <c r="O2464" s="29">
        <v>287857142</v>
      </c>
      <c r="P2464">
        <v>0</v>
      </c>
      <c r="Q2464">
        <v>0</v>
      </c>
      <c r="R2464">
        <v>0</v>
      </c>
      <c r="T2464" s="29">
        <v>21600</v>
      </c>
      <c r="U2464" s="29">
        <v>435240</v>
      </c>
      <c r="V2464" t="s">
        <v>1262</v>
      </c>
      <c r="W2464" t="s">
        <v>1262</v>
      </c>
      <c r="X2464" s="29">
        <v>435240</v>
      </c>
      <c r="AA2464" s="30">
        <v>45743.583333333336</v>
      </c>
      <c r="AB2464" s="30">
        <v>45744.5</v>
      </c>
      <c r="AC2464" s="30">
        <v>45743.583333333336</v>
      </c>
      <c r="AD2464" s="30">
        <v>45744.5</v>
      </c>
      <c r="AE2464" s="30">
        <v>45778.541666666664</v>
      </c>
      <c r="AF2464" s="30">
        <v>45779.458333333336</v>
      </c>
      <c r="AG2464" t="s">
        <v>1266</v>
      </c>
      <c r="AK2464" t="s">
        <v>1265</v>
      </c>
      <c r="AL2464" t="s">
        <v>2201</v>
      </c>
      <c r="AM2464" t="s">
        <v>1263</v>
      </c>
      <c r="AN2464" t="s">
        <v>1262</v>
      </c>
      <c r="AO2464">
        <v>0</v>
      </c>
      <c r="AQ2464" t="s">
        <v>1261</v>
      </c>
      <c r="AR2464" t="s">
        <v>1260</v>
      </c>
      <c r="AS2464" t="s">
        <v>1259</v>
      </c>
      <c r="AT2464" s="30">
        <v>46072.515972222223</v>
      </c>
    </row>
    <row r="2465" spans="1:46" x14ac:dyDescent="0.25">
      <c r="A2465" t="s">
        <v>1248</v>
      </c>
      <c r="B2465">
        <v>252897</v>
      </c>
      <c r="C2465">
        <v>352159</v>
      </c>
      <c r="D2465">
        <v>405</v>
      </c>
      <c r="E2465" t="s">
        <v>1266</v>
      </c>
      <c r="G2465">
        <v>745</v>
      </c>
      <c r="H2465">
        <v>1853</v>
      </c>
      <c r="K2465" t="s">
        <v>2174</v>
      </c>
      <c r="L2465" t="s">
        <v>2174</v>
      </c>
      <c r="M2465" s="29">
        <v>287857142</v>
      </c>
      <c r="N2465">
        <v>0</v>
      </c>
      <c r="O2465" s="29">
        <v>287857142</v>
      </c>
      <c r="P2465">
        <v>0</v>
      </c>
      <c r="Q2465">
        <v>0</v>
      </c>
      <c r="R2465">
        <v>0</v>
      </c>
      <c r="T2465" s="29">
        <v>21600</v>
      </c>
      <c r="U2465" s="29">
        <v>435240</v>
      </c>
      <c r="V2465" t="s">
        <v>1262</v>
      </c>
      <c r="W2465" t="s">
        <v>1262</v>
      </c>
      <c r="X2465" s="29">
        <v>435240</v>
      </c>
      <c r="AA2465" s="30">
        <v>45741.625</v>
      </c>
      <c r="AB2465" s="30">
        <v>45742.583333333336</v>
      </c>
      <c r="AC2465" s="30">
        <v>45741.625</v>
      </c>
      <c r="AD2465" s="30">
        <v>45742.583333333336</v>
      </c>
      <c r="AE2465" s="30">
        <v>45772.541666666664</v>
      </c>
      <c r="AF2465" s="30">
        <v>45775.458333333336</v>
      </c>
      <c r="AG2465" t="s">
        <v>1266</v>
      </c>
      <c r="AK2465" t="s">
        <v>1265</v>
      </c>
      <c r="AL2465" t="s">
        <v>2200</v>
      </c>
      <c r="AM2465" t="s">
        <v>1263</v>
      </c>
      <c r="AN2465" t="s">
        <v>1262</v>
      </c>
      <c r="AO2465">
        <v>0</v>
      </c>
      <c r="AQ2465" t="s">
        <v>1261</v>
      </c>
      <c r="AR2465" t="s">
        <v>1260</v>
      </c>
      <c r="AS2465" t="s">
        <v>1259</v>
      </c>
      <c r="AT2465" s="30">
        <v>46072.515972222223</v>
      </c>
    </row>
    <row r="2466" spans="1:46" x14ac:dyDescent="0.25">
      <c r="A2466" t="s">
        <v>1248</v>
      </c>
      <c r="B2466">
        <v>252898</v>
      </c>
      <c r="C2466">
        <v>352166</v>
      </c>
      <c r="D2466">
        <v>405</v>
      </c>
      <c r="E2466" t="s">
        <v>1266</v>
      </c>
      <c r="G2466">
        <v>745</v>
      </c>
      <c r="H2466">
        <v>1853</v>
      </c>
      <c r="K2466" t="s">
        <v>2174</v>
      </c>
      <c r="L2466" t="s">
        <v>2174</v>
      </c>
      <c r="M2466" s="29">
        <v>287857142</v>
      </c>
      <c r="N2466">
        <v>0</v>
      </c>
      <c r="O2466" s="29">
        <v>287857142</v>
      </c>
      <c r="P2466">
        <v>0</v>
      </c>
      <c r="Q2466">
        <v>0</v>
      </c>
      <c r="R2466">
        <v>0</v>
      </c>
      <c r="T2466" s="29">
        <v>21600</v>
      </c>
      <c r="U2466" s="29">
        <v>435240</v>
      </c>
      <c r="V2466" t="s">
        <v>1262</v>
      </c>
      <c r="W2466" t="s">
        <v>1262</v>
      </c>
      <c r="X2466" s="29">
        <v>435240</v>
      </c>
      <c r="AA2466" s="30">
        <v>45728.583333333336</v>
      </c>
      <c r="AB2466" s="30">
        <v>45729.5</v>
      </c>
      <c r="AC2466" s="30">
        <v>45728.583333333336</v>
      </c>
      <c r="AD2466" s="30">
        <v>45729.5</v>
      </c>
      <c r="AE2466" s="30">
        <v>45768.541666666664</v>
      </c>
      <c r="AF2466" s="30">
        <v>45769.458333333336</v>
      </c>
      <c r="AG2466" t="s">
        <v>1266</v>
      </c>
      <c r="AK2466" t="s">
        <v>1265</v>
      </c>
      <c r="AL2466" t="s">
        <v>2199</v>
      </c>
      <c r="AM2466" t="s">
        <v>1263</v>
      </c>
      <c r="AN2466" t="s">
        <v>1262</v>
      </c>
      <c r="AO2466">
        <v>0</v>
      </c>
      <c r="AQ2466" t="s">
        <v>1261</v>
      </c>
      <c r="AR2466" t="s">
        <v>1260</v>
      </c>
      <c r="AS2466" t="s">
        <v>1259</v>
      </c>
      <c r="AT2466" s="30">
        <v>46072.515972222223</v>
      </c>
    </row>
    <row r="2467" spans="1:46" x14ac:dyDescent="0.25">
      <c r="A2467" t="s">
        <v>1248</v>
      </c>
      <c r="B2467">
        <v>252899</v>
      </c>
      <c r="C2467">
        <v>352173</v>
      </c>
      <c r="D2467">
        <v>405</v>
      </c>
      <c r="E2467" t="s">
        <v>1266</v>
      </c>
      <c r="G2467">
        <v>745</v>
      </c>
      <c r="H2467">
        <v>1853</v>
      </c>
      <c r="K2467" t="s">
        <v>2174</v>
      </c>
      <c r="L2467" t="s">
        <v>2174</v>
      </c>
      <c r="M2467" s="29">
        <v>287857142</v>
      </c>
      <c r="N2467">
        <v>0</v>
      </c>
      <c r="O2467" s="29">
        <v>287857142</v>
      </c>
      <c r="P2467">
        <v>0</v>
      </c>
      <c r="Q2467">
        <v>0</v>
      </c>
      <c r="R2467">
        <v>0</v>
      </c>
      <c r="T2467" s="29">
        <v>21600</v>
      </c>
      <c r="U2467" s="29">
        <v>435240</v>
      </c>
      <c r="V2467" t="s">
        <v>1262</v>
      </c>
      <c r="W2467" t="s">
        <v>1262</v>
      </c>
      <c r="X2467" s="29">
        <v>435240</v>
      </c>
      <c r="AA2467" s="30">
        <v>45723.625</v>
      </c>
      <c r="AB2467" s="30">
        <v>45726.583333333336</v>
      </c>
      <c r="AC2467" s="30">
        <v>45723.625</v>
      </c>
      <c r="AD2467" s="30">
        <v>45726.583333333336</v>
      </c>
      <c r="AE2467" s="30">
        <v>45762.541666666664</v>
      </c>
      <c r="AF2467" s="30">
        <v>45763.458333333336</v>
      </c>
      <c r="AG2467" t="s">
        <v>1266</v>
      </c>
      <c r="AK2467" t="s">
        <v>1265</v>
      </c>
      <c r="AL2467" t="s">
        <v>2198</v>
      </c>
      <c r="AM2467" t="s">
        <v>1263</v>
      </c>
      <c r="AN2467" t="s">
        <v>1262</v>
      </c>
      <c r="AO2467">
        <v>0</v>
      </c>
      <c r="AQ2467" t="s">
        <v>1261</v>
      </c>
      <c r="AR2467" t="s">
        <v>1260</v>
      </c>
      <c r="AS2467" t="s">
        <v>1259</v>
      </c>
      <c r="AT2467" s="30">
        <v>46072.515972222223</v>
      </c>
    </row>
    <row r="2468" spans="1:46" x14ac:dyDescent="0.25">
      <c r="A2468" t="s">
        <v>1248</v>
      </c>
      <c r="B2468">
        <v>252900</v>
      </c>
      <c r="C2468">
        <v>352180</v>
      </c>
      <c r="D2468">
        <v>405</v>
      </c>
      <c r="E2468" t="s">
        <v>1266</v>
      </c>
      <c r="G2468">
        <v>745</v>
      </c>
      <c r="H2468">
        <v>1853</v>
      </c>
      <c r="K2468" t="s">
        <v>2174</v>
      </c>
      <c r="L2468" t="s">
        <v>2174</v>
      </c>
      <c r="M2468" s="29">
        <v>287857142</v>
      </c>
      <c r="N2468">
        <v>0</v>
      </c>
      <c r="O2468" s="29">
        <v>287857142</v>
      </c>
      <c r="P2468">
        <v>0</v>
      </c>
      <c r="Q2468">
        <v>0</v>
      </c>
      <c r="R2468">
        <v>0</v>
      </c>
      <c r="T2468" s="29">
        <v>21600</v>
      </c>
      <c r="U2468" s="29">
        <v>435240</v>
      </c>
      <c r="V2468" t="s">
        <v>1262</v>
      </c>
      <c r="W2468" t="s">
        <v>1262</v>
      </c>
      <c r="X2468" s="29">
        <v>435240</v>
      </c>
      <c r="AA2468" s="30">
        <v>45728.666666666664</v>
      </c>
      <c r="AB2468" s="30">
        <v>45729.625</v>
      </c>
      <c r="AC2468" s="30">
        <v>45728.666666666664</v>
      </c>
      <c r="AD2468" s="30">
        <v>45729.625</v>
      </c>
      <c r="AE2468" s="30">
        <v>45756.541666666664</v>
      </c>
      <c r="AF2468" s="30">
        <v>45757.458333333336</v>
      </c>
      <c r="AG2468" t="s">
        <v>1266</v>
      </c>
      <c r="AK2468" t="s">
        <v>1265</v>
      </c>
      <c r="AL2468" t="s">
        <v>2197</v>
      </c>
      <c r="AM2468" t="s">
        <v>1263</v>
      </c>
      <c r="AN2468" t="s">
        <v>1262</v>
      </c>
      <c r="AO2468">
        <v>0</v>
      </c>
      <c r="AQ2468" t="s">
        <v>1261</v>
      </c>
      <c r="AR2468" t="s">
        <v>1260</v>
      </c>
      <c r="AS2468" t="s">
        <v>1259</v>
      </c>
      <c r="AT2468" s="30">
        <v>46072.515972222223</v>
      </c>
    </row>
    <row r="2469" spans="1:46" x14ac:dyDescent="0.25">
      <c r="A2469" t="s">
        <v>1248</v>
      </c>
      <c r="B2469">
        <v>252901</v>
      </c>
      <c r="C2469">
        <v>352187</v>
      </c>
      <c r="D2469">
        <v>405</v>
      </c>
      <c r="E2469" t="s">
        <v>1266</v>
      </c>
      <c r="G2469">
        <v>745</v>
      </c>
      <c r="H2469">
        <v>1853</v>
      </c>
      <c r="K2469" s="29">
        <v>23028571</v>
      </c>
      <c r="L2469" s="29">
        <v>23028571</v>
      </c>
      <c r="M2469" s="29">
        <v>287857142</v>
      </c>
      <c r="N2469">
        <v>0</v>
      </c>
      <c r="O2469" s="29">
        <v>287857142</v>
      </c>
      <c r="P2469">
        <v>0</v>
      </c>
      <c r="Q2469">
        <v>0</v>
      </c>
      <c r="R2469">
        <v>0</v>
      </c>
      <c r="T2469" s="29">
        <v>21600</v>
      </c>
      <c r="U2469" s="29">
        <v>497417</v>
      </c>
      <c r="V2469" t="s">
        <v>1262</v>
      </c>
      <c r="W2469" t="s">
        <v>1262</v>
      </c>
      <c r="X2469" s="29">
        <v>497417</v>
      </c>
      <c r="AA2469" s="30">
        <v>45726.333333333336</v>
      </c>
      <c r="AB2469" s="30">
        <v>45726.708333333336</v>
      </c>
      <c r="AC2469" s="30">
        <v>45726.333333333336</v>
      </c>
      <c r="AD2469" s="30">
        <v>45726.708333333336</v>
      </c>
      <c r="AE2469" s="30">
        <v>45750.333333333336</v>
      </c>
      <c r="AF2469" s="30">
        <v>45750.708333333336</v>
      </c>
      <c r="AG2469" t="s">
        <v>1266</v>
      </c>
      <c r="AK2469" t="s">
        <v>1265</v>
      </c>
      <c r="AL2469" t="s">
        <v>2196</v>
      </c>
      <c r="AM2469" t="s">
        <v>1263</v>
      </c>
      <c r="AN2469" t="s">
        <v>1262</v>
      </c>
      <c r="AO2469">
        <v>0</v>
      </c>
      <c r="AQ2469" t="s">
        <v>1261</v>
      </c>
      <c r="AR2469" t="s">
        <v>1260</v>
      </c>
      <c r="AS2469" t="s">
        <v>1259</v>
      </c>
      <c r="AT2469" s="30">
        <v>46072.515972222223</v>
      </c>
    </row>
    <row r="2470" spans="1:46" x14ac:dyDescent="0.25">
      <c r="A2470" t="s">
        <v>1248</v>
      </c>
      <c r="B2470">
        <v>252902</v>
      </c>
      <c r="C2470">
        <v>352194</v>
      </c>
      <c r="D2470">
        <v>405</v>
      </c>
      <c r="E2470" t="s">
        <v>1266</v>
      </c>
      <c r="G2470">
        <v>745</v>
      </c>
      <c r="H2470">
        <v>1853</v>
      </c>
      <c r="K2470" t="s">
        <v>2174</v>
      </c>
      <c r="L2470" t="s">
        <v>2174</v>
      </c>
      <c r="M2470" s="29">
        <v>287857142</v>
      </c>
      <c r="N2470">
        <v>0</v>
      </c>
      <c r="O2470" s="29">
        <v>287857142</v>
      </c>
      <c r="P2470">
        <v>0</v>
      </c>
      <c r="Q2470">
        <v>0</v>
      </c>
      <c r="R2470">
        <v>0</v>
      </c>
      <c r="T2470" s="29">
        <v>21600</v>
      </c>
      <c r="U2470" s="29">
        <v>435240</v>
      </c>
      <c r="V2470" t="s">
        <v>1262</v>
      </c>
      <c r="W2470" t="s">
        <v>1262</v>
      </c>
      <c r="X2470" s="29">
        <v>435240</v>
      </c>
      <c r="AA2470" s="30">
        <v>45904.463888888888</v>
      </c>
      <c r="AB2470" s="30">
        <v>45905.422222222223</v>
      </c>
      <c r="AC2470" s="30">
        <v>45904.463888888888</v>
      </c>
      <c r="AD2470" s="30">
        <v>45905.422222222223</v>
      </c>
      <c r="AE2470" s="30">
        <v>46395.541666666664</v>
      </c>
      <c r="AF2470" s="30">
        <v>46398.458333333336</v>
      </c>
      <c r="AG2470" t="s">
        <v>1266</v>
      </c>
      <c r="AK2470" t="s">
        <v>1265</v>
      </c>
      <c r="AL2470" t="s">
        <v>2195</v>
      </c>
      <c r="AM2470" t="s">
        <v>1263</v>
      </c>
      <c r="AN2470" t="s">
        <v>1262</v>
      </c>
      <c r="AO2470">
        <v>0</v>
      </c>
      <c r="AQ2470" t="s">
        <v>1261</v>
      </c>
      <c r="AR2470" t="s">
        <v>1260</v>
      </c>
      <c r="AS2470" t="s">
        <v>1259</v>
      </c>
      <c r="AT2470" s="30">
        <v>46072.515972222223</v>
      </c>
    </row>
    <row r="2471" spans="1:46" x14ac:dyDescent="0.25">
      <c r="A2471" t="s">
        <v>1248</v>
      </c>
      <c r="B2471">
        <v>252903</v>
      </c>
      <c r="C2471">
        <v>352201</v>
      </c>
      <c r="D2471">
        <v>405</v>
      </c>
      <c r="E2471" t="s">
        <v>1266</v>
      </c>
      <c r="G2471">
        <v>745</v>
      </c>
      <c r="H2471">
        <v>1853</v>
      </c>
      <c r="K2471" t="s">
        <v>2174</v>
      </c>
      <c r="L2471" t="s">
        <v>2174</v>
      </c>
      <c r="M2471" s="29">
        <v>287857142</v>
      </c>
      <c r="N2471">
        <v>0</v>
      </c>
      <c r="O2471" s="29">
        <v>287857142</v>
      </c>
      <c r="P2471">
        <v>0</v>
      </c>
      <c r="Q2471">
        <v>0</v>
      </c>
      <c r="R2471">
        <v>0</v>
      </c>
      <c r="T2471" s="29">
        <v>21600</v>
      </c>
      <c r="U2471" s="29">
        <v>435240</v>
      </c>
      <c r="V2471" t="s">
        <v>1262</v>
      </c>
      <c r="W2471" t="s">
        <v>1262</v>
      </c>
      <c r="X2471" s="29">
        <v>435240</v>
      </c>
      <c r="AA2471" s="30">
        <v>45901.463888888888</v>
      </c>
      <c r="AB2471" s="30">
        <v>45902.422222222223</v>
      </c>
      <c r="AC2471" s="30">
        <v>45901.463888888888</v>
      </c>
      <c r="AD2471" s="30">
        <v>45902.422222222223</v>
      </c>
      <c r="AE2471" s="30">
        <v>46374.541666666664</v>
      </c>
      <c r="AF2471" s="30">
        <v>46377.458333333336</v>
      </c>
      <c r="AG2471" t="s">
        <v>1266</v>
      </c>
      <c r="AK2471" t="s">
        <v>1265</v>
      </c>
      <c r="AL2471" t="s">
        <v>2194</v>
      </c>
      <c r="AM2471" t="s">
        <v>1263</v>
      </c>
      <c r="AN2471" t="s">
        <v>1262</v>
      </c>
      <c r="AO2471">
        <v>0</v>
      </c>
      <c r="AQ2471" t="s">
        <v>1261</v>
      </c>
      <c r="AR2471" t="s">
        <v>1260</v>
      </c>
      <c r="AS2471" t="s">
        <v>1259</v>
      </c>
      <c r="AT2471" s="30">
        <v>46072.515972222223</v>
      </c>
    </row>
    <row r="2472" spans="1:46" x14ac:dyDescent="0.25">
      <c r="A2472" t="s">
        <v>1248</v>
      </c>
      <c r="B2472">
        <v>252904</v>
      </c>
      <c r="C2472">
        <v>352208</v>
      </c>
      <c r="D2472">
        <v>405</v>
      </c>
      <c r="E2472" t="s">
        <v>1266</v>
      </c>
      <c r="G2472">
        <v>745</v>
      </c>
      <c r="H2472">
        <v>1853</v>
      </c>
      <c r="K2472" t="s">
        <v>2174</v>
      </c>
      <c r="L2472" t="s">
        <v>2174</v>
      </c>
      <c r="M2472" s="29">
        <v>287857142</v>
      </c>
      <c r="N2472">
        <v>0</v>
      </c>
      <c r="O2472" s="29">
        <v>287857142</v>
      </c>
      <c r="P2472">
        <v>0</v>
      </c>
      <c r="Q2472">
        <v>0</v>
      </c>
      <c r="R2472">
        <v>0</v>
      </c>
      <c r="T2472" s="29">
        <v>21600</v>
      </c>
      <c r="U2472" s="29">
        <v>435240</v>
      </c>
      <c r="V2472" t="s">
        <v>1262</v>
      </c>
      <c r="W2472" t="s">
        <v>1262</v>
      </c>
      <c r="X2472" s="29">
        <v>435240</v>
      </c>
      <c r="AA2472" s="30">
        <v>45896.463888888888</v>
      </c>
      <c r="AB2472" s="30">
        <v>45897.422222222223</v>
      </c>
      <c r="AC2472" s="30">
        <v>45896.463888888888</v>
      </c>
      <c r="AD2472" s="30">
        <v>45897.422222222223</v>
      </c>
      <c r="AE2472" s="30">
        <v>46357.541666666664</v>
      </c>
      <c r="AF2472" s="30">
        <v>46358.458333333336</v>
      </c>
      <c r="AG2472" t="s">
        <v>1266</v>
      </c>
      <c r="AK2472" t="s">
        <v>1265</v>
      </c>
      <c r="AL2472" t="s">
        <v>2193</v>
      </c>
      <c r="AM2472" t="s">
        <v>1263</v>
      </c>
      <c r="AN2472" t="s">
        <v>1262</v>
      </c>
      <c r="AO2472">
        <v>0</v>
      </c>
      <c r="AQ2472" t="s">
        <v>1261</v>
      </c>
      <c r="AR2472" t="s">
        <v>1260</v>
      </c>
      <c r="AS2472" t="s">
        <v>1259</v>
      </c>
      <c r="AT2472" s="30">
        <v>46072.515972222223</v>
      </c>
    </row>
    <row r="2473" spans="1:46" x14ac:dyDescent="0.25">
      <c r="A2473" t="s">
        <v>1248</v>
      </c>
      <c r="B2473">
        <v>252905</v>
      </c>
      <c r="C2473">
        <v>352215</v>
      </c>
      <c r="D2473">
        <v>405</v>
      </c>
      <c r="E2473" t="s">
        <v>1266</v>
      </c>
      <c r="G2473">
        <v>745</v>
      </c>
      <c r="H2473">
        <v>1853</v>
      </c>
      <c r="K2473" t="s">
        <v>2174</v>
      </c>
      <c r="L2473" t="s">
        <v>2174</v>
      </c>
      <c r="M2473" s="29">
        <v>287857142</v>
      </c>
      <c r="N2473">
        <v>0</v>
      </c>
      <c r="O2473" s="29">
        <v>287857142</v>
      </c>
      <c r="P2473">
        <v>0</v>
      </c>
      <c r="Q2473">
        <v>0</v>
      </c>
      <c r="R2473">
        <v>0</v>
      </c>
      <c r="T2473" s="29">
        <v>21600</v>
      </c>
      <c r="U2473" s="29">
        <v>435240</v>
      </c>
      <c r="V2473" t="s">
        <v>1262</v>
      </c>
      <c r="W2473" t="s">
        <v>1262</v>
      </c>
      <c r="X2473" s="29">
        <v>435240</v>
      </c>
      <c r="AA2473" s="30">
        <v>45891.463888888888</v>
      </c>
      <c r="AB2473" s="30">
        <v>45894.422222222223</v>
      </c>
      <c r="AC2473" s="30">
        <v>45891.463888888888</v>
      </c>
      <c r="AD2473" s="30">
        <v>45894.422222222223</v>
      </c>
      <c r="AE2473" s="30">
        <v>46339.541666666664</v>
      </c>
      <c r="AF2473" s="30">
        <v>46342.458333333336</v>
      </c>
      <c r="AG2473" t="s">
        <v>1266</v>
      </c>
      <c r="AK2473" t="s">
        <v>1265</v>
      </c>
      <c r="AL2473" t="e">
        <f>+iSmZ83b6kOH3r9iTu248Q</f>
        <v>#NAME?</v>
      </c>
      <c r="AM2473" t="s">
        <v>1263</v>
      </c>
      <c r="AN2473" t="s">
        <v>1262</v>
      </c>
      <c r="AO2473">
        <v>0</v>
      </c>
      <c r="AQ2473" t="s">
        <v>1261</v>
      </c>
      <c r="AR2473" t="s">
        <v>1260</v>
      </c>
      <c r="AS2473" t="s">
        <v>1259</v>
      </c>
      <c r="AT2473" s="30">
        <v>46072.515972222223</v>
      </c>
    </row>
    <row r="2474" spans="1:46" x14ac:dyDescent="0.25">
      <c r="A2474" t="s">
        <v>1248</v>
      </c>
      <c r="B2474">
        <v>252906</v>
      </c>
      <c r="C2474">
        <v>352222</v>
      </c>
      <c r="D2474">
        <v>405</v>
      </c>
      <c r="E2474" t="s">
        <v>1266</v>
      </c>
      <c r="G2474">
        <v>745</v>
      </c>
      <c r="H2474">
        <v>1853</v>
      </c>
      <c r="K2474" t="s">
        <v>2174</v>
      </c>
      <c r="L2474" t="s">
        <v>2174</v>
      </c>
      <c r="M2474" s="29">
        <v>287857142</v>
      </c>
      <c r="N2474">
        <v>0</v>
      </c>
      <c r="O2474" s="29">
        <v>287857142</v>
      </c>
      <c r="P2474">
        <v>0</v>
      </c>
      <c r="Q2474">
        <v>0</v>
      </c>
      <c r="R2474">
        <v>0</v>
      </c>
      <c r="T2474" s="29">
        <v>21600</v>
      </c>
      <c r="U2474" s="29">
        <v>435240</v>
      </c>
      <c r="V2474" t="s">
        <v>1262</v>
      </c>
      <c r="W2474" t="s">
        <v>1262</v>
      </c>
      <c r="X2474" s="29">
        <v>435240</v>
      </c>
      <c r="AA2474" s="30">
        <v>45888.630555555559</v>
      </c>
      <c r="AB2474" s="30">
        <v>45889.588888888888</v>
      </c>
      <c r="AC2474" s="30">
        <v>45888.630555555559</v>
      </c>
      <c r="AD2474" s="30">
        <v>45889.588888888888</v>
      </c>
      <c r="AE2474" s="30">
        <v>46323.541666666664</v>
      </c>
      <c r="AF2474" s="30">
        <v>46324.458333333336</v>
      </c>
      <c r="AG2474" t="s">
        <v>1266</v>
      </c>
      <c r="AK2474" t="s">
        <v>1265</v>
      </c>
      <c r="AL2474" t="s">
        <v>2192</v>
      </c>
      <c r="AM2474" t="s">
        <v>1263</v>
      </c>
      <c r="AN2474" t="s">
        <v>1262</v>
      </c>
      <c r="AO2474">
        <v>0</v>
      </c>
      <c r="AQ2474" t="s">
        <v>1261</v>
      </c>
      <c r="AR2474" t="s">
        <v>1260</v>
      </c>
      <c r="AS2474" t="s">
        <v>1259</v>
      </c>
      <c r="AT2474" s="30">
        <v>46072.515972222223</v>
      </c>
    </row>
    <row r="2475" spans="1:46" x14ac:dyDescent="0.25">
      <c r="A2475" t="s">
        <v>1248</v>
      </c>
      <c r="B2475">
        <v>252907</v>
      </c>
      <c r="C2475">
        <v>352229</v>
      </c>
      <c r="D2475">
        <v>405</v>
      </c>
      <c r="E2475" t="s">
        <v>1266</v>
      </c>
      <c r="G2475">
        <v>745</v>
      </c>
      <c r="H2475">
        <v>1853</v>
      </c>
      <c r="K2475" t="s">
        <v>2174</v>
      </c>
      <c r="L2475" t="s">
        <v>2174</v>
      </c>
      <c r="M2475" s="29">
        <v>287857142</v>
      </c>
      <c r="N2475">
        <v>0</v>
      </c>
      <c r="O2475" s="29">
        <v>287857142</v>
      </c>
      <c r="P2475">
        <v>0</v>
      </c>
      <c r="Q2475">
        <v>0</v>
      </c>
      <c r="R2475">
        <v>0</v>
      </c>
      <c r="T2475" s="29">
        <v>21600</v>
      </c>
      <c r="U2475" s="29">
        <v>435240</v>
      </c>
      <c r="V2475" t="s">
        <v>1262</v>
      </c>
      <c r="W2475" t="s">
        <v>1262</v>
      </c>
      <c r="X2475" s="29">
        <v>435240</v>
      </c>
      <c r="AA2475" s="30">
        <v>45884.672222222223</v>
      </c>
      <c r="AB2475" s="30">
        <v>45887.630555555559</v>
      </c>
      <c r="AC2475" s="30">
        <v>45884.672222222223</v>
      </c>
      <c r="AD2475" s="30">
        <v>45887.630555555559</v>
      </c>
      <c r="AE2475" s="30">
        <v>46307.541666666664</v>
      </c>
      <c r="AF2475" s="30">
        <v>46308.458333333336</v>
      </c>
      <c r="AG2475" t="s">
        <v>1266</v>
      </c>
      <c r="AK2475" t="s">
        <v>1265</v>
      </c>
      <c r="AL2475" t="s">
        <v>2191</v>
      </c>
      <c r="AM2475" t="s">
        <v>1263</v>
      </c>
      <c r="AN2475" t="s">
        <v>1262</v>
      </c>
      <c r="AO2475">
        <v>0</v>
      </c>
      <c r="AQ2475" t="s">
        <v>1261</v>
      </c>
      <c r="AR2475" t="s">
        <v>1260</v>
      </c>
      <c r="AS2475" t="s">
        <v>1259</v>
      </c>
      <c r="AT2475" s="30">
        <v>46072.515972222223</v>
      </c>
    </row>
    <row r="2476" spans="1:46" x14ac:dyDescent="0.25">
      <c r="A2476" t="s">
        <v>1248</v>
      </c>
      <c r="B2476">
        <v>252908</v>
      </c>
      <c r="C2476">
        <v>352236</v>
      </c>
      <c r="D2476">
        <v>405</v>
      </c>
      <c r="E2476" t="s">
        <v>1266</v>
      </c>
      <c r="G2476">
        <v>745</v>
      </c>
      <c r="H2476">
        <v>1853</v>
      </c>
      <c r="K2476" t="s">
        <v>2174</v>
      </c>
      <c r="L2476" t="s">
        <v>2174</v>
      </c>
      <c r="M2476" s="29">
        <v>287857142</v>
      </c>
      <c r="N2476">
        <v>0</v>
      </c>
      <c r="O2476" s="29">
        <v>287857142</v>
      </c>
      <c r="P2476">
        <v>0</v>
      </c>
      <c r="Q2476">
        <v>0</v>
      </c>
      <c r="R2476">
        <v>0</v>
      </c>
      <c r="T2476" s="29">
        <v>21600</v>
      </c>
      <c r="U2476" s="29">
        <v>435240</v>
      </c>
      <c r="V2476" t="s">
        <v>1262</v>
      </c>
      <c r="W2476" t="s">
        <v>1262</v>
      </c>
      <c r="X2476" s="29">
        <v>435240</v>
      </c>
      <c r="AA2476" s="30">
        <v>45883.338888888888</v>
      </c>
      <c r="AB2476" s="30">
        <v>45883.672222222223</v>
      </c>
      <c r="AC2476" s="30">
        <v>45883.338888888888</v>
      </c>
      <c r="AD2476" s="30">
        <v>45883.672222222223</v>
      </c>
      <c r="AE2476" s="30">
        <v>46289.541666666664</v>
      </c>
      <c r="AF2476" s="30">
        <v>46290.458333333336</v>
      </c>
      <c r="AG2476" t="s">
        <v>1266</v>
      </c>
      <c r="AK2476" t="s">
        <v>1265</v>
      </c>
      <c r="AL2476" t="s">
        <v>2190</v>
      </c>
      <c r="AM2476" t="s">
        <v>1263</v>
      </c>
      <c r="AN2476" t="s">
        <v>1262</v>
      </c>
      <c r="AO2476">
        <v>0</v>
      </c>
      <c r="AQ2476" t="s">
        <v>1261</v>
      </c>
      <c r="AR2476" t="s">
        <v>1260</v>
      </c>
      <c r="AS2476" t="s">
        <v>1259</v>
      </c>
      <c r="AT2476" s="30">
        <v>46072.515972222223</v>
      </c>
    </row>
    <row r="2477" spans="1:46" x14ac:dyDescent="0.25">
      <c r="A2477" t="s">
        <v>1248</v>
      </c>
      <c r="B2477">
        <v>252909</v>
      </c>
      <c r="C2477">
        <v>352243</v>
      </c>
      <c r="D2477">
        <v>405</v>
      </c>
      <c r="E2477" t="s">
        <v>1266</v>
      </c>
      <c r="G2477">
        <v>745</v>
      </c>
      <c r="H2477">
        <v>1853</v>
      </c>
      <c r="K2477" t="s">
        <v>2174</v>
      </c>
      <c r="L2477" t="s">
        <v>2174</v>
      </c>
      <c r="M2477" s="29">
        <v>287857142</v>
      </c>
      <c r="N2477">
        <v>0</v>
      </c>
      <c r="O2477" s="29">
        <v>287857142</v>
      </c>
      <c r="P2477">
        <v>0</v>
      </c>
      <c r="Q2477">
        <v>0</v>
      </c>
      <c r="R2477">
        <v>0</v>
      </c>
      <c r="T2477" s="29">
        <v>21600</v>
      </c>
      <c r="U2477" s="29">
        <v>435240</v>
      </c>
      <c r="V2477" t="s">
        <v>1262</v>
      </c>
      <c r="W2477" t="s">
        <v>1262</v>
      </c>
      <c r="X2477" s="29">
        <v>435240</v>
      </c>
      <c r="AA2477" s="30">
        <v>45881.380555555559</v>
      </c>
      <c r="AB2477" s="30">
        <v>45882.338888888888</v>
      </c>
      <c r="AC2477" s="30">
        <v>45881.380555555559</v>
      </c>
      <c r="AD2477" s="30">
        <v>45882.338888888888</v>
      </c>
      <c r="AE2477" s="30">
        <v>46268.447222222225</v>
      </c>
      <c r="AF2477" s="30">
        <v>46269.405555555553</v>
      </c>
      <c r="AG2477" t="s">
        <v>1266</v>
      </c>
      <c r="AK2477" t="s">
        <v>1265</v>
      </c>
      <c r="AL2477" t="e">
        <f>5+KmvIN7k2E287qIQv8PQ</f>
        <v>#NAME?</v>
      </c>
      <c r="AM2477" t="s">
        <v>1263</v>
      </c>
      <c r="AN2477" t="s">
        <v>1262</v>
      </c>
      <c r="AO2477">
        <v>0</v>
      </c>
      <c r="AQ2477" t="s">
        <v>1261</v>
      </c>
      <c r="AR2477" t="s">
        <v>1260</v>
      </c>
      <c r="AS2477" t="s">
        <v>1259</v>
      </c>
      <c r="AT2477" s="30">
        <v>46072.515972222223</v>
      </c>
    </row>
    <row r="2478" spans="1:46" x14ac:dyDescent="0.25">
      <c r="A2478" t="s">
        <v>1248</v>
      </c>
      <c r="B2478">
        <v>252910</v>
      </c>
      <c r="C2478">
        <v>352250</v>
      </c>
      <c r="D2478">
        <v>405</v>
      </c>
      <c r="E2478" t="s">
        <v>1266</v>
      </c>
      <c r="G2478">
        <v>745</v>
      </c>
      <c r="H2478">
        <v>1853</v>
      </c>
      <c r="K2478" t="s">
        <v>2174</v>
      </c>
      <c r="L2478" t="s">
        <v>2174</v>
      </c>
      <c r="M2478" s="29">
        <v>287857142</v>
      </c>
      <c r="N2478">
        <v>0</v>
      </c>
      <c r="O2478" s="29">
        <v>287857142</v>
      </c>
      <c r="P2478">
        <v>0</v>
      </c>
      <c r="Q2478">
        <v>0</v>
      </c>
      <c r="R2478">
        <v>0</v>
      </c>
      <c r="T2478" s="29">
        <v>21600</v>
      </c>
      <c r="U2478" s="29">
        <v>435240</v>
      </c>
      <c r="V2478" t="s">
        <v>1262</v>
      </c>
      <c r="W2478" t="s">
        <v>1262</v>
      </c>
      <c r="X2478" s="29">
        <v>435240</v>
      </c>
      <c r="AA2478" s="30">
        <v>45877.422222222223</v>
      </c>
      <c r="AB2478" s="30">
        <v>45880.380555555559</v>
      </c>
      <c r="AC2478" s="30">
        <v>45877.422222222223</v>
      </c>
      <c r="AD2478" s="30">
        <v>45880.380555555559</v>
      </c>
      <c r="AE2478" s="30">
        <v>46252.447222222225</v>
      </c>
      <c r="AF2478" s="30">
        <v>46253.405555555553</v>
      </c>
      <c r="AG2478" t="s">
        <v>1266</v>
      </c>
      <c r="AK2478" t="s">
        <v>1265</v>
      </c>
      <c r="AL2478" t="s">
        <v>2189</v>
      </c>
      <c r="AM2478" t="s">
        <v>1263</v>
      </c>
      <c r="AN2478" t="s">
        <v>1262</v>
      </c>
      <c r="AO2478">
        <v>0</v>
      </c>
      <c r="AQ2478" t="s">
        <v>1261</v>
      </c>
      <c r="AR2478" t="s">
        <v>1260</v>
      </c>
      <c r="AS2478" t="s">
        <v>1259</v>
      </c>
      <c r="AT2478" s="30">
        <v>46072.515972222223</v>
      </c>
    </row>
    <row r="2479" spans="1:46" x14ac:dyDescent="0.25">
      <c r="A2479" t="s">
        <v>1248</v>
      </c>
      <c r="B2479">
        <v>252911</v>
      </c>
      <c r="C2479">
        <v>352257</v>
      </c>
      <c r="D2479">
        <v>405</v>
      </c>
      <c r="E2479" t="s">
        <v>1266</v>
      </c>
      <c r="G2479">
        <v>745</v>
      </c>
      <c r="H2479">
        <v>1853</v>
      </c>
      <c r="K2479" t="s">
        <v>2174</v>
      </c>
      <c r="L2479" t="s">
        <v>2174</v>
      </c>
      <c r="M2479" s="29">
        <v>287857142</v>
      </c>
      <c r="N2479">
        <v>0</v>
      </c>
      <c r="O2479" s="29">
        <v>287857142</v>
      </c>
      <c r="P2479">
        <v>0</v>
      </c>
      <c r="Q2479">
        <v>0</v>
      </c>
      <c r="R2479">
        <v>0</v>
      </c>
      <c r="T2479" s="29">
        <v>21600</v>
      </c>
      <c r="U2479" s="29">
        <v>435240</v>
      </c>
      <c r="V2479" t="s">
        <v>1262</v>
      </c>
      <c r="W2479" t="s">
        <v>1262</v>
      </c>
      <c r="X2479" s="29">
        <v>435240</v>
      </c>
      <c r="AA2479" s="30">
        <v>45875.463888888888</v>
      </c>
      <c r="AB2479" s="30">
        <v>45876.422222222223</v>
      </c>
      <c r="AC2479" s="30">
        <v>45875.463888888888</v>
      </c>
      <c r="AD2479" s="30">
        <v>45876.422222222223</v>
      </c>
      <c r="AE2479" s="30">
        <v>46234.447222222225</v>
      </c>
      <c r="AF2479" s="30">
        <v>46237.405555555553</v>
      </c>
      <c r="AG2479" t="s">
        <v>1266</v>
      </c>
      <c r="AK2479" t="s">
        <v>1265</v>
      </c>
      <c r="AL2479" t="s">
        <v>2188</v>
      </c>
      <c r="AM2479" t="s">
        <v>1263</v>
      </c>
      <c r="AN2479" t="s">
        <v>1262</v>
      </c>
      <c r="AO2479">
        <v>0</v>
      </c>
      <c r="AQ2479" t="s">
        <v>1261</v>
      </c>
      <c r="AR2479" t="s">
        <v>1260</v>
      </c>
      <c r="AS2479" t="s">
        <v>1259</v>
      </c>
      <c r="AT2479" s="30">
        <v>46072.515972222223</v>
      </c>
    </row>
    <row r="2480" spans="1:46" x14ac:dyDescent="0.25">
      <c r="A2480" t="s">
        <v>1248</v>
      </c>
      <c r="B2480">
        <v>252912</v>
      </c>
      <c r="C2480">
        <v>352264</v>
      </c>
      <c r="D2480">
        <v>405</v>
      </c>
      <c r="E2480" t="s">
        <v>1266</v>
      </c>
      <c r="G2480">
        <v>745</v>
      </c>
      <c r="H2480">
        <v>1853</v>
      </c>
      <c r="K2480" t="s">
        <v>2174</v>
      </c>
      <c r="L2480" t="s">
        <v>2174</v>
      </c>
      <c r="M2480" s="29">
        <v>287857142</v>
      </c>
      <c r="N2480">
        <v>0</v>
      </c>
      <c r="O2480" s="29">
        <v>287857142</v>
      </c>
      <c r="P2480">
        <v>0</v>
      </c>
      <c r="Q2480">
        <v>0</v>
      </c>
      <c r="R2480">
        <v>0</v>
      </c>
      <c r="T2480" s="29">
        <v>21600</v>
      </c>
      <c r="U2480" s="29">
        <v>435240</v>
      </c>
      <c r="V2480" t="s">
        <v>1262</v>
      </c>
      <c r="W2480" t="s">
        <v>1262</v>
      </c>
      <c r="X2480" s="29">
        <v>435240</v>
      </c>
      <c r="AA2480" s="30">
        <v>45866.355555555558</v>
      </c>
      <c r="AB2480" s="30">
        <v>45866.688888888886</v>
      </c>
      <c r="AC2480" s="30">
        <v>45866.355555555558</v>
      </c>
      <c r="AD2480" s="30">
        <v>45866.688888888886</v>
      </c>
      <c r="AE2480" s="30">
        <v>46218.447222222225</v>
      </c>
      <c r="AF2480" s="30">
        <v>46219.405555555553</v>
      </c>
      <c r="AG2480" t="s">
        <v>1266</v>
      </c>
      <c r="AK2480" t="s">
        <v>1265</v>
      </c>
      <c r="AL2480" t="s">
        <v>2187</v>
      </c>
      <c r="AM2480" t="s">
        <v>1263</v>
      </c>
      <c r="AN2480" t="s">
        <v>1262</v>
      </c>
      <c r="AO2480">
        <v>0</v>
      </c>
      <c r="AQ2480" t="s">
        <v>1261</v>
      </c>
      <c r="AR2480" t="s">
        <v>1260</v>
      </c>
      <c r="AS2480" t="s">
        <v>1259</v>
      </c>
      <c r="AT2480" s="30">
        <v>46072.515972222223</v>
      </c>
    </row>
    <row r="2481" spans="1:46" x14ac:dyDescent="0.25">
      <c r="A2481" t="s">
        <v>1248</v>
      </c>
      <c r="B2481">
        <v>252913</v>
      </c>
      <c r="C2481">
        <v>352271</v>
      </c>
      <c r="D2481">
        <v>405</v>
      </c>
      <c r="E2481" t="s">
        <v>1266</v>
      </c>
      <c r="G2481">
        <v>745</v>
      </c>
      <c r="H2481">
        <v>1853</v>
      </c>
      <c r="K2481" t="s">
        <v>2174</v>
      </c>
      <c r="L2481" t="s">
        <v>2174</v>
      </c>
      <c r="M2481" s="29">
        <v>287857142</v>
      </c>
      <c r="N2481">
        <v>0</v>
      </c>
      <c r="O2481" s="29">
        <v>287857142</v>
      </c>
      <c r="P2481">
        <v>0</v>
      </c>
      <c r="Q2481">
        <v>0</v>
      </c>
      <c r="R2481">
        <v>0</v>
      </c>
      <c r="T2481" s="29">
        <v>21600</v>
      </c>
      <c r="U2481" s="29">
        <v>435240</v>
      </c>
      <c r="V2481" t="s">
        <v>1262</v>
      </c>
      <c r="W2481" t="s">
        <v>1262</v>
      </c>
      <c r="X2481" s="29">
        <v>435240</v>
      </c>
      <c r="AA2481" s="30">
        <v>45862.397222222222</v>
      </c>
      <c r="AB2481" s="30">
        <v>45863.355555555558</v>
      </c>
      <c r="AC2481" s="30">
        <v>45862.397222222222</v>
      </c>
      <c r="AD2481" s="30">
        <v>45863.355555555558</v>
      </c>
      <c r="AE2481" s="30">
        <v>46202.447222222225</v>
      </c>
      <c r="AF2481" s="30">
        <v>46203.405555555553</v>
      </c>
      <c r="AG2481" t="s">
        <v>1266</v>
      </c>
      <c r="AK2481" t="s">
        <v>1265</v>
      </c>
      <c r="AL2481" t="s">
        <v>2186</v>
      </c>
      <c r="AM2481" t="s">
        <v>1263</v>
      </c>
      <c r="AN2481" t="s">
        <v>1262</v>
      </c>
      <c r="AO2481">
        <v>0</v>
      </c>
      <c r="AQ2481" t="s">
        <v>1261</v>
      </c>
      <c r="AR2481" t="s">
        <v>1260</v>
      </c>
      <c r="AS2481" t="s">
        <v>1259</v>
      </c>
      <c r="AT2481" s="30">
        <v>46072.515972222223</v>
      </c>
    </row>
    <row r="2482" spans="1:46" x14ac:dyDescent="0.25">
      <c r="A2482" t="s">
        <v>1248</v>
      </c>
      <c r="B2482">
        <v>252914</v>
      </c>
      <c r="C2482">
        <v>352278</v>
      </c>
      <c r="D2482">
        <v>405</v>
      </c>
      <c r="E2482" t="s">
        <v>1266</v>
      </c>
      <c r="G2482">
        <v>745</v>
      </c>
      <c r="H2482">
        <v>1853</v>
      </c>
      <c r="K2482" t="s">
        <v>2174</v>
      </c>
      <c r="L2482" t="s">
        <v>2174</v>
      </c>
      <c r="M2482" s="29">
        <v>287857142</v>
      </c>
      <c r="N2482">
        <v>0</v>
      </c>
      <c r="O2482" s="29">
        <v>287857142</v>
      </c>
      <c r="P2482">
        <v>0</v>
      </c>
      <c r="Q2482">
        <v>0</v>
      </c>
      <c r="R2482">
        <v>0</v>
      </c>
      <c r="T2482" s="29">
        <v>21600</v>
      </c>
      <c r="U2482" s="29">
        <v>435240</v>
      </c>
      <c r="V2482" t="s">
        <v>1262</v>
      </c>
      <c r="W2482" t="s">
        <v>1262</v>
      </c>
      <c r="X2482" s="29">
        <v>435240</v>
      </c>
      <c r="AA2482" s="30">
        <v>45860.438888888886</v>
      </c>
      <c r="AB2482" s="30">
        <v>45861.397222222222</v>
      </c>
      <c r="AC2482" s="30">
        <v>45860.438888888886</v>
      </c>
      <c r="AD2482" s="30">
        <v>45861.397222222222</v>
      </c>
      <c r="AE2482" s="30">
        <v>46184.447222222225</v>
      </c>
      <c r="AF2482" s="30">
        <v>46185.405555555553</v>
      </c>
      <c r="AG2482" t="s">
        <v>1266</v>
      </c>
      <c r="AK2482" t="s">
        <v>1265</v>
      </c>
      <c r="AL2482" t="s">
        <v>2185</v>
      </c>
      <c r="AM2482" t="s">
        <v>1263</v>
      </c>
      <c r="AN2482" t="s">
        <v>1262</v>
      </c>
      <c r="AO2482">
        <v>0</v>
      </c>
      <c r="AQ2482" t="s">
        <v>1261</v>
      </c>
      <c r="AR2482" t="s">
        <v>1260</v>
      </c>
      <c r="AS2482" t="s">
        <v>1259</v>
      </c>
      <c r="AT2482" s="30">
        <v>46072.515972222223</v>
      </c>
    </row>
    <row r="2483" spans="1:46" x14ac:dyDescent="0.25">
      <c r="A2483" t="s">
        <v>1248</v>
      </c>
      <c r="B2483">
        <v>252915</v>
      </c>
      <c r="C2483">
        <v>352285</v>
      </c>
      <c r="D2483">
        <v>405</v>
      </c>
      <c r="E2483" t="s">
        <v>1266</v>
      </c>
      <c r="G2483">
        <v>745</v>
      </c>
      <c r="H2483">
        <v>1853</v>
      </c>
      <c r="K2483" t="s">
        <v>2174</v>
      </c>
      <c r="L2483" t="s">
        <v>2174</v>
      </c>
      <c r="M2483" s="29">
        <v>287857142</v>
      </c>
      <c r="N2483">
        <v>0</v>
      </c>
      <c r="O2483" s="29">
        <v>287857142</v>
      </c>
      <c r="P2483">
        <v>0</v>
      </c>
      <c r="Q2483">
        <v>0</v>
      </c>
      <c r="R2483">
        <v>0</v>
      </c>
      <c r="T2483" s="29">
        <v>21600</v>
      </c>
      <c r="U2483" s="29">
        <v>435240</v>
      </c>
      <c r="V2483" t="s">
        <v>1262</v>
      </c>
      <c r="W2483" t="s">
        <v>1262</v>
      </c>
      <c r="X2483" s="29">
        <v>435240</v>
      </c>
      <c r="AA2483" s="30">
        <v>45856.480555555558</v>
      </c>
      <c r="AB2483" s="30">
        <v>45859.438888888886</v>
      </c>
      <c r="AC2483" s="30">
        <v>45856.480555555558</v>
      </c>
      <c r="AD2483" s="30">
        <v>45859.438888888886</v>
      </c>
      <c r="AE2483" s="30">
        <v>46167.447222222225</v>
      </c>
      <c r="AF2483" s="30">
        <v>46168.405555555553</v>
      </c>
      <c r="AG2483" t="s">
        <v>1266</v>
      </c>
      <c r="AK2483" t="s">
        <v>1265</v>
      </c>
      <c r="AL2483" t="s">
        <v>2184</v>
      </c>
      <c r="AM2483" t="s">
        <v>1263</v>
      </c>
      <c r="AN2483" t="s">
        <v>1262</v>
      </c>
      <c r="AO2483">
        <v>0</v>
      </c>
      <c r="AQ2483" t="s">
        <v>1261</v>
      </c>
      <c r="AR2483" t="s">
        <v>1260</v>
      </c>
      <c r="AS2483" t="s">
        <v>1259</v>
      </c>
      <c r="AT2483" s="30">
        <v>46072.515972222223</v>
      </c>
    </row>
    <row r="2484" spans="1:46" x14ac:dyDescent="0.25">
      <c r="A2484" t="s">
        <v>1248</v>
      </c>
      <c r="B2484">
        <v>252916</v>
      </c>
      <c r="C2484">
        <v>352292</v>
      </c>
      <c r="D2484">
        <v>405</v>
      </c>
      <c r="E2484" t="s">
        <v>1266</v>
      </c>
      <c r="G2484">
        <v>745</v>
      </c>
      <c r="H2484">
        <v>1853</v>
      </c>
      <c r="K2484" t="s">
        <v>2174</v>
      </c>
      <c r="L2484" t="s">
        <v>2174</v>
      </c>
      <c r="M2484" s="29">
        <v>287857142</v>
      </c>
      <c r="N2484">
        <v>0</v>
      </c>
      <c r="O2484" s="29">
        <v>287857142</v>
      </c>
      <c r="P2484">
        <v>0</v>
      </c>
      <c r="Q2484">
        <v>0</v>
      </c>
      <c r="R2484">
        <v>0</v>
      </c>
      <c r="T2484" s="29">
        <v>21600</v>
      </c>
      <c r="U2484" s="29">
        <v>435240</v>
      </c>
      <c r="V2484" t="s">
        <v>1262</v>
      </c>
      <c r="W2484" t="s">
        <v>1262</v>
      </c>
      <c r="X2484" s="29">
        <v>435240</v>
      </c>
      <c r="AA2484" s="30">
        <v>45854.563888888886</v>
      </c>
      <c r="AB2484" s="30">
        <v>45855.480555555558</v>
      </c>
      <c r="AC2484" s="30">
        <v>45854.563888888886</v>
      </c>
      <c r="AD2484" s="30">
        <v>45855.480555555558</v>
      </c>
      <c r="AE2484" s="30">
        <v>46149.447222222225</v>
      </c>
      <c r="AF2484" s="30">
        <v>46150.405555555553</v>
      </c>
      <c r="AG2484" t="s">
        <v>1266</v>
      </c>
      <c r="AK2484" t="s">
        <v>1265</v>
      </c>
      <c r="AL2484" t="s">
        <v>2183</v>
      </c>
      <c r="AM2484" t="s">
        <v>1263</v>
      </c>
      <c r="AN2484" t="s">
        <v>1262</v>
      </c>
      <c r="AO2484">
        <v>0</v>
      </c>
      <c r="AQ2484" t="s">
        <v>1261</v>
      </c>
      <c r="AR2484" t="s">
        <v>1260</v>
      </c>
      <c r="AS2484" t="s">
        <v>1259</v>
      </c>
      <c r="AT2484" s="30">
        <v>46072.515972222223</v>
      </c>
    </row>
    <row r="2485" spans="1:46" x14ac:dyDescent="0.25">
      <c r="A2485" t="s">
        <v>1248</v>
      </c>
      <c r="B2485">
        <v>252917</v>
      </c>
      <c r="C2485">
        <v>352299</v>
      </c>
      <c r="D2485">
        <v>405</v>
      </c>
      <c r="E2485" t="s">
        <v>1266</v>
      </c>
      <c r="G2485">
        <v>745</v>
      </c>
      <c r="H2485">
        <v>1853</v>
      </c>
      <c r="K2485" t="s">
        <v>2174</v>
      </c>
      <c r="L2485" t="s">
        <v>2174</v>
      </c>
      <c r="M2485" s="29">
        <v>287857142</v>
      </c>
      <c r="N2485">
        <v>0</v>
      </c>
      <c r="O2485" s="29">
        <v>287857142</v>
      </c>
      <c r="P2485">
        <v>0</v>
      </c>
      <c r="Q2485">
        <v>0</v>
      </c>
      <c r="R2485">
        <v>0</v>
      </c>
      <c r="T2485" s="29">
        <v>21600</v>
      </c>
      <c r="U2485" s="29">
        <v>435240</v>
      </c>
      <c r="V2485" t="s">
        <v>1262</v>
      </c>
      <c r="W2485" t="s">
        <v>1262</v>
      </c>
      <c r="X2485" s="29">
        <v>435240</v>
      </c>
      <c r="AA2485" s="30">
        <v>45852.605555555558</v>
      </c>
      <c r="AB2485" s="30">
        <v>45853.563888888886</v>
      </c>
      <c r="AC2485" s="30">
        <v>45852.605555555558</v>
      </c>
      <c r="AD2485" s="30">
        <v>45853.563888888886</v>
      </c>
      <c r="AE2485" s="30">
        <v>46132.447222222225</v>
      </c>
      <c r="AF2485" s="30">
        <v>46133.405555555553</v>
      </c>
      <c r="AG2485" t="s">
        <v>1266</v>
      </c>
      <c r="AK2485" t="s">
        <v>1265</v>
      </c>
      <c r="AL2485" t="s">
        <v>2182</v>
      </c>
      <c r="AM2485" t="s">
        <v>1263</v>
      </c>
      <c r="AN2485" t="s">
        <v>1262</v>
      </c>
      <c r="AO2485">
        <v>0</v>
      </c>
      <c r="AQ2485" t="s">
        <v>1261</v>
      </c>
      <c r="AR2485" t="s">
        <v>1260</v>
      </c>
      <c r="AS2485" t="s">
        <v>1259</v>
      </c>
      <c r="AT2485" s="30">
        <v>46072.515972222223</v>
      </c>
    </row>
    <row r="2486" spans="1:46" x14ac:dyDescent="0.25">
      <c r="A2486" t="s">
        <v>1248</v>
      </c>
      <c r="B2486">
        <v>252918</v>
      </c>
      <c r="C2486">
        <v>352306</v>
      </c>
      <c r="D2486">
        <v>405</v>
      </c>
      <c r="E2486" t="s">
        <v>1266</v>
      </c>
      <c r="G2486">
        <v>745</v>
      </c>
      <c r="H2486">
        <v>1853</v>
      </c>
      <c r="K2486" t="s">
        <v>2174</v>
      </c>
      <c r="L2486" t="s">
        <v>2174</v>
      </c>
      <c r="M2486" s="29">
        <v>287857142</v>
      </c>
      <c r="N2486">
        <v>0</v>
      </c>
      <c r="O2486" s="29">
        <v>287857142</v>
      </c>
      <c r="P2486">
        <v>0</v>
      </c>
      <c r="Q2486">
        <v>0</v>
      </c>
      <c r="R2486">
        <v>0</v>
      </c>
      <c r="T2486" s="29">
        <v>21600</v>
      </c>
      <c r="U2486" s="29">
        <v>435240</v>
      </c>
      <c r="V2486" t="s">
        <v>1262</v>
      </c>
      <c r="W2486" t="s">
        <v>1262</v>
      </c>
      <c r="X2486" s="29">
        <v>435240</v>
      </c>
      <c r="AA2486" s="30">
        <v>45838.463888888888</v>
      </c>
      <c r="AB2486" s="30">
        <v>45839.422222222223</v>
      </c>
      <c r="AC2486" s="30">
        <v>45838.463888888888</v>
      </c>
      <c r="AD2486" s="30">
        <v>45839.422222222223</v>
      </c>
      <c r="AE2486" s="30">
        <v>46113.447222222225</v>
      </c>
      <c r="AF2486" s="30">
        <v>46114.405555555553</v>
      </c>
      <c r="AG2486" t="s">
        <v>1266</v>
      </c>
      <c r="AK2486" t="s">
        <v>1265</v>
      </c>
      <c r="AL2486" t="e">
        <f>+AaV4GvOhUGlBrNmDv6ZSQ</f>
        <v>#NAME?</v>
      </c>
      <c r="AM2486" t="s">
        <v>1263</v>
      </c>
      <c r="AN2486" t="s">
        <v>1262</v>
      </c>
      <c r="AO2486">
        <v>0</v>
      </c>
      <c r="AQ2486" t="s">
        <v>1261</v>
      </c>
      <c r="AR2486" t="s">
        <v>1260</v>
      </c>
      <c r="AS2486" t="s">
        <v>1259</v>
      </c>
      <c r="AT2486" s="30">
        <v>46072.515972222223</v>
      </c>
    </row>
    <row r="2487" spans="1:46" x14ac:dyDescent="0.25">
      <c r="A2487" t="s">
        <v>1248</v>
      </c>
      <c r="B2487">
        <v>252919</v>
      </c>
      <c r="C2487">
        <v>352313</v>
      </c>
      <c r="D2487">
        <v>405</v>
      </c>
      <c r="E2487" t="s">
        <v>1266</v>
      </c>
      <c r="G2487">
        <v>745</v>
      </c>
      <c r="H2487">
        <v>1853</v>
      </c>
      <c r="K2487" t="s">
        <v>2174</v>
      </c>
      <c r="L2487" t="s">
        <v>2174</v>
      </c>
      <c r="M2487" s="29">
        <v>287857142</v>
      </c>
      <c r="N2487">
        <v>0</v>
      </c>
      <c r="O2487" s="29">
        <v>287857142</v>
      </c>
      <c r="P2487">
        <v>0</v>
      </c>
      <c r="Q2487">
        <v>0</v>
      </c>
      <c r="R2487">
        <v>0</v>
      </c>
      <c r="T2487" s="29">
        <v>21600</v>
      </c>
      <c r="U2487" s="29">
        <v>435240</v>
      </c>
      <c r="V2487" t="s">
        <v>1262</v>
      </c>
      <c r="W2487" t="s">
        <v>1262</v>
      </c>
      <c r="X2487" s="29">
        <v>435240</v>
      </c>
      <c r="AA2487" s="30">
        <v>45833.672222222223</v>
      </c>
      <c r="AB2487" s="30">
        <v>45834.630555555559</v>
      </c>
      <c r="AC2487" s="30">
        <v>45833.672222222223</v>
      </c>
      <c r="AD2487" s="30">
        <v>45834.630555555559</v>
      </c>
      <c r="AE2487" s="30">
        <v>46097.447222222225</v>
      </c>
      <c r="AF2487" s="30">
        <v>46098.405555555553</v>
      </c>
      <c r="AG2487" t="s">
        <v>1266</v>
      </c>
      <c r="AK2487" t="s">
        <v>1265</v>
      </c>
      <c r="AL2487" t="s">
        <v>2181</v>
      </c>
      <c r="AM2487" t="s">
        <v>1263</v>
      </c>
      <c r="AN2487" t="s">
        <v>1262</v>
      </c>
      <c r="AO2487">
        <v>0</v>
      </c>
      <c r="AQ2487" t="s">
        <v>1261</v>
      </c>
      <c r="AR2487" t="s">
        <v>1260</v>
      </c>
      <c r="AS2487" t="s">
        <v>1259</v>
      </c>
      <c r="AT2487" s="30">
        <v>46072.515972222223</v>
      </c>
    </row>
    <row r="2488" spans="1:46" x14ac:dyDescent="0.25">
      <c r="A2488" t="s">
        <v>1248</v>
      </c>
      <c r="B2488">
        <v>252920</v>
      </c>
      <c r="C2488">
        <v>352320</v>
      </c>
      <c r="D2488">
        <v>405</v>
      </c>
      <c r="E2488" t="s">
        <v>1266</v>
      </c>
      <c r="G2488">
        <v>745</v>
      </c>
      <c r="H2488">
        <v>1853</v>
      </c>
      <c r="K2488" t="s">
        <v>2174</v>
      </c>
      <c r="L2488" t="s">
        <v>2174</v>
      </c>
      <c r="M2488" s="29">
        <v>287857142</v>
      </c>
      <c r="N2488">
        <v>0</v>
      </c>
      <c r="O2488" s="29">
        <v>287857142</v>
      </c>
      <c r="P2488">
        <v>0</v>
      </c>
      <c r="Q2488">
        <v>0</v>
      </c>
      <c r="R2488">
        <v>0</v>
      </c>
      <c r="T2488" s="29">
        <v>21600</v>
      </c>
      <c r="U2488" s="29">
        <v>435240</v>
      </c>
      <c r="V2488" t="s">
        <v>1262</v>
      </c>
      <c r="W2488" t="s">
        <v>1262</v>
      </c>
      <c r="X2488" s="29">
        <v>435240</v>
      </c>
      <c r="AA2488" s="30">
        <v>45832.338888888888</v>
      </c>
      <c r="AB2488" s="30">
        <v>45832.672222222223</v>
      </c>
      <c r="AC2488" s="30">
        <v>45832.338888888888</v>
      </c>
      <c r="AD2488" s="30">
        <v>45832.672222222223</v>
      </c>
      <c r="AE2488" s="30">
        <v>46079.447222222225</v>
      </c>
      <c r="AF2488" s="30">
        <v>46080.405555555553</v>
      </c>
      <c r="AG2488" t="s">
        <v>1266</v>
      </c>
      <c r="AK2488" t="s">
        <v>1265</v>
      </c>
      <c r="AL2488" t="s">
        <v>2180</v>
      </c>
      <c r="AM2488" t="s">
        <v>1263</v>
      </c>
      <c r="AN2488" t="s">
        <v>1262</v>
      </c>
      <c r="AO2488">
        <v>0</v>
      </c>
      <c r="AQ2488" t="s">
        <v>1261</v>
      </c>
      <c r="AR2488" t="s">
        <v>1260</v>
      </c>
      <c r="AS2488" t="s">
        <v>1259</v>
      </c>
      <c r="AT2488" s="30">
        <v>46072.515972222223</v>
      </c>
    </row>
    <row r="2489" spans="1:46" x14ac:dyDescent="0.25">
      <c r="A2489" t="s">
        <v>1248</v>
      </c>
      <c r="B2489">
        <v>252921</v>
      </c>
      <c r="C2489">
        <v>352327</v>
      </c>
      <c r="D2489">
        <v>405</v>
      </c>
      <c r="E2489" t="s">
        <v>1266</v>
      </c>
      <c r="G2489">
        <v>745</v>
      </c>
      <c r="H2489">
        <v>1853</v>
      </c>
      <c r="K2489" t="s">
        <v>2174</v>
      </c>
      <c r="L2489" t="s">
        <v>2174</v>
      </c>
      <c r="M2489" s="29">
        <v>287857142</v>
      </c>
      <c r="N2489">
        <v>0</v>
      </c>
      <c r="O2489" s="29">
        <v>287857142</v>
      </c>
      <c r="P2489">
        <v>0</v>
      </c>
      <c r="Q2489">
        <v>0</v>
      </c>
      <c r="R2489">
        <v>0</v>
      </c>
      <c r="T2489" s="29">
        <v>21600</v>
      </c>
      <c r="U2489" s="29">
        <v>435240</v>
      </c>
      <c r="V2489" t="s">
        <v>1262</v>
      </c>
      <c r="W2489" t="s">
        <v>1262</v>
      </c>
      <c r="X2489" s="29">
        <v>435240</v>
      </c>
      <c r="AA2489" s="30">
        <v>45828.380555555559</v>
      </c>
      <c r="AB2489" s="30">
        <v>45831.338888888888</v>
      </c>
      <c r="AC2489" s="30">
        <v>45828.380555555559</v>
      </c>
      <c r="AD2489" s="30">
        <v>45831.338888888888</v>
      </c>
      <c r="AE2489" s="30">
        <v>46063.447222222225</v>
      </c>
      <c r="AF2489" s="30">
        <v>46064.405555555553</v>
      </c>
      <c r="AG2489" t="s">
        <v>1266</v>
      </c>
      <c r="AK2489" t="s">
        <v>1265</v>
      </c>
      <c r="AL2489" t="s">
        <v>2179</v>
      </c>
      <c r="AM2489" t="s">
        <v>1263</v>
      </c>
      <c r="AN2489" t="s">
        <v>1262</v>
      </c>
      <c r="AO2489">
        <v>0</v>
      </c>
      <c r="AQ2489" t="s">
        <v>1261</v>
      </c>
      <c r="AR2489" t="s">
        <v>1260</v>
      </c>
      <c r="AS2489" t="s">
        <v>1259</v>
      </c>
      <c r="AT2489" s="30">
        <v>46072.515972222223</v>
      </c>
    </row>
    <row r="2490" spans="1:46" x14ac:dyDescent="0.25">
      <c r="A2490" t="s">
        <v>1248</v>
      </c>
      <c r="B2490">
        <v>252922</v>
      </c>
      <c r="C2490">
        <v>352334</v>
      </c>
      <c r="D2490">
        <v>405</v>
      </c>
      <c r="E2490" t="s">
        <v>1266</v>
      </c>
      <c r="G2490">
        <v>745</v>
      </c>
      <c r="H2490">
        <v>1853</v>
      </c>
      <c r="K2490" t="s">
        <v>2174</v>
      </c>
      <c r="L2490" t="s">
        <v>2174</v>
      </c>
      <c r="M2490" s="29">
        <v>287857142</v>
      </c>
      <c r="N2490">
        <v>0</v>
      </c>
      <c r="O2490" s="29">
        <v>287857142</v>
      </c>
      <c r="P2490">
        <v>0</v>
      </c>
      <c r="Q2490">
        <v>0</v>
      </c>
      <c r="R2490">
        <v>0</v>
      </c>
      <c r="T2490" s="29">
        <v>21600</v>
      </c>
      <c r="U2490" s="29">
        <v>435240</v>
      </c>
      <c r="V2490" t="s">
        <v>1262</v>
      </c>
      <c r="W2490" t="s">
        <v>1262</v>
      </c>
      <c r="X2490" s="29">
        <v>435240</v>
      </c>
      <c r="AA2490" s="30">
        <v>45826.422222222223</v>
      </c>
      <c r="AB2490" s="30">
        <v>45827.380555555559</v>
      </c>
      <c r="AC2490" s="30">
        <v>45826.422222222223</v>
      </c>
      <c r="AD2490" s="30">
        <v>45827.380555555559</v>
      </c>
      <c r="AE2490" s="30">
        <v>46045.447222222225</v>
      </c>
      <c r="AF2490" s="30">
        <v>46048.405555555553</v>
      </c>
      <c r="AG2490" t="s">
        <v>1266</v>
      </c>
      <c r="AK2490" t="s">
        <v>1265</v>
      </c>
      <c r="AL2490" t="s">
        <v>2178</v>
      </c>
      <c r="AM2490" t="s">
        <v>1263</v>
      </c>
      <c r="AN2490" t="s">
        <v>1262</v>
      </c>
      <c r="AO2490">
        <v>0</v>
      </c>
      <c r="AQ2490" t="s">
        <v>1261</v>
      </c>
      <c r="AR2490" t="s">
        <v>1260</v>
      </c>
      <c r="AS2490" t="s">
        <v>1259</v>
      </c>
      <c r="AT2490" s="30">
        <v>46072.515972222223</v>
      </c>
    </row>
    <row r="2491" spans="1:46" x14ac:dyDescent="0.25">
      <c r="A2491" t="s">
        <v>1248</v>
      </c>
      <c r="B2491">
        <v>252923</v>
      </c>
      <c r="C2491">
        <v>352341</v>
      </c>
      <c r="D2491">
        <v>405</v>
      </c>
      <c r="E2491" t="s">
        <v>1266</v>
      </c>
      <c r="G2491">
        <v>745</v>
      </c>
      <c r="H2491">
        <v>1853</v>
      </c>
      <c r="K2491" t="s">
        <v>2174</v>
      </c>
      <c r="L2491" t="s">
        <v>2174</v>
      </c>
      <c r="M2491" s="29">
        <v>287857142</v>
      </c>
      <c r="N2491">
        <v>0</v>
      </c>
      <c r="O2491" s="29">
        <v>287857142</v>
      </c>
      <c r="P2491">
        <v>0</v>
      </c>
      <c r="Q2491">
        <v>0</v>
      </c>
      <c r="R2491">
        <v>0</v>
      </c>
      <c r="T2491" s="29">
        <v>21600</v>
      </c>
      <c r="U2491" s="29">
        <v>435240</v>
      </c>
      <c r="V2491" t="s">
        <v>1262</v>
      </c>
      <c r="W2491" t="s">
        <v>1262</v>
      </c>
      <c r="X2491" s="29">
        <v>435240</v>
      </c>
      <c r="AA2491" s="30">
        <v>45824.463888888888</v>
      </c>
      <c r="AB2491" s="30">
        <v>45825.422222222223</v>
      </c>
      <c r="AC2491" s="30">
        <v>45824.463888888888</v>
      </c>
      <c r="AD2491" s="30">
        <v>45825.422222222223</v>
      </c>
      <c r="AE2491" s="30">
        <v>46029.405555555553</v>
      </c>
      <c r="AF2491" s="30">
        <v>46030.363888888889</v>
      </c>
      <c r="AG2491" t="s">
        <v>1266</v>
      </c>
      <c r="AK2491" t="s">
        <v>1265</v>
      </c>
      <c r="AL2491" t="s">
        <v>2177</v>
      </c>
      <c r="AM2491" t="s">
        <v>1263</v>
      </c>
      <c r="AN2491" t="s">
        <v>1262</v>
      </c>
      <c r="AO2491">
        <v>0</v>
      </c>
      <c r="AQ2491" t="s">
        <v>1261</v>
      </c>
      <c r="AR2491" t="s">
        <v>1260</v>
      </c>
      <c r="AS2491" t="s">
        <v>1259</v>
      </c>
      <c r="AT2491" s="30">
        <v>46072.515972222223</v>
      </c>
    </row>
    <row r="2492" spans="1:46" x14ac:dyDescent="0.25">
      <c r="A2492" t="s">
        <v>1248</v>
      </c>
      <c r="B2492">
        <v>252924</v>
      </c>
      <c r="C2492">
        <v>352348</v>
      </c>
      <c r="D2492">
        <v>405</v>
      </c>
      <c r="E2492" t="s">
        <v>1266</v>
      </c>
      <c r="G2492">
        <v>745</v>
      </c>
      <c r="H2492">
        <v>1853</v>
      </c>
      <c r="K2492" t="s">
        <v>2174</v>
      </c>
      <c r="L2492" t="s">
        <v>2174</v>
      </c>
      <c r="M2492" s="29">
        <v>287857142</v>
      </c>
      <c r="N2492">
        <v>0</v>
      </c>
      <c r="O2492" s="29">
        <v>287857142</v>
      </c>
      <c r="P2492">
        <v>0</v>
      </c>
      <c r="Q2492">
        <v>0</v>
      </c>
      <c r="R2492">
        <v>0</v>
      </c>
      <c r="T2492" s="29">
        <v>21600</v>
      </c>
      <c r="U2492" s="29">
        <v>435240</v>
      </c>
      <c r="V2492" t="s">
        <v>1262</v>
      </c>
      <c r="W2492" t="s">
        <v>1262</v>
      </c>
      <c r="X2492" s="29">
        <v>435240</v>
      </c>
      <c r="AA2492" s="30">
        <v>45814.422222222223</v>
      </c>
      <c r="AB2492" s="30">
        <v>45817.380555555559</v>
      </c>
      <c r="AC2492" s="30">
        <v>45814.422222222223</v>
      </c>
      <c r="AD2492" s="30">
        <v>45817.380555555559</v>
      </c>
      <c r="AE2492" s="30">
        <v>46008.363888888889</v>
      </c>
      <c r="AF2492" s="30">
        <v>46008.697222222225</v>
      </c>
      <c r="AG2492" t="s">
        <v>1266</v>
      </c>
      <c r="AK2492" t="s">
        <v>1265</v>
      </c>
      <c r="AL2492" t="s">
        <v>2176</v>
      </c>
      <c r="AM2492" t="s">
        <v>1263</v>
      </c>
      <c r="AN2492" t="s">
        <v>1262</v>
      </c>
      <c r="AO2492">
        <v>0</v>
      </c>
      <c r="AQ2492" t="s">
        <v>1261</v>
      </c>
      <c r="AR2492" t="s">
        <v>1260</v>
      </c>
      <c r="AS2492" t="s">
        <v>1259</v>
      </c>
      <c r="AT2492" s="30">
        <v>46072.515972222223</v>
      </c>
    </row>
    <row r="2493" spans="1:46" x14ac:dyDescent="0.25">
      <c r="A2493" t="s">
        <v>1248</v>
      </c>
      <c r="B2493">
        <v>252925</v>
      </c>
      <c r="C2493">
        <v>352355</v>
      </c>
      <c r="D2493">
        <v>405</v>
      </c>
      <c r="E2493" t="s">
        <v>1266</v>
      </c>
      <c r="G2493">
        <v>745</v>
      </c>
      <c r="H2493">
        <v>1853</v>
      </c>
      <c r="K2493" t="s">
        <v>2174</v>
      </c>
      <c r="L2493" t="s">
        <v>2174</v>
      </c>
      <c r="M2493" s="29">
        <v>287857142</v>
      </c>
      <c r="N2493">
        <v>0</v>
      </c>
      <c r="O2493" s="29">
        <v>287857142</v>
      </c>
      <c r="P2493">
        <v>0</v>
      </c>
      <c r="Q2493">
        <v>0</v>
      </c>
      <c r="R2493">
        <v>0</v>
      </c>
      <c r="T2493" s="29">
        <v>21600</v>
      </c>
      <c r="U2493" s="29">
        <v>435240</v>
      </c>
      <c r="V2493" t="s">
        <v>1262</v>
      </c>
      <c r="W2493" t="s">
        <v>1262</v>
      </c>
      <c r="X2493" s="29">
        <v>435240</v>
      </c>
      <c r="AA2493" s="30">
        <v>45813.463888888888</v>
      </c>
      <c r="AB2493" s="30">
        <v>45814.422222222223</v>
      </c>
      <c r="AC2493" s="30">
        <v>45813.463888888888</v>
      </c>
      <c r="AD2493" s="30">
        <v>45814.422222222223</v>
      </c>
      <c r="AE2493" s="30">
        <v>46002.363888888889</v>
      </c>
      <c r="AF2493" s="30">
        <v>46002.697222222225</v>
      </c>
      <c r="AG2493" t="s">
        <v>1266</v>
      </c>
      <c r="AK2493" t="s">
        <v>1265</v>
      </c>
      <c r="AL2493" t="s">
        <v>2175</v>
      </c>
      <c r="AM2493" t="s">
        <v>1263</v>
      </c>
      <c r="AN2493" t="s">
        <v>1262</v>
      </c>
      <c r="AO2493">
        <v>0</v>
      </c>
      <c r="AQ2493" t="s">
        <v>1261</v>
      </c>
      <c r="AR2493" t="s">
        <v>1260</v>
      </c>
      <c r="AS2493" t="s">
        <v>1259</v>
      </c>
      <c r="AT2493" s="30">
        <v>46072.515972222223</v>
      </c>
    </row>
    <row r="2494" spans="1:46" x14ac:dyDescent="0.25">
      <c r="A2494" t="s">
        <v>1248</v>
      </c>
      <c r="B2494">
        <v>252926</v>
      </c>
      <c r="C2494">
        <v>352362</v>
      </c>
      <c r="D2494">
        <v>405</v>
      </c>
      <c r="E2494" t="s">
        <v>1266</v>
      </c>
      <c r="G2494">
        <v>745</v>
      </c>
      <c r="H2494">
        <v>1853</v>
      </c>
      <c r="K2494" t="s">
        <v>2174</v>
      </c>
      <c r="L2494" t="s">
        <v>2174</v>
      </c>
      <c r="M2494" s="29">
        <v>287857142</v>
      </c>
      <c r="N2494">
        <v>0</v>
      </c>
      <c r="O2494" s="29">
        <v>287857142</v>
      </c>
      <c r="P2494">
        <v>0</v>
      </c>
      <c r="Q2494">
        <v>0</v>
      </c>
      <c r="R2494">
        <v>0</v>
      </c>
      <c r="T2494" s="29">
        <v>21600</v>
      </c>
      <c r="U2494" s="29">
        <v>435240</v>
      </c>
      <c r="V2494" t="s">
        <v>1262</v>
      </c>
      <c r="W2494" t="s">
        <v>1262</v>
      </c>
      <c r="X2494" s="29">
        <v>435240</v>
      </c>
      <c r="AA2494" s="30">
        <v>45812.547222222223</v>
      </c>
      <c r="AB2494" s="30">
        <v>45813.463888888888</v>
      </c>
      <c r="AC2494" s="30">
        <v>45812.547222222223</v>
      </c>
      <c r="AD2494" s="30">
        <v>45813.463888888888</v>
      </c>
      <c r="AE2494" s="30">
        <v>45869.405555555553</v>
      </c>
      <c r="AF2494" s="30">
        <v>45870.363888888889</v>
      </c>
      <c r="AG2494" t="s">
        <v>1266</v>
      </c>
      <c r="AK2494" t="s">
        <v>1265</v>
      </c>
      <c r="AL2494" t="s">
        <v>2173</v>
      </c>
      <c r="AM2494" t="s">
        <v>1263</v>
      </c>
      <c r="AN2494" t="s">
        <v>1262</v>
      </c>
      <c r="AO2494">
        <v>0</v>
      </c>
      <c r="AQ2494" t="s">
        <v>1261</v>
      </c>
      <c r="AR2494" t="s">
        <v>1260</v>
      </c>
      <c r="AS2494" t="s">
        <v>1259</v>
      </c>
      <c r="AT2494" s="30">
        <v>46072.515972222223</v>
      </c>
    </row>
    <row r="2495" spans="1:46" x14ac:dyDescent="0.25">
      <c r="A2495" t="s">
        <v>1248</v>
      </c>
      <c r="B2495">
        <v>252927</v>
      </c>
      <c r="C2495">
        <v>352049</v>
      </c>
      <c r="D2495">
        <v>405</v>
      </c>
      <c r="E2495" t="s">
        <v>1266</v>
      </c>
      <c r="G2495">
        <v>745</v>
      </c>
      <c r="H2495">
        <v>1854</v>
      </c>
      <c r="K2495" s="29">
        <v>41630967</v>
      </c>
      <c r="L2495" s="29">
        <v>41630967</v>
      </c>
      <c r="M2495" s="29">
        <v>130096774</v>
      </c>
      <c r="N2495">
        <v>0</v>
      </c>
      <c r="O2495" s="29">
        <v>130096774</v>
      </c>
      <c r="P2495">
        <v>0</v>
      </c>
      <c r="Q2495">
        <v>0</v>
      </c>
      <c r="R2495">
        <v>0</v>
      </c>
      <c r="T2495" s="29">
        <v>65000</v>
      </c>
      <c r="U2495" s="29">
        <v>2706013</v>
      </c>
      <c r="V2495" t="s">
        <v>1262</v>
      </c>
      <c r="W2495" t="s">
        <v>1262</v>
      </c>
      <c r="X2495" s="29">
        <v>2706013</v>
      </c>
      <c r="AA2495" s="30">
        <v>45805.625</v>
      </c>
      <c r="AB2495" s="30">
        <v>45811.625</v>
      </c>
      <c r="AC2495" s="30">
        <v>45805.625</v>
      </c>
      <c r="AD2495" s="30">
        <v>45811.625</v>
      </c>
      <c r="AE2495" s="30">
        <v>45873.333333333336</v>
      </c>
      <c r="AF2495" s="30">
        <v>45876.708333333336</v>
      </c>
      <c r="AG2495" t="s">
        <v>1266</v>
      </c>
      <c r="AK2495" t="s">
        <v>1265</v>
      </c>
      <c r="AL2495" t="s">
        <v>2172</v>
      </c>
      <c r="AM2495" t="s">
        <v>1263</v>
      </c>
      <c r="AN2495" t="s">
        <v>1262</v>
      </c>
      <c r="AO2495">
        <v>0</v>
      </c>
      <c r="AQ2495" t="s">
        <v>1261</v>
      </c>
      <c r="AR2495" t="s">
        <v>1260</v>
      </c>
      <c r="AS2495" t="s">
        <v>1259</v>
      </c>
      <c r="AT2495" s="30">
        <v>46072.636111111111</v>
      </c>
    </row>
    <row r="2496" spans="1:46" x14ac:dyDescent="0.25">
      <c r="A2496" t="s">
        <v>1248</v>
      </c>
      <c r="B2496">
        <v>252928</v>
      </c>
      <c r="C2496">
        <v>352056</v>
      </c>
      <c r="D2496">
        <v>405</v>
      </c>
      <c r="E2496" t="s">
        <v>1266</v>
      </c>
      <c r="G2496">
        <v>745</v>
      </c>
      <c r="H2496">
        <v>1854</v>
      </c>
      <c r="K2496" t="s">
        <v>1503</v>
      </c>
      <c r="L2496" t="s">
        <v>1503</v>
      </c>
      <c r="M2496" s="29">
        <v>130096774</v>
      </c>
      <c r="N2496">
        <v>0</v>
      </c>
      <c r="O2496" s="29">
        <v>130096774</v>
      </c>
      <c r="P2496">
        <v>0</v>
      </c>
      <c r="Q2496">
        <v>0</v>
      </c>
      <c r="R2496">
        <v>0</v>
      </c>
      <c r="T2496" s="29">
        <v>65000</v>
      </c>
      <c r="U2496" s="29">
        <v>2621450</v>
      </c>
      <c r="V2496" t="s">
        <v>1262</v>
      </c>
      <c r="W2496" t="s">
        <v>1262</v>
      </c>
      <c r="X2496" s="29">
        <v>2621450</v>
      </c>
      <c r="AA2496" s="30">
        <v>45803.458333333336</v>
      </c>
      <c r="AB2496" s="30">
        <v>45807.416666666664</v>
      </c>
      <c r="AC2496" s="30">
        <v>45803.458333333336</v>
      </c>
      <c r="AD2496" s="30">
        <v>45807.416666666664</v>
      </c>
      <c r="AE2496" s="30">
        <v>45867.458333333336</v>
      </c>
      <c r="AF2496" s="30">
        <v>45873.416666666664</v>
      </c>
      <c r="AG2496" t="s">
        <v>1266</v>
      </c>
      <c r="AK2496" t="s">
        <v>1265</v>
      </c>
      <c r="AL2496" t="e">
        <f>+AM+F/xTYEasX0yBUEdYaw</f>
        <v>#NAME?</v>
      </c>
      <c r="AM2496" t="s">
        <v>1263</v>
      </c>
      <c r="AN2496" t="s">
        <v>1262</v>
      </c>
      <c r="AO2496">
        <v>0</v>
      </c>
      <c r="AQ2496" t="s">
        <v>1261</v>
      </c>
      <c r="AR2496" t="s">
        <v>1260</v>
      </c>
      <c r="AS2496" t="s">
        <v>1259</v>
      </c>
      <c r="AT2496" s="30">
        <v>46072.636111111111</v>
      </c>
    </row>
    <row r="2497" spans="1:46" x14ac:dyDescent="0.25">
      <c r="A2497" t="s">
        <v>1248</v>
      </c>
      <c r="B2497">
        <v>252929</v>
      </c>
      <c r="C2497">
        <v>352063</v>
      </c>
      <c r="D2497">
        <v>405</v>
      </c>
      <c r="E2497" t="s">
        <v>1266</v>
      </c>
      <c r="G2497">
        <v>745</v>
      </c>
      <c r="H2497">
        <v>1854</v>
      </c>
      <c r="K2497" t="s">
        <v>1503</v>
      </c>
      <c r="L2497" t="s">
        <v>1503</v>
      </c>
      <c r="M2497" s="29">
        <v>130096774</v>
      </c>
      <c r="N2497">
        <v>0</v>
      </c>
      <c r="O2497" s="29">
        <v>130096774</v>
      </c>
      <c r="P2497">
        <v>0</v>
      </c>
      <c r="Q2497">
        <v>0</v>
      </c>
      <c r="R2497">
        <v>0</v>
      </c>
      <c r="T2497" s="29">
        <v>65000</v>
      </c>
      <c r="U2497" s="29">
        <v>2621450</v>
      </c>
      <c r="V2497" t="s">
        <v>1262</v>
      </c>
      <c r="W2497" t="s">
        <v>1262</v>
      </c>
      <c r="X2497" s="29">
        <v>2621450</v>
      </c>
      <c r="AA2497" s="30">
        <v>45799.541666666664</v>
      </c>
      <c r="AB2497" s="30">
        <v>45805.458333333336</v>
      </c>
      <c r="AC2497" s="30">
        <v>45799.541666666664</v>
      </c>
      <c r="AD2497" s="30">
        <v>45805.458333333336</v>
      </c>
      <c r="AE2497" s="30">
        <v>45861.458333333336</v>
      </c>
      <c r="AF2497" s="30">
        <v>45867.416666666664</v>
      </c>
      <c r="AG2497" t="s">
        <v>1266</v>
      </c>
      <c r="AK2497" t="s">
        <v>1265</v>
      </c>
      <c r="AL2497" t="s">
        <v>2171</v>
      </c>
      <c r="AM2497" t="s">
        <v>1263</v>
      </c>
      <c r="AN2497" t="s">
        <v>1262</v>
      </c>
      <c r="AO2497">
        <v>0</v>
      </c>
      <c r="AQ2497" t="s">
        <v>1261</v>
      </c>
      <c r="AR2497" t="s">
        <v>1260</v>
      </c>
      <c r="AS2497" t="s">
        <v>1259</v>
      </c>
      <c r="AT2497" s="30">
        <v>46072.636111111111</v>
      </c>
    </row>
    <row r="2498" spans="1:46" x14ac:dyDescent="0.25">
      <c r="A2498" t="s">
        <v>1248</v>
      </c>
      <c r="B2498">
        <v>252930</v>
      </c>
      <c r="C2498">
        <v>352070</v>
      </c>
      <c r="D2498">
        <v>405</v>
      </c>
      <c r="E2498" t="s">
        <v>1266</v>
      </c>
      <c r="G2498">
        <v>745</v>
      </c>
      <c r="H2498">
        <v>1854</v>
      </c>
      <c r="K2498" s="29">
        <v>41630967</v>
      </c>
      <c r="L2498" s="29">
        <v>41630967</v>
      </c>
      <c r="M2498" s="29">
        <v>130096774</v>
      </c>
      <c r="N2498">
        <v>0</v>
      </c>
      <c r="O2498" s="29">
        <v>130096774</v>
      </c>
      <c r="P2498">
        <v>0</v>
      </c>
      <c r="Q2498">
        <v>0</v>
      </c>
      <c r="R2498">
        <v>0</v>
      </c>
      <c r="T2498" s="29">
        <v>65000</v>
      </c>
      <c r="U2498" s="29">
        <v>2706013</v>
      </c>
      <c r="V2498" t="s">
        <v>1262</v>
      </c>
      <c r="W2498" t="s">
        <v>1262</v>
      </c>
      <c r="X2498" s="29">
        <v>2706013</v>
      </c>
      <c r="AA2498" s="30">
        <v>45789.458333333336</v>
      </c>
      <c r="AB2498" s="30">
        <v>45793.458333333336</v>
      </c>
      <c r="AC2498" s="30">
        <v>45789.458333333336</v>
      </c>
      <c r="AD2498" s="30">
        <v>45793.458333333336</v>
      </c>
      <c r="AE2498" s="30">
        <v>45856.333333333336</v>
      </c>
      <c r="AF2498" s="30">
        <v>45861.708333333336</v>
      </c>
      <c r="AG2498" t="s">
        <v>1266</v>
      </c>
      <c r="AK2498" t="s">
        <v>1265</v>
      </c>
      <c r="AL2498" t="s">
        <v>2170</v>
      </c>
      <c r="AM2498" t="s">
        <v>1263</v>
      </c>
      <c r="AN2498" t="s">
        <v>1262</v>
      </c>
      <c r="AO2498">
        <v>0</v>
      </c>
      <c r="AQ2498" t="s">
        <v>1261</v>
      </c>
      <c r="AR2498" t="s">
        <v>1260</v>
      </c>
      <c r="AS2498" t="s">
        <v>1259</v>
      </c>
      <c r="AT2498" s="30">
        <v>46072.636111111111</v>
      </c>
    </row>
    <row r="2499" spans="1:46" x14ac:dyDescent="0.25">
      <c r="A2499" t="s">
        <v>1248</v>
      </c>
      <c r="B2499">
        <v>252931</v>
      </c>
      <c r="C2499">
        <v>352077</v>
      </c>
      <c r="D2499">
        <v>405</v>
      </c>
      <c r="E2499" t="s">
        <v>1266</v>
      </c>
      <c r="G2499">
        <v>745</v>
      </c>
      <c r="H2499">
        <v>1854</v>
      </c>
      <c r="K2499" t="s">
        <v>1503</v>
      </c>
      <c r="L2499" t="s">
        <v>1503</v>
      </c>
      <c r="M2499" s="29">
        <v>130096774</v>
      </c>
      <c r="N2499">
        <v>0</v>
      </c>
      <c r="O2499" s="29">
        <v>130096774</v>
      </c>
      <c r="P2499">
        <v>0</v>
      </c>
      <c r="Q2499">
        <v>0</v>
      </c>
      <c r="R2499">
        <v>0</v>
      </c>
      <c r="T2499" s="29">
        <v>65000</v>
      </c>
      <c r="U2499" s="29">
        <v>2621450</v>
      </c>
      <c r="V2499" t="s">
        <v>1262</v>
      </c>
      <c r="W2499" t="s">
        <v>1262</v>
      </c>
      <c r="X2499" s="29">
        <v>2621450</v>
      </c>
      <c r="AA2499" s="30">
        <v>45785.333333333336</v>
      </c>
      <c r="AB2499" s="30">
        <v>45790.666666666664</v>
      </c>
      <c r="AC2499" s="30">
        <v>45785.333333333336</v>
      </c>
      <c r="AD2499" s="30">
        <v>45790.666666666664</v>
      </c>
      <c r="AE2499" s="30">
        <v>45845.416666666664</v>
      </c>
      <c r="AF2499" s="30">
        <v>45849.375</v>
      </c>
      <c r="AG2499" t="s">
        <v>1266</v>
      </c>
      <c r="AK2499" t="s">
        <v>1265</v>
      </c>
      <c r="AL2499" t="s">
        <v>2169</v>
      </c>
      <c r="AM2499" t="s">
        <v>1263</v>
      </c>
      <c r="AN2499" t="s">
        <v>1262</v>
      </c>
      <c r="AO2499">
        <v>0</v>
      </c>
      <c r="AQ2499" t="s">
        <v>1261</v>
      </c>
      <c r="AR2499" t="s">
        <v>1260</v>
      </c>
      <c r="AS2499" t="s">
        <v>1259</v>
      </c>
      <c r="AT2499" s="30">
        <v>46072.636111111111</v>
      </c>
    </row>
    <row r="2500" spans="1:46" x14ac:dyDescent="0.25">
      <c r="A2500" t="s">
        <v>1248</v>
      </c>
      <c r="B2500">
        <v>252932</v>
      </c>
      <c r="C2500">
        <v>352084</v>
      </c>
      <c r="D2500">
        <v>405</v>
      </c>
      <c r="E2500" t="s">
        <v>1266</v>
      </c>
      <c r="G2500">
        <v>745</v>
      </c>
      <c r="H2500">
        <v>1854</v>
      </c>
      <c r="K2500" t="s">
        <v>1503</v>
      </c>
      <c r="L2500" t="s">
        <v>1503</v>
      </c>
      <c r="M2500" s="29">
        <v>130096774</v>
      </c>
      <c r="N2500">
        <v>0</v>
      </c>
      <c r="O2500" s="29">
        <v>130096774</v>
      </c>
      <c r="P2500">
        <v>0</v>
      </c>
      <c r="Q2500">
        <v>0</v>
      </c>
      <c r="R2500">
        <v>0</v>
      </c>
      <c r="T2500" s="29">
        <v>65000</v>
      </c>
      <c r="U2500" s="29">
        <v>2621450</v>
      </c>
      <c r="V2500" t="s">
        <v>1262</v>
      </c>
      <c r="W2500" t="s">
        <v>1262</v>
      </c>
      <c r="X2500" s="29">
        <v>2621450</v>
      </c>
      <c r="AA2500" s="30">
        <v>45783.375</v>
      </c>
      <c r="AB2500" s="30">
        <v>45786.708333333336</v>
      </c>
      <c r="AC2500" s="30">
        <v>45783.375</v>
      </c>
      <c r="AD2500" s="30">
        <v>45786.708333333336</v>
      </c>
      <c r="AE2500" s="30">
        <v>45839.416666666664</v>
      </c>
      <c r="AF2500" s="30">
        <v>45845.375</v>
      </c>
      <c r="AG2500" t="s">
        <v>1266</v>
      </c>
      <c r="AK2500" t="s">
        <v>1265</v>
      </c>
      <c r="AL2500" t="s">
        <v>2168</v>
      </c>
      <c r="AM2500" t="s">
        <v>1263</v>
      </c>
      <c r="AN2500" t="s">
        <v>1262</v>
      </c>
      <c r="AO2500">
        <v>0</v>
      </c>
      <c r="AQ2500" t="s">
        <v>1261</v>
      </c>
      <c r="AR2500" t="s">
        <v>1260</v>
      </c>
      <c r="AS2500" t="s">
        <v>1259</v>
      </c>
      <c r="AT2500" s="30">
        <v>46072.636111111111</v>
      </c>
    </row>
    <row r="2501" spans="1:46" x14ac:dyDescent="0.25">
      <c r="A2501" t="s">
        <v>1248</v>
      </c>
      <c r="B2501">
        <v>252933</v>
      </c>
      <c r="C2501">
        <v>352091</v>
      </c>
      <c r="D2501">
        <v>405</v>
      </c>
      <c r="E2501" t="s">
        <v>1266</v>
      </c>
      <c r="G2501">
        <v>745</v>
      </c>
      <c r="H2501">
        <v>1854</v>
      </c>
      <c r="K2501" t="s">
        <v>1503</v>
      </c>
      <c r="L2501" t="s">
        <v>1503</v>
      </c>
      <c r="M2501" s="29">
        <v>130096774</v>
      </c>
      <c r="N2501">
        <v>0</v>
      </c>
      <c r="O2501" s="29">
        <v>130096774</v>
      </c>
      <c r="P2501">
        <v>0</v>
      </c>
      <c r="Q2501">
        <v>0</v>
      </c>
      <c r="R2501">
        <v>0</v>
      </c>
      <c r="T2501" s="29">
        <v>65000</v>
      </c>
      <c r="U2501" s="29">
        <v>2621450</v>
      </c>
      <c r="V2501" t="s">
        <v>1262</v>
      </c>
      <c r="W2501" t="s">
        <v>1262</v>
      </c>
      <c r="X2501" s="29">
        <v>2621450</v>
      </c>
      <c r="AA2501" s="30">
        <v>45779.416666666664</v>
      </c>
      <c r="AB2501" s="30">
        <v>45785.375</v>
      </c>
      <c r="AC2501" s="30">
        <v>45779.416666666664</v>
      </c>
      <c r="AD2501" s="30">
        <v>45785.375</v>
      </c>
      <c r="AE2501" s="30">
        <v>45833.416666666664</v>
      </c>
      <c r="AF2501" s="30">
        <v>45839.375</v>
      </c>
      <c r="AG2501" t="s">
        <v>1266</v>
      </c>
      <c r="AK2501" t="s">
        <v>1265</v>
      </c>
      <c r="AL2501" t="s">
        <v>2167</v>
      </c>
      <c r="AM2501" t="s">
        <v>1263</v>
      </c>
      <c r="AN2501" t="s">
        <v>1262</v>
      </c>
      <c r="AO2501">
        <v>0</v>
      </c>
      <c r="AQ2501" t="s">
        <v>1261</v>
      </c>
      <c r="AR2501" t="s">
        <v>1260</v>
      </c>
      <c r="AS2501" t="s">
        <v>1259</v>
      </c>
      <c r="AT2501" s="30">
        <v>46072.636111111111</v>
      </c>
    </row>
    <row r="2502" spans="1:46" x14ac:dyDescent="0.25">
      <c r="A2502" t="s">
        <v>1248</v>
      </c>
      <c r="B2502">
        <v>252934</v>
      </c>
      <c r="C2502">
        <v>352098</v>
      </c>
      <c r="D2502">
        <v>405</v>
      </c>
      <c r="E2502" t="s">
        <v>1266</v>
      </c>
      <c r="G2502">
        <v>745</v>
      </c>
      <c r="H2502">
        <v>1854</v>
      </c>
      <c r="K2502" t="s">
        <v>1503</v>
      </c>
      <c r="L2502" t="s">
        <v>1503</v>
      </c>
      <c r="M2502" s="29">
        <v>130096774</v>
      </c>
      <c r="N2502">
        <v>0</v>
      </c>
      <c r="O2502" s="29">
        <v>130096774</v>
      </c>
      <c r="P2502">
        <v>0</v>
      </c>
      <c r="Q2502">
        <v>0</v>
      </c>
      <c r="R2502">
        <v>0</v>
      </c>
      <c r="T2502" s="29">
        <v>65000</v>
      </c>
      <c r="U2502" s="29">
        <v>2621450</v>
      </c>
      <c r="V2502" t="s">
        <v>1262</v>
      </c>
      <c r="W2502" t="s">
        <v>1262</v>
      </c>
      <c r="X2502" s="29">
        <v>2621450</v>
      </c>
      <c r="AA2502" s="30">
        <v>45777.458333333336</v>
      </c>
      <c r="AB2502" s="30">
        <v>45783.416666666664</v>
      </c>
      <c r="AC2502" s="30">
        <v>45777.458333333336</v>
      </c>
      <c r="AD2502" s="30">
        <v>45783.416666666664</v>
      </c>
      <c r="AE2502" s="30">
        <v>45827.416666666664</v>
      </c>
      <c r="AF2502" s="30">
        <v>45833.375</v>
      </c>
      <c r="AG2502" t="s">
        <v>1266</v>
      </c>
      <c r="AK2502" t="s">
        <v>1265</v>
      </c>
      <c r="AL2502" t="s">
        <v>2166</v>
      </c>
      <c r="AM2502" t="s">
        <v>1263</v>
      </c>
      <c r="AN2502" t="s">
        <v>1262</v>
      </c>
      <c r="AO2502">
        <v>0</v>
      </c>
      <c r="AQ2502" t="s">
        <v>1261</v>
      </c>
      <c r="AR2502" t="s">
        <v>1260</v>
      </c>
      <c r="AS2502" t="s">
        <v>1259</v>
      </c>
      <c r="AT2502" s="30">
        <v>46072.636111111111</v>
      </c>
    </row>
    <row r="2503" spans="1:46" x14ac:dyDescent="0.25">
      <c r="A2503" t="s">
        <v>1248</v>
      </c>
      <c r="B2503">
        <v>252935</v>
      </c>
      <c r="C2503">
        <v>352105</v>
      </c>
      <c r="D2503">
        <v>405</v>
      </c>
      <c r="E2503" t="s">
        <v>1266</v>
      </c>
      <c r="G2503">
        <v>745</v>
      </c>
      <c r="H2503">
        <v>1854</v>
      </c>
      <c r="K2503" t="s">
        <v>1503</v>
      </c>
      <c r="L2503" t="s">
        <v>1503</v>
      </c>
      <c r="M2503" s="29">
        <v>130096774</v>
      </c>
      <c r="N2503">
        <v>0</v>
      </c>
      <c r="O2503" s="29">
        <v>130096774</v>
      </c>
      <c r="P2503">
        <v>0</v>
      </c>
      <c r="Q2503">
        <v>0</v>
      </c>
      <c r="R2503">
        <v>0</v>
      </c>
      <c r="T2503" s="29">
        <v>65000</v>
      </c>
      <c r="U2503" s="29">
        <v>2621450</v>
      </c>
      <c r="V2503" t="s">
        <v>1262</v>
      </c>
      <c r="W2503" t="s">
        <v>1262</v>
      </c>
      <c r="X2503" s="29">
        <v>2621450</v>
      </c>
      <c r="AA2503" s="30">
        <v>45775.541666666664</v>
      </c>
      <c r="AB2503" s="30">
        <v>45779.458333333336</v>
      </c>
      <c r="AC2503" s="30">
        <v>45775.541666666664</v>
      </c>
      <c r="AD2503" s="30">
        <v>45779.458333333336</v>
      </c>
      <c r="AE2503" s="30">
        <v>45821.416666666664</v>
      </c>
      <c r="AF2503" s="30">
        <v>45827.375</v>
      </c>
      <c r="AG2503" t="s">
        <v>1266</v>
      </c>
      <c r="AK2503" t="s">
        <v>1265</v>
      </c>
      <c r="AL2503" t="s">
        <v>2165</v>
      </c>
      <c r="AM2503" t="s">
        <v>1263</v>
      </c>
      <c r="AN2503" t="s">
        <v>1262</v>
      </c>
      <c r="AO2503">
        <v>0</v>
      </c>
      <c r="AQ2503" t="s">
        <v>1261</v>
      </c>
      <c r="AR2503" t="s">
        <v>1260</v>
      </c>
      <c r="AS2503" t="s">
        <v>1259</v>
      </c>
      <c r="AT2503" s="30">
        <v>46072.636111111111</v>
      </c>
    </row>
    <row r="2504" spans="1:46" x14ac:dyDescent="0.25">
      <c r="A2504" t="s">
        <v>1248</v>
      </c>
      <c r="B2504">
        <v>252936</v>
      </c>
      <c r="C2504">
        <v>352112</v>
      </c>
      <c r="D2504">
        <v>405</v>
      </c>
      <c r="E2504" t="s">
        <v>1266</v>
      </c>
      <c r="G2504">
        <v>745</v>
      </c>
      <c r="H2504">
        <v>1854</v>
      </c>
      <c r="K2504" t="s">
        <v>1503</v>
      </c>
      <c r="L2504" t="s">
        <v>1503</v>
      </c>
      <c r="M2504" s="29">
        <v>130096774</v>
      </c>
      <c r="N2504">
        <v>0</v>
      </c>
      <c r="O2504" s="29">
        <v>130096774</v>
      </c>
      <c r="P2504">
        <v>0</v>
      </c>
      <c r="Q2504">
        <v>0</v>
      </c>
      <c r="R2504">
        <v>0</v>
      </c>
      <c r="T2504" s="29">
        <v>65000</v>
      </c>
      <c r="U2504" s="29">
        <v>2621450</v>
      </c>
      <c r="V2504" t="s">
        <v>1262</v>
      </c>
      <c r="W2504" t="s">
        <v>1262</v>
      </c>
      <c r="X2504" s="29">
        <v>2621450</v>
      </c>
      <c r="AA2504" s="30">
        <v>45763.583333333336</v>
      </c>
      <c r="AB2504" s="30">
        <v>45769.5</v>
      </c>
      <c r="AC2504" s="30">
        <v>45763.583333333336</v>
      </c>
      <c r="AD2504" s="30">
        <v>45769.5</v>
      </c>
      <c r="AE2504" s="30">
        <v>45817.416666666664</v>
      </c>
      <c r="AF2504" s="30">
        <v>45821.375</v>
      </c>
      <c r="AG2504" t="s">
        <v>1266</v>
      </c>
      <c r="AK2504" t="s">
        <v>1265</v>
      </c>
      <c r="AL2504" t="s">
        <v>2164</v>
      </c>
      <c r="AM2504" t="s">
        <v>1263</v>
      </c>
      <c r="AN2504" t="s">
        <v>1262</v>
      </c>
      <c r="AO2504">
        <v>0</v>
      </c>
      <c r="AQ2504" t="s">
        <v>1261</v>
      </c>
      <c r="AR2504" t="s">
        <v>1260</v>
      </c>
      <c r="AS2504" t="s">
        <v>1259</v>
      </c>
      <c r="AT2504" s="30">
        <v>46072.636111111111</v>
      </c>
    </row>
    <row r="2505" spans="1:46" x14ac:dyDescent="0.25">
      <c r="A2505" t="s">
        <v>1248</v>
      </c>
      <c r="B2505">
        <v>252937</v>
      </c>
      <c r="C2505">
        <v>352119</v>
      </c>
      <c r="D2505">
        <v>405</v>
      </c>
      <c r="E2505" t="s">
        <v>1266</v>
      </c>
      <c r="G2505">
        <v>745</v>
      </c>
      <c r="H2505">
        <v>1854</v>
      </c>
      <c r="K2505" t="s">
        <v>1503</v>
      </c>
      <c r="L2505" t="s">
        <v>1503</v>
      </c>
      <c r="M2505" s="29">
        <v>130096774</v>
      </c>
      <c r="N2505">
        <v>0</v>
      </c>
      <c r="O2505" s="29">
        <v>130096774</v>
      </c>
      <c r="P2505">
        <v>0</v>
      </c>
      <c r="Q2505">
        <v>0</v>
      </c>
      <c r="R2505">
        <v>0</v>
      </c>
      <c r="T2505" s="29">
        <v>65000</v>
      </c>
      <c r="U2505" s="29">
        <v>2621450</v>
      </c>
      <c r="V2505" t="s">
        <v>1262</v>
      </c>
      <c r="W2505" t="s">
        <v>1262</v>
      </c>
      <c r="X2505" s="29">
        <v>2621450</v>
      </c>
      <c r="AA2505" s="30">
        <v>45761.625</v>
      </c>
      <c r="AB2505" s="30">
        <v>45765.583333333336</v>
      </c>
      <c r="AC2505" s="30">
        <v>45761.625</v>
      </c>
      <c r="AD2505" s="30">
        <v>45765.583333333336</v>
      </c>
      <c r="AE2505" s="30">
        <v>45811.416666666664</v>
      </c>
      <c r="AF2505" s="30">
        <v>45817.375</v>
      </c>
      <c r="AG2505" t="s">
        <v>1266</v>
      </c>
      <c r="AK2505" t="s">
        <v>1265</v>
      </c>
      <c r="AL2505" t="s">
        <v>2163</v>
      </c>
      <c r="AM2505" t="s">
        <v>1263</v>
      </c>
      <c r="AN2505" t="s">
        <v>1262</v>
      </c>
      <c r="AO2505">
        <v>0</v>
      </c>
      <c r="AQ2505" t="s">
        <v>1261</v>
      </c>
      <c r="AR2505" t="s">
        <v>1260</v>
      </c>
      <c r="AS2505" t="s">
        <v>1259</v>
      </c>
      <c r="AT2505" s="30">
        <v>46072.636111111111</v>
      </c>
    </row>
    <row r="2506" spans="1:46" x14ac:dyDescent="0.25">
      <c r="A2506" t="s">
        <v>1248</v>
      </c>
      <c r="B2506">
        <v>252938</v>
      </c>
      <c r="C2506">
        <v>352126</v>
      </c>
      <c r="D2506">
        <v>405</v>
      </c>
      <c r="E2506" t="s">
        <v>1266</v>
      </c>
      <c r="G2506">
        <v>745</v>
      </c>
      <c r="H2506">
        <v>1854</v>
      </c>
      <c r="K2506" t="s">
        <v>1503</v>
      </c>
      <c r="L2506" t="s">
        <v>1503</v>
      </c>
      <c r="M2506" s="29">
        <v>130096774</v>
      </c>
      <c r="N2506">
        <v>0</v>
      </c>
      <c r="O2506" s="29">
        <v>130096774</v>
      </c>
      <c r="P2506">
        <v>0</v>
      </c>
      <c r="Q2506">
        <v>0</v>
      </c>
      <c r="R2506">
        <v>0</v>
      </c>
      <c r="T2506" s="29">
        <v>65000</v>
      </c>
      <c r="U2506" s="29">
        <v>2621450</v>
      </c>
      <c r="V2506" t="s">
        <v>1262</v>
      </c>
      <c r="W2506" t="s">
        <v>1262</v>
      </c>
      <c r="X2506" s="29">
        <v>2621450</v>
      </c>
      <c r="AA2506" s="30">
        <v>45757.666666666664</v>
      </c>
      <c r="AB2506" s="30">
        <v>45763.625</v>
      </c>
      <c r="AC2506" s="30">
        <v>45757.666666666664</v>
      </c>
      <c r="AD2506" s="30">
        <v>45763.625</v>
      </c>
      <c r="AE2506" s="30">
        <v>45805.416666666664</v>
      </c>
      <c r="AF2506" s="30">
        <v>45811.375</v>
      </c>
      <c r="AG2506" t="s">
        <v>1266</v>
      </c>
      <c r="AK2506" t="s">
        <v>1265</v>
      </c>
      <c r="AL2506" t="s">
        <v>2162</v>
      </c>
      <c r="AM2506" t="s">
        <v>1263</v>
      </c>
      <c r="AN2506" t="s">
        <v>1262</v>
      </c>
      <c r="AO2506">
        <v>0</v>
      </c>
      <c r="AQ2506" t="s">
        <v>1261</v>
      </c>
      <c r="AR2506" t="s">
        <v>1260</v>
      </c>
      <c r="AS2506" t="s">
        <v>1259</v>
      </c>
      <c r="AT2506" s="30">
        <v>46072.636111111111</v>
      </c>
    </row>
    <row r="2507" spans="1:46" x14ac:dyDescent="0.25">
      <c r="A2507" t="s">
        <v>1248</v>
      </c>
      <c r="B2507">
        <v>252939</v>
      </c>
      <c r="C2507">
        <v>352133</v>
      </c>
      <c r="D2507">
        <v>405</v>
      </c>
      <c r="E2507" t="s">
        <v>1266</v>
      </c>
      <c r="G2507">
        <v>745</v>
      </c>
      <c r="H2507">
        <v>1854</v>
      </c>
      <c r="K2507" t="s">
        <v>1503</v>
      </c>
      <c r="L2507" t="s">
        <v>1503</v>
      </c>
      <c r="M2507" s="29">
        <v>130096774</v>
      </c>
      <c r="N2507">
        <v>0</v>
      </c>
      <c r="O2507" s="29">
        <v>130096774</v>
      </c>
      <c r="P2507">
        <v>0</v>
      </c>
      <c r="Q2507">
        <v>0</v>
      </c>
      <c r="R2507">
        <v>0</v>
      </c>
      <c r="T2507" s="29">
        <v>65000</v>
      </c>
      <c r="U2507" s="29">
        <v>2621450</v>
      </c>
      <c r="V2507" t="s">
        <v>1262</v>
      </c>
      <c r="W2507" t="s">
        <v>1262</v>
      </c>
      <c r="X2507" s="29">
        <v>2621450</v>
      </c>
      <c r="AA2507" s="30">
        <v>45756.333333333336</v>
      </c>
      <c r="AB2507" s="30">
        <v>45761.666666666664</v>
      </c>
      <c r="AC2507" s="30">
        <v>45756.333333333336</v>
      </c>
      <c r="AD2507" s="30">
        <v>45761.666666666664</v>
      </c>
      <c r="AE2507" s="30">
        <v>45799.416666666664</v>
      </c>
      <c r="AF2507" s="30">
        <v>45805.375</v>
      </c>
      <c r="AG2507" t="s">
        <v>1266</v>
      </c>
      <c r="AK2507" t="s">
        <v>1265</v>
      </c>
      <c r="AL2507" t="s">
        <v>2161</v>
      </c>
      <c r="AM2507" t="s">
        <v>1263</v>
      </c>
      <c r="AN2507" t="s">
        <v>1262</v>
      </c>
      <c r="AO2507">
        <v>0</v>
      </c>
      <c r="AQ2507" t="s">
        <v>1261</v>
      </c>
      <c r="AR2507" t="s">
        <v>1260</v>
      </c>
      <c r="AS2507" t="s">
        <v>1259</v>
      </c>
      <c r="AT2507" s="30">
        <v>46072.636111111111</v>
      </c>
    </row>
    <row r="2508" spans="1:46" x14ac:dyDescent="0.25">
      <c r="A2508" t="s">
        <v>1248</v>
      </c>
      <c r="B2508">
        <v>252940</v>
      </c>
      <c r="C2508">
        <v>352140</v>
      </c>
      <c r="D2508">
        <v>405</v>
      </c>
      <c r="E2508" t="s">
        <v>1266</v>
      </c>
      <c r="G2508">
        <v>745</v>
      </c>
      <c r="H2508">
        <v>1854</v>
      </c>
      <c r="K2508" t="s">
        <v>1503</v>
      </c>
      <c r="L2508" t="s">
        <v>1503</v>
      </c>
      <c r="M2508" s="29">
        <v>130096774</v>
      </c>
      <c r="N2508">
        <v>0</v>
      </c>
      <c r="O2508" s="29">
        <v>130096774</v>
      </c>
      <c r="P2508">
        <v>0</v>
      </c>
      <c r="Q2508">
        <v>0</v>
      </c>
      <c r="R2508">
        <v>0</v>
      </c>
      <c r="T2508" s="29">
        <v>65000</v>
      </c>
      <c r="U2508" s="29">
        <v>2621450</v>
      </c>
      <c r="V2508" t="s">
        <v>1262</v>
      </c>
      <c r="W2508" t="s">
        <v>1262</v>
      </c>
      <c r="X2508" s="29">
        <v>2621450</v>
      </c>
      <c r="AA2508" s="30">
        <v>45754.375</v>
      </c>
      <c r="AB2508" s="30">
        <v>45757.708333333336</v>
      </c>
      <c r="AC2508" s="30">
        <v>45754.375</v>
      </c>
      <c r="AD2508" s="30">
        <v>45757.708333333336</v>
      </c>
      <c r="AE2508" s="30">
        <v>45793.416666666664</v>
      </c>
      <c r="AF2508" s="30">
        <v>45799.375</v>
      </c>
      <c r="AG2508" t="s">
        <v>1266</v>
      </c>
      <c r="AK2508" t="s">
        <v>1265</v>
      </c>
      <c r="AL2508" t="s">
        <v>2160</v>
      </c>
      <c r="AM2508" t="s">
        <v>1263</v>
      </c>
      <c r="AN2508" t="s">
        <v>1262</v>
      </c>
      <c r="AO2508">
        <v>0</v>
      </c>
      <c r="AQ2508" t="s">
        <v>1261</v>
      </c>
      <c r="AR2508" t="s">
        <v>1260</v>
      </c>
      <c r="AS2508" t="s">
        <v>1259</v>
      </c>
      <c r="AT2508" s="30">
        <v>46072.636111111111</v>
      </c>
    </row>
    <row r="2509" spans="1:46" x14ac:dyDescent="0.25">
      <c r="A2509" t="s">
        <v>1248</v>
      </c>
      <c r="B2509">
        <v>252941</v>
      </c>
      <c r="C2509">
        <v>352147</v>
      </c>
      <c r="D2509">
        <v>405</v>
      </c>
      <c r="E2509" t="s">
        <v>1266</v>
      </c>
      <c r="G2509">
        <v>745</v>
      </c>
      <c r="H2509">
        <v>1854</v>
      </c>
      <c r="K2509" t="s">
        <v>1503</v>
      </c>
      <c r="L2509" t="s">
        <v>1503</v>
      </c>
      <c r="M2509" s="29">
        <v>130096774</v>
      </c>
      <c r="N2509">
        <v>0</v>
      </c>
      <c r="O2509" s="29">
        <v>130096774</v>
      </c>
      <c r="P2509">
        <v>0</v>
      </c>
      <c r="Q2509">
        <v>0</v>
      </c>
      <c r="R2509">
        <v>0</v>
      </c>
      <c r="T2509" s="29">
        <v>65000</v>
      </c>
      <c r="U2509" s="29">
        <v>2621450</v>
      </c>
      <c r="V2509" t="s">
        <v>1262</v>
      </c>
      <c r="W2509" t="s">
        <v>1262</v>
      </c>
      <c r="X2509" s="29">
        <v>2621450</v>
      </c>
      <c r="AA2509" s="30">
        <v>45750.416666666664</v>
      </c>
      <c r="AB2509" s="30">
        <v>45756.375</v>
      </c>
      <c r="AC2509" s="30">
        <v>45750.416666666664</v>
      </c>
      <c r="AD2509" s="30">
        <v>45756.375</v>
      </c>
      <c r="AE2509" s="30">
        <v>45789.416666666664</v>
      </c>
      <c r="AF2509" s="30">
        <v>45793.375</v>
      </c>
      <c r="AG2509" t="s">
        <v>1266</v>
      </c>
      <c r="AK2509" t="s">
        <v>1265</v>
      </c>
      <c r="AL2509" t="s">
        <v>2159</v>
      </c>
      <c r="AM2509" t="s">
        <v>1263</v>
      </c>
      <c r="AN2509" t="s">
        <v>1262</v>
      </c>
      <c r="AO2509">
        <v>0</v>
      </c>
      <c r="AQ2509" t="s">
        <v>1261</v>
      </c>
      <c r="AR2509" t="s">
        <v>1260</v>
      </c>
      <c r="AS2509" t="s">
        <v>1259</v>
      </c>
      <c r="AT2509" s="30">
        <v>46072.636111111111</v>
      </c>
    </row>
    <row r="2510" spans="1:46" x14ac:dyDescent="0.25">
      <c r="A2510" t="s">
        <v>1248</v>
      </c>
      <c r="B2510">
        <v>252942</v>
      </c>
      <c r="C2510">
        <v>352154</v>
      </c>
      <c r="D2510">
        <v>405</v>
      </c>
      <c r="E2510" t="s">
        <v>1266</v>
      </c>
      <c r="G2510">
        <v>745</v>
      </c>
      <c r="H2510">
        <v>1854</v>
      </c>
      <c r="K2510" t="s">
        <v>1503</v>
      </c>
      <c r="L2510" t="s">
        <v>1503</v>
      </c>
      <c r="M2510" s="29">
        <v>130096774</v>
      </c>
      <c r="N2510">
        <v>0</v>
      </c>
      <c r="O2510" s="29">
        <v>130096774</v>
      </c>
      <c r="P2510">
        <v>0</v>
      </c>
      <c r="Q2510">
        <v>0</v>
      </c>
      <c r="R2510">
        <v>0</v>
      </c>
      <c r="T2510" s="29">
        <v>65000</v>
      </c>
      <c r="U2510" s="29">
        <v>2621450</v>
      </c>
      <c r="V2510" t="s">
        <v>1262</v>
      </c>
      <c r="W2510" t="s">
        <v>1262</v>
      </c>
      <c r="X2510" s="29">
        <v>2621450</v>
      </c>
      <c r="AA2510" s="30">
        <v>45748.458333333336</v>
      </c>
      <c r="AB2510" s="30">
        <v>45754.416666666664</v>
      </c>
      <c r="AC2510" s="30">
        <v>45748.458333333336</v>
      </c>
      <c r="AD2510" s="30">
        <v>45754.416666666664</v>
      </c>
      <c r="AE2510" s="30">
        <v>45783.416666666664</v>
      </c>
      <c r="AF2510" s="30">
        <v>45789.375</v>
      </c>
      <c r="AG2510" t="s">
        <v>1266</v>
      </c>
      <c r="AK2510" t="s">
        <v>1265</v>
      </c>
      <c r="AL2510" t="s">
        <v>2158</v>
      </c>
      <c r="AM2510" t="s">
        <v>1263</v>
      </c>
      <c r="AN2510" t="s">
        <v>1262</v>
      </c>
      <c r="AO2510">
        <v>0</v>
      </c>
      <c r="AQ2510" t="s">
        <v>1261</v>
      </c>
      <c r="AR2510" t="s">
        <v>1260</v>
      </c>
      <c r="AS2510" t="s">
        <v>1259</v>
      </c>
      <c r="AT2510" s="30">
        <v>46072.636111111111</v>
      </c>
    </row>
    <row r="2511" spans="1:46" x14ac:dyDescent="0.25">
      <c r="A2511" t="s">
        <v>1248</v>
      </c>
      <c r="B2511">
        <v>252943</v>
      </c>
      <c r="C2511">
        <v>352161</v>
      </c>
      <c r="D2511">
        <v>405</v>
      </c>
      <c r="E2511" t="s">
        <v>1266</v>
      </c>
      <c r="G2511">
        <v>745</v>
      </c>
      <c r="H2511">
        <v>1854</v>
      </c>
      <c r="K2511" t="s">
        <v>1503</v>
      </c>
      <c r="L2511" t="s">
        <v>1503</v>
      </c>
      <c r="M2511" s="29">
        <v>130096774</v>
      </c>
      <c r="N2511">
        <v>0</v>
      </c>
      <c r="O2511" s="29">
        <v>130096774</v>
      </c>
      <c r="P2511">
        <v>0</v>
      </c>
      <c r="Q2511">
        <v>0</v>
      </c>
      <c r="R2511">
        <v>0</v>
      </c>
      <c r="T2511" s="29">
        <v>65000</v>
      </c>
      <c r="U2511" s="29">
        <v>2621450</v>
      </c>
      <c r="V2511" t="s">
        <v>1262</v>
      </c>
      <c r="W2511" t="s">
        <v>1262</v>
      </c>
      <c r="X2511" s="29">
        <v>2621450</v>
      </c>
      <c r="AA2511" s="30">
        <v>45744.541666666664</v>
      </c>
      <c r="AB2511" s="30">
        <v>45750.458333333336</v>
      </c>
      <c r="AC2511" s="30">
        <v>45744.541666666664</v>
      </c>
      <c r="AD2511" s="30">
        <v>45750.458333333336</v>
      </c>
      <c r="AE2511" s="30">
        <v>45777.416666666664</v>
      </c>
      <c r="AF2511" s="30">
        <v>45783.375</v>
      </c>
      <c r="AG2511" t="s">
        <v>1266</v>
      </c>
      <c r="AK2511" t="s">
        <v>1265</v>
      </c>
      <c r="AL2511" t="s">
        <v>2157</v>
      </c>
      <c r="AM2511" t="s">
        <v>1263</v>
      </c>
      <c r="AN2511" t="s">
        <v>1262</v>
      </c>
      <c r="AO2511">
        <v>0</v>
      </c>
      <c r="AQ2511" t="s">
        <v>1261</v>
      </c>
      <c r="AR2511" t="s">
        <v>1260</v>
      </c>
      <c r="AS2511" t="s">
        <v>1259</v>
      </c>
      <c r="AT2511" s="30">
        <v>46072.636111111111</v>
      </c>
    </row>
    <row r="2512" spans="1:46" x14ac:dyDescent="0.25">
      <c r="A2512" t="s">
        <v>1248</v>
      </c>
      <c r="B2512">
        <v>252944</v>
      </c>
      <c r="C2512">
        <v>352168</v>
      </c>
      <c r="D2512">
        <v>405</v>
      </c>
      <c r="E2512" t="s">
        <v>1266</v>
      </c>
      <c r="G2512">
        <v>745</v>
      </c>
      <c r="H2512">
        <v>1854</v>
      </c>
      <c r="K2512" t="s">
        <v>1503</v>
      </c>
      <c r="L2512" t="s">
        <v>1503</v>
      </c>
      <c r="M2512" s="29">
        <v>130096774</v>
      </c>
      <c r="N2512">
        <v>0</v>
      </c>
      <c r="O2512" s="29">
        <v>130096774</v>
      </c>
      <c r="P2512">
        <v>0</v>
      </c>
      <c r="Q2512">
        <v>0</v>
      </c>
      <c r="R2512">
        <v>0</v>
      </c>
      <c r="T2512" s="29">
        <v>65000</v>
      </c>
      <c r="U2512" s="29">
        <v>2621450</v>
      </c>
      <c r="V2512" t="s">
        <v>1262</v>
      </c>
      <c r="W2512" t="s">
        <v>1262</v>
      </c>
      <c r="X2512" s="29">
        <v>2621450</v>
      </c>
      <c r="AA2512" s="30">
        <v>45733.458333333336</v>
      </c>
      <c r="AB2512" s="30">
        <v>45737.416666666664</v>
      </c>
      <c r="AC2512" s="30">
        <v>45733.458333333336</v>
      </c>
      <c r="AD2512" s="30">
        <v>45737.416666666664</v>
      </c>
      <c r="AE2512" s="30">
        <v>45771.416666666664</v>
      </c>
      <c r="AF2512" s="30">
        <v>45777.375</v>
      </c>
      <c r="AG2512" t="s">
        <v>1266</v>
      </c>
      <c r="AK2512" t="s">
        <v>1265</v>
      </c>
      <c r="AL2512" t="s">
        <v>2156</v>
      </c>
      <c r="AM2512" t="s">
        <v>1263</v>
      </c>
      <c r="AN2512" t="s">
        <v>1262</v>
      </c>
      <c r="AO2512">
        <v>0</v>
      </c>
      <c r="AQ2512" t="s">
        <v>1261</v>
      </c>
      <c r="AR2512" t="s">
        <v>1260</v>
      </c>
      <c r="AS2512" t="s">
        <v>1259</v>
      </c>
      <c r="AT2512" s="30">
        <v>46072.636111111111</v>
      </c>
    </row>
    <row r="2513" spans="1:46" x14ac:dyDescent="0.25">
      <c r="A2513" t="s">
        <v>1248</v>
      </c>
      <c r="B2513">
        <v>252945</v>
      </c>
      <c r="C2513">
        <v>352175</v>
      </c>
      <c r="D2513">
        <v>405</v>
      </c>
      <c r="E2513" t="s">
        <v>1266</v>
      </c>
      <c r="G2513">
        <v>745</v>
      </c>
      <c r="H2513">
        <v>1854</v>
      </c>
      <c r="K2513" t="s">
        <v>1503</v>
      </c>
      <c r="L2513" t="s">
        <v>1503</v>
      </c>
      <c r="M2513" s="29">
        <v>130096774</v>
      </c>
      <c r="N2513">
        <v>0</v>
      </c>
      <c r="O2513" s="29">
        <v>130096774</v>
      </c>
      <c r="P2513">
        <v>0</v>
      </c>
      <c r="Q2513">
        <v>0</v>
      </c>
      <c r="R2513">
        <v>0</v>
      </c>
      <c r="T2513" s="29">
        <v>65000</v>
      </c>
      <c r="U2513" s="29">
        <v>2621450</v>
      </c>
      <c r="V2513" t="s">
        <v>1262</v>
      </c>
      <c r="W2513" t="s">
        <v>1262</v>
      </c>
      <c r="X2513" s="29">
        <v>2621450</v>
      </c>
      <c r="AA2513" s="30">
        <v>45728.541666666664</v>
      </c>
      <c r="AB2513" s="30">
        <v>45734.458333333336</v>
      </c>
      <c r="AC2513" s="30">
        <v>45728.541666666664</v>
      </c>
      <c r="AD2513" s="30">
        <v>45734.458333333336</v>
      </c>
      <c r="AE2513" s="30">
        <v>45765.416666666664</v>
      </c>
      <c r="AF2513" s="30">
        <v>45771.375</v>
      </c>
      <c r="AG2513" t="s">
        <v>1266</v>
      </c>
      <c r="AK2513" t="s">
        <v>1265</v>
      </c>
      <c r="AL2513" t="s">
        <v>2155</v>
      </c>
      <c r="AM2513" t="s">
        <v>1263</v>
      </c>
      <c r="AN2513" t="s">
        <v>1262</v>
      </c>
      <c r="AO2513">
        <v>0</v>
      </c>
      <c r="AQ2513" t="s">
        <v>1261</v>
      </c>
      <c r="AR2513" t="s">
        <v>1260</v>
      </c>
      <c r="AS2513" t="s">
        <v>1259</v>
      </c>
      <c r="AT2513" s="30">
        <v>46072.636111111111</v>
      </c>
    </row>
    <row r="2514" spans="1:46" x14ac:dyDescent="0.25">
      <c r="A2514" t="s">
        <v>1248</v>
      </c>
      <c r="B2514">
        <v>252946</v>
      </c>
      <c r="C2514">
        <v>352182</v>
      </c>
      <c r="D2514">
        <v>405</v>
      </c>
      <c r="E2514" t="s">
        <v>1266</v>
      </c>
      <c r="G2514">
        <v>745</v>
      </c>
      <c r="H2514">
        <v>1854</v>
      </c>
      <c r="K2514" t="s">
        <v>1503</v>
      </c>
      <c r="L2514" t="s">
        <v>1503</v>
      </c>
      <c r="M2514" s="29">
        <v>130096774</v>
      </c>
      <c r="N2514">
        <v>0</v>
      </c>
      <c r="O2514" s="29">
        <v>130096774</v>
      </c>
      <c r="P2514">
        <v>0</v>
      </c>
      <c r="Q2514">
        <v>0</v>
      </c>
      <c r="R2514">
        <v>0</v>
      </c>
      <c r="T2514" s="29">
        <v>65000</v>
      </c>
      <c r="U2514" s="29">
        <v>2621450</v>
      </c>
      <c r="V2514" t="s">
        <v>1262</v>
      </c>
      <c r="W2514" t="s">
        <v>1262</v>
      </c>
      <c r="X2514" s="29">
        <v>2621450</v>
      </c>
      <c r="AA2514" s="30">
        <v>45733.583333333336</v>
      </c>
      <c r="AB2514" s="30">
        <v>45737.5</v>
      </c>
      <c r="AC2514" s="30">
        <v>45733.583333333336</v>
      </c>
      <c r="AD2514" s="30">
        <v>45737.5</v>
      </c>
      <c r="AE2514" s="30">
        <v>45761.416666666664</v>
      </c>
      <c r="AF2514" s="30">
        <v>45765.375</v>
      </c>
      <c r="AG2514" t="s">
        <v>1266</v>
      </c>
      <c r="AK2514" t="s">
        <v>1265</v>
      </c>
      <c r="AL2514" t="s">
        <v>2154</v>
      </c>
      <c r="AM2514" t="s">
        <v>1263</v>
      </c>
      <c r="AN2514" t="s">
        <v>1262</v>
      </c>
      <c r="AO2514">
        <v>0</v>
      </c>
      <c r="AQ2514" t="s">
        <v>1261</v>
      </c>
      <c r="AR2514" t="s">
        <v>1260</v>
      </c>
      <c r="AS2514" t="s">
        <v>1259</v>
      </c>
      <c r="AT2514" s="30">
        <v>46072.636111111111</v>
      </c>
    </row>
    <row r="2515" spans="1:46" x14ac:dyDescent="0.25">
      <c r="A2515" t="s">
        <v>1248</v>
      </c>
      <c r="B2515">
        <v>252947</v>
      </c>
      <c r="C2515">
        <v>352189</v>
      </c>
      <c r="D2515">
        <v>405</v>
      </c>
      <c r="E2515" t="s">
        <v>1266</v>
      </c>
      <c r="G2515">
        <v>745</v>
      </c>
      <c r="H2515">
        <v>1854</v>
      </c>
      <c r="K2515" s="29">
        <v>41630967</v>
      </c>
      <c r="L2515" s="29">
        <v>41630967</v>
      </c>
      <c r="M2515" s="29">
        <v>130096774</v>
      </c>
      <c r="N2515">
        <v>0</v>
      </c>
      <c r="O2515" s="29">
        <v>130096774</v>
      </c>
      <c r="P2515">
        <v>0</v>
      </c>
      <c r="Q2515">
        <v>0</v>
      </c>
      <c r="R2515">
        <v>0</v>
      </c>
      <c r="T2515" s="29">
        <v>65000</v>
      </c>
      <c r="U2515" s="29">
        <v>2706013</v>
      </c>
      <c r="V2515" t="s">
        <v>1262</v>
      </c>
      <c r="W2515" t="s">
        <v>1262</v>
      </c>
      <c r="X2515" s="29">
        <v>2706013</v>
      </c>
      <c r="AA2515" s="30">
        <v>45729.333333333336</v>
      </c>
      <c r="AB2515" s="30">
        <v>45734.708333333336</v>
      </c>
      <c r="AC2515" s="30">
        <v>45729.333333333336</v>
      </c>
      <c r="AD2515" s="30">
        <v>45734.708333333336</v>
      </c>
      <c r="AE2515" s="30">
        <v>45755.333333333336</v>
      </c>
      <c r="AF2515" s="30">
        <v>45758.708333333336</v>
      </c>
      <c r="AG2515" t="s">
        <v>1266</v>
      </c>
      <c r="AK2515" t="s">
        <v>1265</v>
      </c>
      <c r="AL2515" t="s">
        <v>2153</v>
      </c>
      <c r="AM2515" t="s">
        <v>1263</v>
      </c>
      <c r="AN2515" t="s">
        <v>1262</v>
      </c>
      <c r="AO2515">
        <v>0</v>
      </c>
      <c r="AQ2515" t="s">
        <v>1261</v>
      </c>
      <c r="AR2515" t="s">
        <v>1260</v>
      </c>
      <c r="AS2515" t="s">
        <v>1259</v>
      </c>
      <c r="AT2515" s="30">
        <v>46072.636111111111</v>
      </c>
    </row>
    <row r="2516" spans="1:46" x14ac:dyDescent="0.25">
      <c r="A2516" t="s">
        <v>1248</v>
      </c>
      <c r="B2516">
        <v>252948</v>
      </c>
      <c r="C2516">
        <v>352050</v>
      </c>
      <c r="D2516">
        <v>405</v>
      </c>
      <c r="E2516" t="s">
        <v>1266</v>
      </c>
      <c r="G2516">
        <v>745</v>
      </c>
      <c r="H2516">
        <v>1857</v>
      </c>
      <c r="K2516" s="29">
        <v>22641701</v>
      </c>
      <c r="L2516" s="29">
        <v>22641701</v>
      </c>
      <c r="M2516" t="s">
        <v>1470</v>
      </c>
      <c r="N2516">
        <v>0</v>
      </c>
      <c r="O2516" t="s">
        <v>1470</v>
      </c>
      <c r="P2516">
        <v>0</v>
      </c>
      <c r="Q2516">
        <v>0</v>
      </c>
      <c r="R2516">
        <v>0</v>
      </c>
      <c r="T2516" s="29">
        <v>505000</v>
      </c>
      <c r="U2516" s="29">
        <v>11434059</v>
      </c>
      <c r="V2516" t="s">
        <v>1262</v>
      </c>
      <c r="W2516" t="s">
        <v>1262</v>
      </c>
      <c r="X2516" s="29">
        <v>11434059</v>
      </c>
      <c r="AA2516" s="30">
        <v>45811.625</v>
      </c>
      <c r="AB2516" s="30">
        <v>45819.625</v>
      </c>
      <c r="AC2516" s="30">
        <v>45811.625</v>
      </c>
      <c r="AD2516" s="30">
        <v>45819.625</v>
      </c>
      <c r="AE2516" s="30">
        <v>45877.333333333336</v>
      </c>
      <c r="AF2516" s="30">
        <v>45884.708333333336</v>
      </c>
      <c r="AG2516" t="s">
        <v>1266</v>
      </c>
      <c r="AK2516" t="s">
        <v>1265</v>
      </c>
      <c r="AL2516" t="s">
        <v>2152</v>
      </c>
      <c r="AM2516" t="s">
        <v>1263</v>
      </c>
      <c r="AN2516" t="s">
        <v>1262</v>
      </c>
      <c r="AO2516">
        <v>0</v>
      </c>
      <c r="AQ2516" t="s">
        <v>1261</v>
      </c>
      <c r="AR2516" t="s">
        <v>1260</v>
      </c>
      <c r="AS2516" t="s">
        <v>1259</v>
      </c>
      <c r="AT2516" s="30">
        <v>46072.640972222223</v>
      </c>
    </row>
    <row r="2517" spans="1:46" x14ac:dyDescent="0.25">
      <c r="A2517" t="s">
        <v>1248</v>
      </c>
      <c r="B2517">
        <v>252949</v>
      </c>
      <c r="C2517">
        <v>352057</v>
      </c>
      <c r="D2517">
        <v>405</v>
      </c>
      <c r="E2517" t="s">
        <v>1266</v>
      </c>
      <c r="G2517">
        <v>745</v>
      </c>
      <c r="H2517">
        <v>1857</v>
      </c>
      <c r="K2517" t="s">
        <v>1471</v>
      </c>
      <c r="L2517" t="s">
        <v>1471</v>
      </c>
      <c r="M2517" t="s">
        <v>1470</v>
      </c>
      <c r="N2517">
        <v>0</v>
      </c>
      <c r="O2517" t="s">
        <v>1470</v>
      </c>
      <c r="P2517">
        <v>0</v>
      </c>
      <c r="Q2517">
        <v>0</v>
      </c>
      <c r="R2517">
        <v>0</v>
      </c>
      <c r="T2517" s="29">
        <v>505000</v>
      </c>
      <c r="U2517" s="29">
        <v>11195850</v>
      </c>
      <c r="V2517" t="s">
        <v>1262</v>
      </c>
      <c r="W2517" t="s">
        <v>1262</v>
      </c>
      <c r="X2517" s="29">
        <v>11195850</v>
      </c>
      <c r="AA2517" s="30">
        <v>45807.416666666664</v>
      </c>
      <c r="AB2517" s="30">
        <v>45817.375</v>
      </c>
      <c r="AC2517" s="30">
        <v>45807.416666666664</v>
      </c>
      <c r="AD2517" s="30">
        <v>45817.375</v>
      </c>
      <c r="AE2517" s="30">
        <v>45873.416666666664</v>
      </c>
      <c r="AF2517" s="30">
        <v>45881.375</v>
      </c>
      <c r="AG2517" t="s">
        <v>1266</v>
      </c>
      <c r="AK2517" t="s">
        <v>1265</v>
      </c>
      <c r="AL2517" t="s">
        <v>2151</v>
      </c>
      <c r="AM2517" t="s">
        <v>1263</v>
      </c>
      <c r="AN2517" t="s">
        <v>1262</v>
      </c>
      <c r="AO2517">
        <v>0</v>
      </c>
      <c r="AQ2517" t="s">
        <v>1261</v>
      </c>
      <c r="AR2517" t="s">
        <v>1260</v>
      </c>
      <c r="AS2517" t="s">
        <v>1259</v>
      </c>
      <c r="AT2517" s="30">
        <v>46072.640972222223</v>
      </c>
    </row>
    <row r="2518" spans="1:46" x14ac:dyDescent="0.25">
      <c r="A2518" t="s">
        <v>1248</v>
      </c>
      <c r="B2518">
        <v>252950</v>
      </c>
      <c r="C2518">
        <v>352064</v>
      </c>
      <c r="D2518">
        <v>405</v>
      </c>
      <c r="E2518" t="s">
        <v>1266</v>
      </c>
      <c r="G2518">
        <v>745</v>
      </c>
      <c r="H2518">
        <v>1857</v>
      </c>
      <c r="K2518" t="s">
        <v>1471</v>
      </c>
      <c r="L2518" t="s">
        <v>1471</v>
      </c>
      <c r="M2518" t="s">
        <v>1470</v>
      </c>
      <c r="N2518">
        <v>0</v>
      </c>
      <c r="O2518" t="s">
        <v>1470</v>
      </c>
      <c r="P2518">
        <v>0</v>
      </c>
      <c r="Q2518">
        <v>0</v>
      </c>
      <c r="R2518">
        <v>0</v>
      </c>
      <c r="T2518" s="29">
        <v>505000</v>
      </c>
      <c r="U2518" s="29">
        <v>11195850</v>
      </c>
      <c r="V2518" t="s">
        <v>1262</v>
      </c>
      <c r="W2518" t="s">
        <v>1262</v>
      </c>
      <c r="X2518" s="29">
        <v>11195850</v>
      </c>
      <c r="AA2518" s="30">
        <v>45805.458333333336</v>
      </c>
      <c r="AB2518" s="30">
        <v>45813.416666666664</v>
      </c>
      <c r="AC2518" s="30">
        <v>45805.458333333336</v>
      </c>
      <c r="AD2518" s="30">
        <v>45813.416666666664</v>
      </c>
      <c r="AE2518" s="30">
        <v>45867.416666666664</v>
      </c>
      <c r="AF2518" s="30">
        <v>45875.375</v>
      </c>
      <c r="AG2518" t="s">
        <v>1266</v>
      </c>
      <c r="AK2518" t="s">
        <v>1265</v>
      </c>
      <c r="AL2518" t="s">
        <v>2150</v>
      </c>
      <c r="AM2518" t="s">
        <v>1263</v>
      </c>
      <c r="AN2518" t="s">
        <v>1262</v>
      </c>
      <c r="AO2518">
        <v>0</v>
      </c>
      <c r="AQ2518" t="s">
        <v>1261</v>
      </c>
      <c r="AR2518" t="s">
        <v>1260</v>
      </c>
      <c r="AS2518" t="s">
        <v>1259</v>
      </c>
      <c r="AT2518" s="30">
        <v>46072.640972222223</v>
      </c>
    </row>
    <row r="2519" spans="1:46" x14ac:dyDescent="0.25">
      <c r="A2519" t="s">
        <v>1248</v>
      </c>
      <c r="B2519">
        <v>252951</v>
      </c>
      <c r="C2519">
        <v>352071</v>
      </c>
      <c r="D2519">
        <v>405</v>
      </c>
      <c r="E2519" t="s">
        <v>1266</v>
      </c>
      <c r="G2519">
        <v>745</v>
      </c>
      <c r="H2519">
        <v>1857</v>
      </c>
      <c r="K2519" s="29">
        <v>22641701</v>
      </c>
      <c r="L2519" s="29">
        <v>22641701</v>
      </c>
      <c r="M2519" t="s">
        <v>1470</v>
      </c>
      <c r="N2519">
        <v>0</v>
      </c>
      <c r="O2519" t="s">
        <v>1470</v>
      </c>
      <c r="P2519">
        <v>0</v>
      </c>
      <c r="Q2519">
        <v>0</v>
      </c>
      <c r="R2519">
        <v>0</v>
      </c>
      <c r="T2519" s="29">
        <v>505000</v>
      </c>
      <c r="U2519" s="29">
        <v>11434059</v>
      </c>
      <c r="V2519" t="s">
        <v>1262</v>
      </c>
      <c r="W2519" t="s">
        <v>1262</v>
      </c>
      <c r="X2519" s="29">
        <v>11434059</v>
      </c>
      <c r="AA2519" s="30">
        <v>45793.458333333336</v>
      </c>
      <c r="AB2519" s="30">
        <v>45803.458333333336</v>
      </c>
      <c r="AC2519" s="30">
        <v>45793.458333333336</v>
      </c>
      <c r="AD2519" s="30">
        <v>45803.458333333336</v>
      </c>
      <c r="AE2519" s="30">
        <v>45862.333333333336</v>
      </c>
      <c r="AF2519" s="30">
        <v>45869.708333333336</v>
      </c>
      <c r="AG2519" t="s">
        <v>1266</v>
      </c>
      <c r="AK2519" t="s">
        <v>1265</v>
      </c>
      <c r="AL2519" t="s">
        <v>2149</v>
      </c>
      <c r="AM2519" t="s">
        <v>1263</v>
      </c>
      <c r="AN2519" t="s">
        <v>1262</v>
      </c>
      <c r="AO2519">
        <v>0</v>
      </c>
      <c r="AQ2519" t="s">
        <v>1261</v>
      </c>
      <c r="AR2519" t="s">
        <v>1260</v>
      </c>
      <c r="AS2519" t="s">
        <v>1259</v>
      </c>
      <c r="AT2519" s="30">
        <v>46072.640972222223</v>
      </c>
    </row>
    <row r="2520" spans="1:46" x14ac:dyDescent="0.25">
      <c r="A2520" t="s">
        <v>1248</v>
      </c>
      <c r="B2520">
        <v>252952</v>
      </c>
      <c r="C2520">
        <v>352078</v>
      </c>
      <c r="D2520">
        <v>405</v>
      </c>
      <c r="E2520" t="s">
        <v>1266</v>
      </c>
      <c r="G2520">
        <v>745</v>
      </c>
      <c r="H2520">
        <v>1857</v>
      </c>
      <c r="K2520" t="s">
        <v>1471</v>
      </c>
      <c r="L2520" t="s">
        <v>1471</v>
      </c>
      <c r="M2520" t="s">
        <v>1470</v>
      </c>
      <c r="N2520">
        <v>0</v>
      </c>
      <c r="O2520" t="s">
        <v>1470</v>
      </c>
      <c r="P2520">
        <v>0</v>
      </c>
      <c r="Q2520">
        <v>0</v>
      </c>
      <c r="R2520">
        <v>0</v>
      </c>
      <c r="T2520" s="29">
        <v>505000</v>
      </c>
      <c r="U2520" s="29">
        <v>11195850</v>
      </c>
      <c r="V2520" t="s">
        <v>1262</v>
      </c>
      <c r="W2520" t="s">
        <v>1262</v>
      </c>
      <c r="X2520" s="29">
        <v>11195850</v>
      </c>
      <c r="AA2520" s="30">
        <v>45790.666666666664</v>
      </c>
      <c r="AB2520" s="30">
        <v>45798.625</v>
      </c>
      <c r="AC2520" s="30">
        <v>45790.666666666664</v>
      </c>
      <c r="AD2520" s="30">
        <v>45798.625</v>
      </c>
      <c r="AE2520" s="30">
        <v>45849.375</v>
      </c>
      <c r="AF2520" s="30">
        <v>45856.708333333336</v>
      </c>
      <c r="AG2520" t="s">
        <v>1266</v>
      </c>
      <c r="AK2520" t="s">
        <v>1265</v>
      </c>
      <c r="AL2520" t="s">
        <v>2148</v>
      </c>
      <c r="AM2520" t="s">
        <v>1263</v>
      </c>
      <c r="AN2520" t="s">
        <v>1262</v>
      </c>
      <c r="AO2520">
        <v>0</v>
      </c>
      <c r="AQ2520" t="s">
        <v>1261</v>
      </c>
      <c r="AR2520" t="s">
        <v>1260</v>
      </c>
      <c r="AS2520" t="s">
        <v>1259</v>
      </c>
      <c r="AT2520" s="30">
        <v>46072.640972222223</v>
      </c>
    </row>
    <row r="2521" spans="1:46" x14ac:dyDescent="0.25">
      <c r="A2521" t="s">
        <v>1248</v>
      </c>
      <c r="B2521">
        <v>252953</v>
      </c>
      <c r="C2521">
        <v>352085</v>
      </c>
      <c r="D2521">
        <v>405</v>
      </c>
      <c r="E2521" t="s">
        <v>1266</v>
      </c>
      <c r="G2521">
        <v>745</v>
      </c>
      <c r="H2521">
        <v>1857</v>
      </c>
      <c r="K2521" t="s">
        <v>1471</v>
      </c>
      <c r="L2521" t="s">
        <v>1471</v>
      </c>
      <c r="M2521" t="s">
        <v>1470</v>
      </c>
      <c r="N2521">
        <v>0</v>
      </c>
      <c r="O2521" t="s">
        <v>1470</v>
      </c>
      <c r="P2521">
        <v>0</v>
      </c>
      <c r="Q2521">
        <v>0</v>
      </c>
      <c r="R2521">
        <v>0</v>
      </c>
      <c r="T2521" s="29">
        <v>505000</v>
      </c>
      <c r="U2521" s="29">
        <v>11195850</v>
      </c>
      <c r="V2521" t="s">
        <v>1262</v>
      </c>
      <c r="W2521" t="s">
        <v>1262</v>
      </c>
      <c r="X2521" s="29">
        <v>11195850</v>
      </c>
      <c r="AA2521" s="30">
        <v>45789.333333333336</v>
      </c>
      <c r="AB2521" s="30">
        <v>45796.666666666664</v>
      </c>
      <c r="AC2521" s="30">
        <v>45789.333333333336</v>
      </c>
      <c r="AD2521" s="30">
        <v>45796.666666666664</v>
      </c>
      <c r="AE2521" s="30">
        <v>45845.375</v>
      </c>
      <c r="AF2521" s="30">
        <v>45852.708333333336</v>
      </c>
      <c r="AG2521" t="s">
        <v>1266</v>
      </c>
      <c r="AK2521" t="s">
        <v>1265</v>
      </c>
      <c r="AL2521" t="s">
        <v>2147</v>
      </c>
      <c r="AM2521" t="s">
        <v>1263</v>
      </c>
      <c r="AN2521" t="s">
        <v>1262</v>
      </c>
      <c r="AO2521">
        <v>0</v>
      </c>
      <c r="AQ2521" t="s">
        <v>1261</v>
      </c>
      <c r="AR2521" t="s">
        <v>1260</v>
      </c>
      <c r="AS2521" t="s">
        <v>1259</v>
      </c>
      <c r="AT2521" s="30">
        <v>46072.640972222223</v>
      </c>
    </row>
    <row r="2522" spans="1:46" x14ac:dyDescent="0.25">
      <c r="A2522" t="s">
        <v>1248</v>
      </c>
      <c r="B2522">
        <v>252954</v>
      </c>
      <c r="C2522">
        <v>352092</v>
      </c>
      <c r="D2522">
        <v>405</v>
      </c>
      <c r="E2522" t="s">
        <v>1266</v>
      </c>
      <c r="G2522">
        <v>745</v>
      </c>
      <c r="H2522">
        <v>1857</v>
      </c>
      <c r="K2522" t="s">
        <v>1471</v>
      </c>
      <c r="L2522" t="s">
        <v>1471</v>
      </c>
      <c r="M2522" t="s">
        <v>1470</v>
      </c>
      <c r="N2522">
        <v>0</v>
      </c>
      <c r="O2522" t="s">
        <v>1470</v>
      </c>
      <c r="P2522">
        <v>0</v>
      </c>
      <c r="Q2522">
        <v>0</v>
      </c>
      <c r="R2522">
        <v>0</v>
      </c>
      <c r="T2522" s="29">
        <v>505000</v>
      </c>
      <c r="U2522" s="29">
        <v>11195850</v>
      </c>
      <c r="V2522" t="s">
        <v>1262</v>
      </c>
      <c r="W2522" t="s">
        <v>1262</v>
      </c>
      <c r="X2522" s="29">
        <v>11195850</v>
      </c>
      <c r="AA2522" s="30">
        <v>45785.375</v>
      </c>
      <c r="AB2522" s="30">
        <v>45792.708333333336</v>
      </c>
      <c r="AC2522" s="30">
        <v>45785.375</v>
      </c>
      <c r="AD2522" s="30">
        <v>45792.708333333336</v>
      </c>
      <c r="AE2522" s="30">
        <v>45839.375</v>
      </c>
      <c r="AF2522" s="30">
        <v>45846.708333333336</v>
      </c>
      <c r="AG2522" t="s">
        <v>1266</v>
      </c>
      <c r="AK2522" t="s">
        <v>1265</v>
      </c>
      <c r="AL2522" t="s">
        <v>2146</v>
      </c>
      <c r="AM2522" t="s">
        <v>1263</v>
      </c>
      <c r="AN2522" t="s">
        <v>1262</v>
      </c>
      <c r="AO2522">
        <v>0</v>
      </c>
      <c r="AQ2522" t="s">
        <v>1261</v>
      </c>
      <c r="AR2522" t="s">
        <v>1260</v>
      </c>
      <c r="AS2522" t="s">
        <v>1259</v>
      </c>
      <c r="AT2522" s="30">
        <v>46072.640972222223</v>
      </c>
    </row>
    <row r="2523" spans="1:46" x14ac:dyDescent="0.25">
      <c r="A2523" t="s">
        <v>1248</v>
      </c>
      <c r="B2523">
        <v>252955</v>
      </c>
      <c r="C2523">
        <v>352099</v>
      </c>
      <c r="D2523">
        <v>405</v>
      </c>
      <c r="E2523" t="s">
        <v>1266</v>
      </c>
      <c r="G2523">
        <v>745</v>
      </c>
      <c r="H2523">
        <v>1857</v>
      </c>
      <c r="K2523" t="s">
        <v>1471</v>
      </c>
      <c r="L2523" t="s">
        <v>1471</v>
      </c>
      <c r="M2523" t="s">
        <v>1470</v>
      </c>
      <c r="N2523">
        <v>0</v>
      </c>
      <c r="O2523" t="s">
        <v>1470</v>
      </c>
      <c r="P2523">
        <v>0</v>
      </c>
      <c r="Q2523">
        <v>0</v>
      </c>
      <c r="R2523">
        <v>0</v>
      </c>
      <c r="T2523" s="29">
        <v>505000</v>
      </c>
      <c r="U2523" s="29">
        <v>11195850</v>
      </c>
      <c r="V2523" t="s">
        <v>1262</v>
      </c>
      <c r="W2523" t="s">
        <v>1262</v>
      </c>
      <c r="X2523" s="29">
        <v>11195850</v>
      </c>
      <c r="AA2523" s="30">
        <v>45783.416666666664</v>
      </c>
      <c r="AB2523" s="30">
        <v>45791.375</v>
      </c>
      <c r="AC2523" s="30">
        <v>45783.416666666664</v>
      </c>
      <c r="AD2523" s="30">
        <v>45791.375</v>
      </c>
      <c r="AE2523" s="30">
        <v>45833.375</v>
      </c>
      <c r="AF2523" s="30">
        <v>45840.708333333336</v>
      </c>
      <c r="AG2523" t="s">
        <v>1266</v>
      </c>
      <c r="AK2523" t="s">
        <v>1265</v>
      </c>
      <c r="AL2523" t="s">
        <v>2145</v>
      </c>
      <c r="AM2523" t="s">
        <v>1263</v>
      </c>
      <c r="AN2523" t="s">
        <v>1262</v>
      </c>
      <c r="AO2523">
        <v>0</v>
      </c>
      <c r="AQ2523" t="s">
        <v>1261</v>
      </c>
      <c r="AR2523" t="s">
        <v>1260</v>
      </c>
      <c r="AS2523" t="s">
        <v>1259</v>
      </c>
      <c r="AT2523" s="30">
        <v>46072.640972222223</v>
      </c>
    </row>
    <row r="2524" spans="1:46" x14ac:dyDescent="0.25">
      <c r="A2524" t="s">
        <v>1248</v>
      </c>
      <c r="B2524">
        <v>252956</v>
      </c>
      <c r="C2524">
        <v>352106</v>
      </c>
      <c r="D2524">
        <v>405</v>
      </c>
      <c r="E2524" t="s">
        <v>1266</v>
      </c>
      <c r="G2524">
        <v>745</v>
      </c>
      <c r="H2524">
        <v>1857</v>
      </c>
      <c r="K2524" t="s">
        <v>1471</v>
      </c>
      <c r="L2524" t="s">
        <v>1471</v>
      </c>
      <c r="M2524" t="s">
        <v>1470</v>
      </c>
      <c r="N2524">
        <v>0</v>
      </c>
      <c r="O2524" t="s">
        <v>1470</v>
      </c>
      <c r="P2524">
        <v>0</v>
      </c>
      <c r="Q2524">
        <v>0</v>
      </c>
      <c r="R2524">
        <v>0</v>
      </c>
      <c r="T2524" s="29">
        <v>505000</v>
      </c>
      <c r="U2524" s="29">
        <v>11195850</v>
      </c>
      <c r="V2524" t="s">
        <v>1262</v>
      </c>
      <c r="W2524" t="s">
        <v>1262</v>
      </c>
      <c r="X2524" s="29">
        <v>11195850</v>
      </c>
      <c r="AA2524" s="30">
        <v>45779.458333333336</v>
      </c>
      <c r="AB2524" s="30">
        <v>45789.416666666664</v>
      </c>
      <c r="AC2524" s="30">
        <v>45779.458333333336</v>
      </c>
      <c r="AD2524" s="30">
        <v>45789.416666666664</v>
      </c>
      <c r="AE2524" s="30">
        <v>45827.375</v>
      </c>
      <c r="AF2524" s="30">
        <v>45834.708333333336</v>
      </c>
      <c r="AG2524" t="s">
        <v>1266</v>
      </c>
      <c r="AK2524" t="s">
        <v>1265</v>
      </c>
      <c r="AL2524" t="s">
        <v>2144</v>
      </c>
      <c r="AM2524" t="s">
        <v>1263</v>
      </c>
      <c r="AN2524" t="s">
        <v>1262</v>
      </c>
      <c r="AO2524">
        <v>0</v>
      </c>
      <c r="AQ2524" t="s">
        <v>1261</v>
      </c>
      <c r="AR2524" t="s">
        <v>1260</v>
      </c>
      <c r="AS2524" t="s">
        <v>1259</v>
      </c>
      <c r="AT2524" s="30">
        <v>46072.640972222223</v>
      </c>
    </row>
    <row r="2525" spans="1:46" x14ac:dyDescent="0.25">
      <c r="A2525" t="s">
        <v>1248</v>
      </c>
      <c r="B2525">
        <v>252957</v>
      </c>
      <c r="C2525">
        <v>352113</v>
      </c>
      <c r="D2525">
        <v>405</v>
      </c>
      <c r="E2525" t="s">
        <v>1266</v>
      </c>
      <c r="G2525">
        <v>745</v>
      </c>
      <c r="H2525">
        <v>1857</v>
      </c>
      <c r="K2525" t="s">
        <v>1471</v>
      </c>
      <c r="L2525" t="s">
        <v>1471</v>
      </c>
      <c r="M2525" t="s">
        <v>1470</v>
      </c>
      <c r="N2525">
        <v>0</v>
      </c>
      <c r="O2525" t="s">
        <v>1470</v>
      </c>
      <c r="P2525">
        <v>0</v>
      </c>
      <c r="Q2525">
        <v>0</v>
      </c>
      <c r="R2525">
        <v>0</v>
      </c>
      <c r="T2525" s="29">
        <v>505000</v>
      </c>
      <c r="U2525" s="29">
        <v>11195850</v>
      </c>
      <c r="V2525" t="s">
        <v>1262</v>
      </c>
      <c r="W2525" t="s">
        <v>1262</v>
      </c>
      <c r="X2525" s="29">
        <v>11195850</v>
      </c>
      <c r="AA2525" s="30">
        <v>45769.541666666664</v>
      </c>
      <c r="AB2525" s="30">
        <v>45777.458333333336</v>
      </c>
      <c r="AC2525" s="30">
        <v>45769.541666666664</v>
      </c>
      <c r="AD2525" s="30">
        <v>45777.458333333336</v>
      </c>
      <c r="AE2525" s="30">
        <v>45821.375</v>
      </c>
      <c r="AF2525" s="30">
        <v>45828.708333333336</v>
      </c>
      <c r="AG2525" t="s">
        <v>1266</v>
      </c>
      <c r="AK2525" t="s">
        <v>1265</v>
      </c>
      <c r="AL2525" t="s">
        <v>2143</v>
      </c>
      <c r="AM2525" t="s">
        <v>1263</v>
      </c>
      <c r="AN2525" t="s">
        <v>1262</v>
      </c>
      <c r="AO2525">
        <v>0</v>
      </c>
      <c r="AQ2525" t="s">
        <v>1261</v>
      </c>
      <c r="AR2525" t="s">
        <v>1260</v>
      </c>
      <c r="AS2525" t="s">
        <v>1259</v>
      </c>
      <c r="AT2525" s="30">
        <v>46072.640972222223</v>
      </c>
    </row>
    <row r="2526" spans="1:46" x14ac:dyDescent="0.25">
      <c r="A2526" t="s">
        <v>1248</v>
      </c>
      <c r="B2526">
        <v>252958</v>
      </c>
      <c r="C2526">
        <v>352120</v>
      </c>
      <c r="D2526">
        <v>405</v>
      </c>
      <c r="E2526" t="s">
        <v>1266</v>
      </c>
      <c r="G2526">
        <v>745</v>
      </c>
      <c r="H2526">
        <v>1857</v>
      </c>
      <c r="K2526" t="s">
        <v>1471</v>
      </c>
      <c r="L2526" t="s">
        <v>1471</v>
      </c>
      <c r="M2526" t="s">
        <v>1470</v>
      </c>
      <c r="N2526">
        <v>0</v>
      </c>
      <c r="O2526" t="s">
        <v>1470</v>
      </c>
      <c r="P2526">
        <v>0</v>
      </c>
      <c r="Q2526">
        <v>0</v>
      </c>
      <c r="R2526">
        <v>0</v>
      </c>
      <c r="T2526" s="29">
        <v>505000</v>
      </c>
      <c r="U2526" s="29">
        <v>11195850</v>
      </c>
      <c r="V2526" t="s">
        <v>1262</v>
      </c>
      <c r="W2526" t="s">
        <v>1262</v>
      </c>
      <c r="X2526" s="29">
        <v>11195850</v>
      </c>
      <c r="AA2526" s="30">
        <v>45765.583333333336</v>
      </c>
      <c r="AB2526" s="30">
        <v>45775.5</v>
      </c>
      <c r="AC2526" s="30">
        <v>45765.583333333336</v>
      </c>
      <c r="AD2526" s="30">
        <v>45775.5</v>
      </c>
      <c r="AE2526" s="30">
        <v>45817.375</v>
      </c>
      <c r="AF2526" s="30">
        <v>45824.708333333336</v>
      </c>
      <c r="AG2526" t="s">
        <v>1266</v>
      </c>
      <c r="AK2526" t="s">
        <v>1265</v>
      </c>
      <c r="AL2526" t="s">
        <v>2142</v>
      </c>
      <c r="AM2526" t="s">
        <v>1263</v>
      </c>
      <c r="AN2526" t="s">
        <v>1262</v>
      </c>
      <c r="AO2526">
        <v>0</v>
      </c>
      <c r="AQ2526" t="s">
        <v>1261</v>
      </c>
      <c r="AR2526" t="s">
        <v>1260</v>
      </c>
      <c r="AS2526" t="s">
        <v>1259</v>
      </c>
      <c r="AT2526" s="30">
        <v>46072.640972222223</v>
      </c>
    </row>
    <row r="2527" spans="1:46" x14ac:dyDescent="0.25">
      <c r="A2527" t="s">
        <v>1248</v>
      </c>
      <c r="B2527">
        <v>252959</v>
      </c>
      <c r="C2527">
        <v>352127</v>
      </c>
      <c r="D2527">
        <v>405</v>
      </c>
      <c r="E2527" t="s">
        <v>1266</v>
      </c>
      <c r="G2527">
        <v>745</v>
      </c>
      <c r="H2527">
        <v>1857</v>
      </c>
      <c r="K2527" t="s">
        <v>1471</v>
      </c>
      <c r="L2527" t="s">
        <v>1471</v>
      </c>
      <c r="M2527" t="s">
        <v>1470</v>
      </c>
      <c r="N2527">
        <v>0</v>
      </c>
      <c r="O2527" t="s">
        <v>1470</v>
      </c>
      <c r="P2527">
        <v>0</v>
      </c>
      <c r="Q2527">
        <v>0</v>
      </c>
      <c r="R2527">
        <v>0</v>
      </c>
      <c r="T2527" s="29">
        <v>505000</v>
      </c>
      <c r="U2527" s="29">
        <v>11195850</v>
      </c>
      <c r="V2527" t="s">
        <v>1262</v>
      </c>
      <c r="W2527" t="s">
        <v>1262</v>
      </c>
      <c r="X2527" s="29">
        <v>11195850</v>
      </c>
      <c r="AA2527" s="30">
        <v>45763.625</v>
      </c>
      <c r="AB2527" s="30">
        <v>45771.583333333336</v>
      </c>
      <c r="AC2527" s="30">
        <v>45763.625</v>
      </c>
      <c r="AD2527" s="30">
        <v>45771.583333333336</v>
      </c>
      <c r="AE2527" s="30">
        <v>45811.375</v>
      </c>
      <c r="AF2527" s="30">
        <v>45818.708333333336</v>
      </c>
      <c r="AG2527" t="s">
        <v>1266</v>
      </c>
      <c r="AK2527" t="s">
        <v>1265</v>
      </c>
      <c r="AL2527" t="s">
        <v>2141</v>
      </c>
      <c r="AM2527" t="s">
        <v>1263</v>
      </c>
      <c r="AN2527" t="s">
        <v>1262</v>
      </c>
      <c r="AO2527">
        <v>0</v>
      </c>
      <c r="AQ2527" t="s">
        <v>1261</v>
      </c>
      <c r="AR2527" t="s">
        <v>1260</v>
      </c>
      <c r="AS2527" t="s">
        <v>1259</v>
      </c>
      <c r="AT2527" s="30">
        <v>46072.640972222223</v>
      </c>
    </row>
    <row r="2528" spans="1:46" x14ac:dyDescent="0.25">
      <c r="A2528" t="s">
        <v>1248</v>
      </c>
      <c r="B2528">
        <v>252960</v>
      </c>
      <c r="C2528">
        <v>352134</v>
      </c>
      <c r="D2528">
        <v>405</v>
      </c>
      <c r="E2528" t="s">
        <v>1266</v>
      </c>
      <c r="G2528">
        <v>745</v>
      </c>
      <c r="H2528">
        <v>1857</v>
      </c>
      <c r="K2528" t="s">
        <v>1471</v>
      </c>
      <c r="L2528" t="s">
        <v>1471</v>
      </c>
      <c r="M2528" t="s">
        <v>1470</v>
      </c>
      <c r="N2528">
        <v>0</v>
      </c>
      <c r="O2528" t="s">
        <v>1470</v>
      </c>
      <c r="P2528">
        <v>0</v>
      </c>
      <c r="Q2528">
        <v>0</v>
      </c>
      <c r="R2528">
        <v>0</v>
      </c>
      <c r="T2528" s="29">
        <v>505000</v>
      </c>
      <c r="U2528" s="29">
        <v>11195850</v>
      </c>
      <c r="V2528" t="s">
        <v>1262</v>
      </c>
      <c r="W2528" t="s">
        <v>1262</v>
      </c>
      <c r="X2528" s="29">
        <v>11195850</v>
      </c>
      <c r="AA2528" s="30">
        <v>45761.666666666664</v>
      </c>
      <c r="AB2528" s="30">
        <v>45769.625</v>
      </c>
      <c r="AC2528" s="30">
        <v>45761.666666666664</v>
      </c>
      <c r="AD2528" s="30">
        <v>45769.625</v>
      </c>
      <c r="AE2528" s="30">
        <v>45805.375</v>
      </c>
      <c r="AF2528" s="30">
        <v>45812.708333333336</v>
      </c>
      <c r="AG2528" t="s">
        <v>1266</v>
      </c>
      <c r="AK2528" t="s">
        <v>1265</v>
      </c>
      <c r="AL2528" t="s">
        <v>2140</v>
      </c>
      <c r="AM2528" t="s">
        <v>1263</v>
      </c>
      <c r="AN2528" t="s">
        <v>1262</v>
      </c>
      <c r="AO2528">
        <v>0</v>
      </c>
      <c r="AQ2528" t="s">
        <v>1261</v>
      </c>
      <c r="AR2528" t="s">
        <v>1260</v>
      </c>
      <c r="AS2528" t="s">
        <v>1259</v>
      </c>
      <c r="AT2528" s="30">
        <v>46072.640972222223</v>
      </c>
    </row>
    <row r="2529" spans="1:46" x14ac:dyDescent="0.25">
      <c r="A2529" t="s">
        <v>1248</v>
      </c>
      <c r="B2529">
        <v>252961</v>
      </c>
      <c r="C2529">
        <v>352141</v>
      </c>
      <c r="D2529">
        <v>405</v>
      </c>
      <c r="E2529" t="s">
        <v>1266</v>
      </c>
      <c r="G2529">
        <v>745</v>
      </c>
      <c r="H2529">
        <v>1857</v>
      </c>
      <c r="K2529" t="s">
        <v>1471</v>
      </c>
      <c r="L2529" t="s">
        <v>1471</v>
      </c>
      <c r="M2529" t="s">
        <v>1470</v>
      </c>
      <c r="N2529">
        <v>0</v>
      </c>
      <c r="O2529" t="s">
        <v>1470</v>
      </c>
      <c r="P2529">
        <v>0</v>
      </c>
      <c r="Q2529">
        <v>0</v>
      </c>
      <c r="R2529">
        <v>0</v>
      </c>
      <c r="T2529" s="29">
        <v>505000</v>
      </c>
      <c r="U2529" s="29">
        <v>11195850</v>
      </c>
      <c r="V2529" t="s">
        <v>1262</v>
      </c>
      <c r="W2529" t="s">
        <v>1262</v>
      </c>
      <c r="X2529" s="29">
        <v>11195850</v>
      </c>
      <c r="AA2529" s="30">
        <v>45758.333333333336</v>
      </c>
      <c r="AB2529" s="30">
        <v>45765.666666666664</v>
      </c>
      <c r="AC2529" s="30">
        <v>45758.333333333336</v>
      </c>
      <c r="AD2529" s="30">
        <v>45765.666666666664</v>
      </c>
      <c r="AE2529" s="30">
        <v>45799.375</v>
      </c>
      <c r="AF2529" s="30">
        <v>45806.708333333336</v>
      </c>
      <c r="AG2529" t="s">
        <v>1266</v>
      </c>
      <c r="AK2529" t="s">
        <v>1265</v>
      </c>
      <c r="AL2529" t="s">
        <v>2139</v>
      </c>
      <c r="AM2529" t="s">
        <v>1263</v>
      </c>
      <c r="AN2529" t="s">
        <v>1262</v>
      </c>
      <c r="AO2529">
        <v>0</v>
      </c>
      <c r="AQ2529" t="s">
        <v>1261</v>
      </c>
      <c r="AR2529" t="s">
        <v>1260</v>
      </c>
      <c r="AS2529" t="s">
        <v>1259</v>
      </c>
      <c r="AT2529" s="30">
        <v>46072.640972222223</v>
      </c>
    </row>
    <row r="2530" spans="1:46" x14ac:dyDescent="0.25">
      <c r="A2530" t="s">
        <v>1248</v>
      </c>
      <c r="B2530">
        <v>252962</v>
      </c>
      <c r="C2530">
        <v>352148</v>
      </c>
      <c r="D2530">
        <v>405</v>
      </c>
      <c r="E2530" t="s">
        <v>1266</v>
      </c>
      <c r="G2530">
        <v>745</v>
      </c>
      <c r="H2530">
        <v>1857</v>
      </c>
      <c r="K2530" t="s">
        <v>1471</v>
      </c>
      <c r="L2530" t="s">
        <v>1471</v>
      </c>
      <c r="M2530" t="s">
        <v>1470</v>
      </c>
      <c r="N2530">
        <v>0</v>
      </c>
      <c r="O2530" t="s">
        <v>1470</v>
      </c>
      <c r="P2530">
        <v>0</v>
      </c>
      <c r="Q2530">
        <v>0</v>
      </c>
      <c r="R2530">
        <v>0</v>
      </c>
      <c r="T2530" s="29">
        <v>505000</v>
      </c>
      <c r="U2530" s="29">
        <v>11195850</v>
      </c>
      <c r="V2530" t="s">
        <v>1262</v>
      </c>
      <c r="W2530" t="s">
        <v>1262</v>
      </c>
      <c r="X2530" s="29">
        <v>11195850</v>
      </c>
      <c r="AA2530" s="30">
        <v>45756.375</v>
      </c>
      <c r="AB2530" s="30">
        <v>45763.708333333336</v>
      </c>
      <c r="AC2530" s="30">
        <v>45756.375</v>
      </c>
      <c r="AD2530" s="30">
        <v>45763.708333333336</v>
      </c>
      <c r="AE2530" s="30">
        <v>45793.375</v>
      </c>
      <c r="AF2530" s="30">
        <v>45800.708333333336</v>
      </c>
      <c r="AG2530" t="s">
        <v>1266</v>
      </c>
      <c r="AK2530" t="s">
        <v>1265</v>
      </c>
      <c r="AL2530" t="s">
        <v>2138</v>
      </c>
      <c r="AM2530" t="s">
        <v>1263</v>
      </c>
      <c r="AN2530" t="s">
        <v>1262</v>
      </c>
      <c r="AO2530">
        <v>0</v>
      </c>
      <c r="AQ2530" t="s">
        <v>1261</v>
      </c>
      <c r="AR2530" t="s">
        <v>1260</v>
      </c>
      <c r="AS2530" t="s">
        <v>1259</v>
      </c>
      <c r="AT2530" s="30">
        <v>46072.640972222223</v>
      </c>
    </row>
    <row r="2531" spans="1:46" x14ac:dyDescent="0.25">
      <c r="A2531" t="s">
        <v>1248</v>
      </c>
      <c r="B2531">
        <v>252963</v>
      </c>
      <c r="C2531">
        <v>352155</v>
      </c>
      <c r="D2531">
        <v>405</v>
      </c>
      <c r="E2531" t="s">
        <v>1266</v>
      </c>
      <c r="G2531">
        <v>745</v>
      </c>
      <c r="H2531">
        <v>1857</v>
      </c>
      <c r="K2531" t="s">
        <v>1471</v>
      </c>
      <c r="L2531" t="s">
        <v>1471</v>
      </c>
      <c r="M2531" t="s">
        <v>1470</v>
      </c>
      <c r="N2531">
        <v>0</v>
      </c>
      <c r="O2531" t="s">
        <v>1470</v>
      </c>
      <c r="P2531">
        <v>0</v>
      </c>
      <c r="Q2531">
        <v>0</v>
      </c>
      <c r="R2531">
        <v>0</v>
      </c>
      <c r="T2531" s="29">
        <v>505000</v>
      </c>
      <c r="U2531" s="29">
        <v>11195850</v>
      </c>
      <c r="V2531" t="s">
        <v>1262</v>
      </c>
      <c r="W2531" t="s">
        <v>1262</v>
      </c>
      <c r="X2531" s="29">
        <v>11195850</v>
      </c>
      <c r="AA2531" s="30">
        <v>45754.416666666664</v>
      </c>
      <c r="AB2531" s="30">
        <v>45762.375</v>
      </c>
      <c r="AC2531" s="30">
        <v>45754.416666666664</v>
      </c>
      <c r="AD2531" s="30">
        <v>45762.375</v>
      </c>
      <c r="AE2531" s="30">
        <v>45789.375</v>
      </c>
      <c r="AF2531" s="30">
        <v>45796.708333333336</v>
      </c>
      <c r="AG2531" t="s">
        <v>1266</v>
      </c>
      <c r="AK2531" t="s">
        <v>1265</v>
      </c>
      <c r="AL2531" t="s">
        <v>2137</v>
      </c>
      <c r="AM2531" t="s">
        <v>1263</v>
      </c>
      <c r="AN2531" t="s">
        <v>1262</v>
      </c>
      <c r="AO2531">
        <v>0</v>
      </c>
      <c r="AQ2531" t="s">
        <v>1261</v>
      </c>
      <c r="AR2531" t="s">
        <v>1260</v>
      </c>
      <c r="AS2531" t="s">
        <v>1259</v>
      </c>
      <c r="AT2531" s="30">
        <v>46072.640972222223</v>
      </c>
    </row>
    <row r="2532" spans="1:46" x14ac:dyDescent="0.25">
      <c r="A2532" t="s">
        <v>1248</v>
      </c>
      <c r="B2532">
        <v>252964</v>
      </c>
      <c r="C2532">
        <v>352162</v>
      </c>
      <c r="D2532">
        <v>405</v>
      </c>
      <c r="E2532" t="s">
        <v>1266</v>
      </c>
      <c r="G2532">
        <v>745</v>
      </c>
      <c r="H2532">
        <v>1857</v>
      </c>
      <c r="K2532" t="s">
        <v>1471</v>
      </c>
      <c r="L2532" t="s">
        <v>1471</v>
      </c>
      <c r="M2532" t="s">
        <v>1470</v>
      </c>
      <c r="N2532">
        <v>0</v>
      </c>
      <c r="O2532" t="s">
        <v>1470</v>
      </c>
      <c r="P2532">
        <v>0</v>
      </c>
      <c r="Q2532">
        <v>0</v>
      </c>
      <c r="R2532">
        <v>0</v>
      </c>
      <c r="T2532" s="29">
        <v>505000</v>
      </c>
      <c r="U2532" s="29">
        <v>11195850</v>
      </c>
      <c r="V2532" t="s">
        <v>1262</v>
      </c>
      <c r="W2532" t="s">
        <v>1262</v>
      </c>
      <c r="X2532" s="29">
        <v>11195850</v>
      </c>
      <c r="AA2532" s="30">
        <v>45750.458333333336</v>
      </c>
      <c r="AB2532" s="30">
        <v>45758.416666666664</v>
      </c>
      <c r="AC2532" s="30">
        <v>45750.458333333336</v>
      </c>
      <c r="AD2532" s="30">
        <v>45758.416666666664</v>
      </c>
      <c r="AE2532" s="30">
        <v>45783.375</v>
      </c>
      <c r="AF2532" s="30">
        <v>45790.708333333336</v>
      </c>
      <c r="AG2532" t="s">
        <v>1266</v>
      </c>
      <c r="AK2532" t="s">
        <v>1265</v>
      </c>
      <c r="AL2532" t="s">
        <v>2136</v>
      </c>
      <c r="AM2532" t="s">
        <v>1263</v>
      </c>
      <c r="AN2532" t="s">
        <v>1262</v>
      </c>
      <c r="AO2532">
        <v>0</v>
      </c>
      <c r="AQ2532" t="s">
        <v>1261</v>
      </c>
      <c r="AR2532" t="s">
        <v>1260</v>
      </c>
      <c r="AS2532" t="s">
        <v>1259</v>
      </c>
      <c r="AT2532" s="30">
        <v>46072.640972222223</v>
      </c>
    </row>
    <row r="2533" spans="1:46" x14ac:dyDescent="0.25">
      <c r="A2533" t="s">
        <v>1248</v>
      </c>
      <c r="B2533">
        <v>252965</v>
      </c>
      <c r="C2533">
        <v>352169</v>
      </c>
      <c r="D2533">
        <v>405</v>
      </c>
      <c r="E2533" t="s">
        <v>1266</v>
      </c>
      <c r="G2533">
        <v>745</v>
      </c>
      <c r="H2533">
        <v>1857</v>
      </c>
      <c r="K2533" t="s">
        <v>1471</v>
      </c>
      <c r="L2533" t="s">
        <v>1471</v>
      </c>
      <c r="M2533" t="s">
        <v>1470</v>
      </c>
      <c r="N2533">
        <v>0</v>
      </c>
      <c r="O2533" t="s">
        <v>1470</v>
      </c>
      <c r="P2533">
        <v>0</v>
      </c>
      <c r="Q2533">
        <v>0</v>
      </c>
      <c r="R2533">
        <v>0</v>
      </c>
      <c r="T2533" s="29">
        <v>505000</v>
      </c>
      <c r="U2533" s="29">
        <v>11195850</v>
      </c>
      <c r="V2533" t="s">
        <v>1262</v>
      </c>
      <c r="W2533" t="s">
        <v>1262</v>
      </c>
      <c r="X2533" s="29">
        <v>11195850</v>
      </c>
      <c r="AA2533" s="30">
        <v>45737.416666666664</v>
      </c>
      <c r="AB2533" s="30">
        <v>45747.375</v>
      </c>
      <c r="AC2533" s="30">
        <v>45737.416666666664</v>
      </c>
      <c r="AD2533" s="30">
        <v>45747.375</v>
      </c>
      <c r="AE2533" s="30">
        <v>45777.375</v>
      </c>
      <c r="AF2533" s="30">
        <v>45784.708333333336</v>
      </c>
      <c r="AG2533" t="s">
        <v>1266</v>
      </c>
      <c r="AK2533" t="s">
        <v>1265</v>
      </c>
      <c r="AL2533" t="s">
        <v>2135</v>
      </c>
      <c r="AM2533" t="s">
        <v>1263</v>
      </c>
      <c r="AN2533" t="s">
        <v>1262</v>
      </c>
      <c r="AO2533">
        <v>0</v>
      </c>
      <c r="AQ2533" t="s">
        <v>1261</v>
      </c>
      <c r="AR2533" t="s">
        <v>1260</v>
      </c>
      <c r="AS2533" t="s">
        <v>1259</v>
      </c>
      <c r="AT2533" s="30">
        <v>46072.640972222223</v>
      </c>
    </row>
    <row r="2534" spans="1:46" x14ac:dyDescent="0.25">
      <c r="A2534" t="s">
        <v>1248</v>
      </c>
      <c r="B2534">
        <v>252966</v>
      </c>
      <c r="C2534">
        <v>352176</v>
      </c>
      <c r="D2534">
        <v>405</v>
      </c>
      <c r="E2534" t="s">
        <v>1266</v>
      </c>
      <c r="G2534">
        <v>745</v>
      </c>
      <c r="H2534">
        <v>1857</v>
      </c>
      <c r="K2534" t="s">
        <v>1471</v>
      </c>
      <c r="L2534" t="s">
        <v>1471</v>
      </c>
      <c r="M2534" t="s">
        <v>1470</v>
      </c>
      <c r="N2534">
        <v>0</v>
      </c>
      <c r="O2534" t="s">
        <v>1470</v>
      </c>
      <c r="P2534">
        <v>0</v>
      </c>
      <c r="Q2534">
        <v>0</v>
      </c>
      <c r="R2534">
        <v>0</v>
      </c>
      <c r="T2534" s="29">
        <v>505000</v>
      </c>
      <c r="U2534" s="29">
        <v>11195850</v>
      </c>
      <c r="V2534" t="s">
        <v>1262</v>
      </c>
      <c r="W2534" t="s">
        <v>1262</v>
      </c>
      <c r="X2534" s="29">
        <v>11195850</v>
      </c>
      <c r="AA2534" s="30">
        <v>45734.458333333336</v>
      </c>
      <c r="AB2534" s="30">
        <v>45742.416666666664</v>
      </c>
      <c r="AC2534" s="30">
        <v>45734.458333333336</v>
      </c>
      <c r="AD2534" s="30">
        <v>45742.416666666664</v>
      </c>
      <c r="AE2534" s="30">
        <v>45771.375</v>
      </c>
      <c r="AF2534" s="30">
        <v>45778.708333333336</v>
      </c>
      <c r="AG2534" t="s">
        <v>1266</v>
      </c>
      <c r="AK2534" t="s">
        <v>1265</v>
      </c>
      <c r="AL2534" t="s">
        <v>2134</v>
      </c>
      <c r="AM2534" t="s">
        <v>1263</v>
      </c>
      <c r="AN2534" t="s">
        <v>1262</v>
      </c>
      <c r="AO2534">
        <v>0</v>
      </c>
      <c r="AQ2534" t="s">
        <v>1261</v>
      </c>
      <c r="AR2534" t="s">
        <v>1260</v>
      </c>
      <c r="AS2534" t="s">
        <v>1259</v>
      </c>
      <c r="AT2534" s="30">
        <v>46072.640972222223</v>
      </c>
    </row>
    <row r="2535" spans="1:46" x14ac:dyDescent="0.25">
      <c r="A2535" t="s">
        <v>1248</v>
      </c>
      <c r="B2535">
        <v>252967</v>
      </c>
      <c r="C2535">
        <v>352183</v>
      </c>
      <c r="D2535">
        <v>405</v>
      </c>
      <c r="E2535" t="s">
        <v>1266</v>
      </c>
      <c r="G2535">
        <v>745</v>
      </c>
      <c r="H2535">
        <v>1857</v>
      </c>
      <c r="K2535" t="s">
        <v>1471</v>
      </c>
      <c r="L2535" t="s">
        <v>1471</v>
      </c>
      <c r="M2535" t="s">
        <v>1470</v>
      </c>
      <c r="N2535">
        <v>0</v>
      </c>
      <c r="O2535" t="s">
        <v>1470</v>
      </c>
      <c r="P2535">
        <v>0</v>
      </c>
      <c r="Q2535">
        <v>0</v>
      </c>
      <c r="R2535">
        <v>0</v>
      </c>
      <c r="T2535" s="29">
        <v>505000</v>
      </c>
      <c r="U2535" s="29">
        <v>11195850</v>
      </c>
      <c r="V2535" t="s">
        <v>1262</v>
      </c>
      <c r="W2535" t="s">
        <v>1262</v>
      </c>
      <c r="X2535" s="29">
        <v>11195850</v>
      </c>
      <c r="AA2535" s="30">
        <v>45737.541666666664</v>
      </c>
      <c r="AB2535" s="30">
        <v>45747.458333333336</v>
      </c>
      <c r="AC2535" s="30">
        <v>45737.541666666664</v>
      </c>
      <c r="AD2535" s="30">
        <v>45747.458333333336</v>
      </c>
      <c r="AE2535" s="30">
        <v>45765.375</v>
      </c>
      <c r="AF2535" s="30">
        <v>45772.708333333336</v>
      </c>
      <c r="AG2535" t="s">
        <v>1266</v>
      </c>
      <c r="AK2535" t="s">
        <v>1265</v>
      </c>
      <c r="AL2535" t="s">
        <v>2133</v>
      </c>
      <c r="AM2535" t="s">
        <v>1263</v>
      </c>
      <c r="AN2535" t="s">
        <v>1262</v>
      </c>
      <c r="AO2535">
        <v>0</v>
      </c>
      <c r="AQ2535" t="s">
        <v>1261</v>
      </c>
      <c r="AR2535" t="s">
        <v>1260</v>
      </c>
      <c r="AS2535" t="s">
        <v>1259</v>
      </c>
      <c r="AT2535" s="30">
        <v>46072.640972222223</v>
      </c>
    </row>
    <row r="2536" spans="1:46" x14ac:dyDescent="0.25">
      <c r="A2536" t="s">
        <v>1248</v>
      </c>
      <c r="B2536">
        <v>252968</v>
      </c>
      <c r="C2536">
        <v>352190</v>
      </c>
      <c r="D2536">
        <v>405</v>
      </c>
      <c r="E2536" t="s">
        <v>1266</v>
      </c>
      <c r="G2536">
        <v>745</v>
      </c>
      <c r="H2536">
        <v>1857</v>
      </c>
      <c r="K2536" s="29">
        <v>22641701</v>
      </c>
      <c r="L2536" s="29">
        <v>22641701</v>
      </c>
      <c r="M2536" t="s">
        <v>1470</v>
      </c>
      <c r="N2536">
        <v>0</v>
      </c>
      <c r="O2536" t="s">
        <v>1470</v>
      </c>
      <c r="P2536">
        <v>0</v>
      </c>
      <c r="Q2536">
        <v>0</v>
      </c>
      <c r="R2536">
        <v>0</v>
      </c>
      <c r="T2536" s="29">
        <v>505000</v>
      </c>
      <c r="U2536" s="29">
        <v>11434059</v>
      </c>
      <c r="V2536" t="s">
        <v>1262</v>
      </c>
      <c r="W2536" t="s">
        <v>1262</v>
      </c>
      <c r="X2536" s="29">
        <v>11434059</v>
      </c>
      <c r="AA2536" s="30">
        <v>45735.333333333336</v>
      </c>
      <c r="AB2536" s="30">
        <v>45742.708333333336</v>
      </c>
      <c r="AC2536" s="30">
        <v>45735.333333333336</v>
      </c>
      <c r="AD2536" s="30">
        <v>45742.708333333336</v>
      </c>
      <c r="AE2536" s="30">
        <v>45761.333333333336</v>
      </c>
      <c r="AF2536" s="30">
        <v>45768.708333333336</v>
      </c>
      <c r="AG2536" t="s">
        <v>1266</v>
      </c>
      <c r="AK2536" t="s">
        <v>1265</v>
      </c>
      <c r="AL2536" t="s">
        <v>2132</v>
      </c>
      <c r="AM2536" t="s">
        <v>1263</v>
      </c>
      <c r="AN2536" t="s">
        <v>1262</v>
      </c>
      <c r="AO2536">
        <v>0</v>
      </c>
      <c r="AQ2536" t="s">
        <v>1261</v>
      </c>
      <c r="AR2536" t="s">
        <v>1260</v>
      </c>
      <c r="AS2536" t="s">
        <v>1259</v>
      </c>
      <c r="AT2536" s="30">
        <v>46072.640972222223</v>
      </c>
    </row>
    <row r="2537" spans="1:46" x14ac:dyDescent="0.25">
      <c r="A2537" t="s">
        <v>1248</v>
      </c>
      <c r="B2537">
        <v>252969</v>
      </c>
      <c r="C2537">
        <v>352050</v>
      </c>
      <c r="D2537">
        <v>405</v>
      </c>
      <c r="E2537" t="s">
        <v>1266</v>
      </c>
      <c r="G2537">
        <v>745</v>
      </c>
      <c r="H2537">
        <v>1856</v>
      </c>
      <c r="K2537" s="29">
        <v>20558297</v>
      </c>
      <c r="L2537" s="29">
        <v>20558297</v>
      </c>
      <c r="M2537" t="s">
        <v>1442</v>
      </c>
      <c r="N2537">
        <v>0</v>
      </c>
      <c r="O2537" t="s">
        <v>1442</v>
      </c>
      <c r="P2537">
        <v>0</v>
      </c>
      <c r="Q2537">
        <v>0</v>
      </c>
      <c r="R2537">
        <v>0</v>
      </c>
      <c r="T2537" s="29">
        <v>278500</v>
      </c>
      <c r="U2537" s="29">
        <v>5725486</v>
      </c>
      <c r="V2537" t="s">
        <v>1262</v>
      </c>
      <c r="W2537" t="s">
        <v>1262</v>
      </c>
      <c r="X2537" s="29">
        <v>5725486</v>
      </c>
      <c r="AA2537" s="30">
        <v>45811.625</v>
      </c>
      <c r="AB2537" s="30">
        <v>45819.625</v>
      </c>
      <c r="AC2537" s="30">
        <v>45811.625</v>
      </c>
      <c r="AD2537" s="30">
        <v>45819.625</v>
      </c>
      <c r="AE2537" s="30">
        <v>45877.333333333336</v>
      </c>
      <c r="AF2537" s="30">
        <v>45884.708333333336</v>
      </c>
      <c r="AG2537" t="s">
        <v>1266</v>
      </c>
      <c r="AK2537" t="s">
        <v>1265</v>
      </c>
      <c r="AL2537" t="s">
        <v>2131</v>
      </c>
      <c r="AM2537" t="s">
        <v>1263</v>
      </c>
      <c r="AN2537" t="s">
        <v>1262</v>
      </c>
      <c r="AO2537">
        <v>0</v>
      </c>
      <c r="AQ2537" t="s">
        <v>1261</v>
      </c>
      <c r="AR2537" t="s">
        <v>1260</v>
      </c>
      <c r="AS2537" t="s">
        <v>1259</v>
      </c>
      <c r="AT2537" s="30">
        <v>46072.640972222223</v>
      </c>
    </row>
    <row r="2538" spans="1:46" x14ac:dyDescent="0.25">
      <c r="A2538" t="s">
        <v>1248</v>
      </c>
      <c r="B2538">
        <v>252970</v>
      </c>
      <c r="C2538">
        <v>352057</v>
      </c>
      <c r="D2538">
        <v>405</v>
      </c>
      <c r="E2538" t="s">
        <v>1266</v>
      </c>
      <c r="G2538">
        <v>745</v>
      </c>
      <c r="H2538">
        <v>1856</v>
      </c>
      <c r="K2538" t="s">
        <v>1437</v>
      </c>
      <c r="L2538" t="s">
        <v>1437</v>
      </c>
      <c r="M2538" t="s">
        <v>1442</v>
      </c>
      <c r="N2538">
        <v>0</v>
      </c>
      <c r="O2538" t="s">
        <v>1442</v>
      </c>
      <c r="P2538">
        <v>0</v>
      </c>
      <c r="Q2538">
        <v>0</v>
      </c>
      <c r="R2538">
        <v>0</v>
      </c>
      <c r="T2538" s="29">
        <v>278500</v>
      </c>
      <c r="U2538" s="29">
        <v>5606205</v>
      </c>
      <c r="V2538" t="s">
        <v>1262</v>
      </c>
      <c r="W2538" t="s">
        <v>1262</v>
      </c>
      <c r="X2538" s="29">
        <v>5606205</v>
      </c>
      <c r="AA2538" s="30">
        <v>45807.416666666664</v>
      </c>
      <c r="AB2538" s="30">
        <v>45817.375</v>
      </c>
      <c r="AC2538" s="30">
        <v>45807.416666666664</v>
      </c>
      <c r="AD2538" s="30">
        <v>45817.375</v>
      </c>
      <c r="AE2538" s="30">
        <v>45873.416666666664</v>
      </c>
      <c r="AF2538" s="30">
        <v>45881.375</v>
      </c>
      <c r="AG2538" t="s">
        <v>1266</v>
      </c>
      <c r="AK2538" t="s">
        <v>1265</v>
      </c>
      <c r="AL2538" t="s">
        <v>2130</v>
      </c>
      <c r="AM2538" t="s">
        <v>1263</v>
      </c>
      <c r="AN2538" t="s">
        <v>1262</v>
      </c>
      <c r="AO2538">
        <v>0</v>
      </c>
      <c r="AQ2538" t="s">
        <v>1261</v>
      </c>
      <c r="AR2538" t="s">
        <v>1260</v>
      </c>
      <c r="AS2538" t="s">
        <v>1259</v>
      </c>
      <c r="AT2538" s="30">
        <v>46072.640972222223</v>
      </c>
    </row>
    <row r="2539" spans="1:46" x14ac:dyDescent="0.25">
      <c r="A2539" t="s">
        <v>1248</v>
      </c>
      <c r="B2539">
        <v>252971</v>
      </c>
      <c r="C2539">
        <v>352064</v>
      </c>
      <c r="D2539">
        <v>405</v>
      </c>
      <c r="E2539" t="s">
        <v>1266</v>
      </c>
      <c r="G2539">
        <v>745</v>
      </c>
      <c r="H2539">
        <v>1856</v>
      </c>
      <c r="K2539" t="s">
        <v>1437</v>
      </c>
      <c r="L2539" t="s">
        <v>1437</v>
      </c>
      <c r="M2539" t="s">
        <v>1442</v>
      </c>
      <c r="N2539">
        <v>0</v>
      </c>
      <c r="O2539" t="s">
        <v>1442</v>
      </c>
      <c r="P2539">
        <v>0</v>
      </c>
      <c r="Q2539">
        <v>0</v>
      </c>
      <c r="R2539">
        <v>0</v>
      </c>
      <c r="T2539" s="29">
        <v>278500</v>
      </c>
      <c r="U2539" s="29">
        <v>5606205</v>
      </c>
      <c r="V2539" t="s">
        <v>1262</v>
      </c>
      <c r="W2539" t="s">
        <v>1262</v>
      </c>
      <c r="X2539" s="29">
        <v>5606205</v>
      </c>
      <c r="AA2539" s="30">
        <v>45805.458333333336</v>
      </c>
      <c r="AB2539" s="30">
        <v>45813.416666666664</v>
      </c>
      <c r="AC2539" s="30">
        <v>45805.458333333336</v>
      </c>
      <c r="AD2539" s="30">
        <v>45813.416666666664</v>
      </c>
      <c r="AE2539" s="30">
        <v>45867.416666666664</v>
      </c>
      <c r="AF2539" s="30">
        <v>45875.375</v>
      </c>
      <c r="AG2539" t="s">
        <v>1266</v>
      </c>
      <c r="AK2539" t="s">
        <v>1265</v>
      </c>
      <c r="AL2539" t="s">
        <v>2129</v>
      </c>
      <c r="AM2539" t="s">
        <v>1263</v>
      </c>
      <c r="AN2539" t="s">
        <v>1262</v>
      </c>
      <c r="AO2539">
        <v>0</v>
      </c>
      <c r="AQ2539" t="s">
        <v>1261</v>
      </c>
      <c r="AR2539" t="s">
        <v>1260</v>
      </c>
      <c r="AS2539" t="s">
        <v>1259</v>
      </c>
      <c r="AT2539" s="30">
        <v>46072.640972222223</v>
      </c>
    </row>
    <row r="2540" spans="1:46" x14ac:dyDescent="0.25">
      <c r="A2540" t="s">
        <v>1248</v>
      </c>
      <c r="B2540">
        <v>252972</v>
      </c>
      <c r="C2540">
        <v>352071</v>
      </c>
      <c r="D2540">
        <v>405</v>
      </c>
      <c r="E2540" t="s">
        <v>1266</v>
      </c>
      <c r="G2540">
        <v>745</v>
      </c>
      <c r="H2540">
        <v>1856</v>
      </c>
      <c r="K2540" s="29">
        <v>20558297</v>
      </c>
      <c r="L2540" s="29">
        <v>20558297</v>
      </c>
      <c r="M2540" t="s">
        <v>1442</v>
      </c>
      <c r="N2540">
        <v>0</v>
      </c>
      <c r="O2540" t="s">
        <v>1442</v>
      </c>
      <c r="P2540">
        <v>0</v>
      </c>
      <c r="Q2540">
        <v>0</v>
      </c>
      <c r="R2540">
        <v>0</v>
      </c>
      <c r="T2540" s="29">
        <v>278500</v>
      </c>
      <c r="U2540" s="29">
        <v>5725486</v>
      </c>
      <c r="V2540" t="s">
        <v>1262</v>
      </c>
      <c r="W2540" t="s">
        <v>1262</v>
      </c>
      <c r="X2540" s="29">
        <v>5725486</v>
      </c>
      <c r="AA2540" s="30">
        <v>45793.458333333336</v>
      </c>
      <c r="AB2540" s="30">
        <v>45803.458333333336</v>
      </c>
      <c r="AC2540" s="30">
        <v>45793.458333333336</v>
      </c>
      <c r="AD2540" s="30">
        <v>45803.458333333336</v>
      </c>
      <c r="AE2540" s="30">
        <v>45862.333333333336</v>
      </c>
      <c r="AF2540" s="30">
        <v>45869.708333333336</v>
      </c>
      <c r="AG2540" t="s">
        <v>1266</v>
      </c>
      <c r="AK2540" t="s">
        <v>1265</v>
      </c>
      <c r="AL2540" t="s">
        <v>2128</v>
      </c>
      <c r="AM2540" t="s">
        <v>1263</v>
      </c>
      <c r="AN2540" t="s">
        <v>1262</v>
      </c>
      <c r="AO2540">
        <v>0</v>
      </c>
      <c r="AQ2540" t="s">
        <v>1261</v>
      </c>
      <c r="AR2540" t="s">
        <v>1260</v>
      </c>
      <c r="AS2540" t="s">
        <v>1259</v>
      </c>
      <c r="AT2540" s="30">
        <v>46072.640972222223</v>
      </c>
    </row>
    <row r="2541" spans="1:46" x14ac:dyDescent="0.25">
      <c r="A2541" t="s">
        <v>1248</v>
      </c>
      <c r="B2541">
        <v>252973</v>
      </c>
      <c r="C2541">
        <v>352078</v>
      </c>
      <c r="D2541">
        <v>405</v>
      </c>
      <c r="E2541" t="s">
        <v>1266</v>
      </c>
      <c r="G2541">
        <v>745</v>
      </c>
      <c r="H2541">
        <v>1856</v>
      </c>
      <c r="K2541" t="s">
        <v>1437</v>
      </c>
      <c r="L2541" t="s">
        <v>1437</v>
      </c>
      <c r="M2541" t="s">
        <v>1442</v>
      </c>
      <c r="N2541">
        <v>0</v>
      </c>
      <c r="O2541" t="s">
        <v>1442</v>
      </c>
      <c r="P2541">
        <v>0</v>
      </c>
      <c r="Q2541">
        <v>0</v>
      </c>
      <c r="R2541">
        <v>0</v>
      </c>
      <c r="T2541" s="29">
        <v>278500</v>
      </c>
      <c r="U2541" s="29">
        <v>5606205</v>
      </c>
      <c r="V2541" t="s">
        <v>1262</v>
      </c>
      <c r="W2541" t="s">
        <v>1262</v>
      </c>
      <c r="X2541" s="29">
        <v>5606205</v>
      </c>
      <c r="AA2541" s="30">
        <v>45790.666666666664</v>
      </c>
      <c r="AB2541" s="30">
        <v>45798.625</v>
      </c>
      <c r="AC2541" s="30">
        <v>45790.666666666664</v>
      </c>
      <c r="AD2541" s="30">
        <v>45798.625</v>
      </c>
      <c r="AE2541" s="30">
        <v>45849.375</v>
      </c>
      <c r="AF2541" s="30">
        <v>45856.708333333336</v>
      </c>
      <c r="AG2541" t="s">
        <v>1266</v>
      </c>
      <c r="AK2541" t="s">
        <v>1265</v>
      </c>
      <c r="AL2541" t="s">
        <v>2127</v>
      </c>
      <c r="AM2541" t="s">
        <v>1263</v>
      </c>
      <c r="AN2541" t="s">
        <v>1262</v>
      </c>
      <c r="AO2541">
        <v>0</v>
      </c>
      <c r="AQ2541" t="s">
        <v>1261</v>
      </c>
      <c r="AR2541" t="s">
        <v>1260</v>
      </c>
      <c r="AS2541" t="s">
        <v>1259</v>
      </c>
      <c r="AT2541" s="30">
        <v>46072.640972222223</v>
      </c>
    </row>
    <row r="2542" spans="1:46" x14ac:dyDescent="0.25">
      <c r="A2542" t="s">
        <v>1248</v>
      </c>
      <c r="B2542">
        <v>252974</v>
      </c>
      <c r="C2542">
        <v>352085</v>
      </c>
      <c r="D2542">
        <v>405</v>
      </c>
      <c r="E2542" t="s">
        <v>1266</v>
      </c>
      <c r="G2542">
        <v>745</v>
      </c>
      <c r="H2542">
        <v>1856</v>
      </c>
      <c r="K2542" t="s">
        <v>1437</v>
      </c>
      <c r="L2542" t="s">
        <v>1437</v>
      </c>
      <c r="M2542" t="s">
        <v>1442</v>
      </c>
      <c r="N2542">
        <v>0</v>
      </c>
      <c r="O2542" t="s">
        <v>1442</v>
      </c>
      <c r="P2542">
        <v>0</v>
      </c>
      <c r="Q2542">
        <v>0</v>
      </c>
      <c r="R2542">
        <v>0</v>
      </c>
      <c r="T2542" s="29">
        <v>278500</v>
      </c>
      <c r="U2542" s="29">
        <v>5606205</v>
      </c>
      <c r="V2542" t="s">
        <v>1262</v>
      </c>
      <c r="W2542" t="s">
        <v>1262</v>
      </c>
      <c r="X2542" s="29">
        <v>5606205</v>
      </c>
      <c r="AA2542" s="30">
        <v>45789.333333333336</v>
      </c>
      <c r="AB2542" s="30">
        <v>45796.666666666664</v>
      </c>
      <c r="AC2542" s="30">
        <v>45789.333333333336</v>
      </c>
      <c r="AD2542" s="30">
        <v>45796.666666666664</v>
      </c>
      <c r="AE2542" s="30">
        <v>45845.375</v>
      </c>
      <c r="AF2542" s="30">
        <v>45852.708333333336</v>
      </c>
      <c r="AG2542" t="s">
        <v>1266</v>
      </c>
      <c r="AK2542" t="s">
        <v>1265</v>
      </c>
      <c r="AL2542" t="s">
        <v>2126</v>
      </c>
      <c r="AM2542" t="s">
        <v>1263</v>
      </c>
      <c r="AN2542" t="s">
        <v>1262</v>
      </c>
      <c r="AO2542">
        <v>0</v>
      </c>
      <c r="AQ2542" t="s">
        <v>1261</v>
      </c>
      <c r="AR2542" t="s">
        <v>1260</v>
      </c>
      <c r="AS2542" t="s">
        <v>1259</v>
      </c>
      <c r="AT2542" s="30">
        <v>46072.640972222223</v>
      </c>
    </row>
    <row r="2543" spans="1:46" x14ac:dyDescent="0.25">
      <c r="A2543" t="s">
        <v>1248</v>
      </c>
      <c r="B2543">
        <v>252975</v>
      </c>
      <c r="C2543">
        <v>352092</v>
      </c>
      <c r="D2543">
        <v>405</v>
      </c>
      <c r="E2543" t="s">
        <v>1266</v>
      </c>
      <c r="G2543">
        <v>745</v>
      </c>
      <c r="H2543">
        <v>1856</v>
      </c>
      <c r="K2543" t="s">
        <v>1437</v>
      </c>
      <c r="L2543" t="s">
        <v>1437</v>
      </c>
      <c r="M2543" t="s">
        <v>1442</v>
      </c>
      <c r="N2543">
        <v>0</v>
      </c>
      <c r="O2543" t="s">
        <v>1442</v>
      </c>
      <c r="P2543">
        <v>0</v>
      </c>
      <c r="Q2543">
        <v>0</v>
      </c>
      <c r="R2543">
        <v>0</v>
      </c>
      <c r="T2543" s="29">
        <v>278500</v>
      </c>
      <c r="U2543" s="29">
        <v>5606205</v>
      </c>
      <c r="V2543" t="s">
        <v>1262</v>
      </c>
      <c r="W2543" t="s">
        <v>1262</v>
      </c>
      <c r="X2543" s="29">
        <v>5606205</v>
      </c>
      <c r="AA2543" s="30">
        <v>45785.375</v>
      </c>
      <c r="AB2543" s="30">
        <v>45792.708333333336</v>
      </c>
      <c r="AC2543" s="30">
        <v>45785.375</v>
      </c>
      <c r="AD2543" s="30">
        <v>45792.708333333336</v>
      </c>
      <c r="AE2543" s="30">
        <v>45839.375</v>
      </c>
      <c r="AF2543" s="30">
        <v>45846.708333333336</v>
      </c>
      <c r="AG2543" t="s">
        <v>1266</v>
      </c>
      <c r="AK2543" t="s">
        <v>1265</v>
      </c>
      <c r="AL2543" t="s">
        <v>2125</v>
      </c>
      <c r="AM2543" t="s">
        <v>1263</v>
      </c>
      <c r="AN2543" t="s">
        <v>1262</v>
      </c>
      <c r="AO2543">
        <v>0</v>
      </c>
      <c r="AQ2543" t="s">
        <v>1261</v>
      </c>
      <c r="AR2543" t="s">
        <v>1260</v>
      </c>
      <c r="AS2543" t="s">
        <v>1259</v>
      </c>
      <c r="AT2543" s="30">
        <v>46072.640972222223</v>
      </c>
    </row>
    <row r="2544" spans="1:46" x14ac:dyDescent="0.25">
      <c r="A2544" t="s">
        <v>1248</v>
      </c>
      <c r="B2544">
        <v>252976</v>
      </c>
      <c r="C2544">
        <v>352099</v>
      </c>
      <c r="D2544">
        <v>405</v>
      </c>
      <c r="E2544" t="s">
        <v>1266</v>
      </c>
      <c r="G2544">
        <v>745</v>
      </c>
      <c r="H2544">
        <v>1856</v>
      </c>
      <c r="K2544" t="s">
        <v>1437</v>
      </c>
      <c r="L2544" t="s">
        <v>1437</v>
      </c>
      <c r="M2544" t="s">
        <v>1442</v>
      </c>
      <c r="N2544">
        <v>0</v>
      </c>
      <c r="O2544" t="s">
        <v>1442</v>
      </c>
      <c r="P2544">
        <v>0</v>
      </c>
      <c r="Q2544">
        <v>0</v>
      </c>
      <c r="R2544">
        <v>0</v>
      </c>
      <c r="T2544" s="29">
        <v>278500</v>
      </c>
      <c r="U2544" s="29">
        <v>5606205</v>
      </c>
      <c r="V2544" t="s">
        <v>1262</v>
      </c>
      <c r="W2544" t="s">
        <v>1262</v>
      </c>
      <c r="X2544" s="29">
        <v>5606205</v>
      </c>
      <c r="AA2544" s="30">
        <v>45783.416666666664</v>
      </c>
      <c r="AB2544" s="30">
        <v>45791.375</v>
      </c>
      <c r="AC2544" s="30">
        <v>45783.416666666664</v>
      </c>
      <c r="AD2544" s="30">
        <v>45791.375</v>
      </c>
      <c r="AE2544" s="30">
        <v>45833.375</v>
      </c>
      <c r="AF2544" s="30">
        <v>45840.708333333336</v>
      </c>
      <c r="AG2544" t="s">
        <v>1266</v>
      </c>
      <c r="AK2544" t="s">
        <v>1265</v>
      </c>
      <c r="AL2544" t="s">
        <v>2124</v>
      </c>
      <c r="AM2544" t="s">
        <v>1263</v>
      </c>
      <c r="AN2544" t="s">
        <v>1262</v>
      </c>
      <c r="AO2544">
        <v>0</v>
      </c>
      <c r="AQ2544" t="s">
        <v>1261</v>
      </c>
      <c r="AR2544" t="s">
        <v>1260</v>
      </c>
      <c r="AS2544" t="s">
        <v>1259</v>
      </c>
      <c r="AT2544" s="30">
        <v>46072.640972222223</v>
      </c>
    </row>
    <row r="2545" spans="1:46" x14ac:dyDescent="0.25">
      <c r="A2545" t="s">
        <v>1248</v>
      </c>
      <c r="B2545">
        <v>252977</v>
      </c>
      <c r="C2545">
        <v>352106</v>
      </c>
      <c r="D2545">
        <v>405</v>
      </c>
      <c r="E2545" t="s">
        <v>1266</v>
      </c>
      <c r="G2545">
        <v>745</v>
      </c>
      <c r="H2545">
        <v>1856</v>
      </c>
      <c r="K2545" t="s">
        <v>1437</v>
      </c>
      <c r="L2545" t="s">
        <v>1437</v>
      </c>
      <c r="M2545" t="s">
        <v>1442</v>
      </c>
      <c r="N2545">
        <v>0</v>
      </c>
      <c r="O2545" t="s">
        <v>1442</v>
      </c>
      <c r="P2545">
        <v>0</v>
      </c>
      <c r="Q2545">
        <v>0</v>
      </c>
      <c r="R2545">
        <v>0</v>
      </c>
      <c r="T2545" s="29">
        <v>278500</v>
      </c>
      <c r="U2545" s="29">
        <v>5606205</v>
      </c>
      <c r="V2545" t="s">
        <v>1262</v>
      </c>
      <c r="W2545" t="s">
        <v>1262</v>
      </c>
      <c r="X2545" s="29">
        <v>5606205</v>
      </c>
      <c r="AA2545" s="30">
        <v>45779.458333333336</v>
      </c>
      <c r="AB2545" s="30">
        <v>45789.416666666664</v>
      </c>
      <c r="AC2545" s="30">
        <v>45779.458333333336</v>
      </c>
      <c r="AD2545" s="30">
        <v>45789.416666666664</v>
      </c>
      <c r="AE2545" s="30">
        <v>45827.375</v>
      </c>
      <c r="AF2545" s="30">
        <v>45834.708333333336</v>
      </c>
      <c r="AG2545" t="s">
        <v>1266</v>
      </c>
      <c r="AK2545" t="s">
        <v>1265</v>
      </c>
      <c r="AL2545" t="s">
        <v>2123</v>
      </c>
      <c r="AM2545" t="s">
        <v>1263</v>
      </c>
      <c r="AN2545" t="s">
        <v>1262</v>
      </c>
      <c r="AO2545">
        <v>0</v>
      </c>
      <c r="AQ2545" t="s">
        <v>1261</v>
      </c>
      <c r="AR2545" t="s">
        <v>1260</v>
      </c>
      <c r="AS2545" t="s">
        <v>1259</v>
      </c>
      <c r="AT2545" s="30">
        <v>46072.640972222223</v>
      </c>
    </row>
    <row r="2546" spans="1:46" x14ac:dyDescent="0.25">
      <c r="A2546" t="s">
        <v>1248</v>
      </c>
      <c r="B2546">
        <v>252978</v>
      </c>
      <c r="C2546">
        <v>352113</v>
      </c>
      <c r="D2546">
        <v>405</v>
      </c>
      <c r="E2546" t="s">
        <v>1266</v>
      </c>
      <c r="G2546">
        <v>745</v>
      </c>
      <c r="H2546">
        <v>1856</v>
      </c>
      <c r="K2546" t="s">
        <v>1437</v>
      </c>
      <c r="L2546" t="s">
        <v>1437</v>
      </c>
      <c r="M2546" t="s">
        <v>1442</v>
      </c>
      <c r="N2546">
        <v>0</v>
      </c>
      <c r="O2546" t="s">
        <v>1442</v>
      </c>
      <c r="P2546">
        <v>0</v>
      </c>
      <c r="Q2546">
        <v>0</v>
      </c>
      <c r="R2546">
        <v>0</v>
      </c>
      <c r="T2546" s="29">
        <v>278500</v>
      </c>
      <c r="U2546" s="29">
        <v>5606205</v>
      </c>
      <c r="V2546" t="s">
        <v>1262</v>
      </c>
      <c r="W2546" t="s">
        <v>1262</v>
      </c>
      <c r="X2546" s="29">
        <v>5606205</v>
      </c>
      <c r="AA2546" s="30">
        <v>45769.541666666664</v>
      </c>
      <c r="AB2546" s="30">
        <v>45777.458333333336</v>
      </c>
      <c r="AC2546" s="30">
        <v>45769.541666666664</v>
      </c>
      <c r="AD2546" s="30">
        <v>45777.458333333336</v>
      </c>
      <c r="AE2546" s="30">
        <v>45821.375</v>
      </c>
      <c r="AF2546" s="30">
        <v>45828.708333333336</v>
      </c>
      <c r="AG2546" t="s">
        <v>1266</v>
      </c>
      <c r="AK2546" t="s">
        <v>1265</v>
      </c>
      <c r="AL2546" t="s">
        <v>2122</v>
      </c>
      <c r="AM2546" t="s">
        <v>1263</v>
      </c>
      <c r="AN2546" t="s">
        <v>1262</v>
      </c>
      <c r="AO2546">
        <v>0</v>
      </c>
      <c r="AQ2546" t="s">
        <v>1261</v>
      </c>
      <c r="AR2546" t="s">
        <v>1260</v>
      </c>
      <c r="AS2546" t="s">
        <v>1259</v>
      </c>
      <c r="AT2546" s="30">
        <v>46072.640972222223</v>
      </c>
    </row>
    <row r="2547" spans="1:46" x14ac:dyDescent="0.25">
      <c r="A2547" t="s">
        <v>1248</v>
      </c>
      <c r="B2547">
        <v>252979</v>
      </c>
      <c r="C2547">
        <v>352120</v>
      </c>
      <c r="D2547">
        <v>405</v>
      </c>
      <c r="E2547" t="s">
        <v>1266</v>
      </c>
      <c r="G2547">
        <v>745</v>
      </c>
      <c r="H2547">
        <v>1856</v>
      </c>
      <c r="K2547" t="s">
        <v>1437</v>
      </c>
      <c r="L2547" t="s">
        <v>1437</v>
      </c>
      <c r="M2547" t="s">
        <v>1442</v>
      </c>
      <c r="N2547">
        <v>0</v>
      </c>
      <c r="O2547" t="s">
        <v>1442</v>
      </c>
      <c r="P2547">
        <v>0</v>
      </c>
      <c r="Q2547">
        <v>0</v>
      </c>
      <c r="R2547">
        <v>0</v>
      </c>
      <c r="T2547" s="29">
        <v>278500</v>
      </c>
      <c r="U2547" s="29">
        <v>5606205</v>
      </c>
      <c r="V2547" t="s">
        <v>1262</v>
      </c>
      <c r="W2547" t="s">
        <v>1262</v>
      </c>
      <c r="X2547" s="29">
        <v>5606205</v>
      </c>
      <c r="AA2547" s="30">
        <v>45765.583333333336</v>
      </c>
      <c r="AB2547" s="30">
        <v>45775.5</v>
      </c>
      <c r="AC2547" s="30">
        <v>45765.583333333336</v>
      </c>
      <c r="AD2547" s="30">
        <v>45775.5</v>
      </c>
      <c r="AE2547" s="30">
        <v>45817.375</v>
      </c>
      <c r="AF2547" s="30">
        <v>45824.708333333336</v>
      </c>
      <c r="AG2547" t="s">
        <v>1266</v>
      </c>
      <c r="AK2547" t="s">
        <v>1265</v>
      </c>
      <c r="AL2547" t="s">
        <v>2121</v>
      </c>
      <c r="AM2547" t="s">
        <v>1263</v>
      </c>
      <c r="AN2547" t="s">
        <v>1262</v>
      </c>
      <c r="AO2547">
        <v>0</v>
      </c>
      <c r="AQ2547" t="s">
        <v>1261</v>
      </c>
      <c r="AR2547" t="s">
        <v>1260</v>
      </c>
      <c r="AS2547" t="s">
        <v>1259</v>
      </c>
      <c r="AT2547" s="30">
        <v>46072.640972222223</v>
      </c>
    </row>
    <row r="2548" spans="1:46" x14ac:dyDescent="0.25">
      <c r="A2548" t="s">
        <v>1248</v>
      </c>
      <c r="B2548">
        <v>252980</v>
      </c>
      <c r="C2548">
        <v>352127</v>
      </c>
      <c r="D2548">
        <v>405</v>
      </c>
      <c r="E2548" t="s">
        <v>1266</v>
      </c>
      <c r="G2548">
        <v>745</v>
      </c>
      <c r="H2548">
        <v>1856</v>
      </c>
      <c r="K2548" t="s">
        <v>1437</v>
      </c>
      <c r="L2548" t="s">
        <v>1437</v>
      </c>
      <c r="M2548" t="s">
        <v>1442</v>
      </c>
      <c r="N2548">
        <v>0</v>
      </c>
      <c r="O2548" t="s">
        <v>1442</v>
      </c>
      <c r="P2548">
        <v>0</v>
      </c>
      <c r="Q2548">
        <v>0</v>
      </c>
      <c r="R2548">
        <v>0</v>
      </c>
      <c r="T2548" s="29">
        <v>278500</v>
      </c>
      <c r="U2548" s="29">
        <v>5606205</v>
      </c>
      <c r="V2548" t="s">
        <v>1262</v>
      </c>
      <c r="W2548" t="s">
        <v>1262</v>
      </c>
      <c r="X2548" s="29">
        <v>5606205</v>
      </c>
      <c r="AA2548" s="30">
        <v>45763.625</v>
      </c>
      <c r="AB2548" s="30">
        <v>45771.583333333336</v>
      </c>
      <c r="AC2548" s="30">
        <v>45763.625</v>
      </c>
      <c r="AD2548" s="30">
        <v>45771.583333333336</v>
      </c>
      <c r="AE2548" s="30">
        <v>45811.375</v>
      </c>
      <c r="AF2548" s="30">
        <v>45818.708333333336</v>
      </c>
      <c r="AG2548" t="s">
        <v>1266</v>
      </c>
      <c r="AK2548" t="s">
        <v>1265</v>
      </c>
      <c r="AL2548" t="s">
        <v>2120</v>
      </c>
      <c r="AM2548" t="s">
        <v>1263</v>
      </c>
      <c r="AN2548" t="s">
        <v>1262</v>
      </c>
      <c r="AO2548">
        <v>0</v>
      </c>
      <c r="AQ2548" t="s">
        <v>1261</v>
      </c>
      <c r="AR2548" t="s">
        <v>1260</v>
      </c>
      <c r="AS2548" t="s">
        <v>1259</v>
      </c>
      <c r="AT2548" s="30">
        <v>46072.640972222223</v>
      </c>
    </row>
    <row r="2549" spans="1:46" x14ac:dyDescent="0.25">
      <c r="A2549" t="s">
        <v>1248</v>
      </c>
      <c r="B2549">
        <v>252981</v>
      </c>
      <c r="C2549">
        <v>352134</v>
      </c>
      <c r="D2549">
        <v>405</v>
      </c>
      <c r="E2549" t="s">
        <v>1266</v>
      </c>
      <c r="G2549">
        <v>745</v>
      </c>
      <c r="H2549">
        <v>1856</v>
      </c>
      <c r="K2549" t="s">
        <v>1437</v>
      </c>
      <c r="L2549" t="s">
        <v>1437</v>
      </c>
      <c r="M2549" t="s">
        <v>1442</v>
      </c>
      <c r="N2549">
        <v>0</v>
      </c>
      <c r="O2549" t="s">
        <v>1442</v>
      </c>
      <c r="P2549">
        <v>0</v>
      </c>
      <c r="Q2549">
        <v>0</v>
      </c>
      <c r="R2549">
        <v>0</v>
      </c>
      <c r="T2549" s="29">
        <v>278500</v>
      </c>
      <c r="U2549" s="29">
        <v>5606205</v>
      </c>
      <c r="V2549" t="s">
        <v>1262</v>
      </c>
      <c r="W2549" t="s">
        <v>1262</v>
      </c>
      <c r="X2549" s="29">
        <v>5606205</v>
      </c>
      <c r="AA2549" s="30">
        <v>45761.666666666664</v>
      </c>
      <c r="AB2549" s="30">
        <v>45769.625</v>
      </c>
      <c r="AC2549" s="30">
        <v>45761.666666666664</v>
      </c>
      <c r="AD2549" s="30">
        <v>45769.625</v>
      </c>
      <c r="AE2549" s="30">
        <v>45805.375</v>
      </c>
      <c r="AF2549" s="30">
        <v>45812.708333333336</v>
      </c>
      <c r="AG2549" t="s">
        <v>1266</v>
      </c>
      <c r="AK2549" t="s">
        <v>1265</v>
      </c>
      <c r="AL2549" t="s">
        <v>2119</v>
      </c>
      <c r="AM2549" t="s">
        <v>1263</v>
      </c>
      <c r="AN2549" t="s">
        <v>1262</v>
      </c>
      <c r="AO2549">
        <v>0</v>
      </c>
      <c r="AQ2549" t="s">
        <v>1261</v>
      </c>
      <c r="AR2549" t="s">
        <v>1260</v>
      </c>
      <c r="AS2549" t="s">
        <v>1259</v>
      </c>
      <c r="AT2549" s="30">
        <v>46072.640972222223</v>
      </c>
    </row>
    <row r="2550" spans="1:46" x14ac:dyDescent="0.25">
      <c r="A2550" t="s">
        <v>1248</v>
      </c>
      <c r="B2550">
        <v>252982</v>
      </c>
      <c r="C2550">
        <v>352141</v>
      </c>
      <c r="D2550">
        <v>405</v>
      </c>
      <c r="E2550" t="s">
        <v>1266</v>
      </c>
      <c r="G2550">
        <v>745</v>
      </c>
      <c r="H2550">
        <v>1856</v>
      </c>
      <c r="K2550" t="s">
        <v>1437</v>
      </c>
      <c r="L2550" t="s">
        <v>1437</v>
      </c>
      <c r="M2550" t="s">
        <v>1442</v>
      </c>
      <c r="N2550">
        <v>0</v>
      </c>
      <c r="O2550" t="s">
        <v>1442</v>
      </c>
      <c r="P2550">
        <v>0</v>
      </c>
      <c r="Q2550">
        <v>0</v>
      </c>
      <c r="R2550">
        <v>0</v>
      </c>
      <c r="T2550" s="29">
        <v>278500</v>
      </c>
      <c r="U2550" s="29">
        <v>5606205</v>
      </c>
      <c r="V2550" t="s">
        <v>1262</v>
      </c>
      <c r="W2550" t="s">
        <v>1262</v>
      </c>
      <c r="X2550" s="29">
        <v>5606205</v>
      </c>
      <c r="AA2550" s="30">
        <v>45758.333333333336</v>
      </c>
      <c r="AB2550" s="30">
        <v>45765.666666666664</v>
      </c>
      <c r="AC2550" s="30">
        <v>45758.333333333336</v>
      </c>
      <c r="AD2550" s="30">
        <v>45765.666666666664</v>
      </c>
      <c r="AE2550" s="30">
        <v>45799.375</v>
      </c>
      <c r="AF2550" s="30">
        <v>45806.708333333336</v>
      </c>
      <c r="AG2550" t="s">
        <v>1266</v>
      </c>
      <c r="AK2550" t="s">
        <v>1265</v>
      </c>
      <c r="AL2550" t="s">
        <v>2118</v>
      </c>
      <c r="AM2550" t="s">
        <v>1263</v>
      </c>
      <c r="AN2550" t="s">
        <v>1262</v>
      </c>
      <c r="AO2550">
        <v>0</v>
      </c>
      <c r="AQ2550" t="s">
        <v>1261</v>
      </c>
      <c r="AR2550" t="s">
        <v>1260</v>
      </c>
      <c r="AS2550" t="s">
        <v>1259</v>
      </c>
      <c r="AT2550" s="30">
        <v>46072.640972222223</v>
      </c>
    </row>
    <row r="2551" spans="1:46" x14ac:dyDescent="0.25">
      <c r="A2551" t="s">
        <v>1248</v>
      </c>
      <c r="B2551">
        <v>252983</v>
      </c>
      <c r="C2551">
        <v>352148</v>
      </c>
      <c r="D2551">
        <v>405</v>
      </c>
      <c r="E2551" t="s">
        <v>1266</v>
      </c>
      <c r="G2551">
        <v>745</v>
      </c>
      <c r="H2551">
        <v>1856</v>
      </c>
      <c r="K2551" t="s">
        <v>1437</v>
      </c>
      <c r="L2551" t="s">
        <v>1437</v>
      </c>
      <c r="M2551" t="s">
        <v>1442</v>
      </c>
      <c r="N2551">
        <v>0</v>
      </c>
      <c r="O2551" t="s">
        <v>1442</v>
      </c>
      <c r="P2551">
        <v>0</v>
      </c>
      <c r="Q2551">
        <v>0</v>
      </c>
      <c r="R2551">
        <v>0</v>
      </c>
      <c r="T2551" s="29">
        <v>278500</v>
      </c>
      <c r="U2551" s="29">
        <v>5606205</v>
      </c>
      <c r="V2551" t="s">
        <v>1262</v>
      </c>
      <c r="W2551" t="s">
        <v>1262</v>
      </c>
      <c r="X2551" s="29">
        <v>5606205</v>
      </c>
      <c r="AA2551" s="30">
        <v>45756.375</v>
      </c>
      <c r="AB2551" s="30">
        <v>45763.708333333336</v>
      </c>
      <c r="AC2551" s="30">
        <v>45756.375</v>
      </c>
      <c r="AD2551" s="30">
        <v>45763.708333333336</v>
      </c>
      <c r="AE2551" s="30">
        <v>45793.375</v>
      </c>
      <c r="AF2551" s="30">
        <v>45800.708333333336</v>
      </c>
      <c r="AG2551" t="s">
        <v>1266</v>
      </c>
      <c r="AK2551" t="s">
        <v>1265</v>
      </c>
      <c r="AL2551" t="s">
        <v>2117</v>
      </c>
      <c r="AM2551" t="s">
        <v>1263</v>
      </c>
      <c r="AN2551" t="s">
        <v>1262</v>
      </c>
      <c r="AO2551">
        <v>0</v>
      </c>
      <c r="AQ2551" t="s">
        <v>1261</v>
      </c>
      <c r="AR2551" t="s">
        <v>1260</v>
      </c>
      <c r="AS2551" t="s">
        <v>1259</v>
      </c>
      <c r="AT2551" s="30">
        <v>46072.640972222223</v>
      </c>
    </row>
    <row r="2552" spans="1:46" x14ac:dyDescent="0.25">
      <c r="A2552" t="s">
        <v>1248</v>
      </c>
      <c r="B2552">
        <v>252984</v>
      </c>
      <c r="C2552">
        <v>352155</v>
      </c>
      <c r="D2552">
        <v>405</v>
      </c>
      <c r="E2552" t="s">
        <v>1266</v>
      </c>
      <c r="G2552">
        <v>745</v>
      </c>
      <c r="H2552">
        <v>1856</v>
      </c>
      <c r="K2552" t="s">
        <v>1437</v>
      </c>
      <c r="L2552" t="s">
        <v>1437</v>
      </c>
      <c r="M2552" t="s">
        <v>1442</v>
      </c>
      <c r="N2552">
        <v>0</v>
      </c>
      <c r="O2552" t="s">
        <v>1442</v>
      </c>
      <c r="P2552">
        <v>0</v>
      </c>
      <c r="Q2552">
        <v>0</v>
      </c>
      <c r="R2552">
        <v>0</v>
      </c>
      <c r="T2552" s="29">
        <v>278500</v>
      </c>
      <c r="U2552" s="29">
        <v>5606205</v>
      </c>
      <c r="V2552" t="s">
        <v>1262</v>
      </c>
      <c r="W2552" t="s">
        <v>1262</v>
      </c>
      <c r="X2552" s="29">
        <v>5606205</v>
      </c>
      <c r="AA2552" s="30">
        <v>45754.416666666664</v>
      </c>
      <c r="AB2552" s="30">
        <v>45762.375</v>
      </c>
      <c r="AC2552" s="30">
        <v>45754.416666666664</v>
      </c>
      <c r="AD2552" s="30">
        <v>45762.375</v>
      </c>
      <c r="AE2552" s="30">
        <v>45789.375</v>
      </c>
      <c r="AF2552" s="30">
        <v>45796.708333333336</v>
      </c>
      <c r="AG2552" t="s">
        <v>1266</v>
      </c>
      <c r="AK2552" t="s">
        <v>1265</v>
      </c>
      <c r="AL2552" t="s">
        <v>2116</v>
      </c>
      <c r="AM2552" t="s">
        <v>1263</v>
      </c>
      <c r="AN2552" t="s">
        <v>1262</v>
      </c>
      <c r="AO2552">
        <v>0</v>
      </c>
      <c r="AQ2552" t="s">
        <v>1261</v>
      </c>
      <c r="AR2552" t="s">
        <v>1260</v>
      </c>
      <c r="AS2552" t="s">
        <v>1259</v>
      </c>
      <c r="AT2552" s="30">
        <v>46072.640972222223</v>
      </c>
    </row>
    <row r="2553" spans="1:46" x14ac:dyDescent="0.25">
      <c r="A2553" t="s">
        <v>1248</v>
      </c>
      <c r="B2553">
        <v>252985</v>
      </c>
      <c r="C2553">
        <v>352162</v>
      </c>
      <c r="D2553">
        <v>405</v>
      </c>
      <c r="E2553" t="s">
        <v>1266</v>
      </c>
      <c r="G2553">
        <v>745</v>
      </c>
      <c r="H2553">
        <v>1856</v>
      </c>
      <c r="K2553" t="s">
        <v>1437</v>
      </c>
      <c r="L2553" t="s">
        <v>1437</v>
      </c>
      <c r="M2553" t="s">
        <v>1442</v>
      </c>
      <c r="N2553">
        <v>0</v>
      </c>
      <c r="O2553" t="s">
        <v>1442</v>
      </c>
      <c r="P2553">
        <v>0</v>
      </c>
      <c r="Q2553">
        <v>0</v>
      </c>
      <c r="R2553">
        <v>0</v>
      </c>
      <c r="T2553" s="29">
        <v>278500</v>
      </c>
      <c r="U2553" s="29">
        <v>5606205</v>
      </c>
      <c r="V2553" t="s">
        <v>1262</v>
      </c>
      <c r="W2553" t="s">
        <v>1262</v>
      </c>
      <c r="X2553" s="29">
        <v>5606205</v>
      </c>
      <c r="AA2553" s="30">
        <v>45750.458333333336</v>
      </c>
      <c r="AB2553" s="30">
        <v>45758.416666666664</v>
      </c>
      <c r="AC2553" s="30">
        <v>45750.458333333336</v>
      </c>
      <c r="AD2553" s="30">
        <v>45758.416666666664</v>
      </c>
      <c r="AE2553" s="30">
        <v>45783.375</v>
      </c>
      <c r="AF2553" s="30">
        <v>45790.708333333336</v>
      </c>
      <c r="AG2553" t="s">
        <v>1266</v>
      </c>
      <c r="AK2553" t="s">
        <v>1265</v>
      </c>
      <c r="AL2553" t="s">
        <v>2115</v>
      </c>
      <c r="AM2553" t="s">
        <v>1263</v>
      </c>
      <c r="AN2553" t="s">
        <v>1262</v>
      </c>
      <c r="AO2553">
        <v>0</v>
      </c>
      <c r="AQ2553" t="s">
        <v>1261</v>
      </c>
      <c r="AR2553" t="s">
        <v>1260</v>
      </c>
      <c r="AS2553" t="s">
        <v>1259</v>
      </c>
      <c r="AT2553" s="30">
        <v>46072.640972222223</v>
      </c>
    </row>
    <row r="2554" spans="1:46" x14ac:dyDescent="0.25">
      <c r="A2554" t="s">
        <v>1248</v>
      </c>
      <c r="B2554">
        <v>252986</v>
      </c>
      <c r="C2554">
        <v>352169</v>
      </c>
      <c r="D2554">
        <v>405</v>
      </c>
      <c r="E2554" t="s">
        <v>1266</v>
      </c>
      <c r="G2554">
        <v>745</v>
      </c>
      <c r="H2554">
        <v>1856</v>
      </c>
      <c r="K2554" t="s">
        <v>1437</v>
      </c>
      <c r="L2554" t="s">
        <v>1437</v>
      </c>
      <c r="M2554" t="s">
        <v>1442</v>
      </c>
      <c r="N2554">
        <v>0</v>
      </c>
      <c r="O2554" t="s">
        <v>1442</v>
      </c>
      <c r="P2554">
        <v>0</v>
      </c>
      <c r="Q2554">
        <v>0</v>
      </c>
      <c r="R2554">
        <v>0</v>
      </c>
      <c r="T2554" s="29">
        <v>278500</v>
      </c>
      <c r="U2554" s="29">
        <v>5606205</v>
      </c>
      <c r="V2554" t="s">
        <v>1262</v>
      </c>
      <c r="W2554" t="s">
        <v>1262</v>
      </c>
      <c r="X2554" s="29">
        <v>5606205</v>
      </c>
      <c r="AA2554" s="30">
        <v>45737.416666666664</v>
      </c>
      <c r="AB2554" s="30">
        <v>45747.375</v>
      </c>
      <c r="AC2554" s="30">
        <v>45737.416666666664</v>
      </c>
      <c r="AD2554" s="30">
        <v>45747.375</v>
      </c>
      <c r="AE2554" s="30">
        <v>45777.375</v>
      </c>
      <c r="AF2554" s="30">
        <v>45784.708333333336</v>
      </c>
      <c r="AG2554" t="s">
        <v>1266</v>
      </c>
      <c r="AK2554" t="s">
        <v>1265</v>
      </c>
      <c r="AL2554" t="s">
        <v>2114</v>
      </c>
      <c r="AM2554" t="s">
        <v>1263</v>
      </c>
      <c r="AN2554" t="s">
        <v>1262</v>
      </c>
      <c r="AO2554">
        <v>0</v>
      </c>
      <c r="AQ2554" t="s">
        <v>1261</v>
      </c>
      <c r="AR2554" t="s">
        <v>1260</v>
      </c>
      <c r="AS2554" t="s">
        <v>1259</v>
      </c>
      <c r="AT2554" s="30">
        <v>46072.640972222223</v>
      </c>
    </row>
    <row r="2555" spans="1:46" x14ac:dyDescent="0.25">
      <c r="A2555" t="s">
        <v>1248</v>
      </c>
      <c r="B2555">
        <v>252987</v>
      </c>
      <c r="C2555">
        <v>352176</v>
      </c>
      <c r="D2555">
        <v>405</v>
      </c>
      <c r="E2555" t="s">
        <v>1266</v>
      </c>
      <c r="G2555">
        <v>745</v>
      </c>
      <c r="H2555">
        <v>1856</v>
      </c>
      <c r="K2555" t="s">
        <v>1437</v>
      </c>
      <c r="L2555" t="s">
        <v>1437</v>
      </c>
      <c r="M2555" t="s">
        <v>1442</v>
      </c>
      <c r="N2555">
        <v>0</v>
      </c>
      <c r="O2555" t="s">
        <v>1442</v>
      </c>
      <c r="P2555">
        <v>0</v>
      </c>
      <c r="Q2555">
        <v>0</v>
      </c>
      <c r="R2555">
        <v>0</v>
      </c>
      <c r="T2555" s="29">
        <v>278500</v>
      </c>
      <c r="U2555" s="29">
        <v>5606205</v>
      </c>
      <c r="V2555" t="s">
        <v>1262</v>
      </c>
      <c r="W2555" t="s">
        <v>1262</v>
      </c>
      <c r="X2555" s="29">
        <v>5606205</v>
      </c>
      <c r="AA2555" s="30">
        <v>45734.458333333336</v>
      </c>
      <c r="AB2555" s="30">
        <v>45742.416666666664</v>
      </c>
      <c r="AC2555" s="30">
        <v>45734.458333333336</v>
      </c>
      <c r="AD2555" s="30">
        <v>45742.416666666664</v>
      </c>
      <c r="AE2555" s="30">
        <v>45771.375</v>
      </c>
      <c r="AF2555" s="30">
        <v>45778.708333333336</v>
      </c>
      <c r="AG2555" t="s">
        <v>1266</v>
      </c>
      <c r="AK2555" t="s">
        <v>1265</v>
      </c>
      <c r="AL2555" t="s">
        <v>2113</v>
      </c>
      <c r="AM2555" t="s">
        <v>1263</v>
      </c>
      <c r="AN2555" t="s">
        <v>1262</v>
      </c>
      <c r="AO2555">
        <v>0</v>
      </c>
      <c r="AQ2555" t="s">
        <v>1261</v>
      </c>
      <c r="AR2555" t="s">
        <v>1260</v>
      </c>
      <c r="AS2555" t="s">
        <v>1259</v>
      </c>
      <c r="AT2555" s="30">
        <v>46072.640972222223</v>
      </c>
    </row>
    <row r="2556" spans="1:46" x14ac:dyDescent="0.25">
      <c r="A2556" t="s">
        <v>1248</v>
      </c>
      <c r="B2556">
        <v>252988</v>
      </c>
      <c r="C2556">
        <v>352183</v>
      </c>
      <c r="D2556">
        <v>405</v>
      </c>
      <c r="E2556" t="s">
        <v>1266</v>
      </c>
      <c r="G2556">
        <v>745</v>
      </c>
      <c r="H2556">
        <v>1856</v>
      </c>
      <c r="K2556" t="s">
        <v>1437</v>
      </c>
      <c r="L2556" t="s">
        <v>1437</v>
      </c>
      <c r="M2556" t="s">
        <v>1442</v>
      </c>
      <c r="N2556">
        <v>0</v>
      </c>
      <c r="O2556" t="s">
        <v>1442</v>
      </c>
      <c r="P2556">
        <v>0</v>
      </c>
      <c r="Q2556">
        <v>0</v>
      </c>
      <c r="R2556">
        <v>0</v>
      </c>
      <c r="T2556" s="29">
        <v>278500</v>
      </c>
      <c r="U2556" s="29">
        <v>5606205</v>
      </c>
      <c r="V2556" t="s">
        <v>1262</v>
      </c>
      <c r="W2556" t="s">
        <v>1262</v>
      </c>
      <c r="X2556" s="29">
        <v>5606205</v>
      </c>
      <c r="AA2556" s="30">
        <v>45737.541666666664</v>
      </c>
      <c r="AB2556" s="30">
        <v>45747.458333333336</v>
      </c>
      <c r="AC2556" s="30">
        <v>45737.541666666664</v>
      </c>
      <c r="AD2556" s="30">
        <v>45747.458333333336</v>
      </c>
      <c r="AE2556" s="30">
        <v>45765.375</v>
      </c>
      <c r="AF2556" s="30">
        <v>45772.708333333336</v>
      </c>
      <c r="AG2556" t="s">
        <v>1266</v>
      </c>
      <c r="AK2556" t="s">
        <v>1265</v>
      </c>
      <c r="AL2556" t="s">
        <v>2112</v>
      </c>
      <c r="AM2556" t="s">
        <v>1263</v>
      </c>
      <c r="AN2556" t="s">
        <v>1262</v>
      </c>
      <c r="AO2556">
        <v>0</v>
      </c>
      <c r="AQ2556" t="s">
        <v>1261</v>
      </c>
      <c r="AR2556" t="s">
        <v>1260</v>
      </c>
      <c r="AS2556" t="s">
        <v>1259</v>
      </c>
      <c r="AT2556" s="30">
        <v>46072.640972222223</v>
      </c>
    </row>
    <row r="2557" spans="1:46" x14ac:dyDescent="0.25">
      <c r="A2557" t="s">
        <v>1248</v>
      </c>
      <c r="B2557">
        <v>252989</v>
      </c>
      <c r="C2557">
        <v>352190</v>
      </c>
      <c r="D2557">
        <v>405</v>
      </c>
      <c r="E2557" t="s">
        <v>1266</v>
      </c>
      <c r="G2557">
        <v>745</v>
      </c>
      <c r="H2557">
        <v>1856</v>
      </c>
      <c r="K2557" s="29">
        <v>20558297</v>
      </c>
      <c r="L2557" s="29">
        <v>20558297</v>
      </c>
      <c r="M2557" t="s">
        <v>1442</v>
      </c>
      <c r="N2557">
        <v>0</v>
      </c>
      <c r="O2557" t="s">
        <v>1442</v>
      </c>
      <c r="P2557">
        <v>0</v>
      </c>
      <c r="Q2557">
        <v>0</v>
      </c>
      <c r="R2557">
        <v>0</v>
      </c>
      <c r="T2557" s="29">
        <v>278500</v>
      </c>
      <c r="U2557" s="29">
        <v>5725486</v>
      </c>
      <c r="V2557" t="s">
        <v>1262</v>
      </c>
      <c r="W2557" t="s">
        <v>1262</v>
      </c>
      <c r="X2557" s="29">
        <v>5725486</v>
      </c>
      <c r="AA2557" s="30">
        <v>45735.333333333336</v>
      </c>
      <c r="AB2557" s="30">
        <v>45742.708333333336</v>
      </c>
      <c r="AC2557" s="30">
        <v>45735.333333333336</v>
      </c>
      <c r="AD2557" s="30">
        <v>45742.708333333336</v>
      </c>
      <c r="AE2557" s="30">
        <v>45761.333333333336</v>
      </c>
      <c r="AF2557" s="30">
        <v>45768.708333333336</v>
      </c>
      <c r="AG2557" t="s">
        <v>1266</v>
      </c>
      <c r="AK2557" t="s">
        <v>1265</v>
      </c>
      <c r="AL2557" t="s">
        <v>2111</v>
      </c>
      <c r="AM2557" t="s">
        <v>1263</v>
      </c>
      <c r="AN2557" t="s">
        <v>1262</v>
      </c>
      <c r="AO2557">
        <v>0</v>
      </c>
      <c r="AQ2557" t="s">
        <v>1261</v>
      </c>
      <c r="AR2557" t="s">
        <v>1260</v>
      </c>
      <c r="AS2557" t="s">
        <v>1259</v>
      </c>
      <c r="AT2557" s="30">
        <v>46072.640972222223</v>
      </c>
    </row>
    <row r="2558" spans="1:46" x14ac:dyDescent="0.25">
      <c r="A2558" t="s">
        <v>1248</v>
      </c>
      <c r="B2558">
        <v>252990</v>
      </c>
      <c r="C2558">
        <v>352048</v>
      </c>
      <c r="D2558">
        <v>405</v>
      </c>
      <c r="E2558" t="s">
        <v>1266</v>
      </c>
      <c r="G2558">
        <v>745</v>
      </c>
      <c r="H2558">
        <v>1860</v>
      </c>
      <c r="K2558" s="29">
        <v>4296533333</v>
      </c>
      <c r="L2558" s="29">
        <v>4296533333</v>
      </c>
      <c r="M2558" s="29">
        <v>26853333333</v>
      </c>
      <c r="N2558">
        <v>0</v>
      </c>
      <c r="O2558" s="29">
        <v>26853333333</v>
      </c>
      <c r="P2558">
        <v>0</v>
      </c>
      <c r="Q2558">
        <v>0</v>
      </c>
      <c r="R2558">
        <v>0</v>
      </c>
      <c r="T2558" t="s">
        <v>2064</v>
      </c>
      <c r="U2558" s="29">
        <v>8399722</v>
      </c>
      <c r="V2558" t="s">
        <v>1262</v>
      </c>
      <c r="W2558" t="s">
        <v>1262</v>
      </c>
      <c r="X2558" s="29">
        <v>8399722</v>
      </c>
      <c r="AA2558" s="30">
        <v>45803.625</v>
      </c>
      <c r="AB2558" s="30">
        <v>45805.625</v>
      </c>
      <c r="AC2558" s="30">
        <v>45803.625</v>
      </c>
      <c r="AD2558" s="30">
        <v>45805.625</v>
      </c>
      <c r="AE2558" s="30">
        <v>45869.333333333336</v>
      </c>
      <c r="AF2558" s="30">
        <v>45870.708333333336</v>
      </c>
      <c r="AG2558" t="s">
        <v>1266</v>
      </c>
      <c r="AK2558" t="s">
        <v>1265</v>
      </c>
      <c r="AL2558" t="s">
        <v>2110</v>
      </c>
      <c r="AM2558" t="s">
        <v>1263</v>
      </c>
      <c r="AN2558" t="s">
        <v>1262</v>
      </c>
      <c r="AO2558">
        <v>0</v>
      </c>
      <c r="AQ2558" t="s">
        <v>1261</v>
      </c>
      <c r="AR2558" t="s">
        <v>1260</v>
      </c>
      <c r="AS2558" t="s">
        <v>1259</v>
      </c>
      <c r="AT2558" s="30">
        <v>46072.680555555555</v>
      </c>
    </row>
    <row r="2559" spans="1:46" x14ac:dyDescent="0.25">
      <c r="A2559" t="s">
        <v>1248</v>
      </c>
      <c r="B2559">
        <v>252992</v>
      </c>
      <c r="C2559">
        <v>352055</v>
      </c>
      <c r="D2559">
        <v>405</v>
      </c>
      <c r="E2559" t="s">
        <v>1266</v>
      </c>
      <c r="G2559">
        <v>745</v>
      </c>
      <c r="H2559">
        <v>1860</v>
      </c>
      <c r="K2559">
        <v>4028</v>
      </c>
      <c r="L2559">
        <v>4028</v>
      </c>
      <c r="M2559" s="29">
        <v>26853333333</v>
      </c>
      <c r="N2559">
        <v>0</v>
      </c>
      <c r="O2559" s="29">
        <v>26853333333</v>
      </c>
      <c r="P2559">
        <v>0</v>
      </c>
      <c r="Q2559">
        <v>0</v>
      </c>
      <c r="R2559">
        <v>0</v>
      </c>
      <c r="T2559" t="s">
        <v>2064</v>
      </c>
      <c r="U2559" s="29">
        <v>7874740</v>
      </c>
      <c r="V2559" t="s">
        <v>1262</v>
      </c>
      <c r="W2559" t="s">
        <v>1262</v>
      </c>
      <c r="X2559" s="29">
        <v>7874740</v>
      </c>
      <c r="AA2559" s="30">
        <v>45799.541666666664</v>
      </c>
      <c r="AB2559" s="30">
        <v>45803.458333333336</v>
      </c>
      <c r="AC2559" s="30">
        <v>45799.541666666664</v>
      </c>
      <c r="AD2559" s="30">
        <v>45803.458333333336</v>
      </c>
      <c r="AE2559" s="30">
        <v>45863.541666666664</v>
      </c>
      <c r="AF2559" s="30">
        <v>45867.458333333336</v>
      </c>
      <c r="AG2559" t="s">
        <v>1266</v>
      </c>
      <c r="AK2559" t="s">
        <v>1265</v>
      </c>
      <c r="AL2559" t="s">
        <v>2109</v>
      </c>
      <c r="AM2559" t="s">
        <v>1263</v>
      </c>
      <c r="AN2559" t="s">
        <v>1262</v>
      </c>
      <c r="AO2559">
        <v>0</v>
      </c>
      <c r="AQ2559" t="s">
        <v>1261</v>
      </c>
      <c r="AR2559" t="s">
        <v>1260</v>
      </c>
      <c r="AS2559" t="s">
        <v>1259</v>
      </c>
      <c r="AT2559" s="30">
        <v>46072.680555555555</v>
      </c>
    </row>
    <row r="2560" spans="1:46" x14ac:dyDescent="0.25">
      <c r="A2560" t="s">
        <v>1248</v>
      </c>
      <c r="B2560">
        <v>252993</v>
      </c>
      <c r="C2560">
        <v>352062</v>
      </c>
      <c r="D2560">
        <v>405</v>
      </c>
      <c r="E2560" t="s">
        <v>1266</v>
      </c>
      <c r="G2560">
        <v>745</v>
      </c>
      <c r="H2560">
        <v>1860</v>
      </c>
      <c r="K2560">
        <v>4028</v>
      </c>
      <c r="L2560">
        <v>4028</v>
      </c>
      <c r="M2560" s="29">
        <v>26853333333</v>
      </c>
      <c r="N2560">
        <v>0</v>
      </c>
      <c r="O2560" s="29">
        <v>26853333333</v>
      </c>
      <c r="P2560">
        <v>0</v>
      </c>
      <c r="Q2560">
        <v>0</v>
      </c>
      <c r="R2560">
        <v>0</v>
      </c>
      <c r="T2560" t="s">
        <v>2064</v>
      </c>
      <c r="U2560" s="29">
        <v>7874740</v>
      </c>
      <c r="V2560" t="s">
        <v>1262</v>
      </c>
      <c r="W2560" t="s">
        <v>1262</v>
      </c>
      <c r="X2560" s="29">
        <v>7874740</v>
      </c>
      <c r="AA2560" s="30">
        <v>45797.583333333336</v>
      </c>
      <c r="AB2560" s="30">
        <v>45799.5</v>
      </c>
      <c r="AC2560" s="30">
        <v>45797.583333333336</v>
      </c>
      <c r="AD2560" s="30">
        <v>45799.5</v>
      </c>
      <c r="AE2560" s="30">
        <v>45859.541666666664</v>
      </c>
      <c r="AF2560" s="30">
        <v>45861.458333333336</v>
      </c>
      <c r="AG2560" t="s">
        <v>1266</v>
      </c>
      <c r="AK2560" t="s">
        <v>1265</v>
      </c>
      <c r="AL2560" t="s">
        <v>2108</v>
      </c>
      <c r="AM2560" t="s">
        <v>1263</v>
      </c>
      <c r="AN2560" t="s">
        <v>1262</v>
      </c>
      <c r="AO2560">
        <v>0</v>
      </c>
      <c r="AQ2560" t="s">
        <v>1261</v>
      </c>
      <c r="AR2560" t="s">
        <v>1260</v>
      </c>
      <c r="AS2560" t="s">
        <v>1259</v>
      </c>
      <c r="AT2560" s="30">
        <v>46072.680555555555</v>
      </c>
    </row>
    <row r="2561" spans="1:46" x14ac:dyDescent="0.25">
      <c r="A2561" t="s">
        <v>1248</v>
      </c>
      <c r="B2561">
        <v>252994</v>
      </c>
      <c r="C2561">
        <v>352069</v>
      </c>
      <c r="D2561">
        <v>405</v>
      </c>
      <c r="E2561" t="s">
        <v>1266</v>
      </c>
      <c r="G2561">
        <v>745</v>
      </c>
      <c r="H2561">
        <v>1860</v>
      </c>
      <c r="K2561" s="29">
        <v>4296533333</v>
      </c>
      <c r="L2561" s="29">
        <v>4296533333</v>
      </c>
      <c r="M2561" s="29">
        <v>26853333333</v>
      </c>
      <c r="N2561">
        <v>0</v>
      </c>
      <c r="O2561" s="29">
        <v>26853333333</v>
      </c>
      <c r="P2561">
        <v>0</v>
      </c>
      <c r="Q2561">
        <v>0</v>
      </c>
      <c r="R2561">
        <v>0</v>
      </c>
      <c r="T2561" t="s">
        <v>2064</v>
      </c>
      <c r="U2561" s="29">
        <v>8399722</v>
      </c>
      <c r="V2561" t="s">
        <v>1262</v>
      </c>
      <c r="W2561" t="s">
        <v>1262</v>
      </c>
      <c r="X2561" s="29">
        <v>8399722</v>
      </c>
      <c r="AA2561" s="30">
        <v>45785.458333333336</v>
      </c>
      <c r="AB2561" s="30">
        <v>45789.458333333336</v>
      </c>
      <c r="AC2561" s="30">
        <v>45785.458333333336</v>
      </c>
      <c r="AD2561" s="30">
        <v>45789.458333333336</v>
      </c>
      <c r="AE2561" s="30">
        <v>45854.333333333336</v>
      </c>
      <c r="AF2561" s="30">
        <v>45855.708333333336</v>
      </c>
      <c r="AG2561" t="s">
        <v>1266</v>
      </c>
      <c r="AK2561" t="s">
        <v>1265</v>
      </c>
      <c r="AL2561" t="s">
        <v>2107</v>
      </c>
      <c r="AM2561" t="s">
        <v>1263</v>
      </c>
      <c r="AN2561" t="s">
        <v>1262</v>
      </c>
      <c r="AO2561">
        <v>0</v>
      </c>
      <c r="AQ2561" t="s">
        <v>1261</v>
      </c>
      <c r="AR2561" t="s">
        <v>1260</v>
      </c>
      <c r="AS2561" t="s">
        <v>1259</v>
      </c>
      <c r="AT2561" s="30">
        <v>46072.680555555555</v>
      </c>
    </row>
    <row r="2562" spans="1:46" x14ac:dyDescent="0.25">
      <c r="A2562" t="s">
        <v>1248</v>
      </c>
      <c r="B2562">
        <v>252995</v>
      </c>
      <c r="C2562">
        <v>352076</v>
      </c>
      <c r="D2562">
        <v>405</v>
      </c>
      <c r="E2562" t="s">
        <v>1266</v>
      </c>
      <c r="G2562">
        <v>745</v>
      </c>
      <c r="H2562">
        <v>1860</v>
      </c>
      <c r="K2562">
        <v>4028</v>
      </c>
      <c r="L2562">
        <v>4028</v>
      </c>
      <c r="M2562" s="29">
        <v>26853333333</v>
      </c>
      <c r="N2562">
        <v>0</v>
      </c>
      <c r="O2562" s="29">
        <v>26853333333</v>
      </c>
      <c r="P2562">
        <v>0</v>
      </c>
      <c r="Q2562">
        <v>0</v>
      </c>
      <c r="R2562">
        <v>0</v>
      </c>
      <c r="T2562" t="s">
        <v>2064</v>
      </c>
      <c r="U2562" s="29">
        <v>7874740</v>
      </c>
      <c r="V2562" t="s">
        <v>1262</v>
      </c>
      <c r="W2562" t="s">
        <v>1262</v>
      </c>
      <c r="X2562" s="29">
        <v>7874740</v>
      </c>
      <c r="AA2562" s="30">
        <v>45783.375</v>
      </c>
      <c r="AB2562" s="30">
        <v>45784.708333333336</v>
      </c>
      <c r="AC2562" s="30">
        <v>45783.375</v>
      </c>
      <c r="AD2562" s="30">
        <v>45784.708333333336</v>
      </c>
      <c r="AE2562" s="30">
        <v>45841.458333333336</v>
      </c>
      <c r="AF2562" s="30">
        <v>45845.416666666664</v>
      </c>
      <c r="AG2562" t="s">
        <v>1266</v>
      </c>
      <c r="AK2562" t="s">
        <v>1265</v>
      </c>
      <c r="AL2562" t="s">
        <v>2106</v>
      </c>
      <c r="AM2562" t="s">
        <v>1263</v>
      </c>
      <c r="AN2562" t="s">
        <v>1262</v>
      </c>
      <c r="AO2562">
        <v>0</v>
      </c>
      <c r="AQ2562" t="s">
        <v>1261</v>
      </c>
      <c r="AR2562" t="s">
        <v>1260</v>
      </c>
      <c r="AS2562" t="s">
        <v>1259</v>
      </c>
      <c r="AT2562" s="30">
        <v>46072.680555555555</v>
      </c>
    </row>
    <row r="2563" spans="1:46" x14ac:dyDescent="0.25">
      <c r="A2563" t="s">
        <v>1248</v>
      </c>
      <c r="B2563">
        <v>252996</v>
      </c>
      <c r="C2563">
        <v>352083</v>
      </c>
      <c r="D2563">
        <v>405</v>
      </c>
      <c r="E2563" t="s">
        <v>1266</v>
      </c>
      <c r="G2563">
        <v>745</v>
      </c>
      <c r="H2563">
        <v>1860</v>
      </c>
      <c r="K2563">
        <v>4028</v>
      </c>
      <c r="L2563">
        <v>4028</v>
      </c>
      <c r="M2563" s="29">
        <v>26853333333</v>
      </c>
      <c r="N2563">
        <v>0</v>
      </c>
      <c r="O2563" s="29">
        <v>26853333333</v>
      </c>
      <c r="P2563">
        <v>0</v>
      </c>
      <c r="Q2563">
        <v>0</v>
      </c>
      <c r="R2563">
        <v>0</v>
      </c>
      <c r="T2563" t="s">
        <v>2064</v>
      </c>
      <c r="U2563" s="29">
        <v>7874740</v>
      </c>
      <c r="V2563" t="s">
        <v>1262</v>
      </c>
      <c r="W2563" t="s">
        <v>1262</v>
      </c>
      <c r="X2563" s="29">
        <v>7874740</v>
      </c>
      <c r="AA2563" s="30">
        <v>45779.416666666664</v>
      </c>
      <c r="AB2563" s="30">
        <v>45783.375</v>
      </c>
      <c r="AC2563" s="30">
        <v>45779.416666666664</v>
      </c>
      <c r="AD2563" s="30">
        <v>45783.375</v>
      </c>
      <c r="AE2563" s="30">
        <v>45835.458333333336</v>
      </c>
      <c r="AF2563" s="30">
        <v>45839.416666666664</v>
      </c>
      <c r="AG2563" t="s">
        <v>1266</v>
      </c>
      <c r="AK2563" t="s">
        <v>1265</v>
      </c>
      <c r="AL2563" t="s">
        <v>2105</v>
      </c>
      <c r="AM2563" t="s">
        <v>1263</v>
      </c>
      <c r="AN2563" t="s">
        <v>1262</v>
      </c>
      <c r="AO2563">
        <v>0</v>
      </c>
      <c r="AQ2563" t="s">
        <v>1261</v>
      </c>
      <c r="AR2563" t="s">
        <v>1260</v>
      </c>
      <c r="AS2563" t="s">
        <v>1259</v>
      </c>
      <c r="AT2563" s="30">
        <v>46072.680555555555</v>
      </c>
    </row>
    <row r="2564" spans="1:46" x14ac:dyDescent="0.25">
      <c r="A2564" t="s">
        <v>1248</v>
      </c>
      <c r="B2564">
        <v>252997</v>
      </c>
      <c r="C2564">
        <v>352090</v>
      </c>
      <c r="D2564">
        <v>405</v>
      </c>
      <c r="E2564" t="s">
        <v>1266</v>
      </c>
      <c r="G2564">
        <v>745</v>
      </c>
      <c r="H2564">
        <v>1860</v>
      </c>
      <c r="K2564">
        <v>4028</v>
      </c>
      <c r="L2564">
        <v>4028</v>
      </c>
      <c r="M2564" s="29">
        <v>26853333333</v>
      </c>
      <c r="N2564">
        <v>0</v>
      </c>
      <c r="O2564" s="29">
        <v>26853333333</v>
      </c>
      <c r="P2564">
        <v>0</v>
      </c>
      <c r="Q2564">
        <v>0</v>
      </c>
      <c r="R2564">
        <v>0</v>
      </c>
      <c r="T2564" t="s">
        <v>2064</v>
      </c>
      <c r="U2564" s="29">
        <v>7874740</v>
      </c>
      <c r="V2564" t="s">
        <v>1262</v>
      </c>
      <c r="W2564" t="s">
        <v>1262</v>
      </c>
      <c r="X2564" s="29">
        <v>7874740</v>
      </c>
      <c r="AA2564" s="30">
        <v>45777.458333333336</v>
      </c>
      <c r="AB2564" s="30">
        <v>45779.416666666664</v>
      </c>
      <c r="AC2564" s="30">
        <v>45777.458333333336</v>
      </c>
      <c r="AD2564" s="30">
        <v>45779.416666666664</v>
      </c>
      <c r="AE2564" s="30">
        <v>45831.458333333336</v>
      </c>
      <c r="AF2564" s="30">
        <v>45833.416666666664</v>
      </c>
      <c r="AG2564" t="s">
        <v>1266</v>
      </c>
      <c r="AK2564" t="s">
        <v>1265</v>
      </c>
      <c r="AL2564" t="s">
        <v>2104</v>
      </c>
      <c r="AM2564" t="s">
        <v>1263</v>
      </c>
      <c r="AN2564" t="s">
        <v>1262</v>
      </c>
      <c r="AO2564">
        <v>0</v>
      </c>
      <c r="AQ2564" t="s">
        <v>1261</v>
      </c>
      <c r="AR2564" t="s">
        <v>1260</v>
      </c>
      <c r="AS2564" t="s">
        <v>1259</v>
      </c>
      <c r="AT2564" s="30">
        <v>46072.680555555555</v>
      </c>
    </row>
    <row r="2565" spans="1:46" x14ac:dyDescent="0.25">
      <c r="A2565" t="s">
        <v>1248</v>
      </c>
      <c r="B2565">
        <v>252998</v>
      </c>
      <c r="C2565">
        <v>352097</v>
      </c>
      <c r="D2565">
        <v>405</v>
      </c>
      <c r="E2565" t="s">
        <v>1266</v>
      </c>
      <c r="G2565">
        <v>745</v>
      </c>
      <c r="H2565">
        <v>1860</v>
      </c>
      <c r="K2565">
        <v>4028</v>
      </c>
      <c r="L2565">
        <v>4028</v>
      </c>
      <c r="M2565" s="29">
        <v>26853333333</v>
      </c>
      <c r="N2565">
        <v>0</v>
      </c>
      <c r="O2565" s="29">
        <v>26853333333</v>
      </c>
      <c r="P2565">
        <v>0</v>
      </c>
      <c r="Q2565">
        <v>0</v>
      </c>
      <c r="R2565">
        <v>0</v>
      </c>
      <c r="T2565" t="s">
        <v>2064</v>
      </c>
      <c r="U2565" s="29">
        <v>7874740</v>
      </c>
      <c r="V2565" t="s">
        <v>1262</v>
      </c>
      <c r="W2565" t="s">
        <v>1262</v>
      </c>
      <c r="X2565" s="29">
        <v>7874740</v>
      </c>
      <c r="AA2565" s="30">
        <v>45775.541666666664</v>
      </c>
      <c r="AB2565" s="30">
        <v>45777.458333333336</v>
      </c>
      <c r="AC2565" s="30">
        <v>45775.541666666664</v>
      </c>
      <c r="AD2565" s="30">
        <v>45777.458333333336</v>
      </c>
      <c r="AE2565" s="30">
        <v>45825.458333333336</v>
      </c>
      <c r="AF2565" s="30">
        <v>45827.416666666664</v>
      </c>
      <c r="AG2565" t="s">
        <v>1266</v>
      </c>
      <c r="AK2565" t="s">
        <v>1265</v>
      </c>
      <c r="AL2565" t="s">
        <v>2103</v>
      </c>
      <c r="AM2565" t="s">
        <v>1263</v>
      </c>
      <c r="AN2565" t="s">
        <v>1262</v>
      </c>
      <c r="AO2565">
        <v>0</v>
      </c>
      <c r="AQ2565" t="s">
        <v>1261</v>
      </c>
      <c r="AR2565" t="s">
        <v>1260</v>
      </c>
      <c r="AS2565" t="s">
        <v>1259</v>
      </c>
      <c r="AT2565" s="30">
        <v>46072.680555555555</v>
      </c>
    </row>
    <row r="2566" spans="1:46" x14ac:dyDescent="0.25">
      <c r="A2566" t="s">
        <v>1248</v>
      </c>
      <c r="B2566">
        <v>252999</v>
      </c>
      <c r="C2566">
        <v>352104</v>
      </c>
      <c r="D2566">
        <v>405</v>
      </c>
      <c r="E2566" t="s">
        <v>1266</v>
      </c>
      <c r="G2566">
        <v>745</v>
      </c>
      <c r="H2566">
        <v>1860</v>
      </c>
      <c r="K2566">
        <v>4028</v>
      </c>
      <c r="L2566">
        <v>4028</v>
      </c>
      <c r="M2566" s="29">
        <v>26853333333</v>
      </c>
      <c r="N2566">
        <v>0</v>
      </c>
      <c r="O2566" s="29">
        <v>26853333333</v>
      </c>
      <c r="P2566">
        <v>0</v>
      </c>
      <c r="Q2566">
        <v>0</v>
      </c>
      <c r="R2566">
        <v>0</v>
      </c>
      <c r="T2566" t="s">
        <v>2064</v>
      </c>
      <c r="U2566" s="29">
        <v>7874740</v>
      </c>
      <c r="V2566" t="s">
        <v>1262</v>
      </c>
      <c r="W2566" t="s">
        <v>1262</v>
      </c>
      <c r="X2566" s="29">
        <v>7874740</v>
      </c>
      <c r="AA2566" s="30">
        <v>45771.583333333336</v>
      </c>
      <c r="AB2566" s="30">
        <v>45775.5</v>
      </c>
      <c r="AC2566" s="30">
        <v>45771.583333333336</v>
      </c>
      <c r="AD2566" s="30">
        <v>45775.5</v>
      </c>
      <c r="AE2566" s="30">
        <v>45819.458333333336</v>
      </c>
      <c r="AF2566" s="30">
        <v>45821.416666666664</v>
      </c>
      <c r="AG2566" t="s">
        <v>1266</v>
      </c>
      <c r="AK2566" t="s">
        <v>1265</v>
      </c>
      <c r="AL2566" t="s">
        <v>2102</v>
      </c>
      <c r="AM2566" t="s">
        <v>1263</v>
      </c>
      <c r="AN2566" t="s">
        <v>1262</v>
      </c>
      <c r="AO2566">
        <v>0</v>
      </c>
      <c r="AQ2566" t="s">
        <v>1261</v>
      </c>
      <c r="AR2566" t="s">
        <v>1260</v>
      </c>
      <c r="AS2566" t="s">
        <v>1259</v>
      </c>
      <c r="AT2566" s="30">
        <v>46072.680555555555</v>
      </c>
    </row>
    <row r="2567" spans="1:46" x14ac:dyDescent="0.25">
      <c r="A2567" t="s">
        <v>1248</v>
      </c>
      <c r="B2567">
        <v>253000</v>
      </c>
      <c r="C2567">
        <v>352111</v>
      </c>
      <c r="D2567">
        <v>405</v>
      </c>
      <c r="E2567" t="s">
        <v>1266</v>
      </c>
      <c r="G2567">
        <v>745</v>
      </c>
      <c r="H2567">
        <v>1860</v>
      </c>
      <c r="K2567">
        <v>4028</v>
      </c>
      <c r="L2567">
        <v>4028</v>
      </c>
      <c r="M2567" s="29">
        <v>26853333333</v>
      </c>
      <c r="N2567">
        <v>0</v>
      </c>
      <c r="O2567" s="29">
        <v>26853333333</v>
      </c>
      <c r="P2567">
        <v>0</v>
      </c>
      <c r="Q2567">
        <v>0</v>
      </c>
      <c r="R2567">
        <v>0</v>
      </c>
      <c r="T2567" t="s">
        <v>2064</v>
      </c>
      <c r="U2567" s="29">
        <v>7874740</v>
      </c>
      <c r="V2567" t="s">
        <v>1262</v>
      </c>
      <c r="W2567" t="s">
        <v>1262</v>
      </c>
      <c r="X2567" s="29">
        <v>7874740</v>
      </c>
      <c r="AA2567" s="30">
        <v>45761.625</v>
      </c>
      <c r="AB2567" s="30">
        <v>45763.583333333336</v>
      </c>
      <c r="AC2567" s="30">
        <v>45761.625</v>
      </c>
      <c r="AD2567" s="30">
        <v>45763.583333333336</v>
      </c>
      <c r="AE2567" s="30">
        <v>45813.458333333336</v>
      </c>
      <c r="AF2567" s="30">
        <v>45817.416666666664</v>
      </c>
      <c r="AG2567" t="s">
        <v>1266</v>
      </c>
      <c r="AK2567" t="s">
        <v>1265</v>
      </c>
      <c r="AL2567" t="s">
        <v>2101</v>
      </c>
      <c r="AM2567" t="s">
        <v>1263</v>
      </c>
      <c r="AN2567" t="s">
        <v>1262</v>
      </c>
      <c r="AO2567">
        <v>0</v>
      </c>
      <c r="AQ2567" t="s">
        <v>1261</v>
      </c>
      <c r="AR2567" t="s">
        <v>1260</v>
      </c>
      <c r="AS2567" t="s">
        <v>1259</v>
      </c>
      <c r="AT2567" s="30">
        <v>46072.680555555555</v>
      </c>
    </row>
    <row r="2568" spans="1:46" x14ac:dyDescent="0.25">
      <c r="A2568" t="s">
        <v>1248</v>
      </c>
      <c r="B2568">
        <v>253001</v>
      </c>
      <c r="C2568">
        <v>352118</v>
      </c>
      <c r="D2568">
        <v>405</v>
      </c>
      <c r="E2568" t="s">
        <v>1266</v>
      </c>
      <c r="G2568">
        <v>745</v>
      </c>
      <c r="H2568">
        <v>1860</v>
      </c>
      <c r="K2568">
        <v>4028</v>
      </c>
      <c r="L2568">
        <v>4028</v>
      </c>
      <c r="M2568" s="29">
        <v>26853333333</v>
      </c>
      <c r="N2568">
        <v>0</v>
      </c>
      <c r="O2568" s="29">
        <v>26853333333</v>
      </c>
      <c r="P2568">
        <v>0</v>
      </c>
      <c r="Q2568">
        <v>0</v>
      </c>
      <c r="R2568">
        <v>0</v>
      </c>
      <c r="T2568" t="s">
        <v>2064</v>
      </c>
      <c r="U2568" s="29">
        <v>7874740</v>
      </c>
      <c r="V2568" t="s">
        <v>1262</v>
      </c>
      <c r="W2568" t="s">
        <v>1262</v>
      </c>
      <c r="X2568" s="29">
        <v>7874740</v>
      </c>
      <c r="AA2568" s="30">
        <v>45757.666666666664</v>
      </c>
      <c r="AB2568" s="30">
        <v>45761.625</v>
      </c>
      <c r="AC2568" s="30">
        <v>45757.666666666664</v>
      </c>
      <c r="AD2568" s="30">
        <v>45761.625</v>
      </c>
      <c r="AE2568" s="30">
        <v>45807.458333333336</v>
      </c>
      <c r="AF2568" s="30">
        <v>45811.416666666664</v>
      </c>
      <c r="AG2568" t="s">
        <v>1266</v>
      </c>
      <c r="AK2568" t="s">
        <v>1265</v>
      </c>
      <c r="AL2568" t="s">
        <v>2100</v>
      </c>
      <c r="AM2568" t="s">
        <v>1263</v>
      </c>
      <c r="AN2568" t="s">
        <v>1262</v>
      </c>
      <c r="AO2568">
        <v>0</v>
      </c>
      <c r="AQ2568" t="s">
        <v>1261</v>
      </c>
      <c r="AR2568" t="s">
        <v>1260</v>
      </c>
      <c r="AS2568" t="s">
        <v>1259</v>
      </c>
      <c r="AT2568" s="30">
        <v>46072.680555555555</v>
      </c>
    </row>
    <row r="2569" spans="1:46" x14ac:dyDescent="0.25">
      <c r="A2569" t="s">
        <v>1248</v>
      </c>
      <c r="B2569">
        <v>253002</v>
      </c>
      <c r="C2569">
        <v>352125</v>
      </c>
      <c r="D2569">
        <v>405</v>
      </c>
      <c r="E2569" t="s">
        <v>1266</v>
      </c>
      <c r="G2569">
        <v>745</v>
      </c>
      <c r="H2569">
        <v>1860</v>
      </c>
      <c r="K2569">
        <v>4028</v>
      </c>
      <c r="L2569">
        <v>4028</v>
      </c>
      <c r="M2569" s="29">
        <v>26853333333</v>
      </c>
      <c r="N2569">
        <v>0</v>
      </c>
      <c r="O2569" s="29">
        <v>26853333333</v>
      </c>
      <c r="P2569">
        <v>0</v>
      </c>
      <c r="Q2569">
        <v>0</v>
      </c>
      <c r="R2569">
        <v>0</v>
      </c>
      <c r="T2569" t="s">
        <v>2064</v>
      </c>
      <c r="U2569" s="29">
        <v>7874740</v>
      </c>
      <c r="V2569" t="s">
        <v>1262</v>
      </c>
      <c r="W2569" t="s">
        <v>1262</v>
      </c>
      <c r="X2569" s="29">
        <v>7874740</v>
      </c>
      <c r="AA2569" s="30">
        <v>45756.333333333336</v>
      </c>
      <c r="AB2569" s="30">
        <v>45757.666666666664</v>
      </c>
      <c r="AC2569" s="30">
        <v>45756.333333333336</v>
      </c>
      <c r="AD2569" s="30">
        <v>45757.666666666664</v>
      </c>
      <c r="AE2569" s="30">
        <v>45803.458333333336</v>
      </c>
      <c r="AF2569" s="30">
        <v>45805.416666666664</v>
      </c>
      <c r="AG2569" t="s">
        <v>1266</v>
      </c>
      <c r="AK2569" t="s">
        <v>1265</v>
      </c>
      <c r="AL2569" t="s">
        <v>2099</v>
      </c>
      <c r="AM2569" t="s">
        <v>1263</v>
      </c>
      <c r="AN2569" t="s">
        <v>1262</v>
      </c>
      <c r="AO2569">
        <v>0</v>
      </c>
      <c r="AQ2569" t="s">
        <v>1261</v>
      </c>
      <c r="AR2569" t="s">
        <v>1260</v>
      </c>
      <c r="AS2569" t="s">
        <v>1259</v>
      </c>
      <c r="AT2569" s="30">
        <v>46072.680555555555</v>
      </c>
    </row>
    <row r="2570" spans="1:46" x14ac:dyDescent="0.25">
      <c r="A2570" t="s">
        <v>1248</v>
      </c>
      <c r="B2570">
        <v>253003</v>
      </c>
      <c r="C2570">
        <v>352132</v>
      </c>
      <c r="D2570">
        <v>405</v>
      </c>
      <c r="E2570" t="s">
        <v>1266</v>
      </c>
      <c r="G2570">
        <v>745</v>
      </c>
      <c r="H2570">
        <v>1860</v>
      </c>
      <c r="K2570">
        <v>4028</v>
      </c>
      <c r="L2570">
        <v>4028</v>
      </c>
      <c r="M2570" s="29">
        <v>26853333333</v>
      </c>
      <c r="N2570">
        <v>0</v>
      </c>
      <c r="O2570" s="29">
        <v>26853333333</v>
      </c>
      <c r="P2570">
        <v>0</v>
      </c>
      <c r="Q2570">
        <v>0</v>
      </c>
      <c r="R2570">
        <v>0</v>
      </c>
      <c r="T2570" t="s">
        <v>2064</v>
      </c>
      <c r="U2570" s="29">
        <v>7874740</v>
      </c>
      <c r="V2570" t="s">
        <v>1262</v>
      </c>
      <c r="W2570" t="s">
        <v>1262</v>
      </c>
      <c r="X2570" s="29">
        <v>7874740</v>
      </c>
      <c r="AA2570" s="30">
        <v>45754.375</v>
      </c>
      <c r="AB2570" s="30">
        <v>45755.708333333336</v>
      </c>
      <c r="AC2570" s="30">
        <v>45754.375</v>
      </c>
      <c r="AD2570" s="30">
        <v>45755.708333333336</v>
      </c>
      <c r="AE2570" s="30">
        <v>45797.458333333336</v>
      </c>
      <c r="AF2570" s="30">
        <v>45799.416666666664</v>
      </c>
      <c r="AG2570" t="s">
        <v>1266</v>
      </c>
      <c r="AK2570" t="s">
        <v>1265</v>
      </c>
      <c r="AL2570" t="s">
        <v>2098</v>
      </c>
      <c r="AM2570" t="s">
        <v>1263</v>
      </c>
      <c r="AN2570" t="s">
        <v>1262</v>
      </c>
      <c r="AO2570">
        <v>0</v>
      </c>
      <c r="AQ2570" t="s">
        <v>1261</v>
      </c>
      <c r="AR2570" t="s">
        <v>1260</v>
      </c>
      <c r="AS2570" t="s">
        <v>1259</v>
      </c>
      <c r="AT2570" s="30">
        <v>46072.680555555555</v>
      </c>
    </row>
    <row r="2571" spans="1:46" x14ac:dyDescent="0.25">
      <c r="A2571" t="s">
        <v>1248</v>
      </c>
      <c r="B2571">
        <v>253004</v>
      </c>
      <c r="C2571">
        <v>352139</v>
      </c>
      <c r="D2571">
        <v>405</v>
      </c>
      <c r="E2571" t="s">
        <v>1266</v>
      </c>
      <c r="G2571">
        <v>745</v>
      </c>
      <c r="H2571">
        <v>1860</v>
      </c>
      <c r="K2571">
        <v>4028</v>
      </c>
      <c r="L2571">
        <v>4028</v>
      </c>
      <c r="M2571" s="29">
        <v>26853333333</v>
      </c>
      <c r="N2571">
        <v>0</v>
      </c>
      <c r="O2571" s="29">
        <v>26853333333</v>
      </c>
      <c r="P2571">
        <v>0</v>
      </c>
      <c r="Q2571">
        <v>0</v>
      </c>
      <c r="R2571">
        <v>0</v>
      </c>
      <c r="T2571" t="s">
        <v>2064</v>
      </c>
      <c r="U2571" s="29">
        <v>7874740</v>
      </c>
      <c r="V2571" t="s">
        <v>1262</v>
      </c>
      <c r="W2571" t="s">
        <v>1262</v>
      </c>
      <c r="X2571" s="29">
        <v>7874740</v>
      </c>
      <c r="AA2571" s="30">
        <v>45750.416666666664</v>
      </c>
      <c r="AB2571" s="30">
        <v>45754.375</v>
      </c>
      <c r="AC2571" s="30">
        <v>45750.416666666664</v>
      </c>
      <c r="AD2571" s="30">
        <v>45754.375</v>
      </c>
      <c r="AE2571" s="30">
        <v>45791.458333333336</v>
      </c>
      <c r="AF2571" s="30">
        <v>45793.416666666664</v>
      </c>
      <c r="AG2571" t="s">
        <v>1266</v>
      </c>
      <c r="AK2571" t="s">
        <v>1265</v>
      </c>
      <c r="AL2571" t="s">
        <v>2097</v>
      </c>
      <c r="AM2571" t="s">
        <v>1263</v>
      </c>
      <c r="AN2571" t="s">
        <v>1262</v>
      </c>
      <c r="AO2571">
        <v>0</v>
      </c>
      <c r="AQ2571" t="s">
        <v>1261</v>
      </c>
      <c r="AR2571" t="s">
        <v>1260</v>
      </c>
      <c r="AS2571" t="s">
        <v>1259</v>
      </c>
      <c r="AT2571" s="30">
        <v>46072.680555555555</v>
      </c>
    </row>
    <row r="2572" spans="1:46" x14ac:dyDescent="0.25">
      <c r="A2572" t="s">
        <v>1248</v>
      </c>
      <c r="B2572">
        <v>253005</v>
      </c>
      <c r="C2572">
        <v>352146</v>
      </c>
      <c r="D2572">
        <v>405</v>
      </c>
      <c r="E2572" t="s">
        <v>1266</v>
      </c>
      <c r="G2572">
        <v>745</v>
      </c>
      <c r="H2572">
        <v>1860</v>
      </c>
      <c r="K2572">
        <v>4028</v>
      </c>
      <c r="L2572">
        <v>4028</v>
      </c>
      <c r="M2572" s="29">
        <v>26853333333</v>
      </c>
      <c r="N2572">
        <v>0</v>
      </c>
      <c r="O2572" s="29">
        <v>26853333333</v>
      </c>
      <c r="P2572">
        <v>0</v>
      </c>
      <c r="Q2572">
        <v>0</v>
      </c>
      <c r="R2572">
        <v>0</v>
      </c>
      <c r="T2572" t="s">
        <v>2064</v>
      </c>
      <c r="U2572" s="29">
        <v>7874740</v>
      </c>
      <c r="V2572" t="s">
        <v>1262</v>
      </c>
      <c r="W2572" t="s">
        <v>1262</v>
      </c>
      <c r="X2572" s="29">
        <v>7874740</v>
      </c>
      <c r="AA2572" s="30">
        <v>45748.458333333336</v>
      </c>
      <c r="AB2572" s="30">
        <v>45750.416666666664</v>
      </c>
      <c r="AC2572" s="30">
        <v>45748.458333333336</v>
      </c>
      <c r="AD2572" s="30">
        <v>45750.416666666664</v>
      </c>
      <c r="AE2572" s="30">
        <v>45785.458333333336</v>
      </c>
      <c r="AF2572" s="30">
        <v>45789.416666666664</v>
      </c>
      <c r="AG2572" t="s">
        <v>1266</v>
      </c>
      <c r="AK2572" t="s">
        <v>1265</v>
      </c>
      <c r="AL2572" t="s">
        <v>2096</v>
      </c>
      <c r="AM2572" t="s">
        <v>1263</v>
      </c>
      <c r="AN2572" t="s">
        <v>1262</v>
      </c>
      <c r="AO2572">
        <v>0</v>
      </c>
      <c r="AQ2572" t="s">
        <v>1261</v>
      </c>
      <c r="AR2572" t="s">
        <v>1260</v>
      </c>
      <c r="AS2572" t="s">
        <v>1259</v>
      </c>
      <c r="AT2572" s="30">
        <v>46072.680555555555</v>
      </c>
    </row>
    <row r="2573" spans="1:46" x14ac:dyDescent="0.25">
      <c r="A2573" t="s">
        <v>1248</v>
      </c>
      <c r="B2573">
        <v>253006</v>
      </c>
      <c r="C2573">
        <v>352153</v>
      </c>
      <c r="D2573">
        <v>405</v>
      </c>
      <c r="E2573" t="s">
        <v>1266</v>
      </c>
      <c r="G2573">
        <v>745</v>
      </c>
      <c r="H2573">
        <v>1860</v>
      </c>
      <c r="K2573">
        <v>4028</v>
      </c>
      <c r="L2573">
        <v>4028</v>
      </c>
      <c r="M2573" s="29">
        <v>26853333333</v>
      </c>
      <c r="N2573">
        <v>0</v>
      </c>
      <c r="O2573" s="29">
        <v>26853333333</v>
      </c>
      <c r="P2573">
        <v>0</v>
      </c>
      <c r="Q2573">
        <v>0</v>
      </c>
      <c r="R2573">
        <v>0</v>
      </c>
      <c r="T2573" t="s">
        <v>2064</v>
      </c>
      <c r="U2573" s="29">
        <v>7874740</v>
      </c>
      <c r="V2573" t="s">
        <v>1262</v>
      </c>
      <c r="W2573" t="s">
        <v>1262</v>
      </c>
      <c r="X2573" s="29">
        <v>7874740</v>
      </c>
      <c r="AA2573" s="30">
        <v>45744.541666666664</v>
      </c>
      <c r="AB2573" s="30">
        <v>45748.458333333336</v>
      </c>
      <c r="AC2573" s="30">
        <v>45744.541666666664</v>
      </c>
      <c r="AD2573" s="30">
        <v>45748.458333333336</v>
      </c>
      <c r="AE2573" s="30">
        <v>45779.458333333336</v>
      </c>
      <c r="AF2573" s="30">
        <v>45783.416666666664</v>
      </c>
      <c r="AG2573" t="s">
        <v>1266</v>
      </c>
      <c r="AK2573" t="s">
        <v>1265</v>
      </c>
      <c r="AL2573" t="s">
        <v>2095</v>
      </c>
      <c r="AM2573" t="s">
        <v>1263</v>
      </c>
      <c r="AN2573" t="s">
        <v>1262</v>
      </c>
      <c r="AO2573">
        <v>0</v>
      </c>
      <c r="AQ2573" t="s">
        <v>1261</v>
      </c>
      <c r="AR2573" t="s">
        <v>1260</v>
      </c>
      <c r="AS2573" t="s">
        <v>1259</v>
      </c>
      <c r="AT2573" s="30">
        <v>46072.680555555555</v>
      </c>
    </row>
    <row r="2574" spans="1:46" x14ac:dyDescent="0.25">
      <c r="A2574" t="s">
        <v>1248</v>
      </c>
      <c r="B2574">
        <v>253007</v>
      </c>
      <c r="C2574">
        <v>352160</v>
      </c>
      <c r="D2574">
        <v>405</v>
      </c>
      <c r="E2574" t="s">
        <v>1266</v>
      </c>
      <c r="G2574">
        <v>745</v>
      </c>
      <c r="H2574">
        <v>1860</v>
      </c>
      <c r="K2574">
        <v>4028</v>
      </c>
      <c r="L2574">
        <v>4028</v>
      </c>
      <c r="M2574" s="29">
        <v>26853333333</v>
      </c>
      <c r="N2574">
        <v>0</v>
      </c>
      <c r="O2574" s="29">
        <v>26853333333</v>
      </c>
      <c r="P2574">
        <v>0</v>
      </c>
      <c r="Q2574">
        <v>0</v>
      </c>
      <c r="R2574">
        <v>0</v>
      </c>
      <c r="T2574" t="s">
        <v>2064</v>
      </c>
      <c r="U2574" s="29">
        <v>7874740</v>
      </c>
      <c r="V2574" t="s">
        <v>1262</v>
      </c>
      <c r="W2574" t="s">
        <v>1262</v>
      </c>
      <c r="X2574" s="29">
        <v>7874740</v>
      </c>
      <c r="AA2574" s="30">
        <v>45742.583333333336</v>
      </c>
      <c r="AB2574" s="30">
        <v>45744.5</v>
      </c>
      <c r="AC2574" s="30">
        <v>45742.583333333336</v>
      </c>
      <c r="AD2574" s="30">
        <v>45744.5</v>
      </c>
      <c r="AE2574" s="30">
        <v>45775.458333333336</v>
      </c>
      <c r="AF2574" s="30">
        <v>45777.416666666664</v>
      </c>
      <c r="AG2574" t="s">
        <v>1266</v>
      </c>
      <c r="AK2574" t="s">
        <v>1265</v>
      </c>
      <c r="AL2574" t="s">
        <v>2094</v>
      </c>
      <c r="AM2574" t="s">
        <v>1263</v>
      </c>
      <c r="AN2574" t="s">
        <v>1262</v>
      </c>
      <c r="AO2574">
        <v>0</v>
      </c>
      <c r="AQ2574" t="s">
        <v>1261</v>
      </c>
      <c r="AR2574" t="s">
        <v>1260</v>
      </c>
      <c r="AS2574" t="s">
        <v>1259</v>
      </c>
      <c r="AT2574" s="30">
        <v>46072.680555555555</v>
      </c>
    </row>
    <row r="2575" spans="1:46" x14ac:dyDescent="0.25">
      <c r="A2575" t="s">
        <v>1248</v>
      </c>
      <c r="B2575">
        <v>253008</v>
      </c>
      <c r="C2575">
        <v>352167</v>
      </c>
      <c r="D2575">
        <v>405</v>
      </c>
      <c r="E2575" t="s">
        <v>1266</v>
      </c>
      <c r="G2575">
        <v>745</v>
      </c>
      <c r="H2575">
        <v>1860</v>
      </c>
      <c r="K2575">
        <v>4028</v>
      </c>
      <c r="L2575">
        <v>4028</v>
      </c>
      <c r="M2575" s="29">
        <v>26853333333</v>
      </c>
      <c r="N2575">
        <v>0</v>
      </c>
      <c r="O2575" s="29">
        <v>26853333333</v>
      </c>
      <c r="P2575">
        <v>0</v>
      </c>
      <c r="Q2575">
        <v>0</v>
      </c>
      <c r="R2575">
        <v>0</v>
      </c>
      <c r="T2575" t="s">
        <v>2064</v>
      </c>
      <c r="U2575" s="29">
        <v>7874740</v>
      </c>
      <c r="V2575" t="s">
        <v>1262</v>
      </c>
      <c r="W2575" t="s">
        <v>1262</v>
      </c>
      <c r="X2575" s="29">
        <v>7874740</v>
      </c>
      <c r="AA2575" s="30">
        <v>45729.541666666664</v>
      </c>
      <c r="AB2575" s="30">
        <v>45733.458333333336</v>
      </c>
      <c r="AC2575" s="30">
        <v>45729.541666666664</v>
      </c>
      <c r="AD2575" s="30">
        <v>45733.458333333336</v>
      </c>
      <c r="AE2575" s="30">
        <v>45769.458333333336</v>
      </c>
      <c r="AF2575" s="30">
        <v>45771.416666666664</v>
      </c>
      <c r="AG2575" t="s">
        <v>1266</v>
      </c>
      <c r="AK2575" t="s">
        <v>1265</v>
      </c>
      <c r="AL2575" t="s">
        <v>2093</v>
      </c>
      <c r="AM2575" t="s">
        <v>1263</v>
      </c>
      <c r="AN2575" t="s">
        <v>1262</v>
      </c>
      <c r="AO2575">
        <v>0</v>
      </c>
      <c r="AQ2575" t="s">
        <v>1261</v>
      </c>
      <c r="AR2575" t="s">
        <v>1260</v>
      </c>
      <c r="AS2575" t="s">
        <v>1259</v>
      </c>
      <c r="AT2575" s="30">
        <v>46072.680555555555</v>
      </c>
    </row>
    <row r="2576" spans="1:46" x14ac:dyDescent="0.25">
      <c r="A2576" t="s">
        <v>1248</v>
      </c>
      <c r="B2576">
        <v>253009</v>
      </c>
      <c r="C2576">
        <v>352174</v>
      </c>
      <c r="D2576">
        <v>405</v>
      </c>
      <c r="E2576" t="s">
        <v>1266</v>
      </c>
      <c r="G2576">
        <v>745</v>
      </c>
      <c r="H2576">
        <v>1860</v>
      </c>
      <c r="K2576">
        <v>4028</v>
      </c>
      <c r="L2576">
        <v>4028</v>
      </c>
      <c r="M2576" s="29">
        <v>26853333333</v>
      </c>
      <c r="N2576">
        <v>0</v>
      </c>
      <c r="O2576" s="29">
        <v>26853333333</v>
      </c>
      <c r="P2576">
        <v>0</v>
      </c>
      <c r="Q2576">
        <v>0</v>
      </c>
      <c r="R2576">
        <v>0</v>
      </c>
      <c r="T2576" t="s">
        <v>2064</v>
      </c>
      <c r="U2576" s="29">
        <v>7874740</v>
      </c>
      <c r="V2576" t="s">
        <v>1262</v>
      </c>
      <c r="W2576" t="s">
        <v>1262</v>
      </c>
      <c r="X2576" s="29">
        <v>7874740</v>
      </c>
      <c r="AA2576" s="30">
        <v>45726.583333333336</v>
      </c>
      <c r="AB2576" s="30">
        <v>45728.5</v>
      </c>
      <c r="AC2576" s="30">
        <v>45726.583333333336</v>
      </c>
      <c r="AD2576" s="30">
        <v>45728.5</v>
      </c>
      <c r="AE2576" s="30">
        <v>45763.458333333336</v>
      </c>
      <c r="AF2576" s="30">
        <v>45765.416666666664</v>
      </c>
      <c r="AG2576" t="s">
        <v>1266</v>
      </c>
      <c r="AK2576" t="s">
        <v>1265</v>
      </c>
      <c r="AL2576" t="s">
        <v>2092</v>
      </c>
      <c r="AM2576" t="s">
        <v>1263</v>
      </c>
      <c r="AN2576" t="s">
        <v>1262</v>
      </c>
      <c r="AO2576">
        <v>0</v>
      </c>
      <c r="AQ2576" t="s">
        <v>1261</v>
      </c>
      <c r="AR2576" t="s">
        <v>1260</v>
      </c>
      <c r="AS2576" t="s">
        <v>1259</v>
      </c>
      <c r="AT2576" s="30">
        <v>46072.680555555555</v>
      </c>
    </row>
    <row r="2577" spans="1:46" x14ac:dyDescent="0.25">
      <c r="A2577" t="s">
        <v>1248</v>
      </c>
      <c r="B2577">
        <v>253010</v>
      </c>
      <c r="C2577">
        <v>352181</v>
      </c>
      <c r="D2577">
        <v>405</v>
      </c>
      <c r="E2577" t="s">
        <v>1266</v>
      </c>
      <c r="G2577">
        <v>745</v>
      </c>
      <c r="H2577">
        <v>1860</v>
      </c>
      <c r="K2577">
        <v>4028</v>
      </c>
      <c r="L2577">
        <v>4028</v>
      </c>
      <c r="M2577" s="29">
        <v>26853333333</v>
      </c>
      <c r="N2577">
        <v>0</v>
      </c>
      <c r="O2577" s="29">
        <v>26853333333</v>
      </c>
      <c r="P2577">
        <v>0</v>
      </c>
      <c r="Q2577">
        <v>0</v>
      </c>
      <c r="R2577">
        <v>0</v>
      </c>
      <c r="T2577" t="s">
        <v>2064</v>
      </c>
      <c r="U2577" s="29">
        <v>7874740</v>
      </c>
      <c r="V2577" t="s">
        <v>1262</v>
      </c>
      <c r="W2577" t="s">
        <v>1262</v>
      </c>
      <c r="X2577" s="29">
        <v>7874740</v>
      </c>
      <c r="AA2577" s="30">
        <v>45729.625</v>
      </c>
      <c r="AB2577" s="30">
        <v>45733.583333333336</v>
      </c>
      <c r="AC2577" s="30">
        <v>45729.625</v>
      </c>
      <c r="AD2577" s="30">
        <v>45733.583333333336</v>
      </c>
      <c r="AE2577" s="30">
        <v>45757.458333333336</v>
      </c>
      <c r="AF2577" s="30">
        <v>45761.416666666664</v>
      </c>
      <c r="AG2577" t="s">
        <v>1266</v>
      </c>
      <c r="AK2577" t="s">
        <v>1265</v>
      </c>
      <c r="AL2577" t="s">
        <v>2091</v>
      </c>
      <c r="AM2577" t="s">
        <v>1263</v>
      </c>
      <c r="AN2577" t="s">
        <v>1262</v>
      </c>
      <c r="AO2577">
        <v>0</v>
      </c>
      <c r="AQ2577" t="s">
        <v>1261</v>
      </c>
      <c r="AR2577" t="s">
        <v>1260</v>
      </c>
      <c r="AS2577" t="s">
        <v>1259</v>
      </c>
      <c r="AT2577" s="30">
        <v>46072.680555555555</v>
      </c>
    </row>
    <row r="2578" spans="1:46" x14ac:dyDescent="0.25">
      <c r="A2578" t="s">
        <v>1248</v>
      </c>
      <c r="B2578">
        <v>253011</v>
      </c>
      <c r="C2578">
        <v>352188</v>
      </c>
      <c r="D2578">
        <v>405</v>
      </c>
      <c r="E2578" t="s">
        <v>1266</v>
      </c>
      <c r="G2578">
        <v>745</v>
      </c>
      <c r="H2578">
        <v>1860</v>
      </c>
      <c r="K2578" s="29">
        <v>4296533333</v>
      </c>
      <c r="L2578" s="29">
        <v>4296533333</v>
      </c>
      <c r="M2578" s="29">
        <v>26853333333</v>
      </c>
      <c r="N2578">
        <v>0</v>
      </c>
      <c r="O2578" s="29">
        <v>26853333333</v>
      </c>
      <c r="P2578">
        <v>0</v>
      </c>
      <c r="Q2578">
        <v>0</v>
      </c>
      <c r="R2578">
        <v>0</v>
      </c>
      <c r="T2578" t="s">
        <v>2064</v>
      </c>
      <c r="U2578" s="29">
        <v>8399722</v>
      </c>
      <c r="V2578" t="s">
        <v>1262</v>
      </c>
      <c r="W2578" t="s">
        <v>1262</v>
      </c>
      <c r="X2578" s="29">
        <v>8399722</v>
      </c>
      <c r="AA2578" s="30">
        <v>45727.333333333336</v>
      </c>
      <c r="AB2578" s="30">
        <v>45728.708333333336</v>
      </c>
      <c r="AC2578" s="30">
        <v>45727.333333333336</v>
      </c>
      <c r="AD2578" s="30">
        <v>45728.708333333336</v>
      </c>
      <c r="AE2578" s="30">
        <v>45751.333333333336</v>
      </c>
      <c r="AF2578" s="30">
        <v>45754.708333333336</v>
      </c>
      <c r="AG2578" t="s">
        <v>1266</v>
      </c>
      <c r="AK2578" t="s">
        <v>1265</v>
      </c>
      <c r="AL2578" t="s">
        <v>2090</v>
      </c>
      <c r="AM2578" t="s">
        <v>1263</v>
      </c>
      <c r="AN2578" t="s">
        <v>1262</v>
      </c>
      <c r="AO2578">
        <v>0</v>
      </c>
      <c r="AQ2578" t="s">
        <v>1261</v>
      </c>
      <c r="AR2578" t="s">
        <v>1260</v>
      </c>
      <c r="AS2578" t="s">
        <v>1259</v>
      </c>
      <c r="AT2578" s="30">
        <v>46072.680555555555</v>
      </c>
    </row>
    <row r="2579" spans="1:46" x14ac:dyDescent="0.25">
      <c r="A2579" t="s">
        <v>1248</v>
      </c>
      <c r="B2579">
        <v>253012</v>
      </c>
      <c r="C2579">
        <v>352195</v>
      </c>
      <c r="D2579">
        <v>405</v>
      </c>
      <c r="E2579" t="s">
        <v>1266</v>
      </c>
      <c r="G2579">
        <v>745</v>
      </c>
      <c r="H2579">
        <v>1860</v>
      </c>
      <c r="K2579">
        <v>4028</v>
      </c>
      <c r="L2579">
        <v>4028</v>
      </c>
      <c r="M2579" s="29">
        <v>26853333333</v>
      </c>
      <c r="N2579">
        <v>0</v>
      </c>
      <c r="O2579" s="29">
        <v>26853333333</v>
      </c>
      <c r="P2579">
        <v>0</v>
      </c>
      <c r="Q2579">
        <v>0</v>
      </c>
      <c r="R2579">
        <v>0</v>
      </c>
      <c r="T2579" t="s">
        <v>2081</v>
      </c>
      <c r="U2579" s="29">
        <v>10070000</v>
      </c>
      <c r="V2579" t="s">
        <v>1262</v>
      </c>
      <c r="W2579" t="s">
        <v>1262</v>
      </c>
      <c r="X2579" s="29">
        <v>10070000</v>
      </c>
      <c r="AA2579" s="30">
        <v>45905.422222222223</v>
      </c>
      <c r="AB2579" s="30">
        <v>45909.380555555559</v>
      </c>
      <c r="AC2579" s="30">
        <v>45905.422222222223</v>
      </c>
      <c r="AD2579" s="30">
        <v>45909.380555555559</v>
      </c>
      <c r="AE2579" s="30">
        <v>46398.458333333336</v>
      </c>
      <c r="AF2579" s="30">
        <v>46400.416666666664</v>
      </c>
      <c r="AG2579" t="s">
        <v>1266</v>
      </c>
      <c r="AK2579" t="s">
        <v>1265</v>
      </c>
      <c r="AL2579" t="s">
        <v>2089</v>
      </c>
      <c r="AM2579" t="s">
        <v>1263</v>
      </c>
      <c r="AN2579" t="s">
        <v>1262</v>
      </c>
      <c r="AO2579">
        <v>0</v>
      </c>
      <c r="AQ2579" t="s">
        <v>1261</v>
      </c>
      <c r="AR2579" t="s">
        <v>1260</v>
      </c>
      <c r="AS2579" t="s">
        <v>1259</v>
      </c>
      <c r="AT2579" s="30">
        <v>46072.680555555555</v>
      </c>
    </row>
    <row r="2580" spans="1:46" x14ac:dyDescent="0.25">
      <c r="A2580" t="s">
        <v>1248</v>
      </c>
      <c r="B2580">
        <v>253013</v>
      </c>
      <c r="C2580">
        <v>352202</v>
      </c>
      <c r="D2580">
        <v>405</v>
      </c>
      <c r="E2580" t="s">
        <v>1266</v>
      </c>
      <c r="G2580">
        <v>745</v>
      </c>
      <c r="H2580">
        <v>1860</v>
      </c>
      <c r="K2580">
        <v>4028</v>
      </c>
      <c r="L2580">
        <v>4028</v>
      </c>
      <c r="M2580" s="29">
        <v>26853333333</v>
      </c>
      <c r="N2580">
        <v>0</v>
      </c>
      <c r="O2580" s="29">
        <v>26853333333</v>
      </c>
      <c r="P2580">
        <v>0</v>
      </c>
      <c r="Q2580">
        <v>0</v>
      </c>
      <c r="R2580">
        <v>0</v>
      </c>
      <c r="T2580" t="s">
        <v>2081</v>
      </c>
      <c r="U2580" s="29">
        <v>10070000</v>
      </c>
      <c r="V2580" t="s">
        <v>1262</v>
      </c>
      <c r="W2580" t="s">
        <v>1262</v>
      </c>
      <c r="X2580" s="29">
        <v>10070000</v>
      </c>
      <c r="AA2580" s="30">
        <v>45902.422222222223</v>
      </c>
      <c r="AB2580" s="30">
        <v>45904.380555555559</v>
      </c>
      <c r="AC2580" s="30">
        <v>45902.422222222223</v>
      </c>
      <c r="AD2580" s="30">
        <v>45904.380555555559</v>
      </c>
      <c r="AE2580" s="30">
        <v>46377.458333333336</v>
      </c>
      <c r="AF2580" s="30">
        <v>46379.416666666664</v>
      </c>
      <c r="AG2580" t="s">
        <v>1266</v>
      </c>
      <c r="AK2580" t="s">
        <v>1265</v>
      </c>
      <c r="AL2580" t="s">
        <v>2088</v>
      </c>
      <c r="AM2580" t="s">
        <v>1263</v>
      </c>
      <c r="AN2580" t="s">
        <v>1262</v>
      </c>
      <c r="AO2580">
        <v>0</v>
      </c>
      <c r="AQ2580" t="s">
        <v>1261</v>
      </c>
      <c r="AR2580" t="s">
        <v>1260</v>
      </c>
      <c r="AS2580" t="s">
        <v>1259</v>
      </c>
      <c r="AT2580" s="30">
        <v>46072.680555555555</v>
      </c>
    </row>
    <row r="2581" spans="1:46" x14ac:dyDescent="0.25">
      <c r="A2581" t="s">
        <v>1248</v>
      </c>
      <c r="B2581">
        <v>253014</v>
      </c>
      <c r="C2581">
        <v>352209</v>
      </c>
      <c r="D2581">
        <v>405</v>
      </c>
      <c r="E2581" t="s">
        <v>1266</v>
      </c>
      <c r="G2581">
        <v>745</v>
      </c>
      <c r="H2581">
        <v>1860</v>
      </c>
      <c r="K2581">
        <v>4028</v>
      </c>
      <c r="L2581">
        <v>4028</v>
      </c>
      <c r="M2581" s="29">
        <v>26853333333</v>
      </c>
      <c r="N2581">
        <v>0</v>
      </c>
      <c r="O2581" s="29">
        <v>26853333333</v>
      </c>
      <c r="P2581">
        <v>0</v>
      </c>
      <c r="Q2581">
        <v>0</v>
      </c>
      <c r="R2581">
        <v>0</v>
      </c>
      <c r="T2581" t="s">
        <v>2081</v>
      </c>
      <c r="U2581" s="29">
        <v>10070000</v>
      </c>
      <c r="V2581" t="s">
        <v>1262</v>
      </c>
      <c r="W2581" t="s">
        <v>1262</v>
      </c>
      <c r="X2581" s="29">
        <v>10070000</v>
      </c>
      <c r="AA2581" s="30">
        <v>45897.422222222223</v>
      </c>
      <c r="AB2581" s="30">
        <v>45901.380555555559</v>
      </c>
      <c r="AC2581" s="30">
        <v>45897.422222222223</v>
      </c>
      <c r="AD2581" s="30">
        <v>45901.380555555559</v>
      </c>
      <c r="AE2581" s="30">
        <v>46358.458333333336</v>
      </c>
      <c r="AF2581" s="30">
        <v>46360.416666666664</v>
      </c>
      <c r="AG2581" t="s">
        <v>1266</v>
      </c>
      <c r="AK2581" t="s">
        <v>1265</v>
      </c>
      <c r="AL2581" t="s">
        <v>2087</v>
      </c>
      <c r="AM2581" t="s">
        <v>1263</v>
      </c>
      <c r="AN2581" t="s">
        <v>1262</v>
      </c>
      <c r="AO2581">
        <v>0</v>
      </c>
      <c r="AQ2581" t="s">
        <v>1261</v>
      </c>
      <c r="AR2581" t="s">
        <v>1260</v>
      </c>
      <c r="AS2581" t="s">
        <v>1259</v>
      </c>
      <c r="AT2581" s="30">
        <v>46072.680555555555</v>
      </c>
    </row>
    <row r="2582" spans="1:46" x14ac:dyDescent="0.25">
      <c r="A2582" t="s">
        <v>1248</v>
      </c>
      <c r="B2582">
        <v>253015</v>
      </c>
      <c r="C2582">
        <v>352216</v>
      </c>
      <c r="D2582">
        <v>405</v>
      </c>
      <c r="E2582" t="s">
        <v>1266</v>
      </c>
      <c r="G2582">
        <v>745</v>
      </c>
      <c r="H2582">
        <v>1860</v>
      </c>
      <c r="K2582">
        <v>4028</v>
      </c>
      <c r="L2582">
        <v>4028</v>
      </c>
      <c r="M2582" s="29">
        <v>26853333333</v>
      </c>
      <c r="N2582">
        <v>0</v>
      </c>
      <c r="O2582" s="29">
        <v>26853333333</v>
      </c>
      <c r="P2582">
        <v>0</v>
      </c>
      <c r="Q2582">
        <v>0</v>
      </c>
      <c r="R2582">
        <v>0</v>
      </c>
      <c r="T2582" t="s">
        <v>2081</v>
      </c>
      <c r="U2582" s="29">
        <v>10070000</v>
      </c>
      <c r="V2582" t="s">
        <v>1262</v>
      </c>
      <c r="W2582" t="s">
        <v>1262</v>
      </c>
      <c r="X2582" s="29">
        <v>10070000</v>
      </c>
      <c r="AA2582" s="30">
        <v>45894.422222222223</v>
      </c>
      <c r="AB2582" s="30">
        <v>45896.380555555559</v>
      </c>
      <c r="AC2582" s="30">
        <v>45894.422222222223</v>
      </c>
      <c r="AD2582" s="30">
        <v>45896.380555555559</v>
      </c>
      <c r="AE2582" s="30">
        <v>46342.458333333336</v>
      </c>
      <c r="AF2582" s="30">
        <v>46344.416666666664</v>
      </c>
      <c r="AG2582" t="s">
        <v>1266</v>
      </c>
      <c r="AK2582" t="s">
        <v>1265</v>
      </c>
      <c r="AL2582" t="s">
        <v>2086</v>
      </c>
      <c r="AM2582" t="s">
        <v>1263</v>
      </c>
      <c r="AN2582" t="s">
        <v>1262</v>
      </c>
      <c r="AO2582">
        <v>0</v>
      </c>
      <c r="AQ2582" t="s">
        <v>1261</v>
      </c>
      <c r="AR2582" t="s">
        <v>1260</v>
      </c>
      <c r="AS2582" t="s">
        <v>1259</v>
      </c>
      <c r="AT2582" s="30">
        <v>46072.680555555555</v>
      </c>
    </row>
    <row r="2583" spans="1:46" x14ac:dyDescent="0.25">
      <c r="A2583" t="s">
        <v>1248</v>
      </c>
      <c r="B2583">
        <v>253016</v>
      </c>
      <c r="C2583">
        <v>352223</v>
      </c>
      <c r="D2583">
        <v>405</v>
      </c>
      <c r="E2583" t="s">
        <v>1266</v>
      </c>
      <c r="G2583">
        <v>745</v>
      </c>
      <c r="H2583">
        <v>1860</v>
      </c>
      <c r="K2583">
        <v>4028</v>
      </c>
      <c r="L2583">
        <v>4028</v>
      </c>
      <c r="M2583" s="29">
        <v>26853333333</v>
      </c>
      <c r="N2583">
        <v>0</v>
      </c>
      <c r="O2583" s="29">
        <v>26853333333</v>
      </c>
      <c r="P2583">
        <v>0</v>
      </c>
      <c r="Q2583">
        <v>0</v>
      </c>
      <c r="R2583">
        <v>0</v>
      </c>
      <c r="T2583" t="s">
        <v>2081</v>
      </c>
      <c r="U2583" s="29">
        <v>10070000</v>
      </c>
      <c r="V2583" t="s">
        <v>1262</v>
      </c>
      <c r="W2583" t="s">
        <v>1262</v>
      </c>
      <c r="X2583" s="29">
        <v>10070000</v>
      </c>
      <c r="AA2583" s="30">
        <v>45889.588888888888</v>
      </c>
      <c r="AB2583" s="30">
        <v>45891.547222222223</v>
      </c>
      <c r="AC2583" s="30">
        <v>45889.588888888888</v>
      </c>
      <c r="AD2583" s="30">
        <v>45891.547222222223</v>
      </c>
      <c r="AE2583" s="30">
        <v>46324.458333333336</v>
      </c>
      <c r="AF2583" s="30">
        <v>46328.416666666664</v>
      </c>
      <c r="AG2583" t="s">
        <v>1266</v>
      </c>
      <c r="AK2583" t="s">
        <v>1265</v>
      </c>
      <c r="AL2583" t="s">
        <v>2085</v>
      </c>
      <c r="AM2583" t="s">
        <v>1263</v>
      </c>
      <c r="AN2583" t="s">
        <v>1262</v>
      </c>
      <c r="AO2583">
        <v>0</v>
      </c>
      <c r="AQ2583" t="s">
        <v>1261</v>
      </c>
      <c r="AR2583" t="s">
        <v>1260</v>
      </c>
      <c r="AS2583" t="s">
        <v>1259</v>
      </c>
      <c r="AT2583" s="30">
        <v>46072.680555555555</v>
      </c>
    </row>
    <row r="2584" spans="1:46" x14ac:dyDescent="0.25">
      <c r="A2584" t="s">
        <v>1248</v>
      </c>
      <c r="B2584">
        <v>253017</v>
      </c>
      <c r="C2584">
        <v>352230</v>
      </c>
      <c r="D2584">
        <v>405</v>
      </c>
      <c r="E2584" t="s">
        <v>1266</v>
      </c>
      <c r="G2584">
        <v>745</v>
      </c>
      <c r="H2584">
        <v>1860</v>
      </c>
      <c r="K2584">
        <v>4028</v>
      </c>
      <c r="L2584">
        <v>4028</v>
      </c>
      <c r="M2584" s="29">
        <v>26853333333</v>
      </c>
      <c r="N2584">
        <v>0</v>
      </c>
      <c r="O2584" s="29">
        <v>26853333333</v>
      </c>
      <c r="P2584">
        <v>0</v>
      </c>
      <c r="Q2584">
        <v>0</v>
      </c>
      <c r="R2584">
        <v>0</v>
      </c>
      <c r="T2584" t="s">
        <v>2081</v>
      </c>
      <c r="U2584" s="29">
        <v>10070000</v>
      </c>
      <c r="V2584" t="s">
        <v>1262</v>
      </c>
      <c r="W2584" t="s">
        <v>1262</v>
      </c>
      <c r="X2584" s="29">
        <v>10070000</v>
      </c>
      <c r="AA2584" s="30">
        <v>45887.630555555559</v>
      </c>
      <c r="AB2584" s="30">
        <v>45889.588888888888</v>
      </c>
      <c r="AC2584" s="30">
        <v>45887.630555555559</v>
      </c>
      <c r="AD2584" s="30">
        <v>45889.588888888888</v>
      </c>
      <c r="AE2584" s="30">
        <v>46308.458333333336</v>
      </c>
      <c r="AF2584" s="30">
        <v>46310.416666666664</v>
      </c>
      <c r="AG2584" t="s">
        <v>1266</v>
      </c>
      <c r="AK2584" t="s">
        <v>1265</v>
      </c>
      <c r="AL2584" t="s">
        <v>2084</v>
      </c>
      <c r="AM2584" t="s">
        <v>1263</v>
      </c>
      <c r="AN2584" t="s">
        <v>1262</v>
      </c>
      <c r="AO2584">
        <v>0</v>
      </c>
      <c r="AQ2584" t="s">
        <v>1261</v>
      </c>
      <c r="AR2584" t="s">
        <v>1260</v>
      </c>
      <c r="AS2584" t="s">
        <v>1259</v>
      </c>
      <c r="AT2584" s="30">
        <v>46072.680555555555</v>
      </c>
    </row>
    <row r="2585" spans="1:46" x14ac:dyDescent="0.25">
      <c r="A2585" t="s">
        <v>1248</v>
      </c>
      <c r="B2585">
        <v>253018</v>
      </c>
      <c r="C2585">
        <v>352237</v>
      </c>
      <c r="D2585">
        <v>405</v>
      </c>
      <c r="E2585" t="s">
        <v>1266</v>
      </c>
      <c r="G2585">
        <v>745</v>
      </c>
      <c r="H2585">
        <v>1860</v>
      </c>
      <c r="K2585">
        <v>4028</v>
      </c>
      <c r="L2585">
        <v>4028</v>
      </c>
      <c r="M2585" s="29">
        <v>26853333333</v>
      </c>
      <c r="N2585">
        <v>0</v>
      </c>
      <c r="O2585" s="29">
        <v>26853333333</v>
      </c>
      <c r="P2585">
        <v>0</v>
      </c>
      <c r="Q2585">
        <v>0</v>
      </c>
      <c r="R2585">
        <v>0</v>
      </c>
      <c r="T2585" t="s">
        <v>2081</v>
      </c>
      <c r="U2585" s="29">
        <v>10070000</v>
      </c>
      <c r="V2585" t="s">
        <v>1262</v>
      </c>
      <c r="W2585" t="s">
        <v>1262</v>
      </c>
      <c r="X2585" s="29">
        <v>10070000</v>
      </c>
      <c r="AA2585" s="30">
        <v>45883.672222222223</v>
      </c>
      <c r="AB2585" s="30">
        <v>45887.630555555559</v>
      </c>
      <c r="AC2585" s="30">
        <v>45883.672222222223</v>
      </c>
      <c r="AD2585" s="30">
        <v>45887.630555555559</v>
      </c>
      <c r="AE2585" s="30">
        <v>46290.458333333336</v>
      </c>
      <c r="AF2585" s="30">
        <v>46294.416666666664</v>
      </c>
      <c r="AG2585" t="s">
        <v>1266</v>
      </c>
      <c r="AK2585" t="s">
        <v>1265</v>
      </c>
      <c r="AL2585" t="s">
        <v>2083</v>
      </c>
      <c r="AM2585" t="s">
        <v>1263</v>
      </c>
      <c r="AN2585" t="s">
        <v>1262</v>
      </c>
      <c r="AO2585">
        <v>0</v>
      </c>
      <c r="AQ2585" t="s">
        <v>1261</v>
      </c>
      <c r="AR2585" t="s">
        <v>1260</v>
      </c>
      <c r="AS2585" t="s">
        <v>1259</v>
      </c>
      <c r="AT2585" s="30">
        <v>46072.680555555555</v>
      </c>
    </row>
    <row r="2586" spans="1:46" x14ac:dyDescent="0.25">
      <c r="A2586" t="s">
        <v>1248</v>
      </c>
      <c r="B2586">
        <v>253019</v>
      </c>
      <c r="C2586">
        <v>352244</v>
      </c>
      <c r="D2586">
        <v>405</v>
      </c>
      <c r="E2586" t="s">
        <v>1266</v>
      </c>
      <c r="G2586">
        <v>745</v>
      </c>
      <c r="H2586">
        <v>1860</v>
      </c>
      <c r="K2586">
        <v>4028</v>
      </c>
      <c r="L2586">
        <v>4028</v>
      </c>
      <c r="M2586" s="29">
        <v>10003311258</v>
      </c>
      <c r="N2586">
        <v>0</v>
      </c>
      <c r="O2586" s="29">
        <v>10003311258</v>
      </c>
      <c r="P2586">
        <v>0</v>
      </c>
      <c r="Q2586">
        <v>0</v>
      </c>
      <c r="R2586">
        <v>0</v>
      </c>
      <c r="T2586" t="s">
        <v>2081</v>
      </c>
      <c r="U2586" s="29">
        <v>10070000</v>
      </c>
      <c r="V2586" t="s">
        <v>1262</v>
      </c>
      <c r="W2586" t="s">
        <v>1262</v>
      </c>
      <c r="X2586" s="29">
        <v>10070000</v>
      </c>
      <c r="AA2586" s="30">
        <v>45882.338888888888</v>
      </c>
      <c r="AB2586" s="30">
        <v>45889.35</v>
      </c>
      <c r="AC2586" s="30">
        <v>45882.338888888888</v>
      </c>
      <c r="AD2586" s="30">
        <v>45889.35</v>
      </c>
      <c r="AE2586" s="30">
        <v>46269.405555555553</v>
      </c>
      <c r="AF2586" s="30">
        <v>46276.416666666664</v>
      </c>
      <c r="AG2586" t="s">
        <v>1266</v>
      </c>
      <c r="AK2586" t="s">
        <v>1265</v>
      </c>
      <c r="AL2586" t="s">
        <v>2082</v>
      </c>
      <c r="AM2586" t="s">
        <v>1263</v>
      </c>
      <c r="AN2586" t="s">
        <v>1262</v>
      </c>
      <c r="AO2586">
        <v>0</v>
      </c>
      <c r="AQ2586" t="s">
        <v>1261</v>
      </c>
      <c r="AR2586" t="s">
        <v>1260</v>
      </c>
      <c r="AS2586" t="s">
        <v>1259</v>
      </c>
      <c r="AT2586" s="30">
        <v>46072.680555555555</v>
      </c>
    </row>
    <row r="2587" spans="1:46" x14ac:dyDescent="0.25">
      <c r="A2587" t="s">
        <v>1248</v>
      </c>
      <c r="B2587">
        <v>253020</v>
      </c>
      <c r="C2587">
        <v>352251</v>
      </c>
      <c r="D2587">
        <v>405</v>
      </c>
      <c r="E2587" t="s">
        <v>1266</v>
      </c>
      <c r="G2587">
        <v>745</v>
      </c>
      <c r="H2587">
        <v>1860</v>
      </c>
      <c r="K2587">
        <v>4028</v>
      </c>
      <c r="L2587">
        <v>4028</v>
      </c>
      <c r="M2587" s="29">
        <v>10003311258</v>
      </c>
      <c r="N2587">
        <v>0</v>
      </c>
      <c r="O2587" s="29">
        <v>10003311258</v>
      </c>
      <c r="P2587">
        <v>0</v>
      </c>
      <c r="Q2587">
        <v>0</v>
      </c>
      <c r="R2587">
        <v>0</v>
      </c>
      <c r="T2587" t="s">
        <v>2081</v>
      </c>
      <c r="U2587" s="29">
        <v>10070000</v>
      </c>
      <c r="V2587" t="s">
        <v>1262</v>
      </c>
      <c r="W2587" t="s">
        <v>1262</v>
      </c>
      <c r="X2587" s="29">
        <v>10070000</v>
      </c>
      <c r="AA2587" s="30">
        <v>45880.380555555559</v>
      </c>
      <c r="AB2587" s="30">
        <v>45887.39166666667</v>
      </c>
      <c r="AC2587" s="30">
        <v>45880.380555555559</v>
      </c>
      <c r="AD2587" s="30">
        <v>45887.39166666667</v>
      </c>
      <c r="AE2587" s="30">
        <v>46253.405555555553</v>
      </c>
      <c r="AF2587" s="30">
        <v>46260.416666666664</v>
      </c>
      <c r="AG2587" t="s">
        <v>1266</v>
      </c>
      <c r="AK2587" t="s">
        <v>1265</v>
      </c>
      <c r="AL2587" t="s">
        <v>2080</v>
      </c>
      <c r="AM2587" t="s">
        <v>1263</v>
      </c>
      <c r="AN2587" t="s">
        <v>1262</v>
      </c>
      <c r="AO2587">
        <v>0</v>
      </c>
      <c r="AQ2587" t="s">
        <v>1261</v>
      </c>
      <c r="AR2587" t="s">
        <v>1260</v>
      </c>
      <c r="AS2587" t="s">
        <v>1259</v>
      </c>
      <c r="AT2587" s="30">
        <v>46072.680555555555</v>
      </c>
    </row>
    <row r="2588" spans="1:46" x14ac:dyDescent="0.25">
      <c r="A2588" t="s">
        <v>1248</v>
      </c>
      <c r="B2588">
        <v>253021</v>
      </c>
      <c r="C2588">
        <v>352258</v>
      </c>
      <c r="D2588">
        <v>405</v>
      </c>
      <c r="E2588" t="s">
        <v>1266</v>
      </c>
      <c r="G2588">
        <v>745</v>
      </c>
      <c r="H2588">
        <v>1860</v>
      </c>
      <c r="K2588">
        <v>4028</v>
      </c>
      <c r="L2588">
        <v>4028</v>
      </c>
      <c r="M2588" s="29">
        <v>10003311258</v>
      </c>
      <c r="N2588">
        <v>0</v>
      </c>
      <c r="O2588" s="29">
        <v>10003311258</v>
      </c>
      <c r="P2588">
        <v>0</v>
      </c>
      <c r="Q2588">
        <v>0</v>
      </c>
      <c r="R2588">
        <v>0</v>
      </c>
      <c r="T2588" t="s">
        <v>2064</v>
      </c>
      <c r="U2588" s="29">
        <v>9750161</v>
      </c>
      <c r="V2588" t="s">
        <v>1262</v>
      </c>
      <c r="W2588" t="s">
        <v>1262</v>
      </c>
      <c r="X2588" s="29">
        <v>9750161</v>
      </c>
      <c r="AA2588" s="30">
        <v>45876.422222222223</v>
      </c>
      <c r="AB2588" s="30">
        <v>45883.433333333334</v>
      </c>
      <c r="AC2588" s="30">
        <v>45876.422222222223</v>
      </c>
      <c r="AD2588" s="30">
        <v>45883.433333333334</v>
      </c>
      <c r="AE2588" s="30">
        <v>46237.405555555553</v>
      </c>
      <c r="AF2588" s="30">
        <v>46244.416666666664</v>
      </c>
      <c r="AG2588" t="s">
        <v>1266</v>
      </c>
      <c r="AK2588" t="s">
        <v>1265</v>
      </c>
      <c r="AL2588" t="s">
        <v>2079</v>
      </c>
      <c r="AM2588" t="s">
        <v>1263</v>
      </c>
      <c r="AN2588" t="s">
        <v>1262</v>
      </c>
      <c r="AO2588">
        <v>0</v>
      </c>
      <c r="AQ2588" t="s">
        <v>1261</v>
      </c>
      <c r="AR2588" t="s">
        <v>1260</v>
      </c>
      <c r="AS2588" t="s">
        <v>1259</v>
      </c>
      <c r="AT2588" s="30">
        <v>46072.680555555555</v>
      </c>
    </row>
    <row r="2589" spans="1:46" x14ac:dyDescent="0.25">
      <c r="A2589" t="s">
        <v>1248</v>
      </c>
      <c r="B2589">
        <v>253022</v>
      </c>
      <c r="C2589">
        <v>352265</v>
      </c>
      <c r="D2589">
        <v>405</v>
      </c>
      <c r="E2589" t="s">
        <v>1266</v>
      </c>
      <c r="G2589">
        <v>745</v>
      </c>
      <c r="H2589">
        <v>1860</v>
      </c>
      <c r="K2589">
        <v>4028</v>
      </c>
      <c r="L2589">
        <v>4028</v>
      </c>
      <c r="M2589" s="29">
        <v>10003311258</v>
      </c>
      <c r="N2589">
        <v>0</v>
      </c>
      <c r="O2589" s="29">
        <v>10003311258</v>
      </c>
      <c r="P2589">
        <v>0</v>
      </c>
      <c r="Q2589">
        <v>0</v>
      </c>
      <c r="R2589">
        <v>0</v>
      </c>
      <c r="T2589" t="s">
        <v>2064</v>
      </c>
      <c r="U2589" s="29">
        <v>7874740</v>
      </c>
      <c r="V2589" t="s">
        <v>1262</v>
      </c>
      <c r="W2589" t="s">
        <v>1262</v>
      </c>
      <c r="X2589" s="29">
        <v>7874740</v>
      </c>
      <c r="AA2589" s="30">
        <v>45866.688888888886</v>
      </c>
      <c r="AB2589" s="30">
        <v>45873.7</v>
      </c>
      <c r="AC2589" s="30">
        <v>45866.688888888886</v>
      </c>
      <c r="AD2589" s="30">
        <v>45873.7</v>
      </c>
      <c r="AE2589" s="30">
        <v>46219.405555555553</v>
      </c>
      <c r="AF2589" s="30">
        <v>46226.416666666664</v>
      </c>
      <c r="AG2589" t="s">
        <v>1266</v>
      </c>
      <c r="AK2589" t="s">
        <v>1265</v>
      </c>
      <c r="AL2589" t="s">
        <v>2078</v>
      </c>
      <c r="AM2589" t="s">
        <v>1263</v>
      </c>
      <c r="AN2589" t="s">
        <v>1262</v>
      </c>
      <c r="AO2589">
        <v>0</v>
      </c>
      <c r="AQ2589" t="s">
        <v>1261</v>
      </c>
      <c r="AR2589" t="s">
        <v>1260</v>
      </c>
      <c r="AS2589" t="s">
        <v>1259</v>
      </c>
      <c r="AT2589" s="30">
        <v>46072.680555555555</v>
      </c>
    </row>
    <row r="2590" spans="1:46" x14ac:dyDescent="0.25">
      <c r="A2590" t="s">
        <v>1248</v>
      </c>
      <c r="B2590">
        <v>253023</v>
      </c>
      <c r="C2590">
        <v>352272</v>
      </c>
      <c r="D2590">
        <v>405</v>
      </c>
      <c r="E2590" t="s">
        <v>1266</v>
      </c>
      <c r="G2590">
        <v>745</v>
      </c>
      <c r="H2590">
        <v>1860</v>
      </c>
      <c r="K2590">
        <v>4028</v>
      </c>
      <c r="L2590">
        <v>4028</v>
      </c>
      <c r="M2590" s="29">
        <v>10003311258</v>
      </c>
      <c r="N2590">
        <v>0</v>
      </c>
      <c r="O2590" s="29">
        <v>10003311258</v>
      </c>
      <c r="P2590">
        <v>0</v>
      </c>
      <c r="Q2590">
        <v>0</v>
      </c>
      <c r="R2590">
        <v>0</v>
      </c>
      <c r="T2590" t="s">
        <v>2064</v>
      </c>
      <c r="U2590" s="29">
        <v>7874740</v>
      </c>
      <c r="V2590" t="s">
        <v>1262</v>
      </c>
      <c r="W2590" t="s">
        <v>1262</v>
      </c>
      <c r="X2590" s="29">
        <v>7874740</v>
      </c>
      <c r="AA2590" s="30">
        <v>45863.355555555558</v>
      </c>
      <c r="AB2590" s="30">
        <v>45870.366666666669</v>
      </c>
      <c r="AC2590" s="30">
        <v>45863.355555555558</v>
      </c>
      <c r="AD2590" s="30">
        <v>45870.366666666669</v>
      </c>
      <c r="AE2590" s="30">
        <v>46203.405555555553</v>
      </c>
      <c r="AF2590" s="30">
        <v>46210.416666666664</v>
      </c>
      <c r="AG2590" t="s">
        <v>1266</v>
      </c>
      <c r="AK2590" t="s">
        <v>1265</v>
      </c>
      <c r="AL2590" t="s">
        <v>2077</v>
      </c>
      <c r="AM2590" t="s">
        <v>1263</v>
      </c>
      <c r="AN2590" t="s">
        <v>1262</v>
      </c>
      <c r="AO2590">
        <v>0</v>
      </c>
      <c r="AQ2590" t="s">
        <v>1261</v>
      </c>
      <c r="AR2590" t="s">
        <v>1260</v>
      </c>
      <c r="AS2590" t="s">
        <v>1259</v>
      </c>
      <c r="AT2590" s="30">
        <v>46072.680555555555</v>
      </c>
    </row>
    <row r="2591" spans="1:46" x14ac:dyDescent="0.25">
      <c r="A2591" t="s">
        <v>1248</v>
      </c>
      <c r="B2591">
        <v>253024</v>
      </c>
      <c r="C2591">
        <v>352279</v>
      </c>
      <c r="D2591">
        <v>405</v>
      </c>
      <c r="E2591" t="s">
        <v>1266</v>
      </c>
      <c r="G2591">
        <v>745</v>
      </c>
      <c r="H2591">
        <v>1860</v>
      </c>
      <c r="K2591">
        <v>4028</v>
      </c>
      <c r="L2591">
        <v>4028</v>
      </c>
      <c r="M2591" s="29">
        <v>10003311258</v>
      </c>
      <c r="N2591">
        <v>0</v>
      </c>
      <c r="O2591" s="29">
        <v>10003311258</v>
      </c>
      <c r="P2591">
        <v>0</v>
      </c>
      <c r="Q2591">
        <v>0</v>
      </c>
      <c r="R2591">
        <v>0</v>
      </c>
      <c r="T2591" t="s">
        <v>2064</v>
      </c>
      <c r="U2591" s="29">
        <v>7874740</v>
      </c>
      <c r="V2591" t="s">
        <v>1262</v>
      </c>
      <c r="W2591" t="s">
        <v>1262</v>
      </c>
      <c r="X2591" s="29">
        <v>7874740</v>
      </c>
      <c r="AA2591" s="30">
        <v>45861.397222222222</v>
      </c>
      <c r="AB2591" s="30">
        <v>45868.408333333333</v>
      </c>
      <c r="AC2591" s="30">
        <v>45861.397222222222</v>
      </c>
      <c r="AD2591" s="30">
        <v>45868.408333333333</v>
      </c>
      <c r="AE2591" s="30">
        <v>46185.405555555553</v>
      </c>
      <c r="AF2591" s="30">
        <v>46192.416666666664</v>
      </c>
      <c r="AG2591" t="s">
        <v>1266</v>
      </c>
      <c r="AK2591" t="s">
        <v>1265</v>
      </c>
      <c r="AL2591" t="s">
        <v>2076</v>
      </c>
      <c r="AM2591" t="s">
        <v>1263</v>
      </c>
      <c r="AN2591" t="s">
        <v>1262</v>
      </c>
      <c r="AO2591">
        <v>0</v>
      </c>
      <c r="AQ2591" t="s">
        <v>1261</v>
      </c>
      <c r="AR2591" t="s">
        <v>1260</v>
      </c>
      <c r="AS2591" t="s">
        <v>1259</v>
      </c>
      <c r="AT2591" s="30">
        <v>46072.680555555555</v>
      </c>
    </row>
    <row r="2592" spans="1:46" x14ac:dyDescent="0.25">
      <c r="A2592" t="s">
        <v>1248</v>
      </c>
      <c r="B2592">
        <v>253025</v>
      </c>
      <c r="C2592">
        <v>352286</v>
      </c>
      <c r="D2592">
        <v>405</v>
      </c>
      <c r="E2592" t="s">
        <v>1266</v>
      </c>
      <c r="G2592">
        <v>745</v>
      </c>
      <c r="H2592">
        <v>1860</v>
      </c>
      <c r="K2592">
        <v>4028</v>
      </c>
      <c r="L2592">
        <v>4028</v>
      </c>
      <c r="M2592" s="29">
        <v>10003311258</v>
      </c>
      <c r="N2592">
        <v>0</v>
      </c>
      <c r="O2592" s="29">
        <v>10003311258</v>
      </c>
      <c r="P2592">
        <v>0</v>
      </c>
      <c r="Q2592">
        <v>0</v>
      </c>
      <c r="R2592">
        <v>0</v>
      </c>
      <c r="T2592" t="s">
        <v>2064</v>
      </c>
      <c r="U2592" s="29">
        <v>7874740</v>
      </c>
      <c r="V2592" t="s">
        <v>1262</v>
      </c>
      <c r="W2592" t="s">
        <v>1262</v>
      </c>
      <c r="X2592" s="29">
        <v>7874740</v>
      </c>
      <c r="AA2592" s="30">
        <v>45859.438888888886</v>
      </c>
      <c r="AB2592" s="30">
        <v>45866.45</v>
      </c>
      <c r="AC2592" s="30">
        <v>45859.438888888886</v>
      </c>
      <c r="AD2592" s="30">
        <v>45866.45</v>
      </c>
      <c r="AE2592" s="30">
        <v>46168.405555555553</v>
      </c>
      <c r="AF2592" s="30">
        <v>46176.416666666664</v>
      </c>
      <c r="AG2592" t="s">
        <v>1266</v>
      </c>
      <c r="AK2592" t="s">
        <v>1265</v>
      </c>
      <c r="AL2592" t="s">
        <v>2075</v>
      </c>
      <c r="AM2592" t="s">
        <v>1263</v>
      </c>
      <c r="AN2592" t="s">
        <v>1262</v>
      </c>
      <c r="AO2592">
        <v>0</v>
      </c>
      <c r="AQ2592" t="s">
        <v>1261</v>
      </c>
      <c r="AR2592" t="s">
        <v>1260</v>
      </c>
      <c r="AS2592" t="s">
        <v>1259</v>
      </c>
      <c r="AT2592" s="30">
        <v>46072.680555555555</v>
      </c>
    </row>
    <row r="2593" spans="1:46" x14ac:dyDescent="0.25">
      <c r="A2593" t="s">
        <v>1248</v>
      </c>
      <c r="B2593">
        <v>253026</v>
      </c>
      <c r="C2593">
        <v>352293</v>
      </c>
      <c r="D2593">
        <v>405</v>
      </c>
      <c r="E2593" t="s">
        <v>1266</v>
      </c>
      <c r="G2593">
        <v>745</v>
      </c>
      <c r="H2593">
        <v>1860</v>
      </c>
      <c r="K2593">
        <v>4028</v>
      </c>
      <c r="L2593">
        <v>4028</v>
      </c>
      <c r="M2593" s="29">
        <v>10003311258</v>
      </c>
      <c r="N2593">
        <v>0</v>
      </c>
      <c r="O2593" s="29">
        <v>10003311258</v>
      </c>
      <c r="P2593">
        <v>0</v>
      </c>
      <c r="Q2593">
        <v>0</v>
      </c>
      <c r="R2593">
        <v>0</v>
      </c>
      <c r="T2593" t="s">
        <v>2064</v>
      </c>
      <c r="U2593" s="29">
        <v>7874740</v>
      </c>
      <c r="V2593" t="s">
        <v>1262</v>
      </c>
      <c r="W2593" t="s">
        <v>1262</v>
      </c>
      <c r="X2593" s="29">
        <v>7874740</v>
      </c>
      <c r="AA2593" s="30">
        <v>45855.480555555558</v>
      </c>
      <c r="AB2593" s="30">
        <v>45862.491666666669</v>
      </c>
      <c r="AC2593" s="30">
        <v>45855.480555555558</v>
      </c>
      <c r="AD2593" s="30">
        <v>45862.491666666669</v>
      </c>
      <c r="AE2593" s="30">
        <v>46150.405555555553</v>
      </c>
      <c r="AF2593" s="30">
        <v>46157.416666666664</v>
      </c>
      <c r="AG2593" t="s">
        <v>1266</v>
      </c>
      <c r="AK2593" t="s">
        <v>1265</v>
      </c>
      <c r="AL2593" t="s">
        <v>2074</v>
      </c>
      <c r="AM2593" t="s">
        <v>1263</v>
      </c>
      <c r="AN2593" t="s">
        <v>1262</v>
      </c>
      <c r="AO2593">
        <v>0</v>
      </c>
      <c r="AQ2593" t="s">
        <v>1261</v>
      </c>
      <c r="AR2593" t="s">
        <v>1260</v>
      </c>
      <c r="AS2593" t="s">
        <v>1259</v>
      </c>
      <c r="AT2593" s="30">
        <v>46072.680555555555</v>
      </c>
    </row>
    <row r="2594" spans="1:46" x14ac:dyDescent="0.25">
      <c r="A2594" t="s">
        <v>1248</v>
      </c>
      <c r="B2594">
        <v>253027</v>
      </c>
      <c r="C2594">
        <v>352300</v>
      </c>
      <c r="D2594">
        <v>405</v>
      </c>
      <c r="E2594" t="s">
        <v>1266</v>
      </c>
      <c r="G2594">
        <v>745</v>
      </c>
      <c r="H2594">
        <v>1860</v>
      </c>
      <c r="K2594">
        <v>4028</v>
      </c>
      <c r="L2594">
        <v>4028</v>
      </c>
      <c r="M2594" s="29">
        <v>10003311258</v>
      </c>
      <c r="N2594">
        <v>0</v>
      </c>
      <c r="O2594" s="29">
        <v>10003311258</v>
      </c>
      <c r="P2594">
        <v>0</v>
      </c>
      <c r="Q2594">
        <v>0</v>
      </c>
      <c r="R2594">
        <v>0</v>
      </c>
      <c r="T2594" t="s">
        <v>2064</v>
      </c>
      <c r="U2594" s="29">
        <v>7874740</v>
      </c>
      <c r="V2594" t="s">
        <v>1262</v>
      </c>
      <c r="W2594" t="s">
        <v>1262</v>
      </c>
      <c r="X2594" s="29">
        <v>7874740</v>
      </c>
      <c r="AA2594" s="30">
        <v>45853.563888888886</v>
      </c>
      <c r="AB2594" s="30">
        <v>45860.574999999997</v>
      </c>
      <c r="AC2594" s="30">
        <v>45853.563888888886</v>
      </c>
      <c r="AD2594" s="30">
        <v>45860.574999999997</v>
      </c>
      <c r="AE2594" s="30">
        <v>46133.405555555553</v>
      </c>
      <c r="AF2594" s="30">
        <v>46140.416666666664</v>
      </c>
      <c r="AG2594" t="s">
        <v>1266</v>
      </c>
      <c r="AK2594" t="s">
        <v>1265</v>
      </c>
      <c r="AL2594" t="s">
        <v>2073</v>
      </c>
      <c r="AM2594" t="s">
        <v>1263</v>
      </c>
      <c r="AN2594" t="s">
        <v>1262</v>
      </c>
      <c r="AO2594">
        <v>0</v>
      </c>
      <c r="AQ2594" t="s">
        <v>1261</v>
      </c>
      <c r="AR2594" t="s">
        <v>1260</v>
      </c>
      <c r="AS2594" t="s">
        <v>1259</v>
      </c>
      <c r="AT2594" s="30">
        <v>46072.680555555555</v>
      </c>
    </row>
    <row r="2595" spans="1:46" x14ac:dyDescent="0.25">
      <c r="A2595" t="s">
        <v>1248</v>
      </c>
      <c r="B2595">
        <v>253028</v>
      </c>
      <c r="C2595">
        <v>352307</v>
      </c>
      <c r="D2595">
        <v>405</v>
      </c>
      <c r="E2595" t="s">
        <v>1266</v>
      </c>
      <c r="G2595">
        <v>745</v>
      </c>
      <c r="H2595">
        <v>1860</v>
      </c>
      <c r="K2595">
        <v>4028</v>
      </c>
      <c r="L2595">
        <v>4028</v>
      </c>
      <c r="M2595" s="29">
        <v>10003311258</v>
      </c>
      <c r="N2595">
        <v>0</v>
      </c>
      <c r="O2595" s="29">
        <v>10003311258</v>
      </c>
      <c r="P2595">
        <v>0</v>
      </c>
      <c r="Q2595">
        <v>0</v>
      </c>
      <c r="R2595">
        <v>0</v>
      </c>
      <c r="T2595" t="s">
        <v>2064</v>
      </c>
      <c r="U2595" s="29">
        <v>7874740</v>
      </c>
      <c r="V2595" t="s">
        <v>1262</v>
      </c>
      <c r="W2595" t="s">
        <v>1262</v>
      </c>
      <c r="X2595" s="29">
        <v>7874740</v>
      </c>
      <c r="AA2595" s="30">
        <v>45839.422222222223</v>
      </c>
      <c r="AB2595" s="30">
        <v>45846.433333333334</v>
      </c>
      <c r="AC2595" s="30">
        <v>45839.422222222223</v>
      </c>
      <c r="AD2595" s="30">
        <v>45846.433333333334</v>
      </c>
      <c r="AE2595" s="30">
        <v>46114.405555555553</v>
      </c>
      <c r="AF2595" s="30">
        <v>46122.416666666664</v>
      </c>
      <c r="AG2595" t="s">
        <v>1266</v>
      </c>
      <c r="AK2595" t="s">
        <v>1265</v>
      </c>
      <c r="AL2595" t="s">
        <v>2072</v>
      </c>
      <c r="AM2595" t="s">
        <v>1263</v>
      </c>
      <c r="AN2595" t="s">
        <v>1262</v>
      </c>
      <c r="AO2595">
        <v>0</v>
      </c>
      <c r="AQ2595" t="s">
        <v>1261</v>
      </c>
      <c r="AR2595" t="s">
        <v>1260</v>
      </c>
      <c r="AS2595" t="s">
        <v>1259</v>
      </c>
      <c r="AT2595" s="30">
        <v>46072.680555555555</v>
      </c>
    </row>
    <row r="2596" spans="1:46" x14ac:dyDescent="0.25">
      <c r="A2596" t="s">
        <v>1248</v>
      </c>
      <c r="B2596">
        <v>253029</v>
      </c>
      <c r="C2596">
        <v>352314</v>
      </c>
      <c r="D2596">
        <v>405</v>
      </c>
      <c r="E2596" t="s">
        <v>1266</v>
      </c>
      <c r="G2596">
        <v>745</v>
      </c>
      <c r="H2596">
        <v>1860</v>
      </c>
      <c r="K2596">
        <v>4028</v>
      </c>
      <c r="L2596">
        <v>4028</v>
      </c>
      <c r="M2596" s="29">
        <v>10003311258</v>
      </c>
      <c r="N2596">
        <v>0</v>
      </c>
      <c r="O2596" s="29">
        <v>10003311258</v>
      </c>
      <c r="P2596">
        <v>0</v>
      </c>
      <c r="Q2596">
        <v>0</v>
      </c>
      <c r="R2596">
        <v>0</v>
      </c>
      <c r="T2596" t="s">
        <v>2064</v>
      </c>
      <c r="U2596" s="29">
        <v>7874740</v>
      </c>
      <c r="V2596" t="s">
        <v>1262</v>
      </c>
      <c r="W2596" t="s">
        <v>1262</v>
      </c>
      <c r="X2596" s="29">
        <v>7874740</v>
      </c>
      <c r="AA2596" s="30">
        <v>45834.630555555559</v>
      </c>
      <c r="AB2596" s="30">
        <v>45841.64166666667</v>
      </c>
      <c r="AC2596" s="30">
        <v>45834.630555555559</v>
      </c>
      <c r="AD2596" s="30">
        <v>45841.64166666667</v>
      </c>
      <c r="AE2596" s="30">
        <v>46098.405555555553</v>
      </c>
      <c r="AF2596" s="30">
        <v>46105.416666666664</v>
      </c>
      <c r="AG2596" t="s">
        <v>1266</v>
      </c>
      <c r="AK2596" t="s">
        <v>1265</v>
      </c>
      <c r="AL2596" t="s">
        <v>2071</v>
      </c>
      <c r="AM2596" t="s">
        <v>1263</v>
      </c>
      <c r="AN2596" t="s">
        <v>1262</v>
      </c>
      <c r="AO2596">
        <v>0</v>
      </c>
      <c r="AQ2596" t="s">
        <v>1261</v>
      </c>
      <c r="AR2596" t="s">
        <v>1260</v>
      </c>
      <c r="AS2596" t="s">
        <v>1259</v>
      </c>
      <c r="AT2596" s="30">
        <v>46072.680555555555</v>
      </c>
    </row>
    <row r="2597" spans="1:46" x14ac:dyDescent="0.25">
      <c r="A2597" t="s">
        <v>1248</v>
      </c>
      <c r="B2597">
        <v>253030</v>
      </c>
      <c r="C2597">
        <v>352321</v>
      </c>
      <c r="D2597">
        <v>405</v>
      </c>
      <c r="E2597" t="s">
        <v>1266</v>
      </c>
      <c r="G2597">
        <v>745</v>
      </c>
      <c r="H2597">
        <v>1860</v>
      </c>
      <c r="K2597">
        <v>4028</v>
      </c>
      <c r="L2597">
        <v>4028</v>
      </c>
      <c r="M2597" s="29">
        <v>10003311258</v>
      </c>
      <c r="N2597">
        <v>0</v>
      </c>
      <c r="O2597" s="29">
        <v>10003311258</v>
      </c>
      <c r="P2597">
        <v>0</v>
      </c>
      <c r="Q2597">
        <v>0</v>
      </c>
      <c r="R2597">
        <v>0</v>
      </c>
      <c r="T2597" t="s">
        <v>2064</v>
      </c>
      <c r="U2597" s="29">
        <v>7874740</v>
      </c>
      <c r="V2597" t="s">
        <v>1262</v>
      </c>
      <c r="W2597" t="s">
        <v>1262</v>
      </c>
      <c r="X2597" s="29">
        <v>7874740</v>
      </c>
      <c r="AA2597" s="30">
        <v>45832.672222222223</v>
      </c>
      <c r="AB2597" s="30">
        <v>45839.683333333334</v>
      </c>
      <c r="AC2597" s="30">
        <v>45832.672222222223</v>
      </c>
      <c r="AD2597" s="30">
        <v>45839.683333333334</v>
      </c>
      <c r="AE2597" s="30">
        <v>46080.405555555553</v>
      </c>
      <c r="AF2597" s="30">
        <v>46087.416666666664</v>
      </c>
      <c r="AG2597" t="s">
        <v>1266</v>
      </c>
      <c r="AK2597" t="s">
        <v>1265</v>
      </c>
      <c r="AL2597" t="s">
        <v>2070</v>
      </c>
      <c r="AM2597" t="s">
        <v>1263</v>
      </c>
      <c r="AN2597" t="s">
        <v>1262</v>
      </c>
      <c r="AO2597">
        <v>0</v>
      </c>
      <c r="AQ2597" t="s">
        <v>1261</v>
      </c>
      <c r="AR2597" t="s">
        <v>1260</v>
      </c>
      <c r="AS2597" t="s">
        <v>1259</v>
      </c>
      <c r="AT2597" s="30">
        <v>46072.680555555555</v>
      </c>
    </row>
    <row r="2598" spans="1:46" x14ac:dyDescent="0.25">
      <c r="A2598" t="s">
        <v>1248</v>
      </c>
      <c r="B2598">
        <v>253031</v>
      </c>
      <c r="C2598">
        <v>352328</v>
      </c>
      <c r="D2598">
        <v>405</v>
      </c>
      <c r="E2598" t="s">
        <v>1266</v>
      </c>
      <c r="G2598">
        <v>745</v>
      </c>
      <c r="H2598">
        <v>1860</v>
      </c>
      <c r="K2598">
        <v>4028</v>
      </c>
      <c r="L2598">
        <v>4028</v>
      </c>
      <c r="M2598" s="29">
        <v>10003311258</v>
      </c>
      <c r="N2598">
        <v>0</v>
      </c>
      <c r="O2598" s="29">
        <v>10003311258</v>
      </c>
      <c r="P2598">
        <v>0</v>
      </c>
      <c r="Q2598">
        <v>0</v>
      </c>
      <c r="R2598">
        <v>0</v>
      </c>
      <c r="T2598" t="s">
        <v>2064</v>
      </c>
      <c r="U2598" s="29">
        <v>7874740</v>
      </c>
      <c r="V2598" t="s">
        <v>1262</v>
      </c>
      <c r="W2598" t="s">
        <v>1262</v>
      </c>
      <c r="X2598" s="29">
        <v>7874740</v>
      </c>
      <c r="AA2598" s="30">
        <v>45831.338888888888</v>
      </c>
      <c r="AB2598" s="30">
        <v>45838.35</v>
      </c>
      <c r="AC2598" s="30">
        <v>45831.338888888888</v>
      </c>
      <c r="AD2598" s="30">
        <v>45838.35</v>
      </c>
      <c r="AE2598" s="30">
        <v>46064.405555555553</v>
      </c>
      <c r="AF2598" s="30">
        <v>46071.416666666664</v>
      </c>
      <c r="AG2598" t="s">
        <v>1266</v>
      </c>
      <c r="AK2598" t="s">
        <v>1265</v>
      </c>
      <c r="AL2598" t="s">
        <v>2069</v>
      </c>
      <c r="AM2598" t="s">
        <v>1263</v>
      </c>
      <c r="AN2598" t="s">
        <v>1262</v>
      </c>
      <c r="AO2598">
        <v>0</v>
      </c>
      <c r="AQ2598" t="s">
        <v>1261</v>
      </c>
      <c r="AR2598" t="s">
        <v>1260</v>
      </c>
      <c r="AS2598" t="s">
        <v>1259</v>
      </c>
      <c r="AT2598" s="30">
        <v>46072.680555555555</v>
      </c>
    </row>
    <row r="2599" spans="1:46" x14ac:dyDescent="0.25">
      <c r="A2599" t="s">
        <v>1248</v>
      </c>
      <c r="B2599">
        <v>253032</v>
      </c>
      <c r="C2599">
        <v>352335</v>
      </c>
      <c r="D2599">
        <v>405</v>
      </c>
      <c r="E2599" t="s">
        <v>1266</v>
      </c>
      <c r="G2599">
        <v>745</v>
      </c>
      <c r="H2599">
        <v>1860</v>
      </c>
      <c r="K2599">
        <v>4028</v>
      </c>
      <c r="L2599">
        <v>4028</v>
      </c>
      <c r="M2599" s="29">
        <v>10003311258</v>
      </c>
      <c r="N2599">
        <v>0</v>
      </c>
      <c r="O2599" s="29">
        <v>10003311258</v>
      </c>
      <c r="P2599">
        <v>0</v>
      </c>
      <c r="Q2599">
        <v>0</v>
      </c>
      <c r="R2599">
        <v>0</v>
      </c>
      <c r="T2599" t="s">
        <v>2064</v>
      </c>
      <c r="U2599" s="29">
        <v>7874740</v>
      </c>
      <c r="V2599" t="s">
        <v>1262</v>
      </c>
      <c r="W2599" t="s">
        <v>1262</v>
      </c>
      <c r="X2599" s="29">
        <v>7874740</v>
      </c>
      <c r="AA2599" s="30">
        <v>45827.380555555559</v>
      </c>
      <c r="AB2599" s="30">
        <v>45834.39166666667</v>
      </c>
      <c r="AC2599" s="30">
        <v>45827.380555555559</v>
      </c>
      <c r="AD2599" s="30">
        <v>45834.39166666667</v>
      </c>
      <c r="AE2599" s="30">
        <v>46048.405555555553</v>
      </c>
      <c r="AF2599" s="30">
        <v>46055.416666666664</v>
      </c>
      <c r="AG2599" t="s">
        <v>1266</v>
      </c>
      <c r="AK2599" t="s">
        <v>1265</v>
      </c>
      <c r="AL2599" t="s">
        <v>2068</v>
      </c>
      <c r="AM2599" t="s">
        <v>1263</v>
      </c>
      <c r="AN2599" t="s">
        <v>1262</v>
      </c>
      <c r="AO2599">
        <v>0</v>
      </c>
      <c r="AQ2599" t="s">
        <v>1261</v>
      </c>
      <c r="AR2599" t="s">
        <v>1260</v>
      </c>
      <c r="AS2599" t="s">
        <v>1259</v>
      </c>
      <c r="AT2599" s="30">
        <v>46072.680555555555</v>
      </c>
    </row>
    <row r="2600" spans="1:46" x14ac:dyDescent="0.25">
      <c r="A2600" t="s">
        <v>1248</v>
      </c>
      <c r="B2600">
        <v>253033</v>
      </c>
      <c r="C2600">
        <v>352342</v>
      </c>
      <c r="D2600">
        <v>405</v>
      </c>
      <c r="E2600" t="s">
        <v>1266</v>
      </c>
      <c r="G2600">
        <v>745</v>
      </c>
      <c r="H2600">
        <v>1860</v>
      </c>
      <c r="K2600">
        <v>4028</v>
      </c>
      <c r="L2600">
        <v>4028</v>
      </c>
      <c r="M2600" s="29">
        <v>10003311258</v>
      </c>
      <c r="N2600">
        <v>0</v>
      </c>
      <c r="O2600" s="29">
        <v>10003311258</v>
      </c>
      <c r="P2600">
        <v>0</v>
      </c>
      <c r="Q2600">
        <v>0</v>
      </c>
      <c r="R2600">
        <v>0</v>
      </c>
      <c r="T2600" t="s">
        <v>2064</v>
      </c>
      <c r="U2600" s="29">
        <v>7874740</v>
      </c>
      <c r="V2600" t="s">
        <v>1262</v>
      </c>
      <c r="W2600" t="s">
        <v>1262</v>
      </c>
      <c r="X2600" s="29">
        <v>7874740</v>
      </c>
      <c r="AA2600" s="30">
        <v>45825.422222222223</v>
      </c>
      <c r="AB2600" s="30">
        <v>45832.433333333334</v>
      </c>
      <c r="AC2600" s="30">
        <v>45825.422222222223</v>
      </c>
      <c r="AD2600" s="30">
        <v>45832.433333333334</v>
      </c>
      <c r="AE2600" s="30">
        <v>46030.363888888889</v>
      </c>
      <c r="AF2600" s="30">
        <v>46037.375</v>
      </c>
      <c r="AG2600" t="s">
        <v>1266</v>
      </c>
      <c r="AK2600" t="s">
        <v>1265</v>
      </c>
      <c r="AL2600" t="s">
        <v>2067</v>
      </c>
      <c r="AM2600" t="s">
        <v>1263</v>
      </c>
      <c r="AN2600" t="s">
        <v>1262</v>
      </c>
      <c r="AO2600">
        <v>0</v>
      </c>
      <c r="AQ2600" t="s">
        <v>1261</v>
      </c>
      <c r="AR2600" t="s">
        <v>1260</v>
      </c>
      <c r="AS2600" t="s">
        <v>1259</v>
      </c>
      <c r="AT2600" s="30">
        <v>46072.680555555555</v>
      </c>
    </row>
    <row r="2601" spans="1:46" x14ac:dyDescent="0.25">
      <c r="A2601" t="s">
        <v>1248</v>
      </c>
      <c r="B2601">
        <v>253034</v>
      </c>
      <c r="C2601">
        <v>352349</v>
      </c>
      <c r="D2601">
        <v>405</v>
      </c>
      <c r="E2601" t="s">
        <v>1266</v>
      </c>
      <c r="G2601">
        <v>745</v>
      </c>
      <c r="H2601">
        <v>1860</v>
      </c>
      <c r="K2601">
        <v>4028</v>
      </c>
      <c r="L2601">
        <v>4028</v>
      </c>
      <c r="M2601" s="29">
        <v>10003311258</v>
      </c>
      <c r="N2601">
        <v>0</v>
      </c>
      <c r="O2601" s="29">
        <v>10003311258</v>
      </c>
      <c r="P2601">
        <v>0</v>
      </c>
      <c r="Q2601">
        <v>0</v>
      </c>
      <c r="R2601">
        <v>0</v>
      </c>
      <c r="T2601" t="s">
        <v>2064</v>
      </c>
      <c r="U2601" s="29">
        <v>7874740</v>
      </c>
      <c r="V2601" t="s">
        <v>1262</v>
      </c>
      <c r="W2601" t="s">
        <v>1262</v>
      </c>
      <c r="X2601" s="29">
        <v>7874740</v>
      </c>
      <c r="AA2601" s="30">
        <v>45817.380555555559</v>
      </c>
      <c r="AB2601" s="30">
        <v>45824.39166666667</v>
      </c>
      <c r="AC2601" s="30">
        <v>45817.380555555559</v>
      </c>
      <c r="AD2601" s="30">
        <v>45824.39166666667</v>
      </c>
      <c r="AE2601" s="30">
        <v>46008.697222222225</v>
      </c>
      <c r="AF2601" s="30">
        <v>46015.708333333336</v>
      </c>
      <c r="AG2601" t="s">
        <v>1266</v>
      </c>
      <c r="AK2601" t="s">
        <v>1265</v>
      </c>
      <c r="AL2601" t="s">
        <v>2066</v>
      </c>
      <c r="AM2601" t="s">
        <v>1263</v>
      </c>
      <c r="AN2601" t="s">
        <v>1262</v>
      </c>
      <c r="AO2601">
        <v>0</v>
      </c>
      <c r="AQ2601" t="s">
        <v>1261</v>
      </c>
      <c r="AR2601" t="s">
        <v>1260</v>
      </c>
      <c r="AS2601" t="s">
        <v>1259</v>
      </c>
      <c r="AT2601" s="30">
        <v>46072.680555555555</v>
      </c>
    </row>
    <row r="2602" spans="1:46" x14ac:dyDescent="0.25">
      <c r="A2602" t="s">
        <v>1248</v>
      </c>
      <c r="B2602">
        <v>253035</v>
      </c>
      <c r="C2602">
        <v>352356</v>
      </c>
      <c r="D2602">
        <v>405</v>
      </c>
      <c r="E2602" t="s">
        <v>1266</v>
      </c>
      <c r="G2602">
        <v>745</v>
      </c>
      <c r="H2602">
        <v>1860</v>
      </c>
      <c r="K2602">
        <v>4028</v>
      </c>
      <c r="L2602">
        <v>4028</v>
      </c>
      <c r="M2602" s="29">
        <v>10003311258</v>
      </c>
      <c r="N2602">
        <v>0</v>
      </c>
      <c r="O2602" s="29">
        <v>10003311258</v>
      </c>
      <c r="P2602">
        <v>0</v>
      </c>
      <c r="Q2602">
        <v>0</v>
      </c>
      <c r="R2602">
        <v>0</v>
      </c>
      <c r="T2602" t="s">
        <v>2064</v>
      </c>
      <c r="U2602" s="29">
        <v>7874740</v>
      </c>
      <c r="V2602" t="s">
        <v>1262</v>
      </c>
      <c r="W2602" t="s">
        <v>1262</v>
      </c>
      <c r="X2602" s="29">
        <v>7874740</v>
      </c>
      <c r="AA2602" s="30">
        <v>45814.422222222223</v>
      </c>
      <c r="AB2602" s="30">
        <v>45821.433333333334</v>
      </c>
      <c r="AC2602" s="30">
        <v>45814.422222222223</v>
      </c>
      <c r="AD2602" s="30">
        <v>45821.433333333334</v>
      </c>
      <c r="AE2602" s="30">
        <v>46002.697222222225</v>
      </c>
      <c r="AF2602" s="30">
        <v>46009.708333333336</v>
      </c>
      <c r="AG2602" t="s">
        <v>1266</v>
      </c>
      <c r="AK2602" t="s">
        <v>1265</v>
      </c>
      <c r="AL2602" t="s">
        <v>2065</v>
      </c>
      <c r="AM2602" t="s">
        <v>1263</v>
      </c>
      <c r="AN2602" t="s">
        <v>1262</v>
      </c>
      <c r="AO2602">
        <v>0</v>
      </c>
      <c r="AQ2602" t="s">
        <v>1261</v>
      </c>
      <c r="AR2602" t="s">
        <v>1260</v>
      </c>
      <c r="AS2602" t="s">
        <v>1259</v>
      </c>
      <c r="AT2602" s="30">
        <v>46072.680555555555</v>
      </c>
    </row>
    <row r="2603" spans="1:46" x14ac:dyDescent="0.25">
      <c r="A2603" t="s">
        <v>1248</v>
      </c>
      <c r="B2603">
        <v>253036</v>
      </c>
      <c r="C2603">
        <v>352363</v>
      </c>
      <c r="D2603">
        <v>405</v>
      </c>
      <c r="E2603" t="s">
        <v>1266</v>
      </c>
      <c r="G2603">
        <v>745</v>
      </c>
      <c r="H2603">
        <v>1860</v>
      </c>
      <c r="K2603">
        <v>4028</v>
      </c>
      <c r="L2603">
        <v>4028</v>
      </c>
      <c r="M2603" s="29">
        <v>10003311258</v>
      </c>
      <c r="N2603">
        <v>0</v>
      </c>
      <c r="O2603" s="29">
        <v>10003311258</v>
      </c>
      <c r="P2603">
        <v>0</v>
      </c>
      <c r="Q2603">
        <v>0</v>
      </c>
      <c r="R2603">
        <v>0</v>
      </c>
      <c r="T2603" t="s">
        <v>2064</v>
      </c>
      <c r="U2603" s="29">
        <v>7874740</v>
      </c>
      <c r="V2603" t="s">
        <v>1262</v>
      </c>
      <c r="W2603" t="s">
        <v>1262</v>
      </c>
      <c r="X2603" s="29">
        <v>7874740</v>
      </c>
      <c r="AA2603" s="30">
        <v>45813.463888888888</v>
      </c>
      <c r="AB2603" s="30">
        <v>45820.474999999999</v>
      </c>
      <c r="AC2603" s="30">
        <v>45813.463888888888</v>
      </c>
      <c r="AD2603" s="30">
        <v>45820.474999999999</v>
      </c>
      <c r="AE2603" s="30">
        <v>45870.363888888889</v>
      </c>
      <c r="AF2603" s="30">
        <v>45877.375</v>
      </c>
      <c r="AG2603" t="s">
        <v>1266</v>
      </c>
      <c r="AK2603" t="s">
        <v>1265</v>
      </c>
      <c r="AL2603" t="s">
        <v>2063</v>
      </c>
      <c r="AM2603" t="s">
        <v>1263</v>
      </c>
      <c r="AN2603" t="s">
        <v>1262</v>
      </c>
      <c r="AO2603">
        <v>0</v>
      </c>
      <c r="AQ2603" t="s">
        <v>1261</v>
      </c>
      <c r="AR2603" t="s">
        <v>1260</v>
      </c>
      <c r="AS2603" t="s">
        <v>1259</v>
      </c>
      <c r="AT2603" s="30">
        <v>46072.680555555555</v>
      </c>
    </row>
    <row r="2604" spans="1:46" x14ac:dyDescent="0.25">
      <c r="A2604" t="s">
        <v>1248</v>
      </c>
      <c r="B2604">
        <v>253037</v>
      </c>
      <c r="C2604">
        <v>352050</v>
      </c>
      <c r="D2604">
        <v>405</v>
      </c>
      <c r="E2604" t="s">
        <v>1266</v>
      </c>
      <c r="G2604">
        <v>745</v>
      </c>
      <c r="H2604">
        <v>1824</v>
      </c>
      <c r="K2604" s="29">
        <v>2839148</v>
      </c>
      <c r="L2604" s="29">
        <v>2839148</v>
      </c>
      <c r="M2604" t="s">
        <v>2022</v>
      </c>
      <c r="N2604">
        <v>0</v>
      </c>
      <c r="O2604" t="s">
        <v>2022</v>
      </c>
      <c r="P2604">
        <v>0</v>
      </c>
      <c r="Q2604">
        <v>0</v>
      </c>
      <c r="R2604">
        <v>0</v>
      </c>
      <c r="T2604" s="29">
        <v>2200000</v>
      </c>
      <c r="U2604" s="29">
        <v>6246126</v>
      </c>
      <c r="V2604" t="s">
        <v>1262</v>
      </c>
      <c r="W2604" t="s">
        <v>1262</v>
      </c>
      <c r="X2604" s="29">
        <v>6246126</v>
      </c>
      <c r="AA2604" s="30">
        <v>45811.625</v>
      </c>
      <c r="AB2604" s="30">
        <v>45819.625</v>
      </c>
      <c r="AC2604" s="30">
        <v>45811.625</v>
      </c>
      <c r="AD2604" s="30">
        <v>45819.625</v>
      </c>
      <c r="AE2604" s="30">
        <v>45877.333333333336</v>
      </c>
      <c r="AF2604" s="30">
        <v>45884.708333333336</v>
      </c>
      <c r="AG2604" t="s">
        <v>1266</v>
      </c>
      <c r="AK2604" t="s">
        <v>1265</v>
      </c>
      <c r="AL2604" t="s">
        <v>2062</v>
      </c>
      <c r="AM2604" t="s">
        <v>1263</v>
      </c>
      <c r="AN2604" t="s">
        <v>1262</v>
      </c>
      <c r="AO2604">
        <v>0</v>
      </c>
      <c r="AQ2604" t="s">
        <v>1261</v>
      </c>
      <c r="AR2604" t="s">
        <v>1260</v>
      </c>
      <c r="AS2604" t="s">
        <v>1259</v>
      </c>
      <c r="AT2604" s="30">
        <v>46072.688888888886</v>
      </c>
    </row>
    <row r="2605" spans="1:46" x14ac:dyDescent="0.25">
      <c r="A2605" t="s">
        <v>1248</v>
      </c>
      <c r="B2605">
        <v>253038</v>
      </c>
      <c r="C2605">
        <v>352057</v>
      </c>
      <c r="D2605">
        <v>405</v>
      </c>
      <c r="E2605" t="s">
        <v>1266</v>
      </c>
      <c r="G2605">
        <v>745</v>
      </c>
      <c r="H2605">
        <v>1824</v>
      </c>
      <c r="K2605" t="s">
        <v>1460</v>
      </c>
      <c r="L2605" t="s">
        <v>1460</v>
      </c>
      <c r="M2605" t="s">
        <v>2022</v>
      </c>
      <c r="N2605">
        <v>0</v>
      </c>
      <c r="O2605" t="s">
        <v>2022</v>
      </c>
      <c r="P2605">
        <v>0</v>
      </c>
      <c r="Q2605">
        <v>0</v>
      </c>
      <c r="R2605">
        <v>0</v>
      </c>
      <c r="T2605" s="29">
        <v>2200000</v>
      </c>
      <c r="U2605" s="29">
        <v>6116000</v>
      </c>
      <c r="V2605" t="s">
        <v>1262</v>
      </c>
      <c r="W2605" t="s">
        <v>1262</v>
      </c>
      <c r="X2605" s="29">
        <v>6116000</v>
      </c>
      <c r="AA2605" s="30">
        <v>45807.416666666664</v>
      </c>
      <c r="AB2605" s="30">
        <v>45817.375</v>
      </c>
      <c r="AC2605" s="30">
        <v>45807.416666666664</v>
      </c>
      <c r="AD2605" s="30">
        <v>45817.375</v>
      </c>
      <c r="AE2605" s="30">
        <v>45873.416666666664</v>
      </c>
      <c r="AF2605" s="30">
        <v>45881.375</v>
      </c>
      <c r="AG2605" t="s">
        <v>1266</v>
      </c>
      <c r="AK2605" t="s">
        <v>1265</v>
      </c>
      <c r="AL2605" t="s">
        <v>2061</v>
      </c>
      <c r="AM2605" t="s">
        <v>1263</v>
      </c>
      <c r="AN2605" t="s">
        <v>1262</v>
      </c>
      <c r="AO2605">
        <v>0</v>
      </c>
      <c r="AQ2605" t="s">
        <v>1261</v>
      </c>
      <c r="AR2605" t="s">
        <v>1260</v>
      </c>
      <c r="AS2605" t="s">
        <v>1259</v>
      </c>
      <c r="AT2605" s="30">
        <v>46072.688888888886</v>
      </c>
    </row>
    <row r="2606" spans="1:46" x14ac:dyDescent="0.25">
      <c r="A2606" t="s">
        <v>1248</v>
      </c>
      <c r="B2606">
        <v>253039</v>
      </c>
      <c r="C2606">
        <v>352064</v>
      </c>
      <c r="D2606">
        <v>405</v>
      </c>
      <c r="E2606" t="s">
        <v>1266</v>
      </c>
      <c r="G2606">
        <v>745</v>
      </c>
      <c r="H2606">
        <v>1824</v>
      </c>
      <c r="K2606" t="s">
        <v>1460</v>
      </c>
      <c r="L2606" t="s">
        <v>1460</v>
      </c>
      <c r="M2606" t="s">
        <v>2022</v>
      </c>
      <c r="N2606">
        <v>0</v>
      </c>
      <c r="O2606" t="s">
        <v>2022</v>
      </c>
      <c r="P2606">
        <v>0</v>
      </c>
      <c r="Q2606">
        <v>0</v>
      </c>
      <c r="R2606">
        <v>0</v>
      </c>
      <c r="T2606" s="29">
        <v>2200000</v>
      </c>
      <c r="U2606" s="29">
        <v>6116000</v>
      </c>
      <c r="V2606" t="s">
        <v>1262</v>
      </c>
      <c r="W2606" t="s">
        <v>1262</v>
      </c>
      <c r="X2606" s="29">
        <v>6116000</v>
      </c>
      <c r="AA2606" s="30">
        <v>45805.458333333336</v>
      </c>
      <c r="AB2606" s="30">
        <v>45813.416666666664</v>
      </c>
      <c r="AC2606" s="30">
        <v>45805.458333333336</v>
      </c>
      <c r="AD2606" s="30">
        <v>45813.416666666664</v>
      </c>
      <c r="AE2606" s="30">
        <v>45867.416666666664</v>
      </c>
      <c r="AF2606" s="30">
        <v>45875.375</v>
      </c>
      <c r="AG2606" t="s">
        <v>1266</v>
      </c>
      <c r="AK2606" t="s">
        <v>1265</v>
      </c>
      <c r="AL2606" t="s">
        <v>2060</v>
      </c>
      <c r="AM2606" t="s">
        <v>1263</v>
      </c>
      <c r="AN2606" t="s">
        <v>1262</v>
      </c>
      <c r="AO2606">
        <v>0</v>
      </c>
      <c r="AQ2606" t="s">
        <v>1261</v>
      </c>
      <c r="AR2606" t="s">
        <v>1260</v>
      </c>
      <c r="AS2606" t="s">
        <v>1259</v>
      </c>
      <c r="AT2606" s="30">
        <v>46072.688888888886</v>
      </c>
    </row>
    <row r="2607" spans="1:46" x14ac:dyDescent="0.25">
      <c r="A2607" t="s">
        <v>1248</v>
      </c>
      <c r="B2607">
        <v>253040</v>
      </c>
      <c r="C2607">
        <v>352071</v>
      </c>
      <c r="D2607">
        <v>405</v>
      </c>
      <c r="E2607" t="s">
        <v>1266</v>
      </c>
      <c r="G2607">
        <v>745</v>
      </c>
      <c r="H2607">
        <v>1824</v>
      </c>
      <c r="K2607" s="29">
        <v>2839148</v>
      </c>
      <c r="L2607" s="29">
        <v>2839148</v>
      </c>
      <c r="M2607" t="s">
        <v>2022</v>
      </c>
      <c r="N2607">
        <v>0</v>
      </c>
      <c r="O2607" t="s">
        <v>2022</v>
      </c>
      <c r="P2607">
        <v>0</v>
      </c>
      <c r="Q2607">
        <v>0</v>
      </c>
      <c r="R2607">
        <v>0</v>
      </c>
      <c r="T2607" s="29">
        <v>2200000</v>
      </c>
      <c r="U2607" s="29">
        <v>6246126</v>
      </c>
      <c r="V2607" t="s">
        <v>1262</v>
      </c>
      <c r="W2607" t="s">
        <v>1262</v>
      </c>
      <c r="X2607" s="29">
        <v>6246126</v>
      </c>
      <c r="AA2607" s="30">
        <v>45793.458333333336</v>
      </c>
      <c r="AB2607" s="30">
        <v>45803.458333333336</v>
      </c>
      <c r="AC2607" s="30">
        <v>45793.458333333336</v>
      </c>
      <c r="AD2607" s="30">
        <v>45803.458333333336</v>
      </c>
      <c r="AE2607" s="30">
        <v>45862.333333333336</v>
      </c>
      <c r="AF2607" s="30">
        <v>45869.708333333336</v>
      </c>
      <c r="AG2607" t="s">
        <v>1266</v>
      </c>
      <c r="AK2607" t="s">
        <v>1265</v>
      </c>
      <c r="AL2607" t="s">
        <v>2059</v>
      </c>
      <c r="AM2607" t="s">
        <v>1263</v>
      </c>
      <c r="AN2607" t="s">
        <v>1262</v>
      </c>
      <c r="AO2607">
        <v>0</v>
      </c>
      <c r="AQ2607" t="s">
        <v>1261</v>
      </c>
      <c r="AR2607" t="s">
        <v>1260</v>
      </c>
      <c r="AS2607" t="s">
        <v>1259</v>
      </c>
      <c r="AT2607" s="30">
        <v>46072.688888888886</v>
      </c>
    </row>
    <row r="2608" spans="1:46" x14ac:dyDescent="0.25">
      <c r="A2608" t="s">
        <v>1248</v>
      </c>
      <c r="B2608">
        <v>253041</v>
      </c>
      <c r="C2608">
        <v>352078</v>
      </c>
      <c r="D2608">
        <v>405</v>
      </c>
      <c r="E2608" t="s">
        <v>1266</v>
      </c>
      <c r="G2608">
        <v>745</v>
      </c>
      <c r="H2608">
        <v>1824</v>
      </c>
      <c r="K2608" t="s">
        <v>1460</v>
      </c>
      <c r="L2608" t="s">
        <v>1460</v>
      </c>
      <c r="M2608" t="s">
        <v>2022</v>
      </c>
      <c r="N2608">
        <v>0</v>
      </c>
      <c r="O2608" t="s">
        <v>2022</v>
      </c>
      <c r="P2608">
        <v>0</v>
      </c>
      <c r="Q2608">
        <v>0</v>
      </c>
      <c r="R2608">
        <v>0</v>
      </c>
      <c r="T2608" s="29">
        <v>2200000</v>
      </c>
      <c r="U2608" s="29">
        <v>6116000</v>
      </c>
      <c r="V2608" t="s">
        <v>1262</v>
      </c>
      <c r="W2608" t="s">
        <v>1262</v>
      </c>
      <c r="X2608" s="29">
        <v>6116000</v>
      </c>
      <c r="AA2608" s="30">
        <v>45790.666666666664</v>
      </c>
      <c r="AB2608" s="30">
        <v>45798.625</v>
      </c>
      <c r="AC2608" s="30">
        <v>45790.666666666664</v>
      </c>
      <c r="AD2608" s="30">
        <v>45798.625</v>
      </c>
      <c r="AE2608" s="30">
        <v>45849.375</v>
      </c>
      <c r="AF2608" s="30">
        <v>45856.708333333336</v>
      </c>
      <c r="AG2608" t="s">
        <v>1266</v>
      </c>
      <c r="AK2608" t="s">
        <v>1265</v>
      </c>
      <c r="AL2608" t="s">
        <v>2058</v>
      </c>
      <c r="AM2608" t="s">
        <v>1263</v>
      </c>
      <c r="AN2608" t="s">
        <v>1262</v>
      </c>
      <c r="AO2608">
        <v>0</v>
      </c>
      <c r="AQ2608" t="s">
        <v>1261</v>
      </c>
      <c r="AR2608" t="s">
        <v>1260</v>
      </c>
      <c r="AS2608" t="s">
        <v>1259</v>
      </c>
      <c r="AT2608" s="30">
        <v>46072.688888888886</v>
      </c>
    </row>
    <row r="2609" spans="1:46" x14ac:dyDescent="0.25">
      <c r="A2609" t="s">
        <v>1248</v>
      </c>
      <c r="B2609">
        <v>253042</v>
      </c>
      <c r="C2609">
        <v>352085</v>
      </c>
      <c r="D2609">
        <v>405</v>
      </c>
      <c r="E2609" t="s">
        <v>1266</v>
      </c>
      <c r="G2609">
        <v>745</v>
      </c>
      <c r="H2609">
        <v>1824</v>
      </c>
      <c r="K2609" t="s">
        <v>1460</v>
      </c>
      <c r="L2609" t="s">
        <v>1460</v>
      </c>
      <c r="M2609" t="s">
        <v>2022</v>
      </c>
      <c r="N2609">
        <v>0</v>
      </c>
      <c r="O2609" t="s">
        <v>2022</v>
      </c>
      <c r="P2609">
        <v>0</v>
      </c>
      <c r="Q2609">
        <v>0</v>
      </c>
      <c r="R2609">
        <v>0</v>
      </c>
      <c r="T2609" s="29">
        <v>2200000</v>
      </c>
      <c r="U2609" s="29">
        <v>6116000</v>
      </c>
      <c r="V2609" t="s">
        <v>1262</v>
      </c>
      <c r="W2609" t="s">
        <v>1262</v>
      </c>
      <c r="X2609" s="29">
        <v>6116000</v>
      </c>
      <c r="AA2609" s="30">
        <v>45789.333333333336</v>
      </c>
      <c r="AB2609" s="30">
        <v>45796.666666666664</v>
      </c>
      <c r="AC2609" s="30">
        <v>45789.333333333336</v>
      </c>
      <c r="AD2609" s="30">
        <v>45796.666666666664</v>
      </c>
      <c r="AE2609" s="30">
        <v>45845.375</v>
      </c>
      <c r="AF2609" s="30">
        <v>45852.708333333336</v>
      </c>
      <c r="AG2609" t="s">
        <v>1266</v>
      </c>
      <c r="AK2609" t="s">
        <v>1265</v>
      </c>
      <c r="AL2609" t="s">
        <v>2057</v>
      </c>
      <c r="AM2609" t="s">
        <v>1263</v>
      </c>
      <c r="AN2609" t="s">
        <v>1262</v>
      </c>
      <c r="AO2609">
        <v>0</v>
      </c>
      <c r="AQ2609" t="s">
        <v>1261</v>
      </c>
      <c r="AR2609" t="s">
        <v>1260</v>
      </c>
      <c r="AS2609" t="s">
        <v>1259</v>
      </c>
      <c r="AT2609" s="30">
        <v>46072.688888888886</v>
      </c>
    </row>
    <row r="2610" spans="1:46" x14ac:dyDescent="0.25">
      <c r="A2610" t="s">
        <v>1248</v>
      </c>
      <c r="B2610">
        <v>253043</v>
      </c>
      <c r="C2610">
        <v>352092</v>
      </c>
      <c r="D2610">
        <v>405</v>
      </c>
      <c r="E2610" t="s">
        <v>1266</v>
      </c>
      <c r="G2610">
        <v>745</v>
      </c>
      <c r="H2610">
        <v>1824</v>
      </c>
      <c r="K2610" t="s">
        <v>1460</v>
      </c>
      <c r="L2610" t="s">
        <v>1460</v>
      </c>
      <c r="M2610" t="s">
        <v>2022</v>
      </c>
      <c r="N2610">
        <v>0</v>
      </c>
      <c r="O2610" t="s">
        <v>2022</v>
      </c>
      <c r="P2610">
        <v>0</v>
      </c>
      <c r="Q2610">
        <v>0</v>
      </c>
      <c r="R2610">
        <v>0</v>
      </c>
      <c r="T2610" s="29">
        <v>2200000</v>
      </c>
      <c r="U2610" s="29">
        <v>6116000</v>
      </c>
      <c r="V2610" t="s">
        <v>1262</v>
      </c>
      <c r="W2610" t="s">
        <v>1262</v>
      </c>
      <c r="X2610" s="29">
        <v>6116000</v>
      </c>
      <c r="AA2610" s="30">
        <v>45785.375</v>
      </c>
      <c r="AB2610" s="30">
        <v>45792.708333333336</v>
      </c>
      <c r="AC2610" s="30">
        <v>45785.375</v>
      </c>
      <c r="AD2610" s="30">
        <v>45792.708333333336</v>
      </c>
      <c r="AE2610" s="30">
        <v>45839.375</v>
      </c>
      <c r="AF2610" s="30">
        <v>45846.708333333336</v>
      </c>
      <c r="AG2610" t="s">
        <v>1266</v>
      </c>
      <c r="AK2610" t="s">
        <v>1265</v>
      </c>
      <c r="AL2610" t="s">
        <v>2056</v>
      </c>
      <c r="AM2610" t="s">
        <v>1263</v>
      </c>
      <c r="AN2610" t="s">
        <v>1262</v>
      </c>
      <c r="AO2610">
        <v>0</v>
      </c>
      <c r="AQ2610" t="s">
        <v>1261</v>
      </c>
      <c r="AR2610" t="s">
        <v>1260</v>
      </c>
      <c r="AS2610" t="s">
        <v>1259</v>
      </c>
      <c r="AT2610" s="30">
        <v>46072.688888888886</v>
      </c>
    </row>
    <row r="2611" spans="1:46" x14ac:dyDescent="0.25">
      <c r="A2611" t="s">
        <v>1248</v>
      </c>
      <c r="B2611">
        <v>253044</v>
      </c>
      <c r="C2611">
        <v>352099</v>
      </c>
      <c r="D2611">
        <v>405</v>
      </c>
      <c r="E2611" t="s">
        <v>1266</v>
      </c>
      <c r="G2611">
        <v>745</v>
      </c>
      <c r="H2611">
        <v>1824</v>
      </c>
      <c r="K2611" t="s">
        <v>1460</v>
      </c>
      <c r="L2611" t="s">
        <v>1460</v>
      </c>
      <c r="M2611" t="s">
        <v>2022</v>
      </c>
      <c r="N2611">
        <v>0</v>
      </c>
      <c r="O2611" t="s">
        <v>2022</v>
      </c>
      <c r="P2611">
        <v>0</v>
      </c>
      <c r="Q2611">
        <v>0</v>
      </c>
      <c r="R2611">
        <v>0</v>
      </c>
      <c r="T2611" s="29">
        <v>2200000</v>
      </c>
      <c r="U2611" s="29">
        <v>6116000</v>
      </c>
      <c r="V2611" t="s">
        <v>1262</v>
      </c>
      <c r="W2611" t="s">
        <v>1262</v>
      </c>
      <c r="X2611" s="29">
        <v>6116000</v>
      </c>
      <c r="AA2611" s="30">
        <v>45783.416666666664</v>
      </c>
      <c r="AB2611" s="30">
        <v>45791.375</v>
      </c>
      <c r="AC2611" s="30">
        <v>45783.416666666664</v>
      </c>
      <c r="AD2611" s="30">
        <v>45791.375</v>
      </c>
      <c r="AE2611" s="30">
        <v>45833.375</v>
      </c>
      <c r="AF2611" s="30">
        <v>45840.708333333336</v>
      </c>
      <c r="AG2611" t="s">
        <v>1266</v>
      </c>
      <c r="AK2611" t="s">
        <v>1265</v>
      </c>
      <c r="AL2611" t="e">
        <f>+CUKdR4FYEG7wZEN3NkG2g</f>
        <v>#NAME?</v>
      </c>
      <c r="AM2611" t="s">
        <v>1263</v>
      </c>
      <c r="AN2611" t="s">
        <v>1262</v>
      </c>
      <c r="AO2611">
        <v>0</v>
      </c>
      <c r="AQ2611" t="s">
        <v>1261</v>
      </c>
      <c r="AR2611" t="s">
        <v>1260</v>
      </c>
      <c r="AS2611" t="s">
        <v>1259</v>
      </c>
      <c r="AT2611" s="30">
        <v>46072.688888888886</v>
      </c>
    </row>
    <row r="2612" spans="1:46" x14ac:dyDescent="0.25">
      <c r="A2612" t="s">
        <v>1248</v>
      </c>
      <c r="B2612">
        <v>253045</v>
      </c>
      <c r="C2612">
        <v>352106</v>
      </c>
      <c r="D2612">
        <v>405</v>
      </c>
      <c r="E2612" t="s">
        <v>1266</v>
      </c>
      <c r="G2612">
        <v>745</v>
      </c>
      <c r="H2612">
        <v>1824</v>
      </c>
      <c r="K2612" t="s">
        <v>1460</v>
      </c>
      <c r="L2612" t="s">
        <v>1460</v>
      </c>
      <c r="M2612" t="s">
        <v>2022</v>
      </c>
      <c r="N2612">
        <v>0</v>
      </c>
      <c r="O2612" t="s">
        <v>2022</v>
      </c>
      <c r="P2612">
        <v>0</v>
      </c>
      <c r="Q2612">
        <v>0</v>
      </c>
      <c r="R2612">
        <v>0</v>
      </c>
      <c r="T2612" s="29">
        <v>2200000</v>
      </c>
      <c r="U2612" s="29">
        <v>6116000</v>
      </c>
      <c r="V2612" t="s">
        <v>1262</v>
      </c>
      <c r="W2612" t="s">
        <v>1262</v>
      </c>
      <c r="X2612" s="29">
        <v>6116000</v>
      </c>
      <c r="AA2612" s="30">
        <v>45779.458333333336</v>
      </c>
      <c r="AB2612" s="30">
        <v>45789.416666666664</v>
      </c>
      <c r="AC2612" s="30">
        <v>45779.458333333336</v>
      </c>
      <c r="AD2612" s="30">
        <v>45789.416666666664</v>
      </c>
      <c r="AE2612" s="30">
        <v>45827.375</v>
      </c>
      <c r="AF2612" s="30">
        <v>45834.708333333336</v>
      </c>
      <c r="AG2612" t="s">
        <v>1266</v>
      </c>
      <c r="AK2612" t="s">
        <v>1265</v>
      </c>
      <c r="AL2612" t="s">
        <v>2055</v>
      </c>
      <c r="AM2612" t="s">
        <v>1263</v>
      </c>
      <c r="AN2612" t="s">
        <v>1262</v>
      </c>
      <c r="AO2612">
        <v>0</v>
      </c>
      <c r="AQ2612" t="s">
        <v>1261</v>
      </c>
      <c r="AR2612" t="s">
        <v>1260</v>
      </c>
      <c r="AS2612" t="s">
        <v>1259</v>
      </c>
      <c r="AT2612" s="30">
        <v>46072.688888888886</v>
      </c>
    </row>
    <row r="2613" spans="1:46" x14ac:dyDescent="0.25">
      <c r="A2613" t="s">
        <v>1248</v>
      </c>
      <c r="B2613">
        <v>253046</v>
      </c>
      <c r="C2613">
        <v>352113</v>
      </c>
      <c r="D2613">
        <v>405</v>
      </c>
      <c r="E2613" t="s">
        <v>1266</v>
      </c>
      <c r="G2613">
        <v>745</v>
      </c>
      <c r="H2613">
        <v>1824</v>
      </c>
      <c r="K2613" t="s">
        <v>1460</v>
      </c>
      <c r="L2613" t="s">
        <v>1460</v>
      </c>
      <c r="M2613" t="s">
        <v>2022</v>
      </c>
      <c r="N2613">
        <v>0</v>
      </c>
      <c r="O2613" t="s">
        <v>2022</v>
      </c>
      <c r="P2613">
        <v>0</v>
      </c>
      <c r="Q2613">
        <v>0</v>
      </c>
      <c r="R2613">
        <v>0</v>
      </c>
      <c r="T2613" s="29">
        <v>2200000</v>
      </c>
      <c r="U2613" s="29">
        <v>6116000</v>
      </c>
      <c r="V2613" t="s">
        <v>1262</v>
      </c>
      <c r="W2613" t="s">
        <v>1262</v>
      </c>
      <c r="X2613" s="29">
        <v>6116000</v>
      </c>
      <c r="AA2613" s="30">
        <v>45769.541666666664</v>
      </c>
      <c r="AB2613" s="30">
        <v>45777.458333333336</v>
      </c>
      <c r="AC2613" s="30">
        <v>45769.541666666664</v>
      </c>
      <c r="AD2613" s="30">
        <v>45777.458333333336</v>
      </c>
      <c r="AE2613" s="30">
        <v>45821.375</v>
      </c>
      <c r="AF2613" s="30">
        <v>45828.708333333336</v>
      </c>
      <c r="AG2613" t="s">
        <v>1266</v>
      </c>
      <c r="AK2613" t="s">
        <v>1265</v>
      </c>
      <c r="AL2613" t="s">
        <v>2054</v>
      </c>
      <c r="AM2613" t="s">
        <v>1263</v>
      </c>
      <c r="AN2613" t="s">
        <v>1262</v>
      </c>
      <c r="AO2613">
        <v>0</v>
      </c>
      <c r="AQ2613" t="s">
        <v>1261</v>
      </c>
      <c r="AR2613" t="s">
        <v>1260</v>
      </c>
      <c r="AS2613" t="s">
        <v>1259</v>
      </c>
      <c r="AT2613" s="30">
        <v>46072.688888888886</v>
      </c>
    </row>
    <row r="2614" spans="1:46" x14ac:dyDescent="0.25">
      <c r="A2614" t="s">
        <v>1248</v>
      </c>
      <c r="B2614">
        <v>253047</v>
      </c>
      <c r="C2614">
        <v>352120</v>
      </c>
      <c r="D2614">
        <v>405</v>
      </c>
      <c r="E2614" t="s">
        <v>1266</v>
      </c>
      <c r="G2614">
        <v>745</v>
      </c>
      <c r="H2614">
        <v>1824</v>
      </c>
      <c r="K2614" t="s">
        <v>1460</v>
      </c>
      <c r="L2614" t="s">
        <v>1460</v>
      </c>
      <c r="M2614" t="s">
        <v>2022</v>
      </c>
      <c r="N2614">
        <v>0</v>
      </c>
      <c r="O2614" t="s">
        <v>2022</v>
      </c>
      <c r="P2614">
        <v>0</v>
      </c>
      <c r="Q2614">
        <v>0</v>
      </c>
      <c r="R2614">
        <v>0</v>
      </c>
      <c r="T2614" s="29">
        <v>2200000</v>
      </c>
      <c r="U2614" s="29">
        <v>6116000</v>
      </c>
      <c r="V2614" t="s">
        <v>1262</v>
      </c>
      <c r="W2614" t="s">
        <v>1262</v>
      </c>
      <c r="X2614" s="29">
        <v>6116000</v>
      </c>
      <c r="AA2614" s="30">
        <v>45765.583333333336</v>
      </c>
      <c r="AB2614" s="30">
        <v>45775.5</v>
      </c>
      <c r="AC2614" s="30">
        <v>45765.583333333336</v>
      </c>
      <c r="AD2614" s="30">
        <v>45775.5</v>
      </c>
      <c r="AE2614" s="30">
        <v>45817.375</v>
      </c>
      <c r="AF2614" s="30">
        <v>45824.708333333336</v>
      </c>
      <c r="AG2614" t="s">
        <v>1266</v>
      </c>
      <c r="AK2614" t="s">
        <v>1265</v>
      </c>
      <c r="AL2614" t="s">
        <v>2053</v>
      </c>
      <c r="AM2614" t="s">
        <v>1263</v>
      </c>
      <c r="AN2614" t="s">
        <v>1262</v>
      </c>
      <c r="AO2614">
        <v>0</v>
      </c>
      <c r="AQ2614" t="s">
        <v>1261</v>
      </c>
      <c r="AR2614" t="s">
        <v>1260</v>
      </c>
      <c r="AS2614" t="s">
        <v>1259</v>
      </c>
      <c r="AT2614" s="30">
        <v>46072.688888888886</v>
      </c>
    </row>
    <row r="2615" spans="1:46" x14ac:dyDescent="0.25">
      <c r="A2615" t="s">
        <v>1248</v>
      </c>
      <c r="B2615">
        <v>253048</v>
      </c>
      <c r="C2615">
        <v>352127</v>
      </c>
      <c r="D2615">
        <v>405</v>
      </c>
      <c r="E2615" t="s">
        <v>1266</v>
      </c>
      <c r="G2615">
        <v>745</v>
      </c>
      <c r="H2615">
        <v>1824</v>
      </c>
      <c r="K2615" t="s">
        <v>1460</v>
      </c>
      <c r="L2615" t="s">
        <v>1460</v>
      </c>
      <c r="M2615" t="s">
        <v>2022</v>
      </c>
      <c r="N2615">
        <v>0</v>
      </c>
      <c r="O2615" t="s">
        <v>2022</v>
      </c>
      <c r="P2615">
        <v>0</v>
      </c>
      <c r="Q2615">
        <v>0</v>
      </c>
      <c r="R2615">
        <v>0</v>
      </c>
      <c r="T2615" s="29">
        <v>2200000</v>
      </c>
      <c r="U2615" s="29">
        <v>6116000</v>
      </c>
      <c r="V2615" t="s">
        <v>1262</v>
      </c>
      <c r="W2615" t="s">
        <v>1262</v>
      </c>
      <c r="X2615" s="29">
        <v>6116000</v>
      </c>
      <c r="AA2615" s="30">
        <v>45763.625</v>
      </c>
      <c r="AB2615" s="30">
        <v>45771.583333333336</v>
      </c>
      <c r="AC2615" s="30">
        <v>45763.625</v>
      </c>
      <c r="AD2615" s="30">
        <v>45771.583333333336</v>
      </c>
      <c r="AE2615" s="30">
        <v>45811.375</v>
      </c>
      <c r="AF2615" s="30">
        <v>45818.708333333336</v>
      </c>
      <c r="AG2615" t="s">
        <v>1266</v>
      </c>
      <c r="AK2615" t="s">
        <v>1265</v>
      </c>
      <c r="AL2615" t="s">
        <v>2052</v>
      </c>
      <c r="AM2615" t="s">
        <v>1263</v>
      </c>
      <c r="AN2615" t="s">
        <v>1262</v>
      </c>
      <c r="AO2615">
        <v>0</v>
      </c>
      <c r="AQ2615" t="s">
        <v>1261</v>
      </c>
      <c r="AR2615" t="s">
        <v>1260</v>
      </c>
      <c r="AS2615" t="s">
        <v>1259</v>
      </c>
      <c r="AT2615" s="30">
        <v>46072.688888888886</v>
      </c>
    </row>
    <row r="2616" spans="1:46" x14ac:dyDescent="0.25">
      <c r="A2616" t="s">
        <v>1248</v>
      </c>
      <c r="B2616">
        <v>253049</v>
      </c>
      <c r="C2616">
        <v>352134</v>
      </c>
      <c r="D2616">
        <v>405</v>
      </c>
      <c r="E2616" t="s">
        <v>1266</v>
      </c>
      <c r="G2616">
        <v>745</v>
      </c>
      <c r="H2616">
        <v>1824</v>
      </c>
      <c r="K2616" t="s">
        <v>1460</v>
      </c>
      <c r="L2616" t="s">
        <v>1460</v>
      </c>
      <c r="M2616" t="s">
        <v>2022</v>
      </c>
      <c r="N2616">
        <v>0</v>
      </c>
      <c r="O2616" t="s">
        <v>2022</v>
      </c>
      <c r="P2616">
        <v>0</v>
      </c>
      <c r="Q2616">
        <v>0</v>
      </c>
      <c r="R2616">
        <v>0</v>
      </c>
      <c r="T2616" s="29">
        <v>2200000</v>
      </c>
      <c r="U2616" s="29">
        <v>6116000</v>
      </c>
      <c r="V2616" t="s">
        <v>1262</v>
      </c>
      <c r="W2616" t="s">
        <v>1262</v>
      </c>
      <c r="X2616" s="29">
        <v>6116000</v>
      </c>
      <c r="AA2616" s="30">
        <v>45761.666666666664</v>
      </c>
      <c r="AB2616" s="30">
        <v>45769.625</v>
      </c>
      <c r="AC2616" s="30">
        <v>45761.666666666664</v>
      </c>
      <c r="AD2616" s="30">
        <v>45769.625</v>
      </c>
      <c r="AE2616" s="30">
        <v>45805.375</v>
      </c>
      <c r="AF2616" s="30">
        <v>45812.708333333336</v>
      </c>
      <c r="AG2616" t="s">
        <v>1266</v>
      </c>
      <c r="AK2616" t="s">
        <v>1265</v>
      </c>
      <c r="AL2616" t="s">
        <v>2051</v>
      </c>
      <c r="AM2616" t="s">
        <v>1263</v>
      </c>
      <c r="AN2616" t="s">
        <v>1262</v>
      </c>
      <c r="AO2616">
        <v>0</v>
      </c>
      <c r="AQ2616" t="s">
        <v>1261</v>
      </c>
      <c r="AR2616" t="s">
        <v>1260</v>
      </c>
      <c r="AS2616" t="s">
        <v>1259</v>
      </c>
      <c r="AT2616" s="30">
        <v>46072.688888888886</v>
      </c>
    </row>
    <row r="2617" spans="1:46" x14ac:dyDescent="0.25">
      <c r="A2617" t="s">
        <v>1248</v>
      </c>
      <c r="B2617">
        <v>253050</v>
      </c>
      <c r="C2617">
        <v>352141</v>
      </c>
      <c r="D2617">
        <v>405</v>
      </c>
      <c r="E2617" t="s">
        <v>1266</v>
      </c>
      <c r="G2617">
        <v>745</v>
      </c>
      <c r="H2617">
        <v>1824</v>
      </c>
      <c r="K2617" t="s">
        <v>1460</v>
      </c>
      <c r="L2617" t="s">
        <v>1460</v>
      </c>
      <c r="M2617" t="s">
        <v>2022</v>
      </c>
      <c r="N2617">
        <v>0</v>
      </c>
      <c r="O2617" t="s">
        <v>2022</v>
      </c>
      <c r="P2617">
        <v>0</v>
      </c>
      <c r="Q2617">
        <v>0</v>
      </c>
      <c r="R2617">
        <v>0</v>
      </c>
      <c r="T2617" s="29">
        <v>2200000</v>
      </c>
      <c r="U2617" s="29">
        <v>6116000</v>
      </c>
      <c r="V2617" t="s">
        <v>1262</v>
      </c>
      <c r="W2617" t="s">
        <v>1262</v>
      </c>
      <c r="X2617" s="29">
        <v>6116000</v>
      </c>
      <c r="AA2617" s="30">
        <v>45758.333333333336</v>
      </c>
      <c r="AB2617" s="30">
        <v>45765.666666666664</v>
      </c>
      <c r="AC2617" s="30">
        <v>45758.333333333336</v>
      </c>
      <c r="AD2617" s="30">
        <v>45765.666666666664</v>
      </c>
      <c r="AE2617" s="30">
        <v>45799.375</v>
      </c>
      <c r="AF2617" s="30">
        <v>45806.708333333336</v>
      </c>
      <c r="AG2617" t="s">
        <v>1266</v>
      </c>
      <c r="AK2617" t="s">
        <v>1265</v>
      </c>
      <c r="AL2617" t="s">
        <v>2050</v>
      </c>
      <c r="AM2617" t="s">
        <v>1263</v>
      </c>
      <c r="AN2617" t="s">
        <v>1262</v>
      </c>
      <c r="AO2617">
        <v>0</v>
      </c>
      <c r="AQ2617" t="s">
        <v>1261</v>
      </c>
      <c r="AR2617" t="s">
        <v>1260</v>
      </c>
      <c r="AS2617" t="s">
        <v>1259</v>
      </c>
      <c r="AT2617" s="30">
        <v>46072.688888888886</v>
      </c>
    </row>
    <row r="2618" spans="1:46" x14ac:dyDescent="0.25">
      <c r="A2618" t="s">
        <v>1248</v>
      </c>
      <c r="B2618">
        <v>253051</v>
      </c>
      <c r="C2618">
        <v>352148</v>
      </c>
      <c r="D2618">
        <v>405</v>
      </c>
      <c r="E2618" t="s">
        <v>1266</v>
      </c>
      <c r="G2618">
        <v>745</v>
      </c>
      <c r="H2618">
        <v>1824</v>
      </c>
      <c r="K2618" t="s">
        <v>1460</v>
      </c>
      <c r="L2618" t="s">
        <v>1460</v>
      </c>
      <c r="M2618" t="s">
        <v>2022</v>
      </c>
      <c r="N2618">
        <v>0</v>
      </c>
      <c r="O2618" t="s">
        <v>2022</v>
      </c>
      <c r="P2618">
        <v>0</v>
      </c>
      <c r="Q2618">
        <v>0</v>
      </c>
      <c r="R2618">
        <v>0</v>
      </c>
      <c r="T2618" s="29">
        <v>2200000</v>
      </c>
      <c r="U2618" s="29">
        <v>6116000</v>
      </c>
      <c r="V2618" t="s">
        <v>1262</v>
      </c>
      <c r="W2618" t="s">
        <v>1262</v>
      </c>
      <c r="X2618" s="29">
        <v>6116000</v>
      </c>
      <c r="AA2618" s="30">
        <v>45756.375</v>
      </c>
      <c r="AB2618" s="30">
        <v>45763.708333333336</v>
      </c>
      <c r="AC2618" s="30">
        <v>45756.375</v>
      </c>
      <c r="AD2618" s="30">
        <v>45763.708333333336</v>
      </c>
      <c r="AE2618" s="30">
        <v>45793.375</v>
      </c>
      <c r="AF2618" s="30">
        <v>45800.708333333336</v>
      </c>
      <c r="AG2618" t="s">
        <v>1266</v>
      </c>
      <c r="AK2618" t="s">
        <v>1265</v>
      </c>
      <c r="AL2618" t="s">
        <v>2049</v>
      </c>
      <c r="AM2618" t="s">
        <v>1263</v>
      </c>
      <c r="AN2618" t="s">
        <v>1262</v>
      </c>
      <c r="AO2618">
        <v>0</v>
      </c>
      <c r="AQ2618" t="s">
        <v>1261</v>
      </c>
      <c r="AR2618" t="s">
        <v>1260</v>
      </c>
      <c r="AS2618" t="s">
        <v>1259</v>
      </c>
      <c r="AT2618" s="30">
        <v>46072.688888888886</v>
      </c>
    </row>
    <row r="2619" spans="1:46" x14ac:dyDescent="0.25">
      <c r="A2619" t="s">
        <v>1248</v>
      </c>
      <c r="B2619">
        <v>253052</v>
      </c>
      <c r="C2619">
        <v>352155</v>
      </c>
      <c r="D2619">
        <v>405</v>
      </c>
      <c r="E2619" t="s">
        <v>1266</v>
      </c>
      <c r="G2619">
        <v>745</v>
      </c>
      <c r="H2619">
        <v>1824</v>
      </c>
      <c r="K2619" t="s">
        <v>1460</v>
      </c>
      <c r="L2619" t="s">
        <v>1460</v>
      </c>
      <c r="M2619" t="s">
        <v>2022</v>
      </c>
      <c r="N2619">
        <v>0</v>
      </c>
      <c r="O2619" t="s">
        <v>2022</v>
      </c>
      <c r="P2619">
        <v>0</v>
      </c>
      <c r="Q2619">
        <v>0</v>
      </c>
      <c r="R2619">
        <v>0</v>
      </c>
      <c r="T2619" s="29">
        <v>2200000</v>
      </c>
      <c r="U2619" s="29">
        <v>6116000</v>
      </c>
      <c r="V2619" t="s">
        <v>1262</v>
      </c>
      <c r="W2619" t="s">
        <v>1262</v>
      </c>
      <c r="X2619" s="29">
        <v>6116000</v>
      </c>
      <c r="AA2619" s="30">
        <v>45754.416666666664</v>
      </c>
      <c r="AB2619" s="30">
        <v>45762.375</v>
      </c>
      <c r="AC2619" s="30">
        <v>45754.416666666664</v>
      </c>
      <c r="AD2619" s="30">
        <v>45762.375</v>
      </c>
      <c r="AE2619" s="30">
        <v>45789.375</v>
      </c>
      <c r="AF2619" s="30">
        <v>45796.708333333336</v>
      </c>
      <c r="AG2619" t="s">
        <v>1266</v>
      </c>
      <c r="AK2619" t="s">
        <v>1265</v>
      </c>
      <c r="AL2619" t="s">
        <v>2048</v>
      </c>
      <c r="AM2619" t="s">
        <v>1263</v>
      </c>
      <c r="AN2619" t="s">
        <v>1262</v>
      </c>
      <c r="AO2619">
        <v>0</v>
      </c>
      <c r="AQ2619" t="s">
        <v>1261</v>
      </c>
      <c r="AR2619" t="s">
        <v>1260</v>
      </c>
      <c r="AS2619" t="s">
        <v>1259</v>
      </c>
      <c r="AT2619" s="30">
        <v>46072.688888888886</v>
      </c>
    </row>
    <row r="2620" spans="1:46" x14ac:dyDescent="0.25">
      <c r="A2620" t="s">
        <v>1248</v>
      </c>
      <c r="B2620">
        <v>253053</v>
      </c>
      <c r="C2620">
        <v>352162</v>
      </c>
      <c r="D2620">
        <v>405</v>
      </c>
      <c r="E2620" t="s">
        <v>1266</v>
      </c>
      <c r="G2620">
        <v>745</v>
      </c>
      <c r="H2620">
        <v>1824</v>
      </c>
      <c r="K2620" t="s">
        <v>1460</v>
      </c>
      <c r="L2620" t="s">
        <v>1460</v>
      </c>
      <c r="M2620" t="s">
        <v>2022</v>
      </c>
      <c r="N2620">
        <v>0</v>
      </c>
      <c r="O2620" t="s">
        <v>2022</v>
      </c>
      <c r="P2620">
        <v>0</v>
      </c>
      <c r="Q2620">
        <v>0</v>
      </c>
      <c r="R2620">
        <v>0</v>
      </c>
      <c r="T2620" s="29">
        <v>2200000</v>
      </c>
      <c r="U2620" s="29">
        <v>6116000</v>
      </c>
      <c r="V2620" t="s">
        <v>1262</v>
      </c>
      <c r="W2620" t="s">
        <v>1262</v>
      </c>
      <c r="X2620" s="29">
        <v>6116000</v>
      </c>
      <c r="AA2620" s="30">
        <v>45750.458333333336</v>
      </c>
      <c r="AB2620" s="30">
        <v>45758.416666666664</v>
      </c>
      <c r="AC2620" s="30">
        <v>45750.458333333336</v>
      </c>
      <c r="AD2620" s="30">
        <v>45758.416666666664</v>
      </c>
      <c r="AE2620" s="30">
        <v>45783.375</v>
      </c>
      <c r="AF2620" s="30">
        <v>45790.708333333336</v>
      </c>
      <c r="AG2620" t="s">
        <v>1266</v>
      </c>
      <c r="AK2620" t="s">
        <v>1265</v>
      </c>
      <c r="AL2620" t="s">
        <v>2047</v>
      </c>
      <c r="AM2620" t="s">
        <v>1263</v>
      </c>
      <c r="AN2620" t="s">
        <v>1262</v>
      </c>
      <c r="AO2620">
        <v>0</v>
      </c>
      <c r="AQ2620" t="s">
        <v>1261</v>
      </c>
      <c r="AR2620" t="s">
        <v>1260</v>
      </c>
      <c r="AS2620" t="s">
        <v>1259</v>
      </c>
      <c r="AT2620" s="30">
        <v>46072.688888888886</v>
      </c>
    </row>
    <row r="2621" spans="1:46" x14ac:dyDescent="0.25">
      <c r="A2621" t="s">
        <v>1248</v>
      </c>
      <c r="B2621">
        <v>253054</v>
      </c>
      <c r="C2621">
        <v>352169</v>
      </c>
      <c r="D2621">
        <v>405</v>
      </c>
      <c r="E2621" t="s">
        <v>1266</v>
      </c>
      <c r="G2621">
        <v>745</v>
      </c>
      <c r="H2621">
        <v>1824</v>
      </c>
      <c r="K2621" t="s">
        <v>1460</v>
      </c>
      <c r="L2621" t="s">
        <v>1460</v>
      </c>
      <c r="M2621" t="s">
        <v>2022</v>
      </c>
      <c r="N2621">
        <v>0</v>
      </c>
      <c r="O2621" t="s">
        <v>2022</v>
      </c>
      <c r="P2621">
        <v>0</v>
      </c>
      <c r="Q2621">
        <v>0</v>
      </c>
      <c r="R2621">
        <v>0</v>
      </c>
      <c r="T2621" s="29">
        <v>2200000</v>
      </c>
      <c r="U2621" s="29">
        <v>6116000</v>
      </c>
      <c r="V2621" t="s">
        <v>1262</v>
      </c>
      <c r="W2621" t="s">
        <v>1262</v>
      </c>
      <c r="X2621" s="29">
        <v>6116000</v>
      </c>
      <c r="AA2621" s="30">
        <v>45737.416666666664</v>
      </c>
      <c r="AB2621" s="30">
        <v>45747.375</v>
      </c>
      <c r="AC2621" s="30">
        <v>45737.416666666664</v>
      </c>
      <c r="AD2621" s="30">
        <v>45747.375</v>
      </c>
      <c r="AE2621" s="30">
        <v>45777.375</v>
      </c>
      <c r="AF2621" s="30">
        <v>45784.708333333336</v>
      </c>
      <c r="AG2621" t="s">
        <v>1266</v>
      </c>
      <c r="AK2621" t="s">
        <v>1265</v>
      </c>
      <c r="AL2621" t="s">
        <v>2046</v>
      </c>
      <c r="AM2621" t="s">
        <v>1263</v>
      </c>
      <c r="AN2621" t="s">
        <v>1262</v>
      </c>
      <c r="AO2621">
        <v>0</v>
      </c>
      <c r="AQ2621" t="s">
        <v>1261</v>
      </c>
      <c r="AR2621" t="s">
        <v>1260</v>
      </c>
      <c r="AS2621" t="s">
        <v>1259</v>
      </c>
      <c r="AT2621" s="30">
        <v>46072.688888888886</v>
      </c>
    </row>
    <row r="2622" spans="1:46" x14ac:dyDescent="0.25">
      <c r="A2622" t="s">
        <v>1248</v>
      </c>
      <c r="B2622">
        <v>253055</v>
      </c>
      <c r="C2622">
        <v>352176</v>
      </c>
      <c r="D2622">
        <v>405</v>
      </c>
      <c r="E2622" t="s">
        <v>1266</v>
      </c>
      <c r="G2622">
        <v>745</v>
      </c>
      <c r="H2622">
        <v>1824</v>
      </c>
      <c r="K2622" t="s">
        <v>1460</v>
      </c>
      <c r="L2622" t="s">
        <v>1460</v>
      </c>
      <c r="M2622" t="s">
        <v>2022</v>
      </c>
      <c r="N2622">
        <v>0</v>
      </c>
      <c r="O2622" t="s">
        <v>2022</v>
      </c>
      <c r="P2622">
        <v>0</v>
      </c>
      <c r="Q2622">
        <v>0</v>
      </c>
      <c r="R2622">
        <v>0</v>
      </c>
      <c r="T2622" s="29">
        <v>2200000</v>
      </c>
      <c r="U2622" s="29">
        <v>6116000</v>
      </c>
      <c r="V2622" t="s">
        <v>1262</v>
      </c>
      <c r="W2622" t="s">
        <v>1262</v>
      </c>
      <c r="X2622" s="29">
        <v>6116000</v>
      </c>
      <c r="AA2622" s="30">
        <v>45734.458333333336</v>
      </c>
      <c r="AB2622" s="30">
        <v>45742.416666666664</v>
      </c>
      <c r="AC2622" s="30">
        <v>45734.458333333336</v>
      </c>
      <c r="AD2622" s="30">
        <v>45742.416666666664</v>
      </c>
      <c r="AE2622" s="30">
        <v>45771.375</v>
      </c>
      <c r="AF2622" s="30">
        <v>45778.708333333336</v>
      </c>
      <c r="AG2622" t="s">
        <v>1266</v>
      </c>
      <c r="AK2622" t="s">
        <v>1265</v>
      </c>
      <c r="AL2622" t="s">
        <v>2045</v>
      </c>
      <c r="AM2622" t="s">
        <v>1263</v>
      </c>
      <c r="AN2622" t="s">
        <v>1262</v>
      </c>
      <c r="AO2622">
        <v>0</v>
      </c>
      <c r="AQ2622" t="s">
        <v>1261</v>
      </c>
      <c r="AR2622" t="s">
        <v>1260</v>
      </c>
      <c r="AS2622" t="s">
        <v>1259</v>
      </c>
      <c r="AT2622" s="30">
        <v>46072.688888888886</v>
      </c>
    </row>
    <row r="2623" spans="1:46" x14ac:dyDescent="0.25">
      <c r="A2623" t="s">
        <v>1248</v>
      </c>
      <c r="B2623">
        <v>253056</v>
      </c>
      <c r="C2623">
        <v>352183</v>
      </c>
      <c r="D2623">
        <v>405</v>
      </c>
      <c r="E2623" t="s">
        <v>1266</v>
      </c>
      <c r="G2623">
        <v>745</v>
      </c>
      <c r="H2623">
        <v>1824</v>
      </c>
      <c r="K2623" t="s">
        <v>1460</v>
      </c>
      <c r="L2623" t="s">
        <v>1460</v>
      </c>
      <c r="M2623" t="s">
        <v>2022</v>
      </c>
      <c r="N2623">
        <v>0</v>
      </c>
      <c r="O2623" t="s">
        <v>2022</v>
      </c>
      <c r="P2623">
        <v>0</v>
      </c>
      <c r="Q2623">
        <v>0</v>
      </c>
      <c r="R2623">
        <v>0</v>
      </c>
      <c r="T2623" s="29">
        <v>2200000</v>
      </c>
      <c r="U2623" s="29">
        <v>6116000</v>
      </c>
      <c r="V2623" t="s">
        <v>1262</v>
      </c>
      <c r="W2623" t="s">
        <v>1262</v>
      </c>
      <c r="X2623" s="29">
        <v>6116000</v>
      </c>
      <c r="AA2623" s="30">
        <v>45737.541666666664</v>
      </c>
      <c r="AB2623" s="30">
        <v>45747.458333333336</v>
      </c>
      <c r="AC2623" s="30">
        <v>45737.541666666664</v>
      </c>
      <c r="AD2623" s="30">
        <v>45747.458333333336</v>
      </c>
      <c r="AE2623" s="30">
        <v>45765.375</v>
      </c>
      <c r="AF2623" s="30">
        <v>45772.708333333336</v>
      </c>
      <c r="AG2623" t="s">
        <v>1266</v>
      </c>
      <c r="AK2623" t="s">
        <v>1265</v>
      </c>
      <c r="AL2623" t="s">
        <v>2044</v>
      </c>
      <c r="AM2623" t="s">
        <v>1263</v>
      </c>
      <c r="AN2623" t="s">
        <v>1262</v>
      </c>
      <c r="AO2623">
        <v>0</v>
      </c>
      <c r="AQ2623" t="s">
        <v>1261</v>
      </c>
      <c r="AR2623" t="s">
        <v>1260</v>
      </c>
      <c r="AS2623" t="s">
        <v>1259</v>
      </c>
      <c r="AT2623" s="30">
        <v>46072.688888888886</v>
      </c>
    </row>
    <row r="2624" spans="1:46" x14ac:dyDescent="0.25">
      <c r="A2624" t="s">
        <v>1248</v>
      </c>
      <c r="B2624">
        <v>253057</v>
      </c>
      <c r="C2624">
        <v>352190</v>
      </c>
      <c r="D2624">
        <v>405</v>
      </c>
      <c r="E2624" t="s">
        <v>1266</v>
      </c>
      <c r="G2624">
        <v>745</v>
      </c>
      <c r="H2624">
        <v>1824</v>
      </c>
      <c r="K2624" s="29">
        <v>2839148</v>
      </c>
      <c r="L2624" s="29">
        <v>2839148</v>
      </c>
      <c r="M2624" t="s">
        <v>2022</v>
      </c>
      <c r="N2624">
        <v>0</v>
      </c>
      <c r="O2624" t="s">
        <v>2022</v>
      </c>
      <c r="P2624">
        <v>0</v>
      </c>
      <c r="Q2624">
        <v>0</v>
      </c>
      <c r="R2624">
        <v>0</v>
      </c>
      <c r="T2624" s="29">
        <v>2200000</v>
      </c>
      <c r="U2624" s="29">
        <v>6246126</v>
      </c>
      <c r="V2624" t="s">
        <v>1262</v>
      </c>
      <c r="W2624" t="s">
        <v>1262</v>
      </c>
      <c r="X2624" s="29">
        <v>6246126</v>
      </c>
      <c r="AA2624" s="30">
        <v>45735.333333333336</v>
      </c>
      <c r="AB2624" s="30">
        <v>45742.708333333336</v>
      </c>
      <c r="AC2624" s="30">
        <v>45735.333333333336</v>
      </c>
      <c r="AD2624" s="30">
        <v>45742.708333333336</v>
      </c>
      <c r="AE2624" s="30">
        <v>45761.333333333336</v>
      </c>
      <c r="AF2624" s="30">
        <v>45768.708333333336</v>
      </c>
      <c r="AG2624" t="s">
        <v>1266</v>
      </c>
      <c r="AK2624" t="s">
        <v>1265</v>
      </c>
      <c r="AL2624" t="s">
        <v>2043</v>
      </c>
      <c r="AM2624" t="s">
        <v>1263</v>
      </c>
      <c r="AN2624" t="s">
        <v>1262</v>
      </c>
      <c r="AO2624">
        <v>0</v>
      </c>
      <c r="AQ2624" t="s">
        <v>1261</v>
      </c>
      <c r="AR2624" t="s">
        <v>1260</v>
      </c>
      <c r="AS2624" t="s">
        <v>1259</v>
      </c>
      <c r="AT2624" s="30">
        <v>46072.688888888886</v>
      </c>
    </row>
    <row r="2625" spans="1:46" x14ac:dyDescent="0.25">
      <c r="A2625" t="s">
        <v>1248</v>
      </c>
      <c r="B2625">
        <v>253058</v>
      </c>
      <c r="C2625">
        <v>352197</v>
      </c>
      <c r="D2625">
        <v>405</v>
      </c>
      <c r="E2625" t="s">
        <v>1266</v>
      </c>
      <c r="G2625">
        <v>745</v>
      </c>
      <c r="H2625">
        <v>1824</v>
      </c>
      <c r="K2625" t="s">
        <v>1460</v>
      </c>
      <c r="L2625" t="s">
        <v>1460</v>
      </c>
      <c r="M2625" t="s">
        <v>2022</v>
      </c>
      <c r="N2625">
        <v>0</v>
      </c>
      <c r="O2625" t="s">
        <v>2022</v>
      </c>
      <c r="P2625">
        <v>0</v>
      </c>
      <c r="Q2625">
        <v>0</v>
      </c>
      <c r="R2625">
        <v>0</v>
      </c>
      <c r="T2625" s="29">
        <v>1668100</v>
      </c>
      <c r="U2625" s="29">
        <v>4637318</v>
      </c>
      <c r="V2625" t="s">
        <v>1262</v>
      </c>
      <c r="W2625" t="s">
        <v>1262</v>
      </c>
      <c r="X2625" s="29">
        <v>4637318</v>
      </c>
      <c r="AA2625" s="30">
        <v>45915.380555555559</v>
      </c>
      <c r="AB2625" s="30">
        <v>45923.338888888888</v>
      </c>
      <c r="AC2625" s="30">
        <v>45915.380555555559</v>
      </c>
      <c r="AD2625" s="30">
        <v>45923.338888888888</v>
      </c>
      <c r="AE2625" s="30">
        <v>46406.416666666664</v>
      </c>
      <c r="AF2625" s="30">
        <v>46414.375</v>
      </c>
      <c r="AG2625" t="s">
        <v>1266</v>
      </c>
      <c r="AK2625" t="s">
        <v>1265</v>
      </c>
      <c r="AL2625" t="s">
        <v>2042</v>
      </c>
      <c r="AM2625" t="s">
        <v>1263</v>
      </c>
      <c r="AN2625" t="s">
        <v>1262</v>
      </c>
      <c r="AO2625">
        <v>0</v>
      </c>
      <c r="AQ2625" t="s">
        <v>1261</v>
      </c>
      <c r="AR2625" t="s">
        <v>1260</v>
      </c>
      <c r="AS2625" t="s">
        <v>1259</v>
      </c>
      <c r="AT2625" s="30">
        <v>46072.688888888886</v>
      </c>
    </row>
    <row r="2626" spans="1:46" x14ac:dyDescent="0.25">
      <c r="A2626" t="s">
        <v>1248</v>
      </c>
      <c r="B2626">
        <v>253059</v>
      </c>
      <c r="C2626">
        <v>352204</v>
      </c>
      <c r="D2626">
        <v>405</v>
      </c>
      <c r="E2626" t="s">
        <v>1266</v>
      </c>
      <c r="G2626">
        <v>745</v>
      </c>
      <c r="H2626">
        <v>1824</v>
      </c>
      <c r="K2626">
        <v>47</v>
      </c>
      <c r="L2626">
        <v>47</v>
      </c>
      <c r="M2626">
        <v>1</v>
      </c>
      <c r="N2626">
        <v>0</v>
      </c>
      <c r="O2626">
        <v>1</v>
      </c>
      <c r="P2626">
        <v>0</v>
      </c>
      <c r="Q2626">
        <v>0</v>
      </c>
      <c r="R2626">
        <v>0</v>
      </c>
      <c r="T2626" s="29">
        <v>1668100</v>
      </c>
      <c r="U2626" s="29">
        <v>78400700</v>
      </c>
      <c r="V2626" t="s">
        <v>1262</v>
      </c>
      <c r="W2626" t="s">
        <v>1262</v>
      </c>
      <c r="X2626" s="29">
        <v>78400700</v>
      </c>
      <c r="AA2626" s="30">
        <v>45910.380555555559</v>
      </c>
      <c r="AB2626" s="30">
        <v>45918.338888888888</v>
      </c>
      <c r="AC2626" s="30">
        <v>45910.380555555559</v>
      </c>
      <c r="AD2626" s="30">
        <v>45918.338888888888</v>
      </c>
      <c r="AE2626" s="30">
        <v>46386.416666666664</v>
      </c>
      <c r="AF2626" s="30">
        <v>46398.375</v>
      </c>
      <c r="AG2626" t="s">
        <v>1266</v>
      </c>
      <c r="AK2626" t="s">
        <v>1265</v>
      </c>
      <c r="AL2626" t="s">
        <v>2041</v>
      </c>
      <c r="AM2626" t="s">
        <v>1263</v>
      </c>
      <c r="AN2626" t="s">
        <v>1262</v>
      </c>
      <c r="AO2626">
        <v>0</v>
      </c>
      <c r="AQ2626" t="s">
        <v>1261</v>
      </c>
      <c r="AR2626" t="s">
        <v>1260</v>
      </c>
      <c r="AS2626" t="s">
        <v>1259</v>
      </c>
      <c r="AT2626" s="30">
        <v>46072.688888888886</v>
      </c>
    </row>
    <row r="2627" spans="1:46" x14ac:dyDescent="0.25">
      <c r="A2627" t="s">
        <v>1248</v>
      </c>
      <c r="B2627">
        <v>253060</v>
      </c>
      <c r="C2627">
        <v>352211</v>
      </c>
      <c r="D2627">
        <v>405</v>
      </c>
      <c r="E2627" t="s">
        <v>1266</v>
      </c>
      <c r="G2627">
        <v>745</v>
      </c>
      <c r="H2627">
        <v>1824</v>
      </c>
      <c r="K2627" t="s">
        <v>1460</v>
      </c>
      <c r="L2627" t="s">
        <v>1460</v>
      </c>
      <c r="M2627" t="s">
        <v>2022</v>
      </c>
      <c r="N2627">
        <v>0</v>
      </c>
      <c r="O2627" t="s">
        <v>2022</v>
      </c>
      <c r="P2627">
        <v>0</v>
      </c>
      <c r="Q2627">
        <v>0</v>
      </c>
      <c r="R2627">
        <v>0</v>
      </c>
      <c r="T2627" s="29">
        <v>1668100</v>
      </c>
      <c r="U2627" s="29">
        <v>4637318</v>
      </c>
      <c r="V2627" t="s">
        <v>1262</v>
      </c>
      <c r="W2627" t="s">
        <v>1262</v>
      </c>
      <c r="X2627" s="29">
        <v>4637318</v>
      </c>
      <c r="AA2627" s="30">
        <v>45905.380555555559</v>
      </c>
      <c r="AB2627" s="30">
        <v>45915.338888888888</v>
      </c>
      <c r="AC2627" s="30">
        <v>45905.380555555559</v>
      </c>
      <c r="AD2627" s="30">
        <v>45915.338888888888</v>
      </c>
      <c r="AE2627" s="30">
        <v>46367.416666666664</v>
      </c>
      <c r="AF2627" s="30">
        <v>46377.375</v>
      </c>
      <c r="AG2627" t="s">
        <v>1266</v>
      </c>
      <c r="AK2627" t="s">
        <v>1265</v>
      </c>
      <c r="AL2627" t="s">
        <v>2040</v>
      </c>
      <c r="AM2627" t="s">
        <v>1263</v>
      </c>
      <c r="AN2627" t="s">
        <v>1262</v>
      </c>
      <c r="AO2627">
        <v>0</v>
      </c>
      <c r="AQ2627" t="s">
        <v>1261</v>
      </c>
      <c r="AR2627" t="s">
        <v>1260</v>
      </c>
      <c r="AS2627" t="s">
        <v>1259</v>
      </c>
      <c r="AT2627" s="30">
        <v>46072.688888888886</v>
      </c>
    </row>
    <row r="2628" spans="1:46" x14ac:dyDescent="0.25">
      <c r="A2628" t="s">
        <v>1248</v>
      </c>
      <c r="B2628">
        <v>253061</v>
      </c>
      <c r="C2628">
        <v>352218</v>
      </c>
      <c r="D2628">
        <v>405</v>
      </c>
      <c r="E2628" t="s">
        <v>1266</v>
      </c>
      <c r="G2628">
        <v>745</v>
      </c>
      <c r="H2628">
        <v>1824</v>
      </c>
      <c r="K2628">
        <v>47</v>
      </c>
      <c r="L2628">
        <v>47</v>
      </c>
      <c r="M2628">
        <v>1</v>
      </c>
      <c r="N2628">
        <v>0</v>
      </c>
      <c r="O2628">
        <v>1</v>
      </c>
      <c r="P2628">
        <v>0</v>
      </c>
      <c r="Q2628">
        <v>0</v>
      </c>
      <c r="R2628">
        <v>0</v>
      </c>
      <c r="T2628" s="29">
        <v>1668100</v>
      </c>
      <c r="U2628" s="29">
        <v>78400700</v>
      </c>
      <c r="V2628" t="s">
        <v>1262</v>
      </c>
      <c r="W2628" t="s">
        <v>1262</v>
      </c>
      <c r="X2628" s="29">
        <v>78400700</v>
      </c>
      <c r="AA2628" s="30">
        <v>45896.380555555559</v>
      </c>
      <c r="AB2628" s="30">
        <v>45904.338888888888</v>
      </c>
      <c r="AC2628" s="30">
        <v>45896.380555555559</v>
      </c>
      <c r="AD2628" s="30">
        <v>45904.338888888888</v>
      </c>
      <c r="AE2628" s="30">
        <v>46344.416666666664</v>
      </c>
      <c r="AF2628" s="30">
        <v>46352.375</v>
      </c>
      <c r="AG2628" t="s">
        <v>1266</v>
      </c>
      <c r="AK2628" t="s">
        <v>1265</v>
      </c>
      <c r="AL2628" t="s">
        <v>2039</v>
      </c>
      <c r="AM2628" t="s">
        <v>1263</v>
      </c>
      <c r="AN2628" t="s">
        <v>1262</v>
      </c>
      <c r="AO2628">
        <v>0</v>
      </c>
      <c r="AQ2628" t="s">
        <v>1261</v>
      </c>
      <c r="AR2628" t="s">
        <v>1260</v>
      </c>
      <c r="AS2628" t="s">
        <v>1259</v>
      </c>
      <c r="AT2628" s="30">
        <v>46072.688888888886</v>
      </c>
    </row>
    <row r="2629" spans="1:46" x14ac:dyDescent="0.25">
      <c r="A2629" t="s">
        <v>1248</v>
      </c>
      <c r="B2629">
        <v>253062</v>
      </c>
      <c r="C2629">
        <v>352225</v>
      </c>
      <c r="D2629">
        <v>405</v>
      </c>
      <c r="E2629" t="s">
        <v>1266</v>
      </c>
      <c r="G2629">
        <v>745</v>
      </c>
      <c r="H2629">
        <v>1824</v>
      </c>
      <c r="K2629" t="s">
        <v>1460</v>
      </c>
      <c r="L2629" t="s">
        <v>1460</v>
      </c>
      <c r="M2629" t="s">
        <v>2022</v>
      </c>
      <c r="N2629">
        <v>0</v>
      </c>
      <c r="O2629" t="s">
        <v>2022</v>
      </c>
      <c r="P2629">
        <v>0</v>
      </c>
      <c r="Q2629">
        <v>0</v>
      </c>
      <c r="R2629">
        <v>0</v>
      </c>
      <c r="T2629" s="29">
        <v>1668100</v>
      </c>
      <c r="U2629" s="29">
        <v>4637318</v>
      </c>
      <c r="V2629" t="s">
        <v>1262</v>
      </c>
      <c r="W2629" t="s">
        <v>1262</v>
      </c>
      <c r="X2629" s="29">
        <v>4637318</v>
      </c>
      <c r="AA2629" s="30">
        <v>45897.547222222223</v>
      </c>
      <c r="AB2629" s="30">
        <v>45905.463888888888</v>
      </c>
      <c r="AC2629" s="30">
        <v>45897.547222222223</v>
      </c>
      <c r="AD2629" s="30">
        <v>45905.463888888888</v>
      </c>
      <c r="AE2629" s="30">
        <v>46332.416666666664</v>
      </c>
      <c r="AF2629" s="30">
        <v>46342.375</v>
      </c>
      <c r="AG2629" t="s">
        <v>1266</v>
      </c>
      <c r="AK2629" t="s">
        <v>1265</v>
      </c>
      <c r="AL2629" t="s">
        <v>2038</v>
      </c>
      <c r="AM2629" t="s">
        <v>1263</v>
      </c>
      <c r="AN2629" t="s">
        <v>1262</v>
      </c>
      <c r="AO2629">
        <v>0</v>
      </c>
      <c r="AQ2629" t="s">
        <v>1261</v>
      </c>
      <c r="AR2629" t="s">
        <v>1260</v>
      </c>
      <c r="AS2629" t="s">
        <v>1259</v>
      </c>
      <c r="AT2629" s="30">
        <v>46072.688888888886</v>
      </c>
    </row>
    <row r="2630" spans="1:46" x14ac:dyDescent="0.25">
      <c r="A2630" t="s">
        <v>1248</v>
      </c>
      <c r="B2630">
        <v>253063</v>
      </c>
      <c r="C2630">
        <v>352232</v>
      </c>
      <c r="D2630">
        <v>405</v>
      </c>
      <c r="E2630" t="s">
        <v>1266</v>
      </c>
      <c r="G2630">
        <v>745</v>
      </c>
      <c r="H2630">
        <v>1824</v>
      </c>
      <c r="K2630" t="s">
        <v>1460</v>
      </c>
      <c r="L2630" t="s">
        <v>1460</v>
      </c>
      <c r="M2630" t="s">
        <v>2022</v>
      </c>
      <c r="N2630">
        <v>0</v>
      </c>
      <c r="O2630" t="s">
        <v>2022</v>
      </c>
      <c r="P2630">
        <v>0</v>
      </c>
      <c r="Q2630">
        <v>0</v>
      </c>
      <c r="R2630">
        <v>0</v>
      </c>
      <c r="T2630" s="29">
        <v>1668100</v>
      </c>
      <c r="U2630" s="29">
        <v>4637318</v>
      </c>
      <c r="V2630" t="s">
        <v>1262</v>
      </c>
      <c r="W2630" t="s">
        <v>1262</v>
      </c>
      <c r="X2630" s="29">
        <v>4637318</v>
      </c>
      <c r="AA2630" s="30">
        <v>45895.588888888888</v>
      </c>
      <c r="AB2630" s="30">
        <v>45903.547222222223</v>
      </c>
      <c r="AC2630" s="30">
        <v>45895.588888888888</v>
      </c>
      <c r="AD2630" s="30">
        <v>45903.547222222223</v>
      </c>
      <c r="AE2630" s="30">
        <v>46316.416666666664</v>
      </c>
      <c r="AF2630" s="30">
        <v>46324.375</v>
      </c>
      <c r="AG2630" t="s">
        <v>1266</v>
      </c>
      <c r="AK2630" t="s">
        <v>1265</v>
      </c>
      <c r="AL2630" t="s">
        <v>2037</v>
      </c>
      <c r="AM2630" t="s">
        <v>1263</v>
      </c>
      <c r="AN2630" t="s">
        <v>1262</v>
      </c>
      <c r="AO2630">
        <v>0</v>
      </c>
      <c r="AQ2630" t="s">
        <v>1261</v>
      </c>
      <c r="AR2630" t="s">
        <v>1260</v>
      </c>
      <c r="AS2630" t="s">
        <v>1259</v>
      </c>
      <c r="AT2630" s="30">
        <v>46072.688888888886</v>
      </c>
    </row>
    <row r="2631" spans="1:46" x14ac:dyDescent="0.25">
      <c r="A2631" t="s">
        <v>1248</v>
      </c>
      <c r="B2631">
        <v>253064</v>
      </c>
      <c r="C2631">
        <v>352239</v>
      </c>
      <c r="D2631">
        <v>405</v>
      </c>
      <c r="E2631" t="s">
        <v>1266</v>
      </c>
      <c r="G2631">
        <v>745</v>
      </c>
      <c r="H2631">
        <v>1824</v>
      </c>
      <c r="K2631" t="s">
        <v>1460</v>
      </c>
      <c r="L2631" t="s">
        <v>1460</v>
      </c>
      <c r="M2631" t="s">
        <v>2022</v>
      </c>
      <c r="N2631">
        <v>0</v>
      </c>
      <c r="O2631" t="s">
        <v>2022</v>
      </c>
      <c r="P2631">
        <v>0</v>
      </c>
      <c r="Q2631">
        <v>0</v>
      </c>
      <c r="R2631">
        <v>0</v>
      </c>
      <c r="T2631" s="29">
        <v>1668100</v>
      </c>
      <c r="U2631" s="29">
        <v>4637318</v>
      </c>
      <c r="V2631" t="s">
        <v>1262</v>
      </c>
      <c r="W2631" t="s">
        <v>1262</v>
      </c>
      <c r="X2631" s="29">
        <v>4637318</v>
      </c>
      <c r="AA2631" s="30">
        <v>45891.630555555559</v>
      </c>
      <c r="AB2631" s="30">
        <v>45901.588888888888</v>
      </c>
      <c r="AC2631" s="30">
        <v>45891.630555555559</v>
      </c>
      <c r="AD2631" s="30">
        <v>45901.588888888888</v>
      </c>
      <c r="AE2631" s="30">
        <v>46300.416666666664</v>
      </c>
      <c r="AF2631" s="30">
        <v>46308.375</v>
      </c>
      <c r="AG2631" t="s">
        <v>1266</v>
      </c>
      <c r="AK2631" t="s">
        <v>1265</v>
      </c>
      <c r="AL2631" t="s">
        <v>2036</v>
      </c>
      <c r="AM2631" t="s">
        <v>1263</v>
      </c>
      <c r="AN2631" t="s">
        <v>1262</v>
      </c>
      <c r="AO2631">
        <v>0</v>
      </c>
      <c r="AQ2631" t="s">
        <v>1261</v>
      </c>
      <c r="AR2631" t="s">
        <v>1260</v>
      </c>
      <c r="AS2631" t="s">
        <v>1259</v>
      </c>
      <c r="AT2631" s="30">
        <v>46072.688888888886</v>
      </c>
    </row>
    <row r="2632" spans="1:46" x14ac:dyDescent="0.25">
      <c r="A2632" t="s">
        <v>1248</v>
      </c>
      <c r="B2632">
        <v>253065</v>
      </c>
      <c r="C2632">
        <v>352246</v>
      </c>
      <c r="D2632">
        <v>405</v>
      </c>
      <c r="E2632" t="s">
        <v>1266</v>
      </c>
      <c r="G2632">
        <v>745</v>
      </c>
      <c r="H2632">
        <v>1824</v>
      </c>
      <c r="K2632" t="s">
        <v>1460</v>
      </c>
      <c r="L2632" t="s">
        <v>1460</v>
      </c>
      <c r="M2632" t="s">
        <v>2022</v>
      </c>
      <c r="N2632">
        <v>0</v>
      </c>
      <c r="O2632" t="s">
        <v>2022</v>
      </c>
      <c r="P2632">
        <v>0</v>
      </c>
      <c r="Q2632">
        <v>0</v>
      </c>
      <c r="R2632">
        <v>0</v>
      </c>
      <c r="T2632" s="29">
        <v>1668100</v>
      </c>
      <c r="U2632" s="29">
        <v>4637318</v>
      </c>
      <c r="V2632" t="s">
        <v>1262</v>
      </c>
      <c r="W2632" t="s">
        <v>1262</v>
      </c>
      <c r="X2632" s="29">
        <v>4637318</v>
      </c>
      <c r="AA2632" s="30">
        <v>45895.35</v>
      </c>
      <c r="AB2632" s="30">
        <v>45902.683333333334</v>
      </c>
      <c r="AC2632" s="30">
        <v>45895.35</v>
      </c>
      <c r="AD2632" s="30">
        <v>45902.683333333334</v>
      </c>
      <c r="AE2632" s="30">
        <v>46282.416666666664</v>
      </c>
      <c r="AF2632" s="30">
        <v>46290.375</v>
      </c>
      <c r="AG2632" t="s">
        <v>1266</v>
      </c>
      <c r="AK2632" t="s">
        <v>1265</v>
      </c>
      <c r="AL2632" t="s">
        <v>2035</v>
      </c>
      <c r="AM2632" t="s">
        <v>1263</v>
      </c>
      <c r="AN2632" t="s">
        <v>1262</v>
      </c>
      <c r="AO2632">
        <v>0</v>
      </c>
      <c r="AQ2632" t="s">
        <v>1261</v>
      </c>
      <c r="AR2632" t="s">
        <v>1260</v>
      </c>
      <c r="AS2632" t="s">
        <v>1259</v>
      </c>
      <c r="AT2632" s="30">
        <v>46072.688888888886</v>
      </c>
    </row>
    <row r="2633" spans="1:46" x14ac:dyDescent="0.25">
      <c r="A2633" t="s">
        <v>1248</v>
      </c>
      <c r="B2633">
        <v>253066</v>
      </c>
      <c r="C2633">
        <v>352253</v>
      </c>
      <c r="D2633">
        <v>405</v>
      </c>
      <c r="E2633" t="s">
        <v>1266</v>
      </c>
      <c r="G2633">
        <v>745</v>
      </c>
      <c r="H2633">
        <v>1824</v>
      </c>
      <c r="K2633" t="s">
        <v>1460</v>
      </c>
      <c r="L2633" t="s">
        <v>1460</v>
      </c>
      <c r="M2633" t="s">
        <v>2022</v>
      </c>
      <c r="N2633">
        <v>0</v>
      </c>
      <c r="O2633" t="s">
        <v>2022</v>
      </c>
      <c r="P2633">
        <v>0</v>
      </c>
      <c r="Q2633">
        <v>0</v>
      </c>
      <c r="R2633">
        <v>0</v>
      </c>
      <c r="T2633" s="29">
        <v>1668100</v>
      </c>
      <c r="U2633" s="29">
        <v>4637318</v>
      </c>
      <c r="V2633" t="s">
        <v>1262</v>
      </c>
      <c r="W2633" t="s">
        <v>1262</v>
      </c>
      <c r="X2633" s="29">
        <v>4637318</v>
      </c>
      <c r="AA2633" s="30">
        <v>45891.39166666667</v>
      </c>
      <c r="AB2633" s="30">
        <v>45901.35</v>
      </c>
      <c r="AC2633" s="30">
        <v>45891.39166666667</v>
      </c>
      <c r="AD2633" s="30">
        <v>45901.35</v>
      </c>
      <c r="AE2633" s="30">
        <v>46266.416666666664</v>
      </c>
      <c r="AF2633" s="30">
        <v>46274.375</v>
      </c>
      <c r="AG2633" t="s">
        <v>1266</v>
      </c>
      <c r="AK2633" t="s">
        <v>1265</v>
      </c>
      <c r="AL2633" t="s">
        <v>2034</v>
      </c>
      <c r="AM2633" t="s">
        <v>1263</v>
      </c>
      <c r="AN2633" t="s">
        <v>1262</v>
      </c>
      <c r="AO2633">
        <v>0</v>
      </c>
      <c r="AQ2633" t="s">
        <v>1261</v>
      </c>
      <c r="AR2633" t="s">
        <v>1260</v>
      </c>
      <c r="AS2633" t="s">
        <v>1259</v>
      </c>
      <c r="AT2633" s="30">
        <v>46072.688888888886</v>
      </c>
    </row>
    <row r="2634" spans="1:46" x14ac:dyDescent="0.25">
      <c r="A2634" t="s">
        <v>1248</v>
      </c>
      <c r="B2634">
        <v>253067</v>
      </c>
      <c r="C2634">
        <v>352260</v>
      </c>
      <c r="D2634">
        <v>405</v>
      </c>
      <c r="E2634" t="s">
        <v>1266</v>
      </c>
      <c r="G2634">
        <v>745</v>
      </c>
      <c r="H2634">
        <v>1824</v>
      </c>
      <c r="K2634" t="s">
        <v>1460</v>
      </c>
      <c r="L2634" t="s">
        <v>1460</v>
      </c>
      <c r="M2634" t="s">
        <v>2022</v>
      </c>
      <c r="N2634">
        <v>0</v>
      </c>
      <c r="O2634" t="s">
        <v>2022</v>
      </c>
      <c r="P2634">
        <v>0</v>
      </c>
      <c r="Q2634">
        <v>0</v>
      </c>
      <c r="R2634">
        <v>0</v>
      </c>
      <c r="T2634" s="29">
        <v>1668100</v>
      </c>
      <c r="U2634" s="29">
        <v>4637318</v>
      </c>
      <c r="V2634" t="s">
        <v>1262</v>
      </c>
      <c r="W2634" t="s">
        <v>1262</v>
      </c>
      <c r="X2634" s="29">
        <v>4637318</v>
      </c>
      <c r="AA2634" s="30">
        <v>45889.433333333334</v>
      </c>
      <c r="AB2634" s="30">
        <v>45897.39166666667</v>
      </c>
      <c r="AC2634" s="30">
        <v>45889.433333333334</v>
      </c>
      <c r="AD2634" s="30">
        <v>45897.39166666667</v>
      </c>
      <c r="AE2634" s="30">
        <v>46248.416666666664</v>
      </c>
      <c r="AF2634" s="30">
        <v>46258.375</v>
      </c>
      <c r="AG2634" t="s">
        <v>1266</v>
      </c>
      <c r="AK2634" t="s">
        <v>1265</v>
      </c>
      <c r="AL2634" t="s">
        <v>2033</v>
      </c>
      <c r="AM2634" t="s">
        <v>1263</v>
      </c>
      <c r="AN2634" t="s">
        <v>1262</v>
      </c>
      <c r="AO2634">
        <v>0</v>
      </c>
      <c r="AQ2634" t="s">
        <v>1261</v>
      </c>
      <c r="AR2634" t="s">
        <v>1260</v>
      </c>
      <c r="AS2634" t="s">
        <v>1259</v>
      </c>
      <c r="AT2634" s="30">
        <v>46072.688888888886</v>
      </c>
    </row>
    <row r="2635" spans="1:46" x14ac:dyDescent="0.25">
      <c r="A2635" t="s">
        <v>1248</v>
      </c>
      <c r="B2635">
        <v>253068</v>
      </c>
      <c r="C2635">
        <v>352267</v>
      </c>
      <c r="D2635">
        <v>405</v>
      </c>
      <c r="E2635" t="s">
        <v>1266</v>
      </c>
      <c r="G2635">
        <v>745</v>
      </c>
      <c r="H2635">
        <v>1824</v>
      </c>
      <c r="K2635" t="s">
        <v>1460</v>
      </c>
      <c r="L2635" t="s">
        <v>1460</v>
      </c>
      <c r="M2635" t="s">
        <v>2022</v>
      </c>
      <c r="N2635">
        <v>0</v>
      </c>
      <c r="O2635" t="s">
        <v>2022</v>
      </c>
      <c r="P2635">
        <v>0</v>
      </c>
      <c r="Q2635">
        <v>0</v>
      </c>
      <c r="R2635">
        <v>0</v>
      </c>
      <c r="T2635" s="29">
        <v>2200000</v>
      </c>
      <c r="U2635" s="29">
        <v>6116000</v>
      </c>
      <c r="V2635" t="s">
        <v>1262</v>
      </c>
      <c r="W2635" t="s">
        <v>1262</v>
      </c>
      <c r="X2635" s="29">
        <v>6116000</v>
      </c>
      <c r="AA2635" s="30">
        <v>45877.7</v>
      </c>
      <c r="AB2635" s="30">
        <v>45887.658333333333</v>
      </c>
      <c r="AC2635" s="30">
        <v>45877.7</v>
      </c>
      <c r="AD2635" s="30">
        <v>45887.658333333333</v>
      </c>
      <c r="AE2635" s="30">
        <v>46232.416666666664</v>
      </c>
      <c r="AF2635" s="30">
        <v>46240.375</v>
      </c>
      <c r="AG2635" t="s">
        <v>1266</v>
      </c>
      <c r="AK2635" t="s">
        <v>1265</v>
      </c>
      <c r="AL2635" t="s">
        <v>2032</v>
      </c>
      <c r="AM2635" t="s">
        <v>1263</v>
      </c>
      <c r="AN2635" t="s">
        <v>1262</v>
      </c>
      <c r="AO2635">
        <v>0</v>
      </c>
      <c r="AQ2635" t="s">
        <v>1261</v>
      </c>
      <c r="AR2635" t="s">
        <v>1260</v>
      </c>
      <c r="AS2635" t="s">
        <v>1259</v>
      </c>
      <c r="AT2635" s="30">
        <v>46072.688888888886</v>
      </c>
    </row>
    <row r="2636" spans="1:46" x14ac:dyDescent="0.25">
      <c r="A2636" t="s">
        <v>1248</v>
      </c>
      <c r="B2636">
        <v>253069</v>
      </c>
      <c r="C2636">
        <v>352274</v>
      </c>
      <c r="D2636">
        <v>405</v>
      </c>
      <c r="E2636" t="s">
        <v>1266</v>
      </c>
      <c r="G2636">
        <v>745</v>
      </c>
      <c r="H2636">
        <v>1824</v>
      </c>
      <c r="K2636" t="s">
        <v>1460</v>
      </c>
      <c r="L2636" t="s">
        <v>1460</v>
      </c>
      <c r="M2636" t="s">
        <v>2022</v>
      </c>
      <c r="N2636">
        <v>0</v>
      </c>
      <c r="O2636" t="s">
        <v>2022</v>
      </c>
      <c r="P2636">
        <v>0</v>
      </c>
      <c r="Q2636">
        <v>0</v>
      </c>
      <c r="R2636">
        <v>0</v>
      </c>
      <c r="T2636" s="29">
        <v>2200000</v>
      </c>
      <c r="U2636" s="29">
        <v>6116000</v>
      </c>
      <c r="V2636" t="s">
        <v>1262</v>
      </c>
      <c r="W2636" t="s">
        <v>1262</v>
      </c>
      <c r="X2636" s="29">
        <v>6116000</v>
      </c>
      <c r="AA2636" s="30">
        <v>45876.366666666669</v>
      </c>
      <c r="AB2636" s="30">
        <v>45883.7</v>
      </c>
      <c r="AC2636" s="30">
        <v>45876.366666666669</v>
      </c>
      <c r="AD2636" s="30">
        <v>45883.7</v>
      </c>
      <c r="AE2636" s="30">
        <v>46216.416666666664</v>
      </c>
      <c r="AF2636" s="30">
        <v>46224.375</v>
      </c>
      <c r="AG2636" t="s">
        <v>1266</v>
      </c>
      <c r="AK2636" t="s">
        <v>1265</v>
      </c>
      <c r="AL2636" t="s">
        <v>2031</v>
      </c>
      <c r="AM2636" t="s">
        <v>1263</v>
      </c>
      <c r="AN2636" t="s">
        <v>1262</v>
      </c>
      <c r="AO2636">
        <v>0</v>
      </c>
      <c r="AQ2636" t="s">
        <v>1261</v>
      </c>
      <c r="AR2636" t="s">
        <v>1260</v>
      </c>
      <c r="AS2636" t="s">
        <v>1259</v>
      </c>
      <c r="AT2636" s="30">
        <v>46072.688888888886</v>
      </c>
    </row>
    <row r="2637" spans="1:46" x14ac:dyDescent="0.25">
      <c r="A2637" t="s">
        <v>1248</v>
      </c>
      <c r="B2637">
        <v>253070</v>
      </c>
      <c r="C2637">
        <v>352281</v>
      </c>
      <c r="D2637">
        <v>405</v>
      </c>
      <c r="E2637" t="s">
        <v>1266</v>
      </c>
      <c r="G2637">
        <v>745</v>
      </c>
      <c r="H2637">
        <v>1824</v>
      </c>
      <c r="K2637" t="s">
        <v>1460</v>
      </c>
      <c r="L2637" t="s">
        <v>1460</v>
      </c>
      <c r="M2637" t="s">
        <v>2022</v>
      </c>
      <c r="N2637">
        <v>0</v>
      </c>
      <c r="O2637" t="s">
        <v>2022</v>
      </c>
      <c r="P2637">
        <v>0</v>
      </c>
      <c r="Q2637">
        <v>0</v>
      </c>
      <c r="R2637">
        <v>0</v>
      </c>
      <c r="T2637" s="29">
        <v>2200000</v>
      </c>
      <c r="U2637" s="29">
        <v>6116000</v>
      </c>
      <c r="V2637" t="s">
        <v>1262</v>
      </c>
      <c r="W2637" t="s">
        <v>1262</v>
      </c>
      <c r="X2637" s="29">
        <v>6116000</v>
      </c>
      <c r="AA2637" s="30">
        <v>45874.408333333333</v>
      </c>
      <c r="AB2637" s="30">
        <v>45882.366666666669</v>
      </c>
      <c r="AC2637" s="30">
        <v>45874.408333333333</v>
      </c>
      <c r="AD2637" s="30">
        <v>45882.366666666669</v>
      </c>
      <c r="AE2637" s="30">
        <v>46198.416666666664</v>
      </c>
      <c r="AF2637" s="30">
        <v>46206.375</v>
      </c>
      <c r="AG2637" t="s">
        <v>1266</v>
      </c>
      <c r="AK2637" t="s">
        <v>1265</v>
      </c>
      <c r="AL2637" t="s">
        <v>2030</v>
      </c>
      <c r="AM2637" t="s">
        <v>1263</v>
      </c>
      <c r="AN2637" t="s">
        <v>1262</v>
      </c>
      <c r="AO2637">
        <v>0</v>
      </c>
      <c r="AQ2637" t="s">
        <v>1261</v>
      </c>
      <c r="AR2637" t="s">
        <v>1260</v>
      </c>
      <c r="AS2637" t="s">
        <v>1259</v>
      </c>
      <c r="AT2637" s="30">
        <v>46072.688888888886</v>
      </c>
    </row>
    <row r="2638" spans="1:46" x14ac:dyDescent="0.25">
      <c r="A2638" t="s">
        <v>1248</v>
      </c>
      <c r="B2638">
        <v>253071</v>
      </c>
      <c r="C2638">
        <v>352288</v>
      </c>
      <c r="D2638">
        <v>405</v>
      </c>
      <c r="E2638" t="s">
        <v>1266</v>
      </c>
      <c r="G2638">
        <v>745</v>
      </c>
      <c r="H2638">
        <v>1824</v>
      </c>
      <c r="K2638" t="s">
        <v>1460</v>
      </c>
      <c r="L2638" t="s">
        <v>1460</v>
      </c>
      <c r="M2638" t="s">
        <v>2022</v>
      </c>
      <c r="N2638">
        <v>0</v>
      </c>
      <c r="O2638" t="s">
        <v>2022</v>
      </c>
      <c r="P2638">
        <v>0</v>
      </c>
      <c r="Q2638">
        <v>0</v>
      </c>
      <c r="R2638">
        <v>0</v>
      </c>
      <c r="T2638" s="29">
        <v>2200000</v>
      </c>
      <c r="U2638" s="29">
        <v>6116000</v>
      </c>
      <c r="V2638" t="s">
        <v>1262</v>
      </c>
      <c r="W2638" t="s">
        <v>1262</v>
      </c>
      <c r="X2638" s="29">
        <v>6116000</v>
      </c>
      <c r="AA2638" s="30">
        <v>45870.45</v>
      </c>
      <c r="AB2638" s="30">
        <v>45880.408333333333</v>
      </c>
      <c r="AC2638" s="30">
        <v>45870.45</v>
      </c>
      <c r="AD2638" s="30">
        <v>45880.408333333333</v>
      </c>
      <c r="AE2638" s="30">
        <v>46182.416666666664</v>
      </c>
      <c r="AF2638" s="30">
        <v>46190.375</v>
      </c>
      <c r="AG2638" t="s">
        <v>1266</v>
      </c>
      <c r="AK2638" t="s">
        <v>1265</v>
      </c>
      <c r="AL2638" t="s">
        <v>2029</v>
      </c>
      <c r="AM2638" t="s">
        <v>1263</v>
      </c>
      <c r="AN2638" t="s">
        <v>1262</v>
      </c>
      <c r="AO2638">
        <v>0</v>
      </c>
      <c r="AQ2638" t="s">
        <v>1261</v>
      </c>
      <c r="AR2638" t="s">
        <v>1260</v>
      </c>
      <c r="AS2638" t="s">
        <v>1259</v>
      </c>
      <c r="AT2638" s="30">
        <v>46072.688888888886</v>
      </c>
    </row>
    <row r="2639" spans="1:46" x14ac:dyDescent="0.25">
      <c r="A2639" t="s">
        <v>1248</v>
      </c>
      <c r="B2639">
        <v>253072</v>
      </c>
      <c r="C2639">
        <v>352295</v>
      </c>
      <c r="D2639">
        <v>405</v>
      </c>
      <c r="E2639" t="s">
        <v>1266</v>
      </c>
      <c r="G2639">
        <v>745</v>
      </c>
      <c r="H2639">
        <v>1824</v>
      </c>
      <c r="K2639" t="s">
        <v>1460</v>
      </c>
      <c r="L2639" t="s">
        <v>1460</v>
      </c>
      <c r="M2639" t="s">
        <v>2022</v>
      </c>
      <c r="N2639">
        <v>0</v>
      </c>
      <c r="O2639" t="s">
        <v>2022</v>
      </c>
      <c r="P2639">
        <v>0</v>
      </c>
      <c r="Q2639">
        <v>0</v>
      </c>
      <c r="R2639">
        <v>0</v>
      </c>
      <c r="T2639" s="29">
        <v>2200000</v>
      </c>
      <c r="U2639" s="29">
        <v>6116000</v>
      </c>
      <c r="V2639" t="s">
        <v>1262</v>
      </c>
      <c r="W2639" t="s">
        <v>1262</v>
      </c>
      <c r="X2639" s="29">
        <v>6116000</v>
      </c>
      <c r="AA2639" s="30">
        <v>45868.491666666669</v>
      </c>
      <c r="AB2639" s="30">
        <v>45876.45</v>
      </c>
      <c r="AC2639" s="30">
        <v>45868.491666666669</v>
      </c>
      <c r="AD2639" s="30">
        <v>45876.45</v>
      </c>
      <c r="AE2639" s="30">
        <v>46163.416666666664</v>
      </c>
      <c r="AF2639" s="30">
        <v>46171.375</v>
      </c>
      <c r="AG2639" t="s">
        <v>1266</v>
      </c>
      <c r="AK2639" t="s">
        <v>1265</v>
      </c>
      <c r="AL2639" t="s">
        <v>2028</v>
      </c>
      <c r="AM2639" t="s">
        <v>1263</v>
      </c>
      <c r="AN2639" t="s">
        <v>1262</v>
      </c>
      <c r="AO2639">
        <v>0</v>
      </c>
      <c r="AQ2639" t="s">
        <v>1261</v>
      </c>
      <c r="AR2639" t="s">
        <v>1260</v>
      </c>
      <c r="AS2639" t="s">
        <v>1259</v>
      </c>
      <c r="AT2639" s="30">
        <v>46072.688888888886</v>
      </c>
    </row>
    <row r="2640" spans="1:46" x14ac:dyDescent="0.25">
      <c r="A2640" t="s">
        <v>1248</v>
      </c>
      <c r="B2640">
        <v>253073</v>
      </c>
      <c r="C2640">
        <v>352302</v>
      </c>
      <c r="D2640">
        <v>405</v>
      </c>
      <c r="E2640" t="s">
        <v>1266</v>
      </c>
      <c r="G2640">
        <v>745</v>
      </c>
      <c r="H2640">
        <v>1824</v>
      </c>
      <c r="K2640" t="s">
        <v>1460</v>
      </c>
      <c r="L2640" t="s">
        <v>1460</v>
      </c>
      <c r="M2640" t="s">
        <v>2022</v>
      </c>
      <c r="N2640">
        <v>0</v>
      </c>
      <c r="O2640" t="s">
        <v>2022</v>
      </c>
      <c r="P2640">
        <v>0</v>
      </c>
      <c r="Q2640">
        <v>0</v>
      </c>
      <c r="R2640">
        <v>0</v>
      </c>
      <c r="T2640" s="29">
        <v>2200000</v>
      </c>
      <c r="U2640" s="29">
        <v>6116000</v>
      </c>
      <c r="V2640" t="s">
        <v>1262</v>
      </c>
      <c r="W2640" t="s">
        <v>1262</v>
      </c>
      <c r="X2640" s="29">
        <v>6116000</v>
      </c>
      <c r="AA2640" s="30">
        <v>45866.574999999997</v>
      </c>
      <c r="AB2640" s="30">
        <v>45874.491666666669</v>
      </c>
      <c r="AC2640" s="30">
        <v>45866.574999999997</v>
      </c>
      <c r="AD2640" s="30">
        <v>45874.491666666669</v>
      </c>
      <c r="AE2640" s="30">
        <v>46147.416666666664</v>
      </c>
      <c r="AF2640" s="30">
        <v>46155.375</v>
      </c>
      <c r="AG2640" t="s">
        <v>1266</v>
      </c>
      <c r="AK2640" t="s">
        <v>1265</v>
      </c>
      <c r="AL2640" t="s">
        <v>2027</v>
      </c>
      <c r="AM2640" t="s">
        <v>1263</v>
      </c>
      <c r="AN2640" t="s">
        <v>1262</v>
      </c>
      <c r="AO2640">
        <v>0</v>
      </c>
      <c r="AQ2640" t="s">
        <v>1261</v>
      </c>
      <c r="AR2640" t="s">
        <v>1260</v>
      </c>
      <c r="AS2640" t="s">
        <v>1259</v>
      </c>
      <c r="AT2640" s="30">
        <v>46072.688888888886</v>
      </c>
    </row>
    <row r="2641" spans="1:46" x14ac:dyDescent="0.25">
      <c r="A2641" t="s">
        <v>1248</v>
      </c>
      <c r="B2641">
        <v>253074</v>
      </c>
      <c r="C2641">
        <v>352309</v>
      </c>
      <c r="D2641">
        <v>405</v>
      </c>
      <c r="E2641" t="s">
        <v>1266</v>
      </c>
      <c r="G2641">
        <v>745</v>
      </c>
      <c r="H2641">
        <v>1824</v>
      </c>
      <c r="K2641" t="s">
        <v>1460</v>
      </c>
      <c r="L2641" t="s">
        <v>1460</v>
      </c>
      <c r="M2641" t="s">
        <v>2022</v>
      </c>
      <c r="N2641">
        <v>0</v>
      </c>
      <c r="O2641" t="s">
        <v>2022</v>
      </c>
      <c r="P2641">
        <v>0</v>
      </c>
      <c r="Q2641">
        <v>0</v>
      </c>
      <c r="R2641">
        <v>0</v>
      </c>
      <c r="T2641" s="29">
        <v>2200000</v>
      </c>
      <c r="U2641" s="29">
        <v>6116000</v>
      </c>
      <c r="V2641" t="s">
        <v>1262</v>
      </c>
      <c r="W2641" t="s">
        <v>1262</v>
      </c>
      <c r="X2641" s="29">
        <v>6116000</v>
      </c>
      <c r="AA2641" s="30">
        <v>45852.433333333334</v>
      </c>
      <c r="AB2641" s="30">
        <v>45860.39166666667</v>
      </c>
      <c r="AC2641" s="30">
        <v>45852.433333333334</v>
      </c>
      <c r="AD2641" s="30">
        <v>45860.39166666667</v>
      </c>
      <c r="AE2641" s="30">
        <v>46128.416666666664</v>
      </c>
      <c r="AF2641" s="30">
        <v>46136.375</v>
      </c>
      <c r="AG2641" t="s">
        <v>1266</v>
      </c>
      <c r="AK2641" t="s">
        <v>1265</v>
      </c>
      <c r="AL2641" t="s">
        <v>2026</v>
      </c>
      <c r="AM2641" t="s">
        <v>1263</v>
      </c>
      <c r="AN2641" t="s">
        <v>1262</v>
      </c>
      <c r="AO2641">
        <v>0</v>
      </c>
      <c r="AQ2641" t="s">
        <v>1261</v>
      </c>
      <c r="AR2641" t="s">
        <v>1260</v>
      </c>
      <c r="AS2641" t="s">
        <v>1259</v>
      </c>
      <c r="AT2641" s="30">
        <v>46072.688888888886</v>
      </c>
    </row>
    <row r="2642" spans="1:46" x14ac:dyDescent="0.25">
      <c r="A2642" t="s">
        <v>1248</v>
      </c>
      <c r="B2642">
        <v>253075</v>
      </c>
      <c r="C2642">
        <v>352316</v>
      </c>
      <c r="D2642">
        <v>405</v>
      </c>
      <c r="E2642" t="s">
        <v>1266</v>
      </c>
      <c r="G2642">
        <v>745</v>
      </c>
      <c r="H2642">
        <v>1824</v>
      </c>
      <c r="K2642" t="s">
        <v>1460</v>
      </c>
      <c r="L2642" t="s">
        <v>1460</v>
      </c>
      <c r="M2642" t="s">
        <v>2022</v>
      </c>
      <c r="N2642">
        <v>0</v>
      </c>
      <c r="O2642" t="s">
        <v>2022</v>
      </c>
      <c r="P2642">
        <v>0</v>
      </c>
      <c r="Q2642">
        <v>0</v>
      </c>
      <c r="R2642">
        <v>0</v>
      </c>
      <c r="T2642" s="29">
        <v>2200000</v>
      </c>
      <c r="U2642" s="29">
        <v>6116000</v>
      </c>
      <c r="V2642" t="s">
        <v>1262</v>
      </c>
      <c r="W2642" t="s">
        <v>1262</v>
      </c>
      <c r="X2642" s="29">
        <v>6116000</v>
      </c>
      <c r="AA2642" s="30">
        <v>45847.64166666667</v>
      </c>
      <c r="AB2642" s="30">
        <v>45855.6</v>
      </c>
      <c r="AC2642" s="30">
        <v>45847.64166666667</v>
      </c>
      <c r="AD2642" s="30">
        <v>45855.6</v>
      </c>
      <c r="AE2642" s="30">
        <v>46111.416666666664</v>
      </c>
      <c r="AF2642" s="30">
        <v>46120.375</v>
      </c>
      <c r="AG2642" t="s">
        <v>1266</v>
      </c>
      <c r="AK2642" t="s">
        <v>1265</v>
      </c>
      <c r="AL2642" t="s">
        <v>2025</v>
      </c>
      <c r="AM2642" t="s">
        <v>1263</v>
      </c>
      <c r="AN2642" t="s">
        <v>1262</v>
      </c>
      <c r="AO2642">
        <v>0</v>
      </c>
      <c r="AQ2642" t="s">
        <v>1261</v>
      </c>
      <c r="AR2642" t="s">
        <v>1260</v>
      </c>
      <c r="AS2642" t="s">
        <v>1259</v>
      </c>
      <c r="AT2642" s="30">
        <v>46072.688888888886</v>
      </c>
    </row>
    <row r="2643" spans="1:46" x14ac:dyDescent="0.25">
      <c r="A2643" t="s">
        <v>1248</v>
      </c>
      <c r="B2643">
        <v>253076</v>
      </c>
      <c r="C2643">
        <v>352323</v>
      </c>
      <c r="D2643">
        <v>405</v>
      </c>
      <c r="E2643" t="s">
        <v>1266</v>
      </c>
      <c r="G2643">
        <v>745</v>
      </c>
      <c r="H2643">
        <v>1824</v>
      </c>
      <c r="K2643" t="s">
        <v>1460</v>
      </c>
      <c r="L2643" t="s">
        <v>1460</v>
      </c>
      <c r="M2643" t="s">
        <v>2022</v>
      </c>
      <c r="N2643">
        <v>0</v>
      </c>
      <c r="O2643" t="s">
        <v>2022</v>
      </c>
      <c r="P2643">
        <v>0</v>
      </c>
      <c r="Q2643">
        <v>0</v>
      </c>
      <c r="R2643">
        <v>0</v>
      </c>
      <c r="T2643" s="29">
        <v>2200000</v>
      </c>
      <c r="U2643" s="29">
        <v>6116000</v>
      </c>
      <c r="V2643" t="s">
        <v>1262</v>
      </c>
      <c r="W2643" t="s">
        <v>1262</v>
      </c>
      <c r="X2643" s="29">
        <v>6116000</v>
      </c>
      <c r="AA2643" s="30">
        <v>45845.683333333334</v>
      </c>
      <c r="AB2643" s="30">
        <v>45853.64166666667</v>
      </c>
      <c r="AC2643" s="30">
        <v>45845.683333333334</v>
      </c>
      <c r="AD2643" s="30">
        <v>45853.64166666667</v>
      </c>
      <c r="AE2643" s="30">
        <v>46093.416666666664</v>
      </c>
      <c r="AF2643" s="30">
        <v>46101.375</v>
      </c>
      <c r="AG2643" t="s">
        <v>1266</v>
      </c>
      <c r="AK2643" t="s">
        <v>1265</v>
      </c>
      <c r="AL2643" t="s">
        <v>2024</v>
      </c>
      <c r="AM2643" t="s">
        <v>1263</v>
      </c>
      <c r="AN2643" t="s">
        <v>1262</v>
      </c>
      <c r="AO2643">
        <v>0</v>
      </c>
      <c r="AQ2643" t="s">
        <v>1261</v>
      </c>
      <c r="AR2643" t="s">
        <v>1260</v>
      </c>
      <c r="AS2643" t="s">
        <v>1259</v>
      </c>
      <c r="AT2643" s="30">
        <v>46072.688888888886</v>
      </c>
    </row>
    <row r="2644" spans="1:46" x14ac:dyDescent="0.25">
      <c r="A2644" t="s">
        <v>1248</v>
      </c>
      <c r="B2644">
        <v>253077</v>
      </c>
      <c r="C2644">
        <v>352330</v>
      </c>
      <c r="D2644">
        <v>405</v>
      </c>
      <c r="E2644" t="s">
        <v>1266</v>
      </c>
      <c r="G2644">
        <v>745</v>
      </c>
      <c r="H2644">
        <v>1824</v>
      </c>
      <c r="K2644" t="s">
        <v>1460</v>
      </c>
      <c r="L2644" t="s">
        <v>1460</v>
      </c>
      <c r="M2644" t="s">
        <v>2022</v>
      </c>
      <c r="N2644">
        <v>0</v>
      </c>
      <c r="O2644" t="s">
        <v>2022</v>
      </c>
      <c r="P2644">
        <v>0</v>
      </c>
      <c r="Q2644">
        <v>0</v>
      </c>
      <c r="R2644">
        <v>0</v>
      </c>
      <c r="T2644" s="29">
        <v>2200000</v>
      </c>
      <c r="U2644" s="29">
        <v>6116000</v>
      </c>
      <c r="V2644" t="s">
        <v>1262</v>
      </c>
      <c r="W2644" t="s">
        <v>1262</v>
      </c>
      <c r="X2644" s="29">
        <v>6116000</v>
      </c>
      <c r="AA2644" s="30">
        <v>45842.35</v>
      </c>
      <c r="AB2644" s="30">
        <v>45849.683333333334</v>
      </c>
      <c r="AC2644" s="30">
        <v>45842.35</v>
      </c>
      <c r="AD2644" s="30">
        <v>45849.683333333334</v>
      </c>
      <c r="AE2644" s="30">
        <v>46077.416666666664</v>
      </c>
      <c r="AF2644" s="30">
        <v>46085.375</v>
      </c>
      <c r="AG2644" t="s">
        <v>1266</v>
      </c>
      <c r="AK2644" t="s">
        <v>1265</v>
      </c>
      <c r="AL2644" t="s">
        <v>2023</v>
      </c>
      <c r="AM2644" t="s">
        <v>1263</v>
      </c>
      <c r="AN2644" t="s">
        <v>1262</v>
      </c>
      <c r="AO2644">
        <v>0</v>
      </c>
      <c r="AQ2644" t="s">
        <v>1261</v>
      </c>
      <c r="AR2644" t="s">
        <v>1260</v>
      </c>
      <c r="AS2644" t="s">
        <v>1259</v>
      </c>
      <c r="AT2644" s="30">
        <v>46072.688888888886</v>
      </c>
    </row>
    <row r="2645" spans="1:46" x14ac:dyDescent="0.25">
      <c r="A2645" t="s">
        <v>1248</v>
      </c>
      <c r="B2645">
        <v>253078</v>
      </c>
      <c r="C2645">
        <v>352337</v>
      </c>
      <c r="D2645">
        <v>405</v>
      </c>
      <c r="E2645" t="s">
        <v>1266</v>
      </c>
      <c r="G2645">
        <v>745</v>
      </c>
      <c r="H2645">
        <v>1824</v>
      </c>
      <c r="K2645" t="s">
        <v>1460</v>
      </c>
      <c r="L2645" t="s">
        <v>1460</v>
      </c>
      <c r="M2645" t="s">
        <v>2022</v>
      </c>
      <c r="N2645">
        <v>0</v>
      </c>
      <c r="O2645" t="s">
        <v>2022</v>
      </c>
      <c r="P2645">
        <v>0</v>
      </c>
      <c r="Q2645">
        <v>0</v>
      </c>
      <c r="R2645">
        <v>0</v>
      </c>
      <c r="T2645" s="29">
        <v>2200000</v>
      </c>
      <c r="U2645" s="29">
        <v>6116000</v>
      </c>
      <c r="V2645" t="s">
        <v>1262</v>
      </c>
      <c r="W2645" t="s">
        <v>1262</v>
      </c>
      <c r="X2645" s="29">
        <v>6116000</v>
      </c>
      <c r="AA2645" s="30">
        <v>45840.39166666667</v>
      </c>
      <c r="AB2645" s="30">
        <v>45848.35</v>
      </c>
      <c r="AC2645" s="30">
        <v>45840.39166666667</v>
      </c>
      <c r="AD2645" s="30">
        <v>45848.35</v>
      </c>
      <c r="AE2645" s="30">
        <v>46059.416666666664</v>
      </c>
      <c r="AF2645" s="30">
        <v>46069.375</v>
      </c>
      <c r="AG2645" t="s">
        <v>1266</v>
      </c>
      <c r="AK2645" t="s">
        <v>1265</v>
      </c>
      <c r="AL2645" t="s">
        <v>2021</v>
      </c>
      <c r="AM2645" t="s">
        <v>1263</v>
      </c>
      <c r="AN2645" t="s">
        <v>1262</v>
      </c>
      <c r="AO2645">
        <v>0</v>
      </c>
      <c r="AQ2645" t="s">
        <v>1261</v>
      </c>
      <c r="AR2645" t="s">
        <v>1260</v>
      </c>
      <c r="AS2645" t="s">
        <v>1259</v>
      </c>
      <c r="AT2645" s="30">
        <v>46072.688888888886</v>
      </c>
    </row>
    <row r="2646" spans="1:46" x14ac:dyDescent="0.25">
      <c r="A2646" t="s">
        <v>1248</v>
      </c>
      <c r="B2646">
        <v>253079</v>
      </c>
      <c r="C2646">
        <v>352344</v>
      </c>
      <c r="D2646">
        <v>405</v>
      </c>
      <c r="E2646" t="s">
        <v>1266</v>
      </c>
      <c r="G2646">
        <v>745</v>
      </c>
      <c r="H2646">
        <v>1824</v>
      </c>
      <c r="K2646" t="s">
        <v>1460</v>
      </c>
      <c r="L2646" t="s">
        <v>1460</v>
      </c>
      <c r="M2646" t="s">
        <v>2017</v>
      </c>
      <c r="N2646">
        <v>0</v>
      </c>
      <c r="O2646" t="s">
        <v>2017</v>
      </c>
      <c r="P2646">
        <v>0</v>
      </c>
      <c r="Q2646">
        <v>0</v>
      </c>
      <c r="R2646">
        <v>0</v>
      </c>
      <c r="T2646" s="29">
        <v>2200000</v>
      </c>
      <c r="U2646" s="29">
        <v>6116000</v>
      </c>
      <c r="V2646" t="s">
        <v>1262</v>
      </c>
      <c r="W2646" t="s">
        <v>1262</v>
      </c>
      <c r="X2646" s="29">
        <v>6116000</v>
      </c>
      <c r="AA2646" s="30">
        <v>45838.433333333334</v>
      </c>
      <c r="AB2646" s="30">
        <v>45846.433333333334</v>
      </c>
      <c r="AC2646" s="30">
        <v>45838.433333333334</v>
      </c>
      <c r="AD2646" s="30">
        <v>45846.433333333334</v>
      </c>
      <c r="AE2646" s="30">
        <v>46043.375</v>
      </c>
      <c r="AF2646" s="30">
        <v>46051.375</v>
      </c>
      <c r="AG2646" t="s">
        <v>1266</v>
      </c>
      <c r="AK2646" t="s">
        <v>1265</v>
      </c>
      <c r="AL2646" t="s">
        <v>2020</v>
      </c>
      <c r="AM2646" t="s">
        <v>1263</v>
      </c>
      <c r="AN2646" t="s">
        <v>1262</v>
      </c>
      <c r="AO2646">
        <v>0</v>
      </c>
      <c r="AQ2646" t="s">
        <v>1261</v>
      </c>
      <c r="AR2646" t="s">
        <v>1260</v>
      </c>
      <c r="AS2646" t="s">
        <v>1259</v>
      </c>
      <c r="AT2646" s="30">
        <v>46072.688888888886</v>
      </c>
    </row>
    <row r="2647" spans="1:46" x14ac:dyDescent="0.25">
      <c r="A2647" t="s">
        <v>1248</v>
      </c>
      <c r="B2647">
        <v>253080</v>
      </c>
      <c r="C2647">
        <v>352351</v>
      </c>
      <c r="D2647">
        <v>405</v>
      </c>
      <c r="E2647" t="s">
        <v>1266</v>
      </c>
      <c r="G2647">
        <v>745</v>
      </c>
      <c r="H2647">
        <v>1824</v>
      </c>
      <c r="K2647" t="s">
        <v>1460</v>
      </c>
      <c r="L2647" t="s">
        <v>1460</v>
      </c>
      <c r="M2647" t="s">
        <v>2017</v>
      </c>
      <c r="N2647">
        <v>0</v>
      </c>
      <c r="O2647" t="s">
        <v>2017</v>
      </c>
      <c r="P2647">
        <v>0</v>
      </c>
      <c r="Q2647">
        <v>0</v>
      </c>
      <c r="R2647">
        <v>0</v>
      </c>
      <c r="T2647" s="29">
        <v>2200000</v>
      </c>
      <c r="U2647" s="29">
        <v>6116000</v>
      </c>
      <c r="V2647" t="s">
        <v>1262</v>
      </c>
      <c r="W2647" t="s">
        <v>1262</v>
      </c>
      <c r="X2647" s="29">
        <v>6116000</v>
      </c>
      <c r="AA2647" s="30">
        <v>45828.39166666667</v>
      </c>
      <c r="AB2647" s="30">
        <v>45838.39166666667</v>
      </c>
      <c r="AC2647" s="30">
        <v>45828.39166666667</v>
      </c>
      <c r="AD2647" s="30">
        <v>45838.39166666667</v>
      </c>
      <c r="AE2647" s="30">
        <v>46022.333333333336</v>
      </c>
      <c r="AF2647" s="30">
        <v>46031.708333333336</v>
      </c>
      <c r="AG2647" t="s">
        <v>1266</v>
      </c>
      <c r="AK2647" t="s">
        <v>1265</v>
      </c>
      <c r="AL2647" t="s">
        <v>2019</v>
      </c>
      <c r="AM2647" t="s">
        <v>1263</v>
      </c>
      <c r="AN2647" t="s">
        <v>1262</v>
      </c>
      <c r="AO2647">
        <v>0</v>
      </c>
      <c r="AQ2647" t="s">
        <v>1261</v>
      </c>
      <c r="AR2647" t="s">
        <v>1260</v>
      </c>
      <c r="AS2647" t="s">
        <v>1259</v>
      </c>
      <c r="AT2647" s="30">
        <v>46072.688888888886</v>
      </c>
    </row>
    <row r="2648" spans="1:46" x14ac:dyDescent="0.25">
      <c r="A2648" t="s">
        <v>1248</v>
      </c>
      <c r="B2648">
        <v>253081</v>
      </c>
      <c r="C2648">
        <v>352358</v>
      </c>
      <c r="D2648">
        <v>405</v>
      </c>
      <c r="E2648" t="s">
        <v>1266</v>
      </c>
      <c r="G2648">
        <v>745</v>
      </c>
      <c r="H2648">
        <v>1824</v>
      </c>
      <c r="K2648" t="s">
        <v>1460</v>
      </c>
      <c r="L2648" t="s">
        <v>1460</v>
      </c>
      <c r="M2648" t="s">
        <v>2017</v>
      </c>
      <c r="N2648">
        <v>0</v>
      </c>
      <c r="O2648" t="s">
        <v>2017</v>
      </c>
      <c r="P2648">
        <v>0</v>
      </c>
      <c r="Q2648">
        <v>0</v>
      </c>
      <c r="R2648">
        <v>0</v>
      </c>
      <c r="T2648" s="29">
        <v>2200000</v>
      </c>
      <c r="U2648" s="29">
        <v>6116000</v>
      </c>
      <c r="V2648" t="s">
        <v>1262</v>
      </c>
      <c r="W2648" t="s">
        <v>1262</v>
      </c>
      <c r="X2648" s="29">
        <v>6116000</v>
      </c>
      <c r="AA2648" s="30">
        <v>45827.433333333334</v>
      </c>
      <c r="AB2648" s="30">
        <v>45835.433333333334</v>
      </c>
      <c r="AC2648" s="30">
        <v>45827.433333333334</v>
      </c>
      <c r="AD2648" s="30">
        <v>45835.433333333334</v>
      </c>
      <c r="AE2648" s="30">
        <v>46016.333333333336</v>
      </c>
      <c r="AF2648" s="30">
        <v>46024.708333333336</v>
      </c>
      <c r="AG2648" t="s">
        <v>1266</v>
      </c>
      <c r="AK2648" t="s">
        <v>1265</v>
      </c>
      <c r="AL2648" t="s">
        <v>2018</v>
      </c>
      <c r="AM2648" t="s">
        <v>1263</v>
      </c>
      <c r="AN2648" t="s">
        <v>1262</v>
      </c>
      <c r="AO2648">
        <v>0</v>
      </c>
      <c r="AQ2648" t="s">
        <v>1261</v>
      </c>
      <c r="AR2648" t="s">
        <v>1260</v>
      </c>
      <c r="AS2648" t="s">
        <v>1259</v>
      </c>
      <c r="AT2648" s="30">
        <v>46072.688888888886</v>
      </c>
    </row>
    <row r="2649" spans="1:46" x14ac:dyDescent="0.25">
      <c r="A2649" t="s">
        <v>1248</v>
      </c>
      <c r="B2649">
        <v>253082</v>
      </c>
      <c r="C2649">
        <v>352365</v>
      </c>
      <c r="D2649">
        <v>405</v>
      </c>
      <c r="E2649" t="s">
        <v>1266</v>
      </c>
      <c r="G2649">
        <v>745</v>
      </c>
      <c r="H2649">
        <v>1824</v>
      </c>
      <c r="K2649" t="s">
        <v>1460</v>
      </c>
      <c r="L2649" t="s">
        <v>1460</v>
      </c>
      <c r="M2649" t="s">
        <v>2017</v>
      </c>
      <c r="N2649">
        <v>0</v>
      </c>
      <c r="O2649" t="s">
        <v>2017</v>
      </c>
      <c r="P2649">
        <v>0</v>
      </c>
      <c r="Q2649">
        <v>0</v>
      </c>
      <c r="R2649">
        <v>0</v>
      </c>
      <c r="T2649" s="29">
        <v>2200000</v>
      </c>
      <c r="U2649" s="29">
        <v>6116000</v>
      </c>
      <c r="V2649" t="s">
        <v>1262</v>
      </c>
      <c r="W2649" t="s">
        <v>1262</v>
      </c>
      <c r="X2649" s="29">
        <v>6116000</v>
      </c>
      <c r="AA2649" s="30">
        <v>45826.474999999999</v>
      </c>
      <c r="AB2649" s="30">
        <v>45834.474999999999</v>
      </c>
      <c r="AC2649" s="30">
        <v>45826.474999999999</v>
      </c>
      <c r="AD2649" s="30">
        <v>45834.474999999999</v>
      </c>
      <c r="AE2649" s="30">
        <v>45883.375</v>
      </c>
      <c r="AF2649" s="30">
        <v>45891.375</v>
      </c>
      <c r="AG2649" t="s">
        <v>1266</v>
      </c>
      <c r="AK2649" t="s">
        <v>1265</v>
      </c>
      <c r="AL2649" t="s">
        <v>2016</v>
      </c>
      <c r="AM2649" t="s">
        <v>1263</v>
      </c>
      <c r="AN2649" t="s">
        <v>1262</v>
      </c>
      <c r="AO2649">
        <v>0</v>
      </c>
      <c r="AQ2649" t="s">
        <v>1261</v>
      </c>
      <c r="AR2649" t="s">
        <v>1260</v>
      </c>
      <c r="AS2649" t="s">
        <v>1259</v>
      </c>
      <c r="AT2649" s="30">
        <v>46072.688888888886</v>
      </c>
    </row>
    <row r="2650" spans="1:46" x14ac:dyDescent="0.25">
      <c r="A2650" t="s">
        <v>1248</v>
      </c>
      <c r="B2650">
        <v>253083</v>
      </c>
      <c r="C2650">
        <v>352050</v>
      </c>
      <c r="D2650">
        <v>405</v>
      </c>
      <c r="E2650" t="s">
        <v>1266</v>
      </c>
      <c r="G2650">
        <v>745</v>
      </c>
      <c r="H2650">
        <v>1826</v>
      </c>
      <c r="K2650" s="29">
        <v>473668084</v>
      </c>
      <c r="L2650" s="29">
        <v>473668084</v>
      </c>
      <c r="M2650" s="29">
        <v>98680851</v>
      </c>
      <c r="N2650">
        <v>0</v>
      </c>
      <c r="O2650" s="29">
        <v>98680851</v>
      </c>
      <c r="P2650">
        <v>0</v>
      </c>
      <c r="Q2650">
        <v>0</v>
      </c>
      <c r="R2650">
        <v>0</v>
      </c>
      <c r="T2650" t="s">
        <v>1262</v>
      </c>
      <c r="U2650" t="s">
        <v>1262</v>
      </c>
      <c r="V2650" t="s">
        <v>1262</v>
      </c>
      <c r="W2650" t="s">
        <v>1262</v>
      </c>
      <c r="X2650" t="s">
        <v>1262</v>
      </c>
      <c r="AA2650" s="30">
        <v>45811.625</v>
      </c>
      <c r="AB2650" s="30">
        <v>45819.625</v>
      </c>
      <c r="AC2650" s="30">
        <v>45811.625</v>
      </c>
      <c r="AD2650" s="30">
        <v>45819.625</v>
      </c>
      <c r="AE2650" s="30">
        <v>45877.333333333336</v>
      </c>
      <c r="AF2650" s="30">
        <v>45884.708333333336</v>
      </c>
      <c r="AG2650" t="s">
        <v>1266</v>
      </c>
      <c r="AK2650" t="s">
        <v>1265</v>
      </c>
      <c r="AL2650" t="s">
        <v>2015</v>
      </c>
      <c r="AM2650" t="s">
        <v>1263</v>
      </c>
      <c r="AN2650" t="s">
        <v>1262</v>
      </c>
      <c r="AO2650">
        <v>0</v>
      </c>
      <c r="AQ2650" t="s">
        <v>1261</v>
      </c>
      <c r="AR2650" t="s">
        <v>1260</v>
      </c>
      <c r="AS2650" t="s">
        <v>1259</v>
      </c>
      <c r="AT2650" s="30">
        <v>46072.689583333333</v>
      </c>
    </row>
    <row r="2651" spans="1:46" x14ac:dyDescent="0.25">
      <c r="A2651" t="s">
        <v>1248</v>
      </c>
      <c r="B2651">
        <v>253084</v>
      </c>
      <c r="C2651">
        <v>352057</v>
      </c>
      <c r="D2651">
        <v>405</v>
      </c>
      <c r="E2651" t="s">
        <v>1266</v>
      </c>
      <c r="G2651">
        <v>745</v>
      </c>
      <c r="H2651">
        <v>1826</v>
      </c>
      <c r="K2651" t="s">
        <v>1462</v>
      </c>
      <c r="L2651" t="s">
        <v>1462</v>
      </c>
      <c r="M2651" s="29">
        <v>98680851</v>
      </c>
      <c r="N2651">
        <v>0</v>
      </c>
      <c r="O2651" s="29">
        <v>98680851</v>
      </c>
      <c r="P2651">
        <v>0</v>
      </c>
      <c r="Q2651">
        <v>0</v>
      </c>
      <c r="R2651">
        <v>0</v>
      </c>
      <c r="T2651" t="s">
        <v>1262</v>
      </c>
      <c r="U2651" t="s">
        <v>1262</v>
      </c>
      <c r="V2651" t="s">
        <v>1262</v>
      </c>
      <c r="W2651" t="s">
        <v>1262</v>
      </c>
      <c r="X2651" t="s">
        <v>1262</v>
      </c>
      <c r="AA2651" s="30">
        <v>45807.416666666664</v>
      </c>
      <c r="AB2651" s="30">
        <v>45817.375</v>
      </c>
      <c r="AC2651" s="30">
        <v>45807.416666666664</v>
      </c>
      <c r="AD2651" s="30">
        <v>45817.375</v>
      </c>
      <c r="AE2651" s="30">
        <v>45873.416666666664</v>
      </c>
      <c r="AF2651" s="30">
        <v>45881.375</v>
      </c>
      <c r="AG2651" t="s">
        <v>1266</v>
      </c>
      <c r="AK2651" t="s">
        <v>1265</v>
      </c>
      <c r="AL2651" t="s">
        <v>2014</v>
      </c>
      <c r="AM2651" t="s">
        <v>1263</v>
      </c>
      <c r="AN2651" t="s">
        <v>1262</v>
      </c>
      <c r="AO2651">
        <v>0</v>
      </c>
      <c r="AQ2651" t="s">
        <v>1261</v>
      </c>
      <c r="AR2651" t="s">
        <v>1260</v>
      </c>
      <c r="AS2651" t="s">
        <v>1259</v>
      </c>
      <c r="AT2651" s="30">
        <v>46072.689583333333</v>
      </c>
    </row>
    <row r="2652" spans="1:46" x14ac:dyDescent="0.25">
      <c r="A2652" t="s">
        <v>1248</v>
      </c>
      <c r="B2652">
        <v>253085</v>
      </c>
      <c r="C2652">
        <v>352064</v>
      </c>
      <c r="D2652">
        <v>405</v>
      </c>
      <c r="E2652" t="s">
        <v>1266</v>
      </c>
      <c r="G2652">
        <v>745</v>
      </c>
      <c r="H2652">
        <v>1826</v>
      </c>
      <c r="K2652" t="s">
        <v>1462</v>
      </c>
      <c r="L2652" t="s">
        <v>1462</v>
      </c>
      <c r="M2652" s="29">
        <v>98680851</v>
      </c>
      <c r="N2652">
        <v>0</v>
      </c>
      <c r="O2652" s="29">
        <v>98680851</v>
      </c>
      <c r="P2652">
        <v>0</v>
      </c>
      <c r="Q2652">
        <v>0</v>
      </c>
      <c r="R2652">
        <v>0</v>
      </c>
      <c r="T2652" t="s">
        <v>1262</v>
      </c>
      <c r="U2652" t="s">
        <v>1262</v>
      </c>
      <c r="V2652" t="s">
        <v>1262</v>
      </c>
      <c r="W2652" t="s">
        <v>1262</v>
      </c>
      <c r="X2652" t="s">
        <v>1262</v>
      </c>
      <c r="AA2652" s="30">
        <v>45805.458333333336</v>
      </c>
      <c r="AB2652" s="30">
        <v>45813.416666666664</v>
      </c>
      <c r="AC2652" s="30">
        <v>45805.458333333336</v>
      </c>
      <c r="AD2652" s="30">
        <v>45813.416666666664</v>
      </c>
      <c r="AE2652" s="30">
        <v>45867.416666666664</v>
      </c>
      <c r="AF2652" s="30">
        <v>45875.375</v>
      </c>
      <c r="AG2652" t="s">
        <v>1266</v>
      </c>
      <c r="AK2652" t="s">
        <v>1265</v>
      </c>
      <c r="AL2652" t="s">
        <v>2013</v>
      </c>
      <c r="AM2652" t="s">
        <v>1263</v>
      </c>
      <c r="AN2652" t="s">
        <v>1262</v>
      </c>
      <c r="AO2652">
        <v>0</v>
      </c>
      <c r="AQ2652" t="s">
        <v>1261</v>
      </c>
      <c r="AR2652" t="s">
        <v>1260</v>
      </c>
      <c r="AS2652" t="s">
        <v>1259</v>
      </c>
      <c r="AT2652" s="30">
        <v>46072.689583333333</v>
      </c>
    </row>
    <row r="2653" spans="1:46" x14ac:dyDescent="0.25">
      <c r="A2653" t="s">
        <v>1248</v>
      </c>
      <c r="B2653">
        <v>253086</v>
      </c>
      <c r="C2653">
        <v>352071</v>
      </c>
      <c r="D2653">
        <v>405</v>
      </c>
      <c r="E2653" t="s">
        <v>1266</v>
      </c>
      <c r="G2653">
        <v>745</v>
      </c>
      <c r="H2653">
        <v>1826</v>
      </c>
      <c r="K2653" s="29">
        <v>473668084</v>
      </c>
      <c r="L2653" s="29">
        <v>473668084</v>
      </c>
      <c r="M2653" s="29">
        <v>98680851</v>
      </c>
      <c r="N2653">
        <v>0</v>
      </c>
      <c r="O2653" s="29">
        <v>98680851</v>
      </c>
      <c r="P2653">
        <v>0</v>
      </c>
      <c r="Q2653">
        <v>0</v>
      </c>
      <c r="R2653">
        <v>0</v>
      </c>
      <c r="T2653" t="s">
        <v>1262</v>
      </c>
      <c r="U2653" t="s">
        <v>1262</v>
      </c>
      <c r="V2653" t="s">
        <v>1262</v>
      </c>
      <c r="W2653" t="s">
        <v>1262</v>
      </c>
      <c r="X2653" t="s">
        <v>1262</v>
      </c>
      <c r="AA2653" s="30">
        <v>45793.458333333336</v>
      </c>
      <c r="AB2653" s="30">
        <v>45803.458333333336</v>
      </c>
      <c r="AC2653" s="30">
        <v>45793.458333333336</v>
      </c>
      <c r="AD2653" s="30">
        <v>45803.458333333336</v>
      </c>
      <c r="AE2653" s="30">
        <v>45862.333333333336</v>
      </c>
      <c r="AF2653" s="30">
        <v>45869.708333333336</v>
      </c>
      <c r="AG2653" t="s">
        <v>1266</v>
      </c>
      <c r="AK2653" t="s">
        <v>1265</v>
      </c>
      <c r="AL2653" t="s">
        <v>2012</v>
      </c>
      <c r="AM2653" t="s">
        <v>1263</v>
      </c>
      <c r="AN2653" t="s">
        <v>1262</v>
      </c>
      <c r="AO2653">
        <v>0</v>
      </c>
      <c r="AQ2653" t="s">
        <v>1261</v>
      </c>
      <c r="AR2653" t="s">
        <v>1260</v>
      </c>
      <c r="AS2653" t="s">
        <v>1259</v>
      </c>
      <c r="AT2653" s="30">
        <v>46072.689583333333</v>
      </c>
    </row>
    <row r="2654" spans="1:46" x14ac:dyDescent="0.25">
      <c r="A2654" t="s">
        <v>1248</v>
      </c>
      <c r="B2654">
        <v>253087</v>
      </c>
      <c r="C2654">
        <v>352078</v>
      </c>
      <c r="D2654">
        <v>405</v>
      </c>
      <c r="E2654" t="s">
        <v>1266</v>
      </c>
      <c r="G2654">
        <v>745</v>
      </c>
      <c r="H2654">
        <v>1826</v>
      </c>
      <c r="K2654" t="s">
        <v>1462</v>
      </c>
      <c r="L2654" t="s">
        <v>1462</v>
      </c>
      <c r="M2654" s="29">
        <v>98680851</v>
      </c>
      <c r="N2654">
        <v>0</v>
      </c>
      <c r="O2654" s="29">
        <v>98680851</v>
      </c>
      <c r="P2654">
        <v>0</v>
      </c>
      <c r="Q2654">
        <v>0</v>
      </c>
      <c r="R2654">
        <v>0</v>
      </c>
      <c r="T2654" t="s">
        <v>1262</v>
      </c>
      <c r="U2654" t="s">
        <v>1262</v>
      </c>
      <c r="V2654" t="s">
        <v>1262</v>
      </c>
      <c r="W2654" t="s">
        <v>1262</v>
      </c>
      <c r="X2654" t="s">
        <v>1262</v>
      </c>
      <c r="AA2654" s="30">
        <v>45790.666666666664</v>
      </c>
      <c r="AB2654" s="30">
        <v>45798.625</v>
      </c>
      <c r="AC2654" s="30">
        <v>45790.666666666664</v>
      </c>
      <c r="AD2654" s="30">
        <v>45798.625</v>
      </c>
      <c r="AE2654" s="30">
        <v>45849.375</v>
      </c>
      <c r="AF2654" s="30">
        <v>45856.708333333336</v>
      </c>
      <c r="AG2654" t="s">
        <v>1266</v>
      </c>
      <c r="AK2654" t="s">
        <v>1265</v>
      </c>
      <c r="AL2654" t="s">
        <v>2011</v>
      </c>
      <c r="AM2654" t="s">
        <v>1263</v>
      </c>
      <c r="AN2654" t="s">
        <v>1262</v>
      </c>
      <c r="AO2654">
        <v>0</v>
      </c>
      <c r="AQ2654" t="s">
        <v>1261</v>
      </c>
      <c r="AR2654" t="s">
        <v>1260</v>
      </c>
      <c r="AS2654" t="s">
        <v>1259</v>
      </c>
      <c r="AT2654" s="30">
        <v>46072.689583333333</v>
      </c>
    </row>
    <row r="2655" spans="1:46" x14ac:dyDescent="0.25">
      <c r="A2655" t="s">
        <v>1248</v>
      </c>
      <c r="B2655">
        <v>253088</v>
      </c>
      <c r="C2655">
        <v>352085</v>
      </c>
      <c r="D2655">
        <v>405</v>
      </c>
      <c r="E2655" t="s">
        <v>1266</v>
      </c>
      <c r="G2655">
        <v>745</v>
      </c>
      <c r="H2655">
        <v>1826</v>
      </c>
      <c r="K2655" t="s">
        <v>1462</v>
      </c>
      <c r="L2655" t="s">
        <v>1462</v>
      </c>
      <c r="M2655" s="29">
        <v>98680851</v>
      </c>
      <c r="N2655">
        <v>0</v>
      </c>
      <c r="O2655" s="29">
        <v>98680851</v>
      </c>
      <c r="P2655">
        <v>0</v>
      </c>
      <c r="Q2655">
        <v>0</v>
      </c>
      <c r="R2655">
        <v>0</v>
      </c>
      <c r="T2655" t="s">
        <v>1262</v>
      </c>
      <c r="U2655" t="s">
        <v>1262</v>
      </c>
      <c r="V2655" t="s">
        <v>1262</v>
      </c>
      <c r="W2655" t="s">
        <v>1262</v>
      </c>
      <c r="X2655" t="s">
        <v>1262</v>
      </c>
      <c r="AA2655" s="30">
        <v>45789.333333333336</v>
      </c>
      <c r="AB2655" s="30">
        <v>45796.666666666664</v>
      </c>
      <c r="AC2655" s="30">
        <v>45789.333333333336</v>
      </c>
      <c r="AD2655" s="30">
        <v>45796.666666666664</v>
      </c>
      <c r="AE2655" s="30">
        <v>45845.375</v>
      </c>
      <c r="AF2655" s="30">
        <v>45852.708333333336</v>
      </c>
      <c r="AG2655" t="s">
        <v>1266</v>
      </c>
      <c r="AK2655" t="s">
        <v>1265</v>
      </c>
      <c r="AL2655" t="s">
        <v>2010</v>
      </c>
      <c r="AM2655" t="s">
        <v>1263</v>
      </c>
      <c r="AN2655" t="s">
        <v>1262</v>
      </c>
      <c r="AO2655">
        <v>0</v>
      </c>
      <c r="AQ2655" t="s">
        <v>1261</v>
      </c>
      <c r="AR2655" t="s">
        <v>1260</v>
      </c>
      <c r="AS2655" t="s">
        <v>1259</v>
      </c>
      <c r="AT2655" s="30">
        <v>46072.689583333333</v>
      </c>
    </row>
    <row r="2656" spans="1:46" x14ac:dyDescent="0.25">
      <c r="A2656" t="s">
        <v>1248</v>
      </c>
      <c r="B2656">
        <v>253089</v>
      </c>
      <c r="C2656">
        <v>352092</v>
      </c>
      <c r="D2656">
        <v>405</v>
      </c>
      <c r="E2656" t="s">
        <v>1266</v>
      </c>
      <c r="G2656">
        <v>745</v>
      </c>
      <c r="H2656">
        <v>1826</v>
      </c>
      <c r="K2656" t="s">
        <v>1462</v>
      </c>
      <c r="L2656" t="s">
        <v>1462</v>
      </c>
      <c r="M2656" s="29">
        <v>98680851</v>
      </c>
      <c r="N2656">
        <v>0</v>
      </c>
      <c r="O2656" s="29">
        <v>98680851</v>
      </c>
      <c r="P2656">
        <v>0</v>
      </c>
      <c r="Q2656">
        <v>0</v>
      </c>
      <c r="R2656">
        <v>0</v>
      </c>
      <c r="T2656" t="s">
        <v>1262</v>
      </c>
      <c r="U2656" t="s">
        <v>1262</v>
      </c>
      <c r="V2656" t="s">
        <v>1262</v>
      </c>
      <c r="W2656" t="s">
        <v>1262</v>
      </c>
      <c r="X2656" t="s">
        <v>1262</v>
      </c>
      <c r="AA2656" s="30">
        <v>45785.375</v>
      </c>
      <c r="AB2656" s="30">
        <v>45792.708333333336</v>
      </c>
      <c r="AC2656" s="30">
        <v>45785.375</v>
      </c>
      <c r="AD2656" s="30">
        <v>45792.708333333336</v>
      </c>
      <c r="AE2656" s="30">
        <v>45839.375</v>
      </c>
      <c r="AF2656" s="30">
        <v>45846.708333333336</v>
      </c>
      <c r="AG2656" t="s">
        <v>1266</v>
      </c>
      <c r="AK2656" t="s">
        <v>1265</v>
      </c>
      <c r="AL2656" t="s">
        <v>2009</v>
      </c>
      <c r="AM2656" t="s">
        <v>1263</v>
      </c>
      <c r="AN2656" t="s">
        <v>1262</v>
      </c>
      <c r="AO2656">
        <v>0</v>
      </c>
      <c r="AQ2656" t="s">
        <v>1261</v>
      </c>
      <c r="AR2656" t="s">
        <v>1260</v>
      </c>
      <c r="AS2656" t="s">
        <v>1259</v>
      </c>
      <c r="AT2656" s="30">
        <v>46072.689583333333</v>
      </c>
    </row>
    <row r="2657" spans="1:46" x14ac:dyDescent="0.25">
      <c r="A2657" t="s">
        <v>1248</v>
      </c>
      <c r="B2657">
        <v>253090</v>
      </c>
      <c r="C2657">
        <v>352099</v>
      </c>
      <c r="D2657">
        <v>405</v>
      </c>
      <c r="E2657" t="s">
        <v>1266</v>
      </c>
      <c r="G2657">
        <v>745</v>
      </c>
      <c r="H2657">
        <v>1826</v>
      </c>
      <c r="K2657" t="s">
        <v>1462</v>
      </c>
      <c r="L2657" t="s">
        <v>1462</v>
      </c>
      <c r="M2657" s="29">
        <v>98680851</v>
      </c>
      <c r="N2657">
        <v>0</v>
      </c>
      <c r="O2657" s="29">
        <v>98680851</v>
      </c>
      <c r="P2657">
        <v>0</v>
      </c>
      <c r="Q2657">
        <v>0</v>
      </c>
      <c r="R2657">
        <v>0</v>
      </c>
      <c r="T2657" t="s">
        <v>1262</v>
      </c>
      <c r="U2657" t="s">
        <v>1262</v>
      </c>
      <c r="V2657" t="s">
        <v>1262</v>
      </c>
      <c r="W2657" t="s">
        <v>1262</v>
      </c>
      <c r="X2657" t="s">
        <v>1262</v>
      </c>
      <c r="AA2657" s="30">
        <v>45783.416666666664</v>
      </c>
      <c r="AB2657" s="30">
        <v>45791.375</v>
      </c>
      <c r="AC2657" s="30">
        <v>45783.416666666664</v>
      </c>
      <c r="AD2657" s="30">
        <v>45791.375</v>
      </c>
      <c r="AE2657" s="30">
        <v>45833.375</v>
      </c>
      <c r="AF2657" s="30">
        <v>45840.708333333336</v>
      </c>
      <c r="AG2657" t="s">
        <v>1266</v>
      </c>
      <c r="AK2657" t="s">
        <v>1265</v>
      </c>
      <c r="AL2657" t="s">
        <v>2008</v>
      </c>
      <c r="AM2657" t="s">
        <v>1263</v>
      </c>
      <c r="AN2657" t="s">
        <v>1262</v>
      </c>
      <c r="AO2657">
        <v>0</v>
      </c>
      <c r="AQ2657" t="s">
        <v>1261</v>
      </c>
      <c r="AR2657" t="s">
        <v>1260</v>
      </c>
      <c r="AS2657" t="s">
        <v>1259</v>
      </c>
      <c r="AT2657" s="30">
        <v>46072.689583333333</v>
      </c>
    </row>
    <row r="2658" spans="1:46" x14ac:dyDescent="0.25">
      <c r="A2658" t="s">
        <v>1248</v>
      </c>
      <c r="B2658">
        <v>253091</v>
      </c>
      <c r="C2658">
        <v>352106</v>
      </c>
      <c r="D2658">
        <v>405</v>
      </c>
      <c r="E2658" t="s">
        <v>1266</v>
      </c>
      <c r="G2658">
        <v>745</v>
      </c>
      <c r="H2658">
        <v>1826</v>
      </c>
      <c r="K2658" t="s">
        <v>1462</v>
      </c>
      <c r="L2658" t="s">
        <v>1462</v>
      </c>
      <c r="M2658" s="29">
        <v>98680851</v>
      </c>
      <c r="N2658">
        <v>0</v>
      </c>
      <c r="O2658" s="29">
        <v>98680851</v>
      </c>
      <c r="P2658">
        <v>0</v>
      </c>
      <c r="Q2658">
        <v>0</v>
      </c>
      <c r="R2658">
        <v>0</v>
      </c>
      <c r="T2658" t="s">
        <v>1262</v>
      </c>
      <c r="U2658" t="s">
        <v>1262</v>
      </c>
      <c r="V2658" t="s">
        <v>1262</v>
      </c>
      <c r="W2658" t="s">
        <v>1262</v>
      </c>
      <c r="X2658" t="s">
        <v>1262</v>
      </c>
      <c r="AA2658" s="30">
        <v>45779.458333333336</v>
      </c>
      <c r="AB2658" s="30">
        <v>45789.416666666664</v>
      </c>
      <c r="AC2658" s="30">
        <v>45779.458333333336</v>
      </c>
      <c r="AD2658" s="30">
        <v>45789.416666666664</v>
      </c>
      <c r="AE2658" s="30">
        <v>45827.375</v>
      </c>
      <c r="AF2658" s="30">
        <v>45834.708333333336</v>
      </c>
      <c r="AG2658" t="s">
        <v>1266</v>
      </c>
      <c r="AK2658" t="s">
        <v>1265</v>
      </c>
      <c r="AL2658" t="s">
        <v>2007</v>
      </c>
      <c r="AM2658" t="s">
        <v>1263</v>
      </c>
      <c r="AN2658" t="s">
        <v>1262</v>
      </c>
      <c r="AO2658">
        <v>0</v>
      </c>
      <c r="AQ2658" t="s">
        <v>1261</v>
      </c>
      <c r="AR2658" t="s">
        <v>1260</v>
      </c>
      <c r="AS2658" t="s">
        <v>1259</v>
      </c>
      <c r="AT2658" s="30">
        <v>46072.689583333333</v>
      </c>
    </row>
    <row r="2659" spans="1:46" x14ac:dyDescent="0.25">
      <c r="A2659" t="s">
        <v>1248</v>
      </c>
      <c r="B2659">
        <v>253092</v>
      </c>
      <c r="C2659">
        <v>352113</v>
      </c>
      <c r="D2659">
        <v>405</v>
      </c>
      <c r="E2659" t="s">
        <v>1266</v>
      </c>
      <c r="G2659">
        <v>745</v>
      </c>
      <c r="H2659">
        <v>1826</v>
      </c>
      <c r="K2659" t="s">
        <v>1462</v>
      </c>
      <c r="L2659" t="s">
        <v>1462</v>
      </c>
      <c r="M2659" s="29">
        <v>98680851</v>
      </c>
      <c r="N2659">
        <v>0</v>
      </c>
      <c r="O2659" s="29">
        <v>98680851</v>
      </c>
      <c r="P2659">
        <v>0</v>
      </c>
      <c r="Q2659">
        <v>0</v>
      </c>
      <c r="R2659">
        <v>0</v>
      </c>
      <c r="T2659" t="s">
        <v>1262</v>
      </c>
      <c r="U2659" t="s">
        <v>1262</v>
      </c>
      <c r="V2659" t="s">
        <v>1262</v>
      </c>
      <c r="W2659" t="s">
        <v>1262</v>
      </c>
      <c r="X2659" t="s">
        <v>1262</v>
      </c>
      <c r="AA2659" s="30">
        <v>45769.541666666664</v>
      </c>
      <c r="AB2659" s="30">
        <v>45777.458333333336</v>
      </c>
      <c r="AC2659" s="30">
        <v>45769.541666666664</v>
      </c>
      <c r="AD2659" s="30">
        <v>45777.458333333336</v>
      </c>
      <c r="AE2659" s="30">
        <v>45821.375</v>
      </c>
      <c r="AF2659" s="30">
        <v>45828.708333333336</v>
      </c>
      <c r="AG2659" t="s">
        <v>1266</v>
      </c>
      <c r="AK2659" t="s">
        <v>1265</v>
      </c>
      <c r="AL2659" t="s">
        <v>2006</v>
      </c>
      <c r="AM2659" t="s">
        <v>1263</v>
      </c>
      <c r="AN2659" t="s">
        <v>1262</v>
      </c>
      <c r="AO2659">
        <v>0</v>
      </c>
      <c r="AQ2659" t="s">
        <v>1261</v>
      </c>
      <c r="AR2659" t="s">
        <v>1260</v>
      </c>
      <c r="AS2659" t="s">
        <v>1259</v>
      </c>
      <c r="AT2659" s="30">
        <v>46072.689583333333</v>
      </c>
    </row>
    <row r="2660" spans="1:46" x14ac:dyDescent="0.25">
      <c r="A2660" t="s">
        <v>1248</v>
      </c>
      <c r="B2660">
        <v>253093</v>
      </c>
      <c r="C2660">
        <v>352120</v>
      </c>
      <c r="D2660">
        <v>405</v>
      </c>
      <c r="E2660" t="s">
        <v>1266</v>
      </c>
      <c r="G2660">
        <v>745</v>
      </c>
      <c r="H2660">
        <v>1826</v>
      </c>
      <c r="K2660" t="s">
        <v>1462</v>
      </c>
      <c r="L2660" t="s">
        <v>1462</v>
      </c>
      <c r="M2660" s="29">
        <v>98680851</v>
      </c>
      <c r="N2660">
        <v>0</v>
      </c>
      <c r="O2660" s="29">
        <v>98680851</v>
      </c>
      <c r="P2660">
        <v>0</v>
      </c>
      <c r="Q2660">
        <v>0</v>
      </c>
      <c r="R2660">
        <v>0</v>
      </c>
      <c r="T2660" t="s">
        <v>1262</v>
      </c>
      <c r="U2660" t="s">
        <v>1262</v>
      </c>
      <c r="V2660" t="s">
        <v>1262</v>
      </c>
      <c r="W2660" t="s">
        <v>1262</v>
      </c>
      <c r="X2660" t="s">
        <v>1262</v>
      </c>
      <c r="AA2660" s="30">
        <v>45765.583333333336</v>
      </c>
      <c r="AB2660" s="30">
        <v>45775.5</v>
      </c>
      <c r="AC2660" s="30">
        <v>45765.583333333336</v>
      </c>
      <c r="AD2660" s="30">
        <v>45775.5</v>
      </c>
      <c r="AE2660" s="30">
        <v>45817.375</v>
      </c>
      <c r="AF2660" s="30">
        <v>45824.708333333336</v>
      </c>
      <c r="AG2660" t="s">
        <v>1266</v>
      </c>
      <c r="AK2660" t="s">
        <v>1265</v>
      </c>
      <c r="AL2660" t="s">
        <v>2005</v>
      </c>
      <c r="AM2660" t="s">
        <v>1263</v>
      </c>
      <c r="AN2660" t="s">
        <v>1262</v>
      </c>
      <c r="AO2660">
        <v>0</v>
      </c>
      <c r="AQ2660" t="s">
        <v>1261</v>
      </c>
      <c r="AR2660" t="s">
        <v>1260</v>
      </c>
      <c r="AS2660" t="s">
        <v>1259</v>
      </c>
      <c r="AT2660" s="30">
        <v>46072.689583333333</v>
      </c>
    </row>
    <row r="2661" spans="1:46" x14ac:dyDescent="0.25">
      <c r="A2661" t="s">
        <v>1248</v>
      </c>
      <c r="B2661">
        <v>253094</v>
      </c>
      <c r="C2661">
        <v>352127</v>
      </c>
      <c r="D2661">
        <v>405</v>
      </c>
      <c r="E2661" t="s">
        <v>1266</v>
      </c>
      <c r="G2661">
        <v>745</v>
      </c>
      <c r="H2661">
        <v>1826</v>
      </c>
      <c r="K2661" t="s">
        <v>1462</v>
      </c>
      <c r="L2661" t="s">
        <v>1462</v>
      </c>
      <c r="M2661" s="29">
        <v>98680851</v>
      </c>
      <c r="N2661">
        <v>0</v>
      </c>
      <c r="O2661" s="29">
        <v>98680851</v>
      </c>
      <c r="P2661">
        <v>0</v>
      </c>
      <c r="Q2661">
        <v>0</v>
      </c>
      <c r="R2661">
        <v>0</v>
      </c>
      <c r="T2661" t="s">
        <v>1262</v>
      </c>
      <c r="U2661" t="s">
        <v>1262</v>
      </c>
      <c r="V2661" t="s">
        <v>1262</v>
      </c>
      <c r="W2661" t="s">
        <v>1262</v>
      </c>
      <c r="X2661" t="s">
        <v>1262</v>
      </c>
      <c r="AA2661" s="30">
        <v>45763.625</v>
      </c>
      <c r="AB2661" s="30">
        <v>45771.583333333336</v>
      </c>
      <c r="AC2661" s="30">
        <v>45763.625</v>
      </c>
      <c r="AD2661" s="30">
        <v>45771.583333333336</v>
      </c>
      <c r="AE2661" s="30">
        <v>45811.375</v>
      </c>
      <c r="AF2661" s="30">
        <v>45818.708333333336</v>
      </c>
      <c r="AG2661" t="s">
        <v>1266</v>
      </c>
      <c r="AK2661" t="s">
        <v>1265</v>
      </c>
      <c r="AL2661" t="s">
        <v>2004</v>
      </c>
      <c r="AM2661" t="s">
        <v>1263</v>
      </c>
      <c r="AN2661" t="s">
        <v>1262</v>
      </c>
      <c r="AO2661">
        <v>0</v>
      </c>
      <c r="AQ2661" t="s">
        <v>1261</v>
      </c>
      <c r="AR2661" t="s">
        <v>1260</v>
      </c>
      <c r="AS2661" t="s">
        <v>1259</v>
      </c>
      <c r="AT2661" s="30">
        <v>46072.689583333333</v>
      </c>
    </row>
    <row r="2662" spans="1:46" x14ac:dyDescent="0.25">
      <c r="A2662" t="s">
        <v>1248</v>
      </c>
      <c r="B2662">
        <v>253095</v>
      </c>
      <c r="C2662">
        <v>352134</v>
      </c>
      <c r="D2662">
        <v>405</v>
      </c>
      <c r="E2662" t="s">
        <v>1266</v>
      </c>
      <c r="G2662">
        <v>745</v>
      </c>
      <c r="H2662">
        <v>1826</v>
      </c>
      <c r="K2662" t="s">
        <v>1462</v>
      </c>
      <c r="L2662" t="s">
        <v>1462</v>
      </c>
      <c r="M2662" s="29">
        <v>98680851</v>
      </c>
      <c r="N2662">
        <v>0</v>
      </c>
      <c r="O2662" s="29">
        <v>98680851</v>
      </c>
      <c r="P2662">
        <v>0</v>
      </c>
      <c r="Q2662">
        <v>0</v>
      </c>
      <c r="R2662">
        <v>0</v>
      </c>
      <c r="T2662" t="s">
        <v>1262</v>
      </c>
      <c r="U2662" t="s">
        <v>1262</v>
      </c>
      <c r="V2662" t="s">
        <v>1262</v>
      </c>
      <c r="W2662" t="s">
        <v>1262</v>
      </c>
      <c r="X2662" t="s">
        <v>1262</v>
      </c>
      <c r="AA2662" s="30">
        <v>45761.666666666664</v>
      </c>
      <c r="AB2662" s="30">
        <v>45769.625</v>
      </c>
      <c r="AC2662" s="30">
        <v>45761.666666666664</v>
      </c>
      <c r="AD2662" s="30">
        <v>45769.625</v>
      </c>
      <c r="AE2662" s="30">
        <v>45805.375</v>
      </c>
      <c r="AF2662" s="30">
        <v>45812.708333333336</v>
      </c>
      <c r="AG2662" t="s">
        <v>1266</v>
      </c>
      <c r="AK2662" t="s">
        <v>1265</v>
      </c>
      <c r="AL2662" t="s">
        <v>2003</v>
      </c>
      <c r="AM2662" t="s">
        <v>1263</v>
      </c>
      <c r="AN2662" t="s">
        <v>1262</v>
      </c>
      <c r="AO2662">
        <v>0</v>
      </c>
      <c r="AQ2662" t="s">
        <v>1261</v>
      </c>
      <c r="AR2662" t="s">
        <v>1260</v>
      </c>
      <c r="AS2662" t="s">
        <v>1259</v>
      </c>
      <c r="AT2662" s="30">
        <v>46072.689583333333</v>
      </c>
    </row>
    <row r="2663" spans="1:46" x14ac:dyDescent="0.25">
      <c r="A2663" t="s">
        <v>1248</v>
      </c>
      <c r="B2663">
        <v>253096</v>
      </c>
      <c r="C2663">
        <v>352141</v>
      </c>
      <c r="D2663">
        <v>405</v>
      </c>
      <c r="E2663" t="s">
        <v>1266</v>
      </c>
      <c r="G2663">
        <v>745</v>
      </c>
      <c r="H2663">
        <v>1826</v>
      </c>
      <c r="K2663" t="s">
        <v>1462</v>
      </c>
      <c r="L2663" t="s">
        <v>1462</v>
      </c>
      <c r="M2663" s="29">
        <v>98680851</v>
      </c>
      <c r="N2663">
        <v>0</v>
      </c>
      <c r="O2663" s="29">
        <v>98680851</v>
      </c>
      <c r="P2663">
        <v>0</v>
      </c>
      <c r="Q2663">
        <v>0</v>
      </c>
      <c r="R2663">
        <v>0</v>
      </c>
      <c r="T2663" t="s">
        <v>1262</v>
      </c>
      <c r="U2663" t="s">
        <v>1262</v>
      </c>
      <c r="V2663" t="s">
        <v>1262</v>
      </c>
      <c r="W2663" t="s">
        <v>1262</v>
      </c>
      <c r="X2663" t="s">
        <v>1262</v>
      </c>
      <c r="AA2663" s="30">
        <v>45758.333333333336</v>
      </c>
      <c r="AB2663" s="30">
        <v>45765.666666666664</v>
      </c>
      <c r="AC2663" s="30">
        <v>45758.333333333336</v>
      </c>
      <c r="AD2663" s="30">
        <v>45765.666666666664</v>
      </c>
      <c r="AE2663" s="30">
        <v>45799.375</v>
      </c>
      <c r="AF2663" s="30">
        <v>45806.708333333336</v>
      </c>
      <c r="AG2663" t="s">
        <v>1266</v>
      </c>
      <c r="AK2663" t="s">
        <v>1265</v>
      </c>
      <c r="AL2663" t="s">
        <v>2002</v>
      </c>
      <c r="AM2663" t="s">
        <v>1263</v>
      </c>
      <c r="AN2663" t="s">
        <v>1262</v>
      </c>
      <c r="AO2663">
        <v>0</v>
      </c>
      <c r="AQ2663" t="s">
        <v>1261</v>
      </c>
      <c r="AR2663" t="s">
        <v>1260</v>
      </c>
      <c r="AS2663" t="s">
        <v>1259</v>
      </c>
      <c r="AT2663" s="30">
        <v>46072.689583333333</v>
      </c>
    </row>
    <row r="2664" spans="1:46" x14ac:dyDescent="0.25">
      <c r="A2664" t="s">
        <v>1248</v>
      </c>
      <c r="B2664">
        <v>253097</v>
      </c>
      <c r="C2664">
        <v>352148</v>
      </c>
      <c r="D2664">
        <v>405</v>
      </c>
      <c r="E2664" t="s">
        <v>1266</v>
      </c>
      <c r="G2664">
        <v>745</v>
      </c>
      <c r="H2664">
        <v>1826</v>
      </c>
      <c r="K2664" t="s">
        <v>1462</v>
      </c>
      <c r="L2664" t="s">
        <v>1462</v>
      </c>
      <c r="M2664" s="29">
        <v>98680851</v>
      </c>
      <c r="N2664">
        <v>0</v>
      </c>
      <c r="O2664" s="29">
        <v>98680851</v>
      </c>
      <c r="P2664">
        <v>0</v>
      </c>
      <c r="Q2664">
        <v>0</v>
      </c>
      <c r="R2664">
        <v>0</v>
      </c>
      <c r="T2664" t="s">
        <v>1262</v>
      </c>
      <c r="U2664" t="s">
        <v>1262</v>
      </c>
      <c r="V2664" t="s">
        <v>1262</v>
      </c>
      <c r="W2664" t="s">
        <v>1262</v>
      </c>
      <c r="X2664" t="s">
        <v>1262</v>
      </c>
      <c r="AA2664" s="30">
        <v>45756.375</v>
      </c>
      <c r="AB2664" s="30">
        <v>45763.708333333336</v>
      </c>
      <c r="AC2664" s="30">
        <v>45756.375</v>
      </c>
      <c r="AD2664" s="30">
        <v>45763.708333333336</v>
      </c>
      <c r="AE2664" s="30">
        <v>45793.375</v>
      </c>
      <c r="AF2664" s="30">
        <v>45800.708333333336</v>
      </c>
      <c r="AG2664" t="s">
        <v>1266</v>
      </c>
      <c r="AK2664" t="s">
        <v>1265</v>
      </c>
      <c r="AL2664" t="s">
        <v>2001</v>
      </c>
      <c r="AM2664" t="s">
        <v>1263</v>
      </c>
      <c r="AN2664" t="s">
        <v>1262</v>
      </c>
      <c r="AO2664">
        <v>0</v>
      </c>
      <c r="AQ2664" t="s">
        <v>1261</v>
      </c>
      <c r="AR2664" t="s">
        <v>1260</v>
      </c>
      <c r="AS2664" t="s">
        <v>1259</v>
      </c>
      <c r="AT2664" s="30">
        <v>46072.689583333333</v>
      </c>
    </row>
    <row r="2665" spans="1:46" x14ac:dyDescent="0.25">
      <c r="A2665" t="s">
        <v>1248</v>
      </c>
      <c r="B2665">
        <v>253098</v>
      </c>
      <c r="C2665">
        <v>352155</v>
      </c>
      <c r="D2665">
        <v>405</v>
      </c>
      <c r="E2665" t="s">
        <v>1266</v>
      </c>
      <c r="G2665">
        <v>745</v>
      </c>
      <c r="H2665">
        <v>1826</v>
      </c>
      <c r="K2665" t="s">
        <v>1462</v>
      </c>
      <c r="L2665" t="s">
        <v>1462</v>
      </c>
      <c r="M2665" s="29">
        <v>98680851</v>
      </c>
      <c r="N2665">
        <v>0</v>
      </c>
      <c r="O2665" s="29">
        <v>98680851</v>
      </c>
      <c r="P2665">
        <v>0</v>
      </c>
      <c r="Q2665">
        <v>0</v>
      </c>
      <c r="R2665">
        <v>0</v>
      </c>
      <c r="T2665" t="s">
        <v>1262</v>
      </c>
      <c r="U2665" t="s">
        <v>1262</v>
      </c>
      <c r="V2665" t="s">
        <v>1262</v>
      </c>
      <c r="W2665" t="s">
        <v>1262</v>
      </c>
      <c r="X2665" t="s">
        <v>1262</v>
      </c>
      <c r="AA2665" s="30">
        <v>45754.416666666664</v>
      </c>
      <c r="AB2665" s="30">
        <v>45762.375</v>
      </c>
      <c r="AC2665" s="30">
        <v>45754.416666666664</v>
      </c>
      <c r="AD2665" s="30">
        <v>45762.375</v>
      </c>
      <c r="AE2665" s="30">
        <v>45789.375</v>
      </c>
      <c r="AF2665" s="30">
        <v>45796.708333333336</v>
      </c>
      <c r="AG2665" t="s">
        <v>1266</v>
      </c>
      <c r="AK2665" t="s">
        <v>1265</v>
      </c>
      <c r="AL2665" t="s">
        <v>2000</v>
      </c>
      <c r="AM2665" t="s">
        <v>1263</v>
      </c>
      <c r="AN2665" t="s">
        <v>1262</v>
      </c>
      <c r="AO2665">
        <v>0</v>
      </c>
      <c r="AQ2665" t="s">
        <v>1261</v>
      </c>
      <c r="AR2665" t="s">
        <v>1260</v>
      </c>
      <c r="AS2665" t="s">
        <v>1259</v>
      </c>
      <c r="AT2665" s="30">
        <v>46072.689583333333</v>
      </c>
    </row>
    <row r="2666" spans="1:46" x14ac:dyDescent="0.25">
      <c r="A2666" t="s">
        <v>1248</v>
      </c>
      <c r="B2666">
        <v>253099</v>
      </c>
      <c r="C2666">
        <v>352162</v>
      </c>
      <c r="D2666">
        <v>405</v>
      </c>
      <c r="E2666" t="s">
        <v>1266</v>
      </c>
      <c r="G2666">
        <v>745</v>
      </c>
      <c r="H2666">
        <v>1826</v>
      </c>
      <c r="K2666" t="s">
        <v>1462</v>
      </c>
      <c r="L2666" t="s">
        <v>1462</v>
      </c>
      <c r="M2666" s="29">
        <v>98680851</v>
      </c>
      <c r="N2666">
        <v>0</v>
      </c>
      <c r="O2666" s="29">
        <v>98680851</v>
      </c>
      <c r="P2666">
        <v>0</v>
      </c>
      <c r="Q2666">
        <v>0</v>
      </c>
      <c r="R2666">
        <v>0</v>
      </c>
      <c r="T2666" t="s">
        <v>1262</v>
      </c>
      <c r="U2666" t="s">
        <v>1262</v>
      </c>
      <c r="V2666" t="s">
        <v>1262</v>
      </c>
      <c r="W2666" t="s">
        <v>1262</v>
      </c>
      <c r="X2666" t="s">
        <v>1262</v>
      </c>
      <c r="AA2666" s="30">
        <v>45750.458333333336</v>
      </c>
      <c r="AB2666" s="30">
        <v>45758.416666666664</v>
      </c>
      <c r="AC2666" s="30">
        <v>45750.458333333336</v>
      </c>
      <c r="AD2666" s="30">
        <v>45758.416666666664</v>
      </c>
      <c r="AE2666" s="30">
        <v>45783.375</v>
      </c>
      <c r="AF2666" s="30">
        <v>45790.708333333336</v>
      </c>
      <c r="AG2666" t="s">
        <v>1266</v>
      </c>
      <c r="AK2666" t="s">
        <v>1265</v>
      </c>
      <c r="AL2666" t="s">
        <v>1999</v>
      </c>
      <c r="AM2666" t="s">
        <v>1263</v>
      </c>
      <c r="AN2666" t="s">
        <v>1262</v>
      </c>
      <c r="AO2666">
        <v>0</v>
      </c>
      <c r="AQ2666" t="s">
        <v>1261</v>
      </c>
      <c r="AR2666" t="s">
        <v>1260</v>
      </c>
      <c r="AS2666" t="s">
        <v>1259</v>
      </c>
      <c r="AT2666" s="30">
        <v>46072.689583333333</v>
      </c>
    </row>
    <row r="2667" spans="1:46" x14ac:dyDescent="0.25">
      <c r="A2667" t="s">
        <v>1248</v>
      </c>
      <c r="B2667">
        <v>253100</v>
      </c>
      <c r="C2667">
        <v>352169</v>
      </c>
      <c r="D2667">
        <v>405</v>
      </c>
      <c r="E2667" t="s">
        <v>1266</v>
      </c>
      <c r="G2667">
        <v>745</v>
      </c>
      <c r="H2667">
        <v>1826</v>
      </c>
      <c r="K2667" t="s">
        <v>1462</v>
      </c>
      <c r="L2667" t="s">
        <v>1462</v>
      </c>
      <c r="M2667" s="29">
        <v>98680851</v>
      </c>
      <c r="N2667">
        <v>0</v>
      </c>
      <c r="O2667" s="29">
        <v>98680851</v>
      </c>
      <c r="P2667">
        <v>0</v>
      </c>
      <c r="Q2667">
        <v>0</v>
      </c>
      <c r="R2667">
        <v>0</v>
      </c>
      <c r="T2667" t="s">
        <v>1262</v>
      </c>
      <c r="U2667" t="s">
        <v>1262</v>
      </c>
      <c r="V2667" t="s">
        <v>1262</v>
      </c>
      <c r="W2667" t="s">
        <v>1262</v>
      </c>
      <c r="X2667" t="s">
        <v>1262</v>
      </c>
      <c r="AA2667" s="30">
        <v>45737.416666666664</v>
      </c>
      <c r="AB2667" s="30">
        <v>45747.375</v>
      </c>
      <c r="AC2667" s="30">
        <v>45737.416666666664</v>
      </c>
      <c r="AD2667" s="30">
        <v>45747.375</v>
      </c>
      <c r="AE2667" s="30">
        <v>45777.375</v>
      </c>
      <c r="AF2667" s="30">
        <v>45784.708333333336</v>
      </c>
      <c r="AG2667" t="s">
        <v>1266</v>
      </c>
      <c r="AK2667" t="s">
        <v>1265</v>
      </c>
      <c r="AL2667" t="s">
        <v>1998</v>
      </c>
      <c r="AM2667" t="s">
        <v>1263</v>
      </c>
      <c r="AN2667" t="s">
        <v>1262</v>
      </c>
      <c r="AO2667">
        <v>0</v>
      </c>
      <c r="AQ2667" t="s">
        <v>1261</v>
      </c>
      <c r="AR2667" t="s">
        <v>1260</v>
      </c>
      <c r="AS2667" t="s">
        <v>1259</v>
      </c>
      <c r="AT2667" s="30">
        <v>46072.689583333333</v>
      </c>
    </row>
    <row r="2668" spans="1:46" x14ac:dyDescent="0.25">
      <c r="A2668" t="s">
        <v>1248</v>
      </c>
      <c r="B2668">
        <v>253101</v>
      </c>
      <c r="C2668">
        <v>352176</v>
      </c>
      <c r="D2668">
        <v>405</v>
      </c>
      <c r="E2668" t="s">
        <v>1266</v>
      </c>
      <c r="G2668">
        <v>745</v>
      </c>
      <c r="H2668">
        <v>1826</v>
      </c>
      <c r="K2668" t="s">
        <v>1462</v>
      </c>
      <c r="L2668" t="s">
        <v>1462</v>
      </c>
      <c r="M2668" s="29">
        <v>98680851</v>
      </c>
      <c r="N2668">
        <v>0</v>
      </c>
      <c r="O2668" s="29">
        <v>98680851</v>
      </c>
      <c r="P2668">
        <v>0</v>
      </c>
      <c r="Q2668">
        <v>0</v>
      </c>
      <c r="R2668">
        <v>0</v>
      </c>
      <c r="T2668" t="s">
        <v>1262</v>
      </c>
      <c r="U2668" t="s">
        <v>1262</v>
      </c>
      <c r="V2668" t="s">
        <v>1262</v>
      </c>
      <c r="W2668" t="s">
        <v>1262</v>
      </c>
      <c r="X2668" t="s">
        <v>1262</v>
      </c>
      <c r="AA2668" s="30">
        <v>45734.458333333336</v>
      </c>
      <c r="AB2668" s="30">
        <v>45742.416666666664</v>
      </c>
      <c r="AC2668" s="30">
        <v>45734.458333333336</v>
      </c>
      <c r="AD2668" s="30">
        <v>45742.416666666664</v>
      </c>
      <c r="AE2668" s="30">
        <v>45771.375</v>
      </c>
      <c r="AF2668" s="30">
        <v>45778.708333333336</v>
      </c>
      <c r="AG2668" t="s">
        <v>1266</v>
      </c>
      <c r="AK2668" t="s">
        <v>1265</v>
      </c>
      <c r="AL2668" t="s">
        <v>1997</v>
      </c>
      <c r="AM2668" t="s">
        <v>1263</v>
      </c>
      <c r="AN2668" t="s">
        <v>1262</v>
      </c>
      <c r="AO2668">
        <v>0</v>
      </c>
      <c r="AQ2668" t="s">
        <v>1261</v>
      </c>
      <c r="AR2668" t="s">
        <v>1260</v>
      </c>
      <c r="AS2668" t="s">
        <v>1259</v>
      </c>
      <c r="AT2668" s="30">
        <v>46072.689583333333</v>
      </c>
    </row>
    <row r="2669" spans="1:46" x14ac:dyDescent="0.25">
      <c r="A2669" t="s">
        <v>1248</v>
      </c>
      <c r="B2669">
        <v>253102</v>
      </c>
      <c r="C2669">
        <v>352183</v>
      </c>
      <c r="D2669">
        <v>405</v>
      </c>
      <c r="E2669" t="s">
        <v>1266</v>
      </c>
      <c r="G2669">
        <v>745</v>
      </c>
      <c r="H2669">
        <v>1826</v>
      </c>
      <c r="K2669" t="s">
        <v>1462</v>
      </c>
      <c r="L2669" t="s">
        <v>1462</v>
      </c>
      <c r="M2669" s="29">
        <v>98680851</v>
      </c>
      <c r="N2669">
        <v>0</v>
      </c>
      <c r="O2669" s="29">
        <v>98680851</v>
      </c>
      <c r="P2669">
        <v>0</v>
      </c>
      <c r="Q2669">
        <v>0</v>
      </c>
      <c r="R2669">
        <v>0</v>
      </c>
      <c r="T2669" t="s">
        <v>1262</v>
      </c>
      <c r="U2669" t="s">
        <v>1262</v>
      </c>
      <c r="V2669" t="s">
        <v>1262</v>
      </c>
      <c r="W2669" t="s">
        <v>1262</v>
      </c>
      <c r="X2669" t="s">
        <v>1262</v>
      </c>
      <c r="AA2669" s="30">
        <v>45737.541666666664</v>
      </c>
      <c r="AB2669" s="30">
        <v>45747.458333333336</v>
      </c>
      <c r="AC2669" s="30">
        <v>45737.541666666664</v>
      </c>
      <c r="AD2669" s="30">
        <v>45747.458333333336</v>
      </c>
      <c r="AE2669" s="30">
        <v>45765.375</v>
      </c>
      <c r="AF2669" s="30">
        <v>45772.708333333336</v>
      </c>
      <c r="AG2669" t="s">
        <v>1266</v>
      </c>
      <c r="AK2669" t="s">
        <v>1265</v>
      </c>
      <c r="AL2669" t="s">
        <v>1996</v>
      </c>
      <c r="AM2669" t="s">
        <v>1263</v>
      </c>
      <c r="AN2669" t="s">
        <v>1262</v>
      </c>
      <c r="AO2669">
        <v>0</v>
      </c>
      <c r="AQ2669" t="s">
        <v>1261</v>
      </c>
      <c r="AR2669" t="s">
        <v>1260</v>
      </c>
      <c r="AS2669" t="s">
        <v>1259</v>
      </c>
      <c r="AT2669" s="30">
        <v>46072.689583333333</v>
      </c>
    </row>
    <row r="2670" spans="1:46" x14ac:dyDescent="0.25">
      <c r="A2670" t="s">
        <v>1248</v>
      </c>
      <c r="B2670">
        <v>253103</v>
      </c>
      <c r="C2670">
        <v>352190</v>
      </c>
      <c r="D2670">
        <v>405</v>
      </c>
      <c r="E2670" t="s">
        <v>1266</v>
      </c>
      <c r="G2670">
        <v>745</v>
      </c>
      <c r="H2670">
        <v>1826</v>
      </c>
      <c r="K2670" s="29">
        <v>473668084</v>
      </c>
      <c r="L2670" s="29">
        <v>473668084</v>
      </c>
      <c r="M2670" s="29">
        <v>98680851</v>
      </c>
      <c r="N2670">
        <v>0</v>
      </c>
      <c r="O2670" s="29">
        <v>98680851</v>
      </c>
      <c r="P2670">
        <v>0</v>
      </c>
      <c r="Q2670">
        <v>0</v>
      </c>
      <c r="R2670">
        <v>0</v>
      </c>
      <c r="T2670" t="s">
        <v>1262</v>
      </c>
      <c r="U2670" t="s">
        <v>1262</v>
      </c>
      <c r="V2670" t="s">
        <v>1262</v>
      </c>
      <c r="W2670" t="s">
        <v>1262</v>
      </c>
      <c r="X2670" t="s">
        <v>1262</v>
      </c>
      <c r="AA2670" s="30">
        <v>45735.333333333336</v>
      </c>
      <c r="AB2670" s="30">
        <v>45742.708333333336</v>
      </c>
      <c r="AC2670" s="30">
        <v>45735.333333333336</v>
      </c>
      <c r="AD2670" s="30">
        <v>45742.708333333336</v>
      </c>
      <c r="AE2670" s="30">
        <v>45761.333333333336</v>
      </c>
      <c r="AF2670" s="30">
        <v>45768.708333333336</v>
      </c>
      <c r="AG2670" t="s">
        <v>1266</v>
      </c>
      <c r="AK2670" t="s">
        <v>1265</v>
      </c>
      <c r="AL2670" t="s">
        <v>1995</v>
      </c>
      <c r="AM2670" t="s">
        <v>1263</v>
      </c>
      <c r="AN2670" t="s">
        <v>1262</v>
      </c>
      <c r="AO2670">
        <v>0</v>
      </c>
      <c r="AQ2670" t="s">
        <v>1261</v>
      </c>
      <c r="AR2670" t="s">
        <v>1260</v>
      </c>
      <c r="AS2670" t="s">
        <v>1259</v>
      </c>
      <c r="AT2670" s="30">
        <v>46072.689583333333</v>
      </c>
    </row>
    <row r="2671" spans="1:46" x14ac:dyDescent="0.25">
      <c r="A2671" t="s">
        <v>1248</v>
      </c>
      <c r="B2671">
        <v>253104</v>
      </c>
      <c r="C2671">
        <v>352197</v>
      </c>
      <c r="D2671">
        <v>405</v>
      </c>
      <c r="E2671" t="s">
        <v>1266</v>
      </c>
      <c r="G2671">
        <v>745</v>
      </c>
      <c r="H2671">
        <v>1826</v>
      </c>
      <c r="K2671" t="s">
        <v>1462</v>
      </c>
      <c r="L2671" t="s">
        <v>1462</v>
      </c>
      <c r="M2671" s="29">
        <v>98680851</v>
      </c>
      <c r="N2671">
        <v>0</v>
      </c>
      <c r="O2671" s="29">
        <v>98680851</v>
      </c>
      <c r="P2671">
        <v>0</v>
      </c>
      <c r="Q2671">
        <v>0</v>
      </c>
      <c r="R2671">
        <v>0</v>
      </c>
      <c r="T2671" t="s">
        <v>1262</v>
      </c>
      <c r="U2671" t="s">
        <v>1262</v>
      </c>
      <c r="V2671" t="s">
        <v>1262</v>
      </c>
      <c r="W2671" t="s">
        <v>1262</v>
      </c>
      <c r="X2671" t="s">
        <v>1262</v>
      </c>
      <c r="AA2671" s="30">
        <v>45915.380555555559</v>
      </c>
      <c r="AB2671" s="30">
        <v>45923.338888888888</v>
      </c>
      <c r="AC2671" s="30">
        <v>45915.380555555559</v>
      </c>
      <c r="AD2671" s="30">
        <v>45923.338888888888</v>
      </c>
      <c r="AE2671" s="30">
        <v>46406.416666666664</v>
      </c>
      <c r="AF2671" s="30">
        <v>46414.375</v>
      </c>
      <c r="AG2671" t="s">
        <v>1266</v>
      </c>
      <c r="AK2671" t="s">
        <v>1265</v>
      </c>
      <c r="AL2671" t="s">
        <v>1994</v>
      </c>
      <c r="AM2671" t="s">
        <v>1263</v>
      </c>
      <c r="AN2671" t="s">
        <v>1262</v>
      </c>
      <c r="AO2671">
        <v>0</v>
      </c>
      <c r="AQ2671" t="s">
        <v>1261</v>
      </c>
      <c r="AR2671" t="s">
        <v>1260</v>
      </c>
      <c r="AS2671" t="s">
        <v>1259</v>
      </c>
      <c r="AT2671" s="30">
        <v>46072.689583333333</v>
      </c>
    </row>
    <row r="2672" spans="1:46" x14ac:dyDescent="0.25">
      <c r="A2672" t="s">
        <v>1248</v>
      </c>
      <c r="B2672">
        <v>253105</v>
      </c>
      <c r="C2672">
        <v>352204</v>
      </c>
      <c r="D2672">
        <v>405</v>
      </c>
      <c r="E2672" t="s">
        <v>1266</v>
      </c>
      <c r="G2672">
        <v>745</v>
      </c>
      <c r="H2672">
        <v>1826</v>
      </c>
      <c r="K2672">
        <v>47</v>
      </c>
      <c r="L2672">
        <v>47</v>
      </c>
      <c r="M2672">
        <v>1</v>
      </c>
      <c r="N2672">
        <v>0</v>
      </c>
      <c r="O2672">
        <v>1</v>
      </c>
      <c r="P2672">
        <v>0</v>
      </c>
      <c r="Q2672">
        <v>0</v>
      </c>
      <c r="R2672">
        <v>0</v>
      </c>
      <c r="T2672" t="s">
        <v>1262</v>
      </c>
      <c r="U2672" t="s">
        <v>1262</v>
      </c>
      <c r="V2672" t="s">
        <v>1262</v>
      </c>
      <c r="W2672" t="s">
        <v>1262</v>
      </c>
      <c r="X2672" t="s">
        <v>1262</v>
      </c>
      <c r="AA2672" s="30">
        <v>45910.380555555559</v>
      </c>
      <c r="AB2672" s="30">
        <v>45918.338888888888</v>
      </c>
      <c r="AC2672" s="30">
        <v>45910.380555555559</v>
      </c>
      <c r="AD2672" s="30">
        <v>45918.338888888888</v>
      </c>
      <c r="AE2672" s="30">
        <v>46386.416666666664</v>
      </c>
      <c r="AF2672" s="30">
        <v>46398.375</v>
      </c>
      <c r="AG2672" t="s">
        <v>1266</v>
      </c>
      <c r="AK2672" t="s">
        <v>1265</v>
      </c>
      <c r="AL2672" t="s">
        <v>1993</v>
      </c>
      <c r="AM2672" t="s">
        <v>1263</v>
      </c>
      <c r="AN2672" t="s">
        <v>1262</v>
      </c>
      <c r="AO2672">
        <v>0</v>
      </c>
      <c r="AQ2672" t="s">
        <v>1261</v>
      </c>
      <c r="AR2672" t="s">
        <v>1260</v>
      </c>
      <c r="AS2672" t="s">
        <v>1259</v>
      </c>
      <c r="AT2672" s="30">
        <v>46072.689583333333</v>
      </c>
    </row>
    <row r="2673" spans="1:46" x14ac:dyDescent="0.25">
      <c r="A2673" t="s">
        <v>1248</v>
      </c>
      <c r="B2673">
        <v>253106</v>
      </c>
      <c r="C2673">
        <v>352211</v>
      </c>
      <c r="D2673">
        <v>405</v>
      </c>
      <c r="E2673" t="s">
        <v>1266</v>
      </c>
      <c r="G2673">
        <v>745</v>
      </c>
      <c r="H2673">
        <v>1826</v>
      </c>
      <c r="K2673" t="s">
        <v>1462</v>
      </c>
      <c r="L2673" t="s">
        <v>1462</v>
      </c>
      <c r="M2673" s="29">
        <v>98680851</v>
      </c>
      <c r="N2673">
        <v>0</v>
      </c>
      <c r="O2673" s="29">
        <v>98680851</v>
      </c>
      <c r="P2673">
        <v>0</v>
      </c>
      <c r="Q2673">
        <v>0</v>
      </c>
      <c r="R2673">
        <v>0</v>
      </c>
      <c r="T2673" t="s">
        <v>1262</v>
      </c>
      <c r="U2673" t="s">
        <v>1262</v>
      </c>
      <c r="V2673" t="s">
        <v>1262</v>
      </c>
      <c r="W2673" t="s">
        <v>1262</v>
      </c>
      <c r="X2673" t="s">
        <v>1262</v>
      </c>
      <c r="AA2673" s="30">
        <v>45905.380555555559</v>
      </c>
      <c r="AB2673" s="30">
        <v>45915.338888888888</v>
      </c>
      <c r="AC2673" s="30">
        <v>45905.380555555559</v>
      </c>
      <c r="AD2673" s="30">
        <v>45915.338888888888</v>
      </c>
      <c r="AE2673" s="30">
        <v>46367.416666666664</v>
      </c>
      <c r="AF2673" s="30">
        <v>46377.375</v>
      </c>
      <c r="AG2673" t="s">
        <v>1266</v>
      </c>
      <c r="AK2673" t="s">
        <v>1265</v>
      </c>
      <c r="AL2673" t="s">
        <v>1992</v>
      </c>
      <c r="AM2673" t="s">
        <v>1263</v>
      </c>
      <c r="AN2673" t="s">
        <v>1262</v>
      </c>
      <c r="AO2673">
        <v>0</v>
      </c>
      <c r="AQ2673" t="s">
        <v>1261</v>
      </c>
      <c r="AR2673" t="s">
        <v>1260</v>
      </c>
      <c r="AS2673" t="s">
        <v>1259</v>
      </c>
      <c r="AT2673" s="30">
        <v>46072.689583333333</v>
      </c>
    </row>
    <row r="2674" spans="1:46" x14ac:dyDescent="0.25">
      <c r="A2674" t="s">
        <v>1248</v>
      </c>
      <c r="B2674">
        <v>253107</v>
      </c>
      <c r="C2674">
        <v>352218</v>
      </c>
      <c r="D2674">
        <v>405</v>
      </c>
      <c r="E2674" t="s">
        <v>1266</v>
      </c>
      <c r="G2674">
        <v>745</v>
      </c>
      <c r="H2674">
        <v>1826</v>
      </c>
      <c r="K2674">
        <v>47</v>
      </c>
      <c r="L2674">
        <v>47</v>
      </c>
      <c r="M2674">
        <v>1</v>
      </c>
      <c r="N2674">
        <v>0</v>
      </c>
      <c r="O2674">
        <v>1</v>
      </c>
      <c r="P2674">
        <v>0</v>
      </c>
      <c r="Q2674">
        <v>0</v>
      </c>
      <c r="R2674">
        <v>0</v>
      </c>
      <c r="T2674" t="s">
        <v>1262</v>
      </c>
      <c r="U2674" t="s">
        <v>1262</v>
      </c>
      <c r="V2674" t="s">
        <v>1262</v>
      </c>
      <c r="W2674" t="s">
        <v>1262</v>
      </c>
      <c r="X2674" t="s">
        <v>1262</v>
      </c>
      <c r="AA2674" s="30">
        <v>45896.380555555559</v>
      </c>
      <c r="AB2674" s="30">
        <v>45904.338888888888</v>
      </c>
      <c r="AC2674" s="30">
        <v>45896.380555555559</v>
      </c>
      <c r="AD2674" s="30">
        <v>45904.338888888888</v>
      </c>
      <c r="AE2674" s="30">
        <v>46344.416666666664</v>
      </c>
      <c r="AF2674" s="30">
        <v>46352.375</v>
      </c>
      <c r="AG2674" t="s">
        <v>1266</v>
      </c>
      <c r="AK2674" t="s">
        <v>1265</v>
      </c>
      <c r="AL2674" t="s">
        <v>1991</v>
      </c>
      <c r="AM2674" t="s">
        <v>1263</v>
      </c>
      <c r="AN2674" t="s">
        <v>1262</v>
      </c>
      <c r="AO2674">
        <v>0</v>
      </c>
      <c r="AQ2674" t="s">
        <v>1261</v>
      </c>
      <c r="AR2674" t="s">
        <v>1260</v>
      </c>
      <c r="AS2674" t="s">
        <v>1259</v>
      </c>
      <c r="AT2674" s="30">
        <v>46072.689583333333</v>
      </c>
    </row>
    <row r="2675" spans="1:46" x14ac:dyDescent="0.25">
      <c r="A2675" t="s">
        <v>1248</v>
      </c>
      <c r="B2675">
        <v>253108</v>
      </c>
      <c r="C2675">
        <v>352225</v>
      </c>
      <c r="D2675">
        <v>405</v>
      </c>
      <c r="E2675" t="s">
        <v>1266</v>
      </c>
      <c r="G2675">
        <v>745</v>
      </c>
      <c r="H2675">
        <v>1826</v>
      </c>
      <c r="K2675" t="s">
        <v>1462</v>
      </c>
      <c r="L2675" t="s">
        <v>1462</v>
      </c>
      <c r="M2675" s="29">
        <v>98680851</v>
      </c>
      <c r="N2675">
        <v>0</v>
      </c>
      <c r="O2675" s="29">
        <v>98680851</v>
      </c>
      <c r="P2675">
        <v>0</v>
      </c>
      <c r="Q2675">
        <v>0</v>
      </c>
      <c r="R2675">
        <v>0</v>
      </c>
      <c r="T2675" t="s">
        <v>1262</v>
      </c>
      <c r="U2675" t="s">
        <v>1262</v>
      </c>
      <c r="V2675" t="s">
        <v>1262</v>
      </c>
      <c r="W2675" t="s">
        <v>1262</v>
      </c>
      <c r="X2675" t="s">
        <v>1262</v>
      </c>
      <c r="AA2675" s="30">
        <v>45897.547222222223</v>
      </c>
      <c r="AB2675" s="30">
        <v>45905.463888888888</v>
      </c>
      <c r="AC2675" s="30">
        <v>45897.547222222223</v>
      </c>
      <c r="AD2675" s="30">
        <v>45905.463888888888</v>
      </c>
      <c r="AE2675" s="30">
        <v>46332.416666666664</v>
      </c>
      <c r="AF2675" s="30">
        <v>46342.375</v>
      </c>
      <c r="AG2675" t="s">
        <v>1266</v>
      </c>
      <c r="AK2675" t="s">
        <v>1265</v>
      </c>
      <c r="AL2675" t="s">
        <v>1990</v>
      </c>
      <c r="AM2675" t="s">
        <v>1263</v>
      </c>
      <c r="AN2675" t="s">
        <v>1262</v>
      </c>
      <c r="AO2675">
        <v>0</v>
      </c>
      <c r="AQ2675" t="s">
        <v>1261</v>
      </c>
      <c r="AR2675" t="s">
        <v>1260</v>
      </c>
      <c r="AS2675" t="s">
        <v>1259</v>
      </c>
      <c r="AT2675" s="30">
        <v>46072.689583333333</v>
      </c>
    </row>
    <row r="2676" spans="1:46" x14ac:dyDescent="0.25">
      <c r="A2676" t="s">
        <v>1248</v>
      </c>
      <c r="B2676">
        <v>253109</v>
      </c>
      <c r="C2676">
        <v>352232</v>
      </c>
      <c r="D2676">
        <v>405</v>
      </c>
      <c r="E2676" t="s">
        <v>1266</v>
      </c>
      <c r="G2676">
        <v>745</v>
      </c>
      <c r="H2676">
        <v>1826</v>
      </c>
      <c r="K2676" t="s">
        <v>1462</v>
      </c>
      <c r="L2676" t="s">
        <v>1462</v>
      </c>
      <c r="M2676" s="29">
        <v>98680851</v>
      </c>
      <c r="N2676">
        <v>0</v>
      </c>
      <c r="O2676" s="29">
        <v>98680851</v>
      </c>
      <c r="P2676">
        <v>0</v>
      </c>
      <c r="Q2676">
        <v>0</v>
      </c>
      <c r="R2676">
        <v>0</v>
      </c>
      <c r="T2676" t="s">
        <v>1262</v>
      </c>
      <c r="U2676" t="s">
        <v>1262</v>
      </c>
      <c r="V2676" t="s">
        <v>1262</v>
      </c>
      <c r="W2676" t="s">
        <v>1262</v>
      </c>
      <c r="X2676" t="s">
        <v>1262</v>
      </c>
      <c r="AA2676" s="30">
        <v>45895.588888888888</v>
      </c>
      <c r="AB2676" s="30">
        <v>45903.547222222223</v>
      </c>
      <c r="AC2676" s="30">
        <v>45895.588888888888</v>
      </c>
      <c r="AD2676" s="30">
        <v>45903.547222222223</v>
      </c>
      <c r="AE2676" s="30">
        <v>46316.416666666664</v>
      </c>
      <c r="AF2676" s="30">
        <v>46324.375</v>
      </c>
      <c r="AG2676" t="s">
        <v>1266</v>
      </c>
      <c r="AK2676" t="s">
        <v>1265</v>
      </c>
      <c r="AL2676" t="s">
        <v>1989</v>
      </c>
      <c r="AM2676" t="s">
        <v>1263</v>
      </c>
      <c r="AN2676" t="s">
        <v>1262</v>
      </c>
      <c r="AO2676">
        <v>0</v>
      </c>
      <c r="AQ2676" t="s">
        <v>1261</v>
      </c>
      <c r="AR2676" t="s">
        <v>1260</v>
      </c>
      <c r="AS2676" t="s">
        <v>1259</v>
      </c>
      <c r="AT2676" s="30">
        <v>46072.689583333333</v>
      </c>
    </row>
    <row r="2677" spans="1:46" x14ac:dyDescent="0.25">
      <c r="A2677" t="s">
        <v>1248</v>
      </c>
      <c r="B2677">
        <v>253110</v>
      </c>
      <c r="C2677">
        <v>352239</v>
      </c>
      <c r="D2677">
        <v>405</v>
      </c>
      <c r="E2677" t="s">
        <v>1266</v>
      </c>
      <c r="G2677">
        <v>745</v>
      </c>
      <c r="H2677">
        <v>1826</v>
      </c>
      <c r="K2677" t="s">
        <v>1462</v>
      </c>
      <c r="L2677" t="s">
        <v>1462</v>
      </c>
      <c r="M2677" s="29">
        <v>98680851</v>
      </c>
      <c r="N2677">
        <v>0</v>
      </c>
      <c r="O2677" s="29">
        <v>98680851</v>
      </c>
      <c r="P2677">
        <v>0</v>
      </c>
      <c r="Q2677">
        <v>0</v>
      </c>
      <c r="R2677">
        <v>0</v>
      </c>
      <c r="T2677" t="s">
        <v>1262</v>
      </c>
      <c r="U2677" t="s">
        <v>1262</v>
      </c>
      <c r="V2677" t="s">
        <v>1262</v>
      </c>
      <c r="W2677" t="s">
        <v>1262</v>
      </c>
      <c r="X2677" t="s">
        <v>1262</v>
      </c>
      <c r="AA2677" s="30">
        <v>45891.630555555559</v>
      </c>
      <c r="AB2677" s="30">
        <v>45901.588888888888</v>
      </c>
      <c r="AC2677" s="30">
        <v>45891.630555555559</v>
      </c>
      <c r="AD2677" s="30">
        <v>45901.588888888888</v>
      </c>
      <c r="AE2677" s="30">
        <v>46300.416666666664</v>
      </c>
      <c r="AF2677" s="30">
        <v>46308.375</v>
      </c>
      <c r="AG2677" t="s">
        <v>1266</v>
      </c>
      <c r="AK2677" t="s">
        <v>1265</v>
      </c>
      <c r="AL2677" t="s">
        <v>1988</v>
      </c>
      <c r="AM2677" t="s">
        <v>1263</v>
      </c>
      <c r="AN2677" t="s">
        <v>1262</v>
      </c>
      <c r="AO2677">
        <v>0</v>
      </c>
      <c r="AQ2677" t="s">
        <v>1261</v>
      </c>
      <c r="AR2677" t="s">
        <v>1260</v>
      </c>
      <c r="AS2677" t="s">
        <v>1259</v>
      </c>
      <c r="AT2677" s="30">
        <v>46072.689583333333</v>
      </c>
    </row>
    <row r="2678" spans="1:46" x14ac:dyDescent="0.25">
      <c r="A2678" t="s">
        <v>1248</v>
      </c>
      <c r="B2678">
        <v>253111</v>
      </c>
      <c r="C2678">
        <v>352246</v>
      </c>
      <c r="D2678">
        <v>405</v>
      </c>
      <c r="E2678" t="s">
        <v>1266</v>
      </c>
      <c r="G2678">
        <v>745</v>
      </c>
      <c r="H2678">
        <v>1826</v>
      </c>
      <c r="K2678" t="s">
        <v>1462</v>
      </c>
      <c r="L2678" t="s">
        <v>1462</v>
      </c>
      <c r="M2678" s="29">
        <v>98680851</v>
      </c>
      <c r="N2678">
        <v>0</v>
      </c>
      <c r="O2678" s="29">
        <v>98680851</v>
      </c>
      <c r="P2678">
        <v>0</v>
      </c>
      <c r="Q2678">
        <v>0</v>
      </c>
      <c r="R2678">
        <v>0</v>
      </c>
      <c r="T2678" t="s">
        <v>1262</v>
      </c>
      <c r="U2678" t="s">
        <v>1262</v>
      </c>
      <c r="V2678" t="s">
        <v>1262</v>
      </c>
      <c r="W2678" t="s">
        <v>1262</v>
      </c>
      <c r="X2678" t="s">
        <v>1262</v>
      </c>
      <c r="AA2678" s="30">
        <v>45895.35</v>
      </c>
      <c r="AB2678" s="30">
        <v>45902.683333333334</v>
      </c>
      <c r="AC2678" s="30">
        <v>45895.35</v>
      </c>
      <c r="AD2678" s="30">
        <v>45902.683333333334</v>
      </c>
      <c r="AE2678" s="30">
        <v>46282.416666666664</v>
      </c>
      <c r="AF2678" s="30">
        <v>46290.375</v>
      </c>
      <c r="AG2678" t="s">
        <v>1266</v>
      </c>
      <c r="AK2678" t="s">
        <v>1265</v>
      </c>
      <c r="AL2678" t="s">
        <v>1987</v>
      </c>
      <c r="AM2678" t="s">
        <v>1263</v>
      </c>
      <c r="AN2678" t="s">
        <v>1262</v>
      </c>
      <c r="AO2678">
        <v>0</v>
      </c>
      <c r="AQ2678" t="s">
        <v>1261</v>
      </c>
      <c r="AR2678" t="s">
        <v>1260</v>
      </c>
      <c r="AS2678" t="s">
        <v>1259</v>
      </c>
      <c r="AT2678" s="30">
        <v>46072.689583333333</v>
      </c>
    </row>
    <row r="2679" spans="1:46" x14ac:dyDescent="0.25">
      <c r="A2679" t="s">
        <v>1248</v>
      </c>
      <c r="B2679">
        <v>253112</v>
      </c>
      <c r="C2679">
        <v>352253</v>
      </c>
      <c r="D2679">
        <v>405</v>
      </c>
      <c r="E2679" t="s">
        <v>1266</v>
      </c>
      <c r="G2679">
        <v>745</v>
      </c>
      <c r="H2679">
        <v>1826</v>
      </c>
      <c r="K2679" t="s">
        <v>1462</v>
      </c>
      <c r="L2679" t="s">
        <v>1462</v>
      </c>
      <c r="M2679" s="29">
        <v>98680851</v>
      </c>
      <c r="N2679">
        <v>0</v>
      </c>
      <c r="O2679" s="29">
        <v>98680851</v>
      </c>
      <c r="P2679">
        <v>0</v>
      </c>
      <c r="Q2679">
        <v>0</v>
      </c>
      <c r="R2679">
        <v>0</v>
      </c>
      <c r="T2679" t="s">
        <v>1262</v>
      </c>
      <c r="U2679" t="s">
        <v>1262</v>
      </c>
      <c r="V2679" t="s">
        <v>1262</v>
      </c>
      <c r="W2679" t="s">
        <v>1262</v>
      </c>
      <c r="X2679" t="s">
        <v>1262</v>
      </c>
      <c r="AA2679" s="30">
        <v>45891.39166666667</v>
      </c>
      <c r="AB2679" s="30">
        <v>45901.35</v>
      </c>
      <c r="AC2679" s="30">
        <v>45891.39166666667</v>
      </c>
      <c r="AD2679" s="30">
        <v>45901.35</v>
      </c>
      <c r="AE2679" s="30">
        <v>46266.416666666664</v>
      </c>
      <c r="AF2679" s="30">
        <v>46274.375</v>
      </c>
      <c r="AG2679" t="s">
        <v>1266</v>
      </c>
      <c r="AK2679" t="s">
        <v>1265</v>
      </c>
      <c r="AL2679" t="s">
        <v>1986</v>
      </c>
      <c r="AM2679" t="s">
        <v>1263</v>
      </c>
      <c r="AN2679" t="s">
        <v>1262</v>
      </c>
      <c r="AO2679">
        <v>0</v>
      </c>
      <c r="AQ2679" t="s">
        <v>1261</v>
      </c>
      <c r="AR2679" t="s">
        <v>1260</v>
      </c>
      <c r="AS2679" t="s">
        <v>1259</v>
      </c>
      <c r="AT2679" s="30">
        <v>46072.689583333333</v>
      </c>
    </row>
    <row r="2680" spans="1:46" x14ac:dyDescent="0.25">
      <c r="A2680" t="s">
        <v>1248</v>
      </c>
      <c r="B2680">
        <v>253113</v>
      </c>
      <c r="C2680">
        <v>352260</v>
      </c>
      <c r="D2680">
        <v>405</v>
      </c>
      <c r="E2680" t="s">
        <v>1266</v>
      </c>
      <c r="G2680">
        <v>745</v>
      </c>
      <c r="H2680">
        <v>1826</v>
      </c>
      <c r="K2680" t="s">
        <v>1462</v>
      </c>
      <c r="L2680" t="s">
        <v>1462</v>
      </c>
      <c r="M2680" s="29">
        <v>98680851</v>
      </c>
      <c r="N2680">
        <v>0</v>
      </c>
      <c r="O2680" s="29">
        <v>98680851</v>
      </c>
      <c r="P2680">
        <v>0</v>
      </c>
      <c r="Q2680">
        <v>0</v>
      </c>
      <c r="R2680">
        <v>0</v>
      </c>
      <c r="T2680" t="s">
        <v>1262</v>
      </c>
      <c r="U2680" t="s">
        <v>1262</v>
      </c>
      <c r="V2680" t="s">
        <v>1262</v>
      </c>
      <c r="W2680" t="s">
        <v>1262</v>
      </c>
      <c r="X2680" t="s">
        <v>1262</v>
      </c>
      <c r="AA2680" s="30">
        <v>45889.433333333334</v>
      </c>
      <c r="AB2680" s="30">
        <v>45897.39166666667</v>
      </c>
      <c r="AC2680" s="30">
        <v>45889.433333333334</v>
      </c>
      <c r="AD2680" s="30">
        <v>45897.39166666667</v>
      </c>
      <c r="AE2680" s="30">
        <v>46248.416666666664</v>
      </c>
      <c r="AF2680" s="30">
        <v>46258.375</v>
      </c>
      <c r="AG2680" t="s">
        <v>1266</v>
      </c>
      <c r="AK2680" t="s">
        <v>1265</v>
      </c>
      <c r="AL2680" t="s">
        <v>1985</v>
      </c>
      <c r="AM2680" t="s">
        <v>1263</v>
      </c>
      <c r="AN2680" t="s">
        <v>1262</v>
      </c>
      <c r="AO2680">
        <v>0</v>
      </c>
      <c r="AQ2680" t="s">
        <v>1261</v>
      </c>
      <c r="AR2680" t="s">
        <v>1260</v>
      </c>
      <c r="AS2680" t="s">
        <v>1259</v>
      </c>
      <c r="AT2680" s="30">
        <v>46072.689583333333</v>
      </c>
    </row>
    <row r="2681" spans="1:46" x14ac:dyDescent="0.25">
      <c r="A2681" t="s">
        <v>1248</v>
      </c>
      <c r="B2681">
        <v>253114</v>
      </c>
      <c r="C2681">
        <v>352267</v>
      </c>
      <c r="D2681">
        <v>405</v>
      </c>
      <c r="E2681" t="s">
        <v>1266</v>
      </c>
      <c r="G2681">
        <v>745</v>
      </c>
      <c r="H2681">
        <v>1826</v>
      </c>
      <c r="K2681" t="s">
        <v>1462</v>
      </c>
      <c r="L2681" t="s">
        <v>1462</v>
      </c>
      <c r="M2681" s="29">
        <v>98680851</v>
      </c>
      <c r="N2681">
        <v>0</v>
      </c>
      <c r="O2681" s="29">
        <v>98680851</v>
      </c>
      <c r="P2681">
        <v>0</v>
      </c>
      <c r="Q2681">
        <v>0</v>
      </c>
      <c r="R2681">
        <v>0</v>
      </c>
      <c r="T2681" t="s">
        <v>1262</v>
      </c>
      <c r="U2681" t="s">
        <v>1262</v>
      </c>
      <c r="V2681" t="s">
        <v>1262</v>
      </c>
      <c r="W2681" t="s">
        <v>1262</v>
      </c>
      <c r="X2681" t="s">
        <v>1262</v>
      </c>
      <c r="AA2681" s="30">
        <v>45877.7</v>
      </c>
      <c r="AB2681" s="30">
        <v>45887.658333333333</v>
      </c>
      <c r="AC2681" s="30">
        <v>45877.7</v>
      </c>
      <c r="AD2681" s="30">
        <v>45887.658333333333</v>
      </c>
      <c r="AE2681" s="30">
        <v>46232.416666666664</v>
      </c>
      <c r="AF2681" s="30">
        <v>46240.375</v>
      </c>
      <c r="AG2681" t="s">
        <v>1266</v>
      </c>
      <c r="AK2681" t="s">
        <v>1265</v>
      </c>
      <c r="AL2681" t="s">
        <v>1984</v>
      </c>
      <c r="AM2681" t="s">
        <v>1263</v>
      </c>
      <c r="AN2681" t="s">
        <v>1262</v>
      </c>
      <c r="AO2681">
        <v>0</v>
      </c>
      <c r="AQ2681" t="s">
        <v>1261</v>
      </c>
      <c r="AR2681" t="s">
        <v>1260</v>
      </c>
      <c r="AS2681" t="s">
        <v>1259</v>
      </c>
      <c r="AT2681" s="30">
        <v>46072.689583333333</v>
      </c>
    </row>
    <row r="2682" spans="1:46" x14ac:dyDescent="0.25">
      <c r="A2682" t="s">
        <v>1248</v>
      </c>
      <c r="B2682">
        <v>253115</v>
      </c>
      <c r="C2682">
        <v>352274</v>
      </c>
      <c r="D2682">
        <v>405</v>
      </c>
      <c r="E2682" t="s">
        <v>1266</v>
      </c>
      <c r="G2682">
        <v>745</v>
      </c>
      <c r="H2682">
        <v>1826</v>
      </c>
      <c r="K2682" t="s">
        <v>1462</v>
      </c>
      <c r="L2682" t="s">
        <v>1462</v>
      </c>
      <c r="M2682" s="29">
        <v>98680851</v>
      </c>
      <c r="N2682">
        <v>0</v>
      </c>
      <c r="O2682" s="29">
        <v>98680851</v>
      </c>
      <c r="P2682">
        <v>0</v>
      </c>
      <c r="Q2682">
        <v>0</v>
      </c>
      <c r="R2682">
        <v>0</v>
      </c>
      <c r="T2682" t="s">
        <v>1262</v>
      </c>
      <c r="U2682" t="s">
        <v>1262</v>
      </c>
      <c r="V2682" t="s">
        <v>1262</v>
      </c>
      <c r="W2682" t="s">
        <v>1262</v>
      </c>
      <c r="X2682" t="s">
        <v>1262</v>
      </c>
      <c r="AA2682" s="30">
        <v>45876.366666666669</v>
      </c>
      <c r="AB2682" s="30">
        <v>45883.7</v>
      </c>
      <c r="AC2682" s="30">
        <v>45876.366666666669</v>
      </c>
      <c r="AD2682" s="30">
        <v>45883.7</v>
      </c>
      <c r="AE2682" s="30">
        <v>46216.416666666664</v>
      </c>
      <c r="AF2682" s="30">
        <v>46224.375</v>
      </c>
      <c r="AG2682" t="s">
        <v>1266</v>
      </c>
      <c r="AK2682" t="s">
        <v>1265</v>
      </c>
      <c r="AL2682" t="s">
        <v>1983</v>
      </c>
      <c r="AM2682" t="s">
        <v>1263</v>
      </c>
      <c r="AN2682" t="s">
        <v>1262</v>
      </c>
      <c r="AO2682">
        <v>0</v>
      </c>
      <c r="AQ2682" t="s">
        <v>1261</v>
      </c>
      <c r="AR2682" t="s">
        <v>1260</v>
      </c>
      <c r="AS2682" t="s">
        <v>1259</v>
      </c>
      <c r="AT2682" s="30">
        <v>46072.689583333333</v>
      </c>
    </row>
    <row r="2683" spans="1:46" x14ac:dyDescent="0.25">
      <c r="A2683" t="s">
        <v>1248</v>
      </c>
      <c r="B2683">
        <v>253116</v>
      </c>
      <c r="C2683">
        <v>352281</v>
      </c>
      <c r="D2683">
        <v>405</v>
      </c>
      <c r="E2683" t="s">
        <v>1266</v>
      </c>
      <c r="G2683">
        <v>745</v>
      </c>
      <c r="H2683">
        <v>1826</v>
      </c>
      <c r="K2683" t="s">
        <v>1462</v>
      </c>
      <c r="L2683" t="s">
        <v>1462</v>
      </c>
      <c r="M2683" s="29">
        <v>98680851</v>
      </c>
      <c r="N2683">
        <v>0</v>
      </c>
      <c r="O2683" s="29">
        <v>98680851</v>
      </c>
      <c r="P2683">
        <v>0</v>
      </c>
      <c r="Q2683">
        <v>0</v>
      </c>
      <c r="R2683">
        <v>0</v>
      </c>
      <c r="T2683" t="s">
        <v>1262</v>
      </c>
      <c r="U2683" t="s">
        <v>1262</v>
      </c>
      <c r="V2683" t="s">
        <v>1262</v>
      </c>
      <c r="W2683" t="s">
        <v>1262</v>
      </c>
      <c r="X2683" t="s">
        <v>1262</v>
      </c>
      <c r="AA2683" s="30">
        <v>45874.408333333333</v>
      </c>
      <c r="AB2683" s="30">
        <v>45882.366666666669</v>
      </c>
      <c r="AC2683" s="30">
        <v>45874.408333333333</v>
      </c>
      <c r="AD2683" s="30">
        <v>45882.366666666669</v>
      </c>
      <c r="AE2683" s="30">
        <v>46198.416666666664</v>
      </c>
      <c r="AF2683" s="30">
        <v>46206.375</v>
      </c>
      <c r="AG2683" t="s">
        <v>1266</v>
      </c>
      <c r="AK2683" t="s">
        <v>1265</v>
      </c>
      <c r="AL2683" t="s">
        <v>1982</v>
      </c>
      <c r="AM2683" t="s">
        <v>1263</v>
      </c>
      <c r="AN2683" t="s">
        <v>1262</v>
      </c>
      <c r="AO2683">
        <v>0</v>
      </c>
      <c r="AQ2683" t="s">
        <v>1261</v>
      </c>
      <c r="AR2683" t="s">
        <v>1260</v>
      </c>
      <c r="AS2683" t="s">
        <v>1259</v>
      </c>
      <c r="AT2683" s="30">
        <v>46072.689583333333</v>
      </c>
    </row>
    <row r="2684" spans="1:46" x14ac:dyDescent="0.25">
      <c r="A2684" t="s">
        <v>1248</v>
      </c>
      <c r="B2684">
        <v>253117</v>
      </c>
      <c r="C2684">
        <v>352288</v>
      </c>
      <c r="D2684">
        <v>405</v>
      </c>
      <c r="E2684" t="s">
        <v>1266</v>
      </c>
      <c r="G2684">
        <v>745</v>
      </c>
      <c r="H2684">
        <v>1826</v>
      </c>
      <c r="K2684" t="s">
        <v>1462</v>
      </c>
      <c r="L2684" t="s">
        <v>1462</v>
      </c>
      <c r="M2684" s="29">
        <v>98680851</v>
      </c>
      <c r="N2684">
        <v>0</v>
      </c>
      <c r="O2684" s="29">
        <v>98680851</v>
      </c>
      <c r="P2684">
        <v>0</v>
      </c>
      <c r="Q2684">
        <v>0</v>
      </c>
      <c r="R2684">
        <v>0</v>
      </c>
      <c r="T2684" t="s">
        <v>1262</v>
      </c>
      <c r="U2684" t="s">
        <v>1262</v>
      </c>
      <c r="V2684" t="s">
        <v>1262</v>
      </c>
      <c r="W2684" t="s">
        <v>1262</v>
      </c>
      <c r="X2684" t="s">
        <v>1262</v>
      </c>
      <c r="AA2684" s="30">
        <v>45870.45</v>
      </c>
      <c r="AB2684" s="30">
        <v>45880.408333333333</v>
      </c>
      <c r="AC2684" s="30">
        <v>45870.45</v>
      </c>
      <c r="AD2684" s="30">
        <v>45880.408333333333</v>
      </c>
      <c r="AE2684" s="30">
        <v>46182.416666666664</v>
      </c>
      <c r="AF2684" s="30">
        <v>46190.375</v>
      </c>
      <c r="AG2684" t="s">
        <v>1266</v>
      </c>
      <c r="AK2684" t="s">
        <v>1265</v>
      </c>
      <c r="AL2684" t="s">
        <v>1981</v>
      </c>
      <c r="AM2684" t="s">
        <v>1263</v>
      </c>
      <c r="AN2684" t="s">
        <v>1262</v>
      </c>
      <c r="AO2684">
        <v>0</v>
      </c>
      <c r="AQ2684" t="s">
        <v>1261</v>
      </c>
      <c r="AR2684" t="s">
        <v>1260</v>
      </c>
      <c r="AS2684" t="s">
        <v>1259</v>
      </c>
      <c r="AT2684" s="30">
        <v>46072.689583333333</v>
      </c>
    </row>
    <row r="2685" spans="1:46" x14ac:dyDescent="0.25">
      <c r="A2685" t="s">
        <v>1248</v>
      </c>
      <c r="B2685">
        <v>253118</v>
      </c>
      <c r="C2685">
        <v>352295</v>
      </c>
      <c r="D2685">
        <v>405</v>
      </c>
      <c r="E2685" t="s">
        <v>1266</v>
      </c>
      <c r="G2685">
        <v>745</v>
      </c>
      <c r="H2685">
        <v>1826</v>
      </c>
      <c r="K2685" t="s">
        <v>1462</v>
      </c>
      <c r="L2685" t="s">
        <v>1462</v>
      </c>
      <c r="M2685" s="29">
        <v>98680851</v>
      </c>
      <c r="N2685">
        <v>0</v>
      </c>
      <c r="O2685" s="29">
        <v>98680851</v>
      </c>
      <c r="P2685">
        <v>0</v>
      </c>
      <c r="Q2685">
        <v>0</v>
      </c>
      <c r="R2685">
        <v>0</v>
      </c>
      <c r="T2685" t="s">
        <v>1262</v>
      </c>
      <c r="U2685" t="s">
        <v>1262</v>
      </c>
      <c r="V2685" t="s">
        <v>1262</v>
      </c>
      <c r="W2685" t="s">
        <v>1262</v>
      </c>
      <c r="X2685" t="s">
        <v>1262</v>
      </c>
      <c r="AA2685" s="30">
        <v>45868.491666666669</v>
      </c>
      <c r="AB2685" s="30">
        <v>45876.45</v>
      </c>
      <c r="AC2685" s="30">
        <v>45868.491666666669</v>
      </c>
      <c r="AD2685" s="30">
        <v>45876.45</v>
      </c>
      <c r="AE2685" s="30">
        <v>46163.416666666664</v>
      </c>
      <c r="AF2685" s="30">
        <v>46171.375</v>
      </c>
      <c r="AG2685" t="s">
        <v>1266</v>
      </c>
      <c r="AK2685" t="s">
        <v>1265</v>
      </c>
      <c r="AL2685" t="s">
        <v>1980</v>
      </c>
      <c r="AM2685" t="s">
        <v>1263</v>
      </c>
      <c r="AN2685" t="s">
        <v>1262</v>
      </c>
      <c r="AO2685">
        <v>0</v>
      </c>
      <c r="AQ2685" t="s">
        <v>1261</v>
      </c>
      <c r="AR2685" t="s">
        <v>1260</v>
      </c>
      <c r="AS2685" t="s">
        <v>1259</v>
      </c>
      <c r="AT2685" s="30">
        <v>46072.689583333333</v>
      </c>
    </row>
    <row r="2686" spans="1:46" x14ac:dyDescent="0.25">
      <c r="A2686" t="s">
        <v>1248</v>
      </c>
      <c r="B2686">
        <v>253119</v>
      </c>
      <c r="C2686">
        <v>352302</v>
      </c>
      <c r="D2686">
        <v>405</v>
      </c>
      <c r="E2686" t="s">
        <v>1266</v>
      </c>
      <c r="G2686">
        <v>745</v>
      </c>
      <c r="H2686">
        <v>1826</v>
      </c>
      <c r="K2686" t="s">
        <v>1462</v>
      </c>
      <c r="L2686" t="s">
        <v>1462</v>
      </c>
      <c r="M2686" s="29">
        <v>98680851</v>
      </c>
      <c r="N2686">
        <v>0</v>
      </c>
      <c r="O2686" s="29">
        <v>98680851</v>
      </c>
      <c r="P2686">
        <v>0</v>
      </c>
      <c r="Q2686">
        <v>0</v>
      </c>
      <c r="R2686">
        <v>0</v>
      </c>
      <c r="T2686" t="s">
        <v>1262</v>
      </c>
      <c r="U2686" t="s">
        <v>1262</v>
      </c>
      <c r="V2686" t="s">
        <v>1262</v>
      </c>
      <c r="W2686" t="s">
        <v>1262</v>
      </c>
      <c r="X2686" t="s">
        <v>1262</v>
      </c>
      <c r="AA2686" s="30">
        <v>45866.574999999997</v>
      </c>
      <c r="AB2686" s="30">
        <v>45874.491666666669</v>
      </c>
      <c r="AC2686" s="30">
        <v>45866.574999999997</v>
      </c>
      <c r="AD2686" s="30">
        <v>45874.491666666669</v>
      </c>
      <c r="AE2686" s="30">
        <v>46147.416666666664</v>
      </c>
      <c r="AF2686" s="30">
        <v>46155.375</v>
      </c>
      <c r="AG2686" t="s">
        <v>1266</v>
      </c>
      <c r="AK2686" t="s">
        <v>1265</v>
      </c>
      <c r="AL2686" t="s">
        <v>1979</v>
      </c>
      <c r="AM2686" t="s">
        <v>1263</v>
      </c>
      <c r="AN2686" t="s">
        <v>1262</v>
      </c>
      <c r="AO2686">
        <v>0</v>
      </c>
      <c r="AQ2686" t="s">
        <v>1261</v>
      </c>
      <c r="AR2686" t="s">
        <v>1260</v>
      </c>
      <c r="AS2686" t="s">
        <v>1259</v>
      </c>
      <c r="AT2686" s="30">
        <v>46072.689583333333</v>
      </c>
    </row>
    <row r="2687" spans="1:46" x14ac:dyDescent="0.25">
      <c r="A2687" t="s">
        <v>1248</v>
      </c>
      <c r="B2687">
        <v>253120</v>
      </c>
      <c r="C2687">
        <v>352309</v>
      </c>
      <c r="D2687">
        <v>405</v>
      </c>
      <c r="E2687" t="s">
        <v>1266</v>
      </c>
      <c r="G2687">
        <v>745</v>
      </c>
      <c r="H2687">
        <v>1826</v>
      </c>
      <c r="K2687" t="s">
        <v>1462</v>
      </c>
      <c r="L2687" t="s">
        <v>1462</v>
      </c>
      <c r="M2687" s="29">
        <v>98680851</v>
      </c>
      <c r="N2687">
        <v>0</v>
      </c>
      <c r="O2687" s="29">
        <v>98680851</v>
      </c>
      <c r="P2687">
        <v>0</v>
      </c>
      <c r="Q2687">
        <v>0</v>
      </c>
      <c r="R2687">
        <v>0</v>
      </c>
      <c r="T2687" t="s">
        <v>1262</v>
      </c>
      <c r="U2687" t="s">
        <v>1262</v>
      </c>
      <c r="V2687" t="s">
        <v>1262</v>
      </c>
      <c r="W2687" t="s">
        <v>1262</v>
      </c>
      <c r="X2687" t="s">
        <v>1262</v>
      </c>
      <c r="AA2687" s="30">
        <v>45852.433333333334</v>
      </c>
      <c r="AB2687" s="30">
        <v>45860.39166666667</v>
      </c>
      <c r="AC2687" s="30">
        <v>45852.433333333334</v>
      </c>
      <c r="AD2687" s="30">
        <v>45860.39166666667</v>
      </c>
      <c r="AE2687" s="30">
        <v>46128.416666666664</v>
      </c>
      <c r="AF2687" s="30">
        <v>46136.375</v>
      </c>
      <c r="AG2687" t="s">
        <v>1266</v>
      </c>
      <c r="AK2687" t="s">
        <v>1265</v>
      </c>
      <c r="AL2687" t="s">
        <v>1978</v>
      </c>
      <c r="AM2687" t="s">
        <v>1263</v>
      </c>
      <c r="AN2687" t="s">
        <v>1262</v>
      </c>
      <c r="AO2687">
        <v>0</v>
      </c>
      <c r="AQ2687" t="s">
        <v>1261</v>
      </c>
      <c r="AR2687" t="s">
        <v>1260</v>
      </c>
      <c r="AS2687" t="s">
        <v>1259</v>
      </c>
      <c r="AT2687" s="30">
        <v>46072.689583333333</v>
      </c>
    </row>
    <row r="2688" spans="1:46" x14ac:dyDescent="0.25">
      <c r="A2688" t="s">
        <v>1248</v>
      </c>
      <c r="B2688">
        <v>253121</v>
      </c>
      <c r="C2688">
        <v>352316</v>
      </c>
      <c r="D2688">
        <v>405</v>
      </c>
      <c r="E2688" t="s">
        <v>1266</v>
      </c>
      <c r="G2688">
        <v>745</v>
      </c>
      <c r="H2688">
        <v>1826</v>
      </c>
      <c r="K2688" t="s">
        <v>1462</v>
      </c>
      <c r="L2688" t="s">
        <v>1462</v>
      </c>
      <c r="M2688" s="29">
        <v>98680851</v>
      </c>
      <c r="N2688">
        <v>0</v>
      </c>
      <c r="O2688" s="29">
        <v>98680851</v>
      </c>
      <c r="P2688">
        <v>0</v>
      </c>
      <c r="Q2688">
        <v>0</v>
      </c>
      <c r="R2688">
        <v>0</v>
      </c>
      <c r="T2688" t="s">
        <v>1262</v>
      </c>
      <c r="U2688" t="s">
        <v>1262</v>
      </c>
      <c r="V2688" t="s">
        <v>1262</v>
      </c>
      <c r="W2688" t="s">
        <v>1262</v>
      </c>
      <c r="X2688" t="s">
        <v>1262</v>
      </c>
      <c r="AA2688" s="30">
        <v>45847.64166666667</v>
      </c>
      <c r="AB2688" s="30">
        <v>45855.6</v>
      </c>
      <c r="AC2688" s="30">
        <v>45847.64166666667</v>
      </c>
      <c r="AD2688" s="30">
        <v>45855.6</v>
      </c>
      <c r="AE2688" s="30">
        <v>46111.416666666664</v>
      </c>
      <c r="AF2688" s="30">
        <v>46120.375</v>
      </c>
      <c r="AG2688" t="s">
        <v>1266</v>
      </c>
      <c r="AK2688" t="s">
        <v>1265</v>
      </c>
      <c r="AL2688" t="s">
        <v>1977</v>
      </c>
      <c r="AM2688" t="s">
        <v>1263</v>
      </c>
      <c r="AN2688" t="s">
        <v>1262</v>
      </c>
      <c r="AO2688">
        <v>0</v>
      </c>
      <c r="AQ2688" t="s">
        <v>1261</v>
      </c>
      <c r="AR2688" t="s">
        <v>1260</v>
      </c>
      <c r="AS2688" t="s">
        <v>1259</v>
      </c>
      <c r="AT2688" s="30">
        <v>46072.689583333333</v>
      </c>
    </row>
    <row r="2689" spans="1:46" x14ac:dyDescent="0.25">
      <c r="A2689" t="s">
        <v>1248</v>
      </c>
      <c r="B2689">
        <v>253122</v>
      </c>
      <c r="C2689">
        <v>352323</v>
      </c>
      <c r="D2689">
        <v>405</v>
      </c>
      <c r="E2689" t="s">
        <v>1266</v>
      </c>
      <c r="G2689">
        <v>745</v>
      </c>
      <c r="H2689">
        <v>1826</v>
      </c>
      <c r="K2689" t="s">
        <v>1462</v>
      </c>
      <c r="L2689" t="s">
        <v>1462</v>
      </c>
      <c r="M2689" s="29">
        <v>98680851</v>
      </c>
      <c r="N2689">
        <v>0</v>
      </c>
      <c r="O2689" s="29">
        <v>98680851</v>
      </c>
      <c r="P2689">
        <v>0</v>
      </c>
      <c r="Q2689">
        <v>0</v>
      </c>
      <c r="R2689">
        <v>0</v>
      </c>
      <c r="T2689" t="s">
        <v>1262</v>
      </c>
      <c r="U2689" t="s">
        <v>1262</v>
      </c>
      <c r="V2689" t="s">
        <v>1262</v>
      </c>
      <c r="W2689" t="s">
        <v>1262</v>
      </c>
      <c r="X2689" t="s">
        <v>1262</v>
      </c>
      <c r="AA2689" s="30">
        <v>45845.683333333334</v>
      </c>
      <c r="AB2689" s="30">
        <v>45853.64166666667</v>
      </c>
      <c r="AC2689" s="30">
        <v>45845.683333333334</v>
      </c>
      <c r="AD2689" s="30">
        <v>45853.64166666667</v>
      </c>
      <c r="AE2689" s="30">
        <v>46093.416666666664</v>
      </c>
      <c r="AF2689" s="30">
        <v>46101.375</v>
      </c>
      <c r="AG2689" t="s">
        <v>1266</v>
      </c>
      <c r="AK2689" t="s">
        <v>1265</v>
      </c>
      <c r="AL2689" t="s">
        <v>1976</v>
      </c>
      <c r="AM2689" t="s">
        <v>1263</v>
      </c>
      <c r="AN2689" t="s">
        <v>1262</v>
      </c>
      <c r="AO2689">
        <v>0</v>
      </c>
      <c r="AQ2689" t="s">
        <v>1261</v>
      </c>
      <c r="AR2689" t="s">
        <v>1260</v>
      </c>
      <c r="AS2689" t="s">
        <v>1259</v>
      </c>
      <c r="AT2689" s="30">
        <v>46072.689583333333</v>
      </c>
    </row>
    <row r="2690" spans="1:46" x14ac:dyDescent="0.25">
      <c r="A2690" t="s">
        <v>1248</v>
      </c>
      <c r="B2690">
        <v>253123</v>
      </c>
      <c r="C2690">
        <v>352330</v>
      </c>
      <c r="D2690">
        <v>405</v>
      </c>
      <c r="E2690" t="s">
        <v>1266</v>
      </c>
      <c r="G2690">
        <v>745</v>
      </c>
      <c r="H2690">
        <v>1826</v>
      </c>
      <c r="K2690" t="s">
        <v>1462</v>
      </c>
      <c r="L2690" t="s">
        <v>1462</v>
      </c>
      <c r="M2690" s="29">
        <v>98680851</v>
      </c>
      <c r="N2690">
        <v>0</v>
      </c>
      <c r="O2690" s="29">
        <v>98680851</v>
      </c>
      <c r="P2690">
        <v>0</v>
      </c>
      <c r="Q2690">
        <v>0</v>
      </c>
      <c r="R2690">
        <v>0</v>
      </c>
      <c r="T2690" t="s">
        <v>1262</v>
      </c>
      <c r="U2690" t="s">
        <v>1262</v>
      </c>
      <c r="V2690" t="s">
        <v>1262</v>
      </c>
      <c r="W2690" t="s">
        <v>1262</v>
      </c>
      <c r="X2690" t="s">
        <v>1262</v>
      </c>
      <c r="AA2690" s="30">
        <v>45842.35</v>
      </c>
      <c r="AB2690" s="30">
        <v>45849.683333333334</v>
      </c>
      <c r="AC2690" s="30">
        <v>45842.35</v>
      </c>
      <c r="AD2690" s="30">
        <v>45849.683333333334</v>
      </c>
      <c r="AE2690" s="30">
        <v>46077.416666666664</v>
      </c>
      <c r="AF2690" s="30">
        <v>46085.375</v>
      </c>
      <c r="AG2690" t="s">
        <v>1266</v>
      </c>
      <c r="AK2690" t="s">
        <v>1265</v>
      </c>
      <c r="AL2690" t="s">
        <v>1975</v>
      </c>
      <c r="AM2690" t="s">
        <v>1263</v>
      </c>
      <c r="AN2690" t="s">
        <v>1262</v>
      </c>
      <c r="AO2690">
        <v>0</v>
      </c>
      <c r="AQ2690" t="s">
        <v>1261</v>
      </c>
      <c r="AR2690" t="s">
        <v>1260</v>
      </c>
      <c r="AS2690" t="s">
        <v>1259</v>
      </c>
      <c r="AT2690" s="30">
        <v>46072.689583333333</v>
      </c>
    </row>
    <row r="2691" spans="1:46" x14ac:dyDescent="0.25">
      <c r="A2691" t="s">
        <v>1248</v>
      </c>
      <c r="B2691">
        <v>253124</v>
      </c>
      <c r="C2691">
        <v>352337</v>
      </c>
      <c r="D2691">
        <v>405</v>
      </c>
      <c r="E2691" t="s">
        <v>1266</v>
      </c>
      <c r="G2691">
        <v>745</v>
      </c>
      <c r="H2691">
        <v>1826</v>
      </c>
      <c r="K2691" t="s">
        <v>1462</v>
      </c>
      <c r="L2691" t="s">
        <v>1462</v>
      </c>
      <c r="M2691" s="29">
        <v>98680851</v>
      </c>
      <c r="N2691">
        <v>0</v>
      </c>
      <c r="O2691" s="29">
        <v>98680851</v>
      </c>
      <c r="P2691">
        <v>0</v>
      </c>
      <c r="Q2691">
        <v>0</v>
      </c>
      <c r="R2691">
        <v>0</v>
      </c>
      <c r="T2691" t="s">
        <v>1262</v>
      </c>
      <c r="U2691" t="s">
        <v>1262</v>
      </c>
      <c r="V2691" t="s">
        <v>1262</v>
      </c>
      <c r="W2691" t="s">
        <v>1262</v>
      </c>
      <c r="X2691" t="s">
        <v>1262</v>
      </c>
      <c r="AA2691" s="30">
        <v>45840.39166666667</v>
      </c>
      <c r="AB2691" s="30">
        <v>45848.35</v>
      </c>
      <c r="AC2691" s="30">
        <v>45840.39166666667</v>
      </c>
      <c r="AD2691" s="30">
        <v>45848.35</v>
      </c>
      <c r="AE2691" s="30">
        <v>46059.416666666664</v>
      </c>
      <c r="AF2691" s="30">
        <v>46069.375</v>
      </c>
      <c r="AG2691" t="s">
        <v>1266</v>
      </c>
      <c r="AK2691" t="s">
        <v>1265</v>
      </c>
      <c r="AL2691" t="s">
        <v>1974</v>
      </c>
      <c r="AM2691" t="s">
        <v>1263</v>
      </c>
      <c r="AN2691" t="s">
        <v>1262</v>
      </c>
      <c r="AO2691">
        <v>0</v>
      </c>
      <c r="AQ2691" t="s">
        <v>1261</v>
      </c>
      <c r="AR2691" t="s">
        <v>1260</v>
      </c>
      <c r="AS2691" t="s">
        <v>1259</v>
      </c>
      <c r="AT2691" s="30">
        <v>46072.689583333333</v>
      </c>
    </row>
    <row r="2692" spans="1:46" x14ac:dyDescent="0.25">
      <c r="A2692" t="s">
        <v>1248</v>
      </c>
      <c r="B2692">
        <v>253125</v>
      </c>
      <c r="C2692">
        <v>352344</v>
      </c>
      <c r="D2692">
        <v>405</v>
      </c>
      <c r="E2692" t="s">
        <v>1266</v>
      </c>
      <c r="G2692">
        <v>745</v>
      </c>
      <c r="H2692">
        <v>1826</v>
      </c>
      <c r="K2692" t="s">
        <v>1462</v>
      </c>
      <c r="L2692" t="s">
        <v>1462</v>
      </c>
      <c r="M2692" s="29">
        <v>96625</v>
      </c>
      <c r="N2692">
        <v>0</v>
      </c>
      <c r="O2692" s="29">
        <v>96625</v>
      </c>
      <c r="P2692">
        <v>0</v>
      </c>
      <c r="Q2692">
        <v>0</v>
      </c>
      <c r="R2692">
        <v>0</v>
      </c>
      <c r="T2692" t="s">
        <v>1262</v>
      </c>
      <c r="U2692" t="s">
        <v>1262</v>
      </c>
      <c r="V2692" t="s">
        <v>1262</v>
      </c>
      <c r="W2692" t="s">
        <v>1262</v>
      </c>
      <c r="X2692" t="s">
        <v>1262</v>
      </c>
      <c r="AA2692" s="30">
        <v>45838.433333333334</v>
      </c>
      <c r="AB2692" s="30">
        <v>45846.433333333334</v>
      </c>
      <c r="AC2692" s="30">
        <v>45838.433333333334</v>
      </c>
      <c r="AD2692" s="30">
        <v>45846.433333333334</v>
      </c>
      <c r="AE2692" s="30">
        <v>46043.375</v>
      </c>
      <c r="AF2692" s="30">
        <v>46051.375</v>
      </c>
      <c r="AG2692" t="s">
        <v>1266</v>
      </c>
      <c r="AK2692" t="s">
        <v>1265</v>
      </c>
      <c r="AL2692" t="s">
        <v>1973</v>
      </c>
      <c r="AM2692" t="s">
        <v>1263</v>
      </c>
      <c r="AN2692" t="s">
        <v>1262</v>
      </c>
      <c r="AO2692">
        <v>0</v>
      </c>
      <c r="AQ2692" t="s">
        <v>1261</v>
      </c>
      <c r="AR2692" t="s">
        <v>1260</v>
      </c>
      <c r="AS2692" t="s">
        <v>1259</v>
      </c>
      <c r="AT2692" s="30">
        <v>46072.689583333333</v>
      </c>
    </row>
    <row r="2693" spans="1:46" x14ac:dyDescent="0.25">
      <c r="A2693" t="s">
        <v>1248</v>
      </c>
      <c r="B2693">
        <v>253126</v>
      </c>
      <c r="C2693">
        <v>352351</v>
      </c>
      <c r="D2693">
        <v>405</v>
      </c>
      <c r="E2693" t="s">
        <v>1266</v>
      </c>
      <c r="G2693">
        <v>745</v>
      </c>
      <c r="H2693">
        <v>1826</v>
      </c>
      <c r="K2693" t="s">
        <v>1462</v>
      </c>
      <c r="L2693" t="s">
        <v>1462</v>
      </c>
      <c r="M2693" s="29">
        <v>96625</v>
      </c>
      <c r="N2693">
        <v>0</v>
      </c>
      <c r="O2693" s="29">
        <v>96625</v>
      </c>
      <c r="P2693">
        <v>0</v>
      </c>
      <c r="Q2693">
        <v>0</v>
      </c>
      <c r="R2693">
        <v>0</v>
      </c>
      <c r="T2693" t="s">
        <v>1262</v>
      </c>
      <c r="U2693" t="s">
        <v>1262</v>
      </c>
      <c r="V2693" t="s">
        <v>1262</v>
      </c>
      <c r="W2693" t="s">
        <v>1262</v>
      </c>
      <c r="X2693" t="s">
        <v>1262</v>
      </c>
      <c r="AA2693" s="30">
        <v>45828.39166666667</v>
      </c>
      <c r="AB2693" s="30">
        <v>45838.39166666667</v>
      </c>
      <c r="AC2693" s="30">
        <v>45828.39166666667</v>
      </c>
      <c r="AD2693" s="30">
        <v>45838.39166666667</v>
      </c>
      <c r="AE2693" s="30">
        <v>46022.333333333336</v>
      </c>
      <c r="AF2693" s="30">
        <v>46031.708333333336</v>
      </c>
      <c r="AG2693" t="s">
        <v>1266</v>
      </c>
      <c r="AK2693" t="s">
        <v>1265</v>
      </c>
      <c r="AL2693" t="s">
        <v>1972</v>
      </c>
      <c r="AM2693" t="s">
        <v>1263</v>
      </c>
      <c r="AN2693" t="s">
        <v>1262</v>
      </c>
      <c r="AO2693">
        <v>0</v>
      </c>
      <c r="AQ2693" t="s">
        <v>1261</v>
      </c>
      <c r="AR2693" t="s">
        <v>1260</v>
      </c>
      <c r="AS2693" t="s">
        <v>1259</v>
      </c>
      <c r="AT2693" s="30">
        <v>46072.689583333333</v>
      </c>
    </row>
    <row r="2694" spans="1:46" x14ac:dyDescent="0.25">
      <c r="A2694" t="s">
        <v>1248</v>
      </c>
      <c r="B2694">
        <v>253127</v>
      </c>
      <c r="C2694">
        <v>352358</v>
      </c>
      <c r="D2694">
        <v>405</v>
      </c>
      <c r="E2694" t="s">
        <v>1266</v>
      </c>
      <c r="G2694">
        <v>745</v>
      </c>
      <c r="H2694">
        <v>1826</v>
      </c>
      <c r="K2694" t="s">
        <v>1462</v>
      </c>
      <c r="L2694" t="s">
        <v>1462</v>
      </c>
      <c r="M2694" s="29">
        <v>96625</v>
      </c>
      <c r="N2694">
        <v>0</v>
      </c>
      <c r="O2694" s="29">
        <v>96625</v>
      </c>
      <c r="P2694">
        <v>0</v>
      </c>
      <c r="Q2694">
        <v>0</v>
      </c>
      <c r="R2694">
        <v>0</v>
      </c>
      <c r="T2694" t="s">
        <v>1262</v>
      </c>
      <c r="U2694" t="s">
        <v>1262</v>
      </c>
      <c r="V2694" t="s">
        <v>1262</v>
      </c>
      <c r="W2694" t="s">
        <v>1262</v>
      </c>
      <c r="X2694" t="s">
        <v>1262</v>
      </c>
      <c r="AA2694" s="30">
        <v>45827.433333333334</v>
      </c>
      <c r="AB2694" s="30">
        <v>45835.433333333334</v>
      </c>
      <c r="AC2694" s="30">
        <v>45827.433333333334</v>
      </c>
      <c r="AD2694" s="30">
        <v>45835.433333333334</v>
      </c>
      <c r="AE2694" s="30">
        <v>46016.333333333336</v>
      </c>
      <c r="AF2694" s="30">
        <v>46024.708333333336</v>
      </c>
      <c r="AG2694" t="s">
        <v>1266</v>
      </c>
      <c r="AK2694" t="s">
        <v>1265</v>
      </c>
      <c r="AL2694" t="s">
        <v>1971</v>
      </c>
      <c r="AM2694" t="s">
        <v>1263</v>
      </c>
      <c r="AN2694" t="s">
        <v>1262</v>
      </c>
      <c r="AO2694">
        <v>0</v>
      </c>
      <c r="AQ2694" t="s">
        <v>1261</v>
      </c>
      <c r="AR2694" t="s">
        <v>1260</v>
      </c>
      <c r="AS2694" t="s">
        <v>1259</v>
      </c>
      <c r="AT2694" s="30">
        <v>46072.689583333333</v>
      </c>
    </row>
    <row r="2695" spans="1:46" x14ac:dyDescent="0.25">
      <c r="A2695" t="s">
        <v>1248</v>
      </c>
      <c r="B2695">
        <v>253128</v>
      </c>
      <c r="C2695">
        <v>352365</v>
      </c>
      <c r="D2695">
        <v>405</v>
      </c>
      <c r="E2695" t="s">
        <v>1266</v>
      </c>
      <c r="G2695">
        <v>745</v>
      </c>
      <c r="H2695">
        <v>1826</v>
      </c>
      <c r="K2695" t="s">
        <v>1462</v>
      </c>
      <c r="L2695" t="s">
        <v>1462</v>
      </c>
      <c r="M2695" s="29">
        <v>96625</v>
      </c>
      <c r="N2695">
        <v>0</v>
      </c>
      <c r="O2695" s="29">
        <v>96625</v>
      </c>
      <c r="P2695">
        <v>0</v>
      </c>
      <c r="Q2695">
        <v>0</v>
      </c>
      <c r="R2695">
        <v>0</v>
      </c>
      <c r="T2695" t="s">
        <v>1262</v>
      </c>
      <c r="U2695" t="s">
        <v>1262</v>
      </c>
      <c r="V2695" t="s">
        <v>1262</v>
      </c>
      <c r="W2695" t="s">
        <v>1262</v>
      </c>
      <c r="X2695" t="s">
        <v>1262</v>
      </c>
      <c r="AA2695" s="30">
        <v>45826.474999999999</v>
      </c>
      <c r="AB2695" s="30">
        <v>45834.474999999999</v>
      </c>
      <c r="AC2695" s="30">
        <v>45826.474999999999</v>
      </c>
      <c r="AD2695" s="30">
        <v>45834.474999999999</v>
      </c>
      <c r="AE2695" s="30">
        <v>45883.375</v>
      </c>
      <c r="AF2695" s="30">
        <v>45891.375</v>
      </c>
      <c r="AG2695" t="s">
        <v>1266</v>
      </c>
      <c r="AK2695" t="s">
        <v>1265</v>
      </c>
      <c r="AL2695" t="s">
        <v>1970</v>
      </c>
      <c r="AM2695" t="s">
        <v>1263</v>
      </c>
      <c r="AN2695" t="s">
        <v>1262</v>
      </c>
      <c r="AO2695">
        <v>0</v>
      </c>
      <c r="AQ2695" t="s">
        <v>1261</v>
      </c>
      <c r="AR2695" t="s">
        <v>1260</v>
      </c>
      <c r="AS2695" t="s">
        <v>1259</v>
      </c>
      <c r="AT2695" s="30">
        <v>46072.689583333333</v>
      </c>
    </row>
    <row r="2696" spans="1:46" x14ac:dyDescent="0.25">
      <c r="A2696" t="s">
        <v>1248</v>
      </c>
      <c r="B2696">
        <v>253129</v>
      </c>
      <c r="C2696">
        <v>352050</v>
      </c>
      <c r="D2696">
        <v>405</v>
      </c>
      <c r="E2696" t="s">
        <v>1266</v>
      </c>
      <c r="G2696">
        <v>745</v>
      </c>
      <c r="H2696">
        <v>1825</v>
      </c>
      <c r="K2696" s="29">
        <v>473668084</v>
      </c>
      <c r="L2696" s="29">
        <v>473668084</v>
      </c>
      <c r="M2696" s="29">
        <v>98680851</v>
      </c>
      <c r="N2696">
        <v>0</v>
      </c>
      <c r="O2696" s="29">
        <v>98680851</v>
      </c>
      <c r="P2696">
        <v>0</v>
      </c>
      <c r="Q2696">
        <v>0</v>
      </c>
      <c r="R2696">
        <v>0</v>
      </c>
      <c r="T2696" t="s">
        <v>1262</v>
      </c>
      <c r="U2696" t="s">
        <v>1262</v>
      </c>
      <c r="V2696" t="s">
        <v>1262</v>
      </c>
      <c r="W2696" t="s">
        <v>1262</v>
      </c>
      <c r="X2696" t="s">
        <v>1262</v>
      </c>
      <c r="AA2696" s="30">
        <v>45811.625</v>
      </c>
      <c r="AB2696" s="30">
        <v>45819.625</v>
      </c>
      <c r="AC2696" s="30">
        <v>45811.625</v>
      </c>
      <c r="AD2696" s="30">
        <v>45819.625</v>
      </c>
      <c r="AE2696" s="30">
        <v>45877.333333333336</v>
      </c>
      <c r="AF2696" s="30">
        <v>45884.708333333336</v>
      </c>
      <c r="AG2696" t="s">
        <v>1266</v>
      </c>
      <c r="AK2696" t="s">
        <v>1265</v>
      </c>
      <c r="AL2696" t="s">
        <v>1969</v>
      </c>
      <c r="AM2696" t="s">
        <v>1263</v>
      </c>
      <c r="AN2696" t="s">
        <v>1262</v>
      </c>
      <c r="AO2696">
        <v>0</v>
      </c>
      <c r="AQ2696" t="s">
        <v>1261</v>
      </c>
      <c r="AR2696" t="s">
        <v>1260</v>
      </c>
      <c r="AS2696" t="s">
        <v>1259</v>
      </c>
      <c r="AT2696" s="30">
        <v>46072.689583333333</v>
      </c>
    </row>
    <row r="2697" spans="1:46" x14ac:dyDescent="0.25">
      <c r="A2697" t="s">
        <v>1248</v>
      </c>
      <c r="B2697">
        <v>253130</v>
      </c>
      <c r="C2697">
        <v>352057</v>
      </c>
      <c r="D2697">
        <v>405</v>
      </c>
      <c r="E2697" t="s">
        <v>1266</v>
      </c>
      <c r="G2697">
        <v>745</v>
      </c>
      <c r="H2697">
        <v>1825</v>
      </c>
      <c r="K2697" t="s">
        <v>1462</v>
      </c>
      <c r="L2697" t="s">
        <v>1462</v>
      </c>
      <c r="M2697" s="29">
        <v>98680851</v>
      </c>
      <c r="N2697">
        <v>0</v>
      </c>
      <c r="O2697" s="29">
        <v>98680851</v>
      </c>
      <c r="P2697">
        <v>0</v>
      </c>
      <c r="Q2697">
        <v>0</v>
      </c>
      <c r="R2697">
        <v>0</v>
      </c>
      <c r="T2697" t="s">
        <v>1262</v>
      </c>
      <c r="U2697" t="s">
        <v>1262</v>
      </c>
      <c r="V2697" t="s">
        <v>1262</v>
      </c>
      <c r="W2697" t="s">
        <v>1262</v>
      </c>
      <c r="X2697" t="s">
        <v>1262</v>
      </c>
      <c r="AA2697" s="30">
        <v>45807.416666666664</v>
      </c>
      <c r="AB2697" s="30">
        <v>45817.375</v>
      </c>
      <c r="AC2697" s="30">
        <v>45807.416666666664</v>
      </c>
      <c r="AD2697" s="30">
        <v>45817.375</v>
      </c>
      <c r="AE2697" s="30">
        <v>45873.416666666664</v>
      </c>
      <c r="AF2697" s="30">
        <v>45881.375</v>
      </c>
      <c r="AG2697" t="s">
        <v>1266</v>
      </c>
      <c r="AK2697" t="s">
        <v>1265</v>
      </c>
      <c r="AL2697" t="s">
        <v>1968</v>
      </c>
      <c r="AM2697" t="s">
        <v>1263</v>
      </c>
      <c r="AN2697" t="s">
        <v>1262</v>
      </c>
      <c r="AO2697">
        <v>0</v>
      </c>
      <c r="AQ2697" t="s">
        <v>1261</v>
      </c>
      <c r="AR2697" t="s">
        <v>1260</v>
      </c>
      <c r="AS2697" t="s">
        <v>1259</v>
      </c>
      <c r="AT2697" s="30">
        <v>46072.689583333333</v>
      </c>
    </row>
    <row r="2698" spans="1:46" x14ac:dyDescent="0.25">
      <c r="A2698" t="s">
        <v>1248</v>
      </c>
      <c r="B2698">
        <v>253131</v>
      </c>
      <c r="C2698">
        <v>352064</v>
      </c>
      <c r="D2698">
        <v>405</v>
      </c>
      <c r="E2698" t="s">
        <v>1266</v>
      </c>
      <c r="G2698">
        <v>745</v>
      </c>
      <c r="H2698">
        <v>1825</v>
      </c>
      <c r="K2698" t="s">
        <v>1462</v>
      </c>
      <c r="L2698" t="s">
        <v>1462</v>
      </c>
      <c r="M2698" s="29">
        <v>98680851</v>
      </c>
      <c r="N2698">
        <v>0</v>
      </c>
      <c r="O2698" s="29">
        <v>98680851</v>
      </c>
      <c r="P2698">
        <v>0</v>
      </c>
      <c r="Q2698">
        <v>0</v>
      </c>
      <c r="R2698">
        <v>0</v>
      </c>
      <c r="T2698" t="s">
        <v>1262</v>
      </c>
      <c r="U2698" t="s">
        <v>1262</v>
      </c>
      <c r="V2698" t="s">
        <v>1262</v>
      </c>
      <c r="W2698" t="s">
        <v>1262</v>
      </c>
      <c r="X2698" t="s">
        <v>1262</v>
      </c>
      <c r="AA2698" s="30">
        <v>45805.458333333336</v>
      </c>
      <c r="AB2698" s="30">
        <v>45813.416666666664</v>
      </c>
      <c r="AC2698" s="30">
        <v>45805.458333333336</v>
      </c>
      <c r="AD2698" s="30">
        <v>45813.416666666664</v>
      </c>
      <c r="AE2698" s="30">
        <v>45867.416666666664</v>
      </c>
      <c r="AF2698" s="30">
        <v>45875.375</v>
      </c>
      <c r="AG2698" t="s">
        <v>1266</v>
      </c>
      <c r="AK2698" t="s">
        <v>1265</v>
      </c>
      <c r="AL2698" t="s">
        <v>1967</v>
      </c>
      <c r="AM2698" t="s">
        <v>1263</v>
      </c>
      <c r="AN2698" t="s">
        <v>1262</v>
      </c>
      <c r="AO2698">
        <v>0</v>
      </c>
      <c r="AQ2698" t="s">
        <v>1261</v>
      </c>
      <c r="AR2698" t="s">
        <v>1260</v>
      </c>
      <c r="AS2698" t="s">
        <v>1259</v>
      </c>
      <c r="AT2698" s="30">
        <v>46072.689583333333</v>
      </c>
    </row>
    <row r="2699" spans="1:46" x14ac:dyDescent="0.25">
      <c r="A2699" t="s">
        <v>1248</v>
      </c>
      <c r="B2699">
        <v>253132</v>
      </c>
      <c r="C2699">
        <v>352071</v>
      </c>
      <c r="D2699">
        <v>405</v>
      </c>
      <c r="E2699" t="s">
        <v>1266</v>
      </c>
      <c r="G2699">
        <v>745</v>
      </c>
      <c r="H2699">
        <v>1825</v>
      </c>
      <c r="K2699" s="29">
        <v>473668084</v>
      </c>
      <c r="L2699" s="29">
        <v>473668084</v>
      </c>
      <c r="M2699" s="29">
        <v>98680851</v>
      </c>
      <c r="N2699">
        <v>0</v>
      </c>
      <c r="O2699" s="29">
        <v>98680851</v>
      </c>
      <c r="P2699">
        <v>0</v>
      </c>
      <c r="Q2699">
        <v>0</v>
      </c>
      <c r="R2699">
        <v>0</v>
      </c>
      <c r="T2699" t="s">
        <v>1262</v>
      </c>
      <c r="U2699" t="s">
        <v>1262</v>
      </c>
      <c r="V2699" t="s">
        <v>1262</v>
      </c>
      <c r="W2699" t="s">
        <v>1262</v>
      </c>
      <c r="X2699" t="s">
        <v>1262</v>
      </c>
      <c r="AA2699" s="30">
        <v>45793.458333333336</v>
      </c>
      <c r="AB2699" s="30">
        <v>45803.458333333336</v>
      </c>
      <c r="AC2699" s="30">
        <v>45793.458333333336</v>
      </c>
      <c r="AD2699" s="30">
        <v>45803.458333333336</v>
      </c>
      <c r="AE2699" s="30">
        <v>45862.333333333336</v>
      </c>
      <c r="AF2699" s="30">
        <v>45869.708333333336</v>
      </c>
      <c r="AG2699" t="s">
        <v>1266</v>
      </c>
      <c r="AK2699" t="s">
        <v>1265</v>
      </c>
      <c r="AL2699" t="s">
        <v>1966</v>
      </c>
      <c r="AM2699" t="s">
        <v>1263</v>
      </c>
      <c r="AN2699" t="s">
        <v>1262</v>
      </c>
      <c r="AO2699">
        <v>0</v>
      </c>
      <c r="AQ2699" t="s">
        <v>1261</v>
      </c>
      <c r="AR2699" t="s">
        <v>1260</v>
      </c>
      <c r="AS2699" t="s">
        <v>1259</v>
      </c>
      <c r="AT2699" s="30">
        <v>46072.689583333333</v>
      </c>
    </row>
    <row r="2700" spans="1:46" x14ac:dyDescent="0.25">
      <c r="A2700" t="s">
        <v>1248</v>
      </c>
      <c r="B2700">
        <v>253133</v>
      </c>
      <c r="C2700">
        <v>352078</v>
      </c>
      <c r="D2700">
        <v>405</v>
      </c>
      <c r="E2700" t="s">
        <v>1266</v>
      </c>
      <c r="G2700">
        <v>745</v>
      </c>
      <c r="H2700">
        <v>1825</v>
      </c>
      <c r="K2700" t="s">
        <v>1462</v>
      </c>
      <c r="L2700" t="s">
        <v>1462</v>
      </c>
      <c r="M2700" s="29">
        <v>98680851</v>
      </c>
      <c r="N2700">
        <v>0</v>
      </c>
      <c r="O2700" s="29">
        <v>98680851</v>
      </c>
      <c r="P2700">
        <v>0</v>
      </c>
      <c r="Q2700">
        <v>0</v>
      </c>
      <c r="R2700">
        <v>0</v>
      </c>
      <c r="T2700" t="s">
        <v>1262</v>
      </c>
      <c r="U2700" t="s">
        <v>1262</v>
      </c>
      <c r="V2700" t="s">
        <v>1262</v>
      </c>
      <c r="W2700" t="s">
        <v>1262</v>
      </c>
      <c r="X2700" t="s">
        <v>1262</v>
      </c>
      <c r="AA2700" s="30">
        <v>45790.666666666664</v>
      </c>
      <c r="AB2700" s="30">
        <v>45798.625</v>
      </c>
      <c r="AC2700" s="30">
        <v>45790.666666666664</v>
      </c>
      <c r="AD2700" s="30">
        <v>45798.625</v>
      </c>
      <c r="AE2700" s="30">
        <v>45849.375</v>
      </c>
      <c r="AF2700" s="30">
        <v>45856.708333333336</v>
      </c>
      <c r="AG2700" t="s">
        <v>1266</v>
      </c>
      <c r="AK2700" t="s">
        <v>1265</v>
      </c>
      <c r="AL2700" t="s">
        <v>1965</v>
      </c>
      <c r="AM2700" t="s">
        <v>1263</v>
      </c>
      <c r="AN2700" t="s">
        <v>1262</v>
      </c>
      <c r="AO2700">
        <v>0</v>
      </c>
      <c r="AQ2700" t="s">
        <v>1261</v>
      </c>
      <c r="AR2700" t="s">
        <v>1260</v>
      </c>
      <c r="AS2700" t="s">
        <v>1259</v>
      </c>
      <c r="AT2700" s="30">
        <v>46072.689583333333</v>
      </c>
    </row>
    <row r="2701" spans="1:46" x14ac:dyDescent="0.25">
      <c r="A2701" t="s">
        <v>1248</v>
      </c>
      <c r="B2701">
        <v>253134</v>
      </c>
      <c r="C2701">
        <v>352085</v>
      </c>
      <c r="D2701">
        <v>405</v>
      </c>
      <c r="E2701" t="s">
        <v>1266</v>
      </c>
      <c r="G2701">
        <v>745</v>
      </c>
      <c r="H2701">
        <v>1825</v>
      </c>
      <c r="K2701" t="s">
        <v>1462</v>
      </c>
      <c r="L2701" t="s">
        <v>1462</v>
      </c>
      <c r="M2701" s="29">
        <v>98680851</v>
      </c>
      <c r="N2701">
        <v>0</v>
      </c>
      <c r="O2701" s="29">
        <v>98680851</v>
      </c>
      <c r="P2701">
        <v>0</v>
      </c>
      <c r="Q2701">
        <v>0</v>
      </c>
      <c r="R2701">
        <v>0</v>
      </c>
      <c r="T2701" t="s">
        <v>1262</v>
      </c>
      <c r="U2701" t="s">
        <v>1262</v>
      </c>
      <c r="V2701" t="s">
        <v>1262</v>
      </c>
      <c r="W2701" t="s">
        <v>1262</v>
      </c>
      <c r="X2701" t="s">
        <v>1262</v>
      </c>
      <c r="AA2701" s="30">
        <v>45789.333333333336</v>
      </c>
      <c r="AB2701" s="30">
        <v>45796.666666666664</v>
      </c>
      <c r="AC2701" s="30">
        <v>45789.333333333336</v>
      </c>
      <c r="AD2701" s="30">
        <v>45796.666666666664</v>
      </c>
      <c r="AE2701" s="30">
        <v>45845.375</v>
      </c>
      <c r="AF2701" s="30">
        <v>45852.708333333336</v>
      </c>
      <c r="AG2701" t="s">
        <v>1266</v>
      </c>
      <c r="AK2701" t="s">
        <v>1265</v>
      </c>
      <c r="AL2701" t="s">
        <v>1964</v>
      </c>
      <c r="AM2701" t="s">
        <v>1263</v>
      </c>
      <c r="AN2701" t="s">
        <v>1262</v>
      </c>
      <c r="AO2701">
        <v>0</v>
      </c>
      <c r="AQ2701" t="s">
        <v>1261</v>
      </c>
      <c r="AR2701" t="s">
        <v>1260</v>
      </c>
      <c r="AS2701" t="s">
        <v>1259</v>
      </c>
      <c r="AT2701" s="30">
        <v>46072.689583333333</v>
      </c>
    </row>
    <row r="2702" spans="1:46" x14ac:dyDescent="0.25">
      <c r="A2702" t="s">
        <v>1248</v>
      </c>
      <c r="B2702">
        <v>253135</v>
      </c>
      <c r="C2702">
        <v>352092</v>
      </c>
      <c r="D2702">
        <v>405</v>
      </c>
      <c r="E2702" t="s">
        <v>1266</v>
      </c>
      <c r="G2702">
        <v>745</v>
      </c>
      <c r="H2702">
        <v>1825</v>
      </c>
      <c r="K2702" t="s">
        <v>1462</v>
      </c>
      <c r="L2702" t="s">
        <v>1462</v>
      </c>
      <c r="M2702" s="29">
        <v>98680851</v>
      </c>
      <c r="N2702">
        <v>0</v>
      </c>
      <c r="O2702" s="29">
        <v>98680851</v>
      </c>
      <c r="P2702">
        <v>0</v>
      </c>
      <c r="Q2702">
        <v>0</v>
      </c>
      <c r="R2702">
        <v>0</v>
      </c>
      <c r="T2702" t="s">
        <v>1262</v>
      </c>
      <c r="U2702" t="s">
        <v>1262</v>
      </c>
      <c r="V2702" t="s">
        <v>1262</v>
      </c>
      <c r="W2702" t="s">
        <v>1262</v>
      </c>
      <c r="X2702" t="s">
        <v>1262</v>
      </c>
      <c r="AA2702" s="30">
        <v>45785.375</v>
      </c>
      <c r="AB2702" s="30">
        <v>45792.708333333336</v>
      </c>
      <c r="AC2702" s="30">
        <v>45785.375</v>
      </c>
      <c r="AD2702" s="30">
        <v>45792.708333333336</v>
      </c>
      <c r="AE2702" s="30">
        <v>45839.375</v>
      </c>
      <c r="AF2702" s="30">
        <v>45846.708333333336</v>
      </c>
      <c r="AG2702" t="s">
        <v>1266</v>
      </c>
      <c r="AK2702" t="s">
        <v>1265</v>
      </c>
      <c r="AL2702" t="s">
        <v>1963</v>
      </c>
      <c r="AM2702" t="s">
        <v>1263</v>
      </c>
      <c r="AN2702" t="s">
        <v>1262</v>
      </c>
      <c r="AO2702">
        <v>0</v>
      </c>
      <c r="AQ2702" t="s">
        <v>1261</v>
      </c>
      <c r="AR2702" t="s">
        <v>1260</v>
      </c>
      <c r="AS2702" t="s">
        <v>1259</v>
      </c>
      <c r="AT2702" s="30">
        <v>46072.689583333333</v>
      </c>
    </row>
    <row r="2703" spans="1:46" x14ac:dyDescent="0.25">
      <c r="A2703" t="s">
        <v>1248</v>
      </c>
      <c r="B2703">
        <v>253136</v>
      </c>
      <c r="C2703">
        <v>352099</v>
      </c>
      <c r="D2703">
        <v>405</v>
      </c>
      <c r="E2703" t="s">
        <v>1266</v>
      </c>
      <c r="G2703">
        <v>745</v>
      </c>
      <c r="H2703">
        <v>1825</v>
      </c>
      <c r="K2703" t="s">
        <v>1462</v>
      </c>
      <c r="L2703" t="s">
        <v>1462</v>
      </c>
      <c r="M2703" s="29">
        <v>98680851</v>
      </c>
      <c r="N2703">
        <v>0</v>
      </c>
      <c r="O2703" s="29">
        <v>98680851</v>
      </c>
      <c r="P2703">
        <v>0</v>
      </c>
      <c r="Q2703">
        <v>0</v>
      </c>
      <c r="R2703">
        <v>0</v>
      </c>
      <c r="T2703" t="s">
        <v>1262</v>
      </c>
      <c r="U2703" t="s">
        <v>1262</v>
      </c>
      <c r="V2703" t="s">
        <v>1262</v>
      </c>
      <c r="W2703" t="s">
        <v>1262</v>
      </c>
      <c r="X2703" t="s">
        <v>1262</v>
      </c>
      <c r="AA2703" s="30">
        <v>45783.416666666664</v>
      </c>
      <c r="AB2703" s="30">
        <v>45791.375</v>
      </c>
      <c r="AC2703" s="30">
        <v>45783.416666666664</v>
      </c>
      <c r="AD2703" s="30">
        <v>45791.375</v>
      </c>
      <c r="AE2703" s="30">
        <v>45833.375</v>
      </c>
      <c r="AF2703" s="30">
        <v>45840.708333333336</v>
      </c>
      <c r="AG2703" t="s">
        <v>1266</v>
      </c>
      <c r="AK2703" t="s">
        <v>1265</v>
      </c>
      <c r="AL2703" t="s">
        <v>1962</v>
      </c>
      <c r="AM2703" t="s">
        <v>1263</v>
      </c>
      <c r="AN2703" t="s">
        <v>1262</v>
      </c>
      <c r="AO2703">
        <v>0</v>
      </c>
      <c r="AQ2703" t="s">
        <v>1261</v>
      </c>
      <c r="AR2703" t="s">
        <v>1260</v>
      </c>
      <c r="AS2703" t="s">
        <v>1259</v>
      </c>
      <c r="AT2703" s="30">
        <v>46072.689583333333</v>
      </c>
    </row>
    <row r="2704" spans="1:46" x14ac:dyDescent="0.25">
      <c r="A2704" t="s">
        <v>1248</v>
      </c>
      <c r="B2704">
        <v>253137</v>
      </c>
      <c r="C2704">
        <v>352106</v>
      </c>
      <c r="D2704">
        <v>405</v>
      </c>
      <c r="E2704" t="s">
        <v>1266</v>
      </c>
      <c r="G2704">
        <v>745</v>
      </c>
      <c r="H2704">
        <v>1825</v>
      </c>
      <c r="K2704" t="s">
        <v>1462</v>
      </c>
      <c r="L2704" t="s">
        <v>1462</v>
      </c>
      <c r="M2704" s="29">
        <v>98680851</v>
      </c>
      <c r="N2704">
        <v>0</v>
      </c>
      <c r="O2704" s="29">
        <v>98680851</v>
      </c>
      <c r="P2704">
        <v>0</v>
      </c>
      <c r="Q2704">
        <v>0</v>
      </c>
      <c r="R2704">
        <v>0</v>
      </c>
      <c r="T2704" t="s">
        <v>1262</v>
      </c>
      <c r="U2704" t="s">
        <v>1262</v>
      </c>
      <c r="V2704" t="s">
        <v>1262</v>
      </c>
      <c r="W2704" t="s">
        <v>1262</v>
      </c>
      <c r="X2704" t="s">
        <v>1262</v>
      </c>
      <c r="AA2704" s="30">
        <v>45779.458333333336</v>
      </c>
      <c r="AB2704" s="30">
        <v>45789.416666666664</v>
      </c>
      <c r="AC2704" s="30">
        <v>45779.458333333336</v>
      </c>
      <c r="AD2704" s="30">
        <v>45789.416666666664</v>
      </c>
      <c r="AE2704" s="30">
        <v>45827.375</v>
      </c>
      <c r="AF2704" s="30">
        <v>45834.708333333336</v>
      </c>
      <c r="AG2704" t="s">
        <v>1266</v>
      </c>
      <c r="AK2704" t="s">
        <v>1265</v>
      </c>
      <c r="AL2704" t="s">
        <v>1961</v>
      </c>
      <c r="AM2704" t="s">
        <v>1263</v>
      </c>
      <c r="AN2704" t="s">
        <v>1262</v>
      </c>
      <c r="AO2704">
        <v>0</v>
      </c>
      <c r="AQ2704" t="s">
        <v>1261</v>
      </c>
      <c r="AR2704" t="s">
        <v>1260</v>
      </c>
      <c r="AS2704" t="s">
        <v>1259</v>
      </c>
      <c r="AT2704" s="30">
        <v>46072.689583333333</v>
      </c>
    </row>
    <row r="2705" spans="1:46" x14ac:dyDescent="0.25">
      <c r="A2705" t="s">
        <v>1248</v>
      </c>
      <c r="B2705">
        <v>253138</v>
      </c>
      <c r="C2705">
        <v>352113</v>
      </c>
      <c r="D2705">
        <v>405</v>
      </c>
      <c r="E2705" t="s">
        <v>1266</v>
      </c>
      <c r="G2705">
        <v>745</v>
      </c>
      <c r="H2705">
        <v>1825</v>
      </c>
      <c r="K2705" t="s">
        <v>1462</v>
      </c>
      <c r="L2705" t="s">
        <v>1462</v>
      </c>
      <c r="M2705" s="29">
        <v>98680851</v>
      </c>
      <c r="N2705">
        <v>0</v>
      </c>
      <c r="O2705" s="29">
        <v>98680851</v>
      </c>
      <c r="P2705">
        <v>0</v>
      </c>
      <c r="Q2705">
        <v>0</v>
      </c>
      <c r="R2705">
        <v>0</v>
      </c>
      <c r="T2705" t="s">
        <v>1262</v>
      </c>
      <c r="U2705" t="s">
        <v>1262</v>
      </c>
      <c r="V2705" t="s">
        <v>1262</v>
      </c>
      <c r="W2705" t="s">
        <v>1262</v>
      </c>
      <c r="X2705" t="s">
        <v>1262</v>
      </c>
      <c r="AA2705" s="30">
        <v>45769.541666666664</v>
      </c>
      <c r="AB2705" s="30">
        <v>45777.458333333336</v>
      </c>
      <c r="AC2705" s="30">
        <v>45769.541666666664</v>
      </c>
      <c r="AD2705" s="30">
        <v>45777.458333333336</v>
      </c>
      <c r="AE2705" s="30">
        <v>45821.375</v>
      </c>
      <c r="AF2705" s="30">
        <v>45828.708333333336</v>
      </c>
      <c r="AG2705" t="s">
        <v>1266</v>
      </c>
      <c r="AK2705" t="s">
        <v>1265</v>
      </c>
      <c r="AL2705" t="s">
        <v>1960</v>
      </c>
      <c r="AM2705" t="s">
        <v>1263</v>
      </c>
      <c r="AN2705" t="s">
        <v>1262</v>
      </c>
      <c r="AO2705">
        <v>0</v>
      </c>
      <c r="AQ2705" t="s">
        <v>1261</v>
      </c>
      <c r="AR2705" t="s">
        <v>1260</v>
      </c>
      <c r="AS2705" t="s">
        <v>1259</v>
      </c>
      <c r="AT2705" s="30">
        <v>46072.689583333333</v>
      </c>
    </row>
    <row r="2706" spans="1:46" x14ac:dyDescent="0.25">
      <c r="A2706" t="s">
        <v>1248</v>
      </c>
      <c r="B2706">
        <v>253139</v>
      </c>
      <c r="C2706">
        <v>352120</v>
      </c>
      <c r="D2706">
        <v>405</v>
      </c>
      <c r="E2706" t="s">
        <v>1266</v>
      </c>
      <c r="G2706">
        <v>745</v>
      </c>
      <c r="H2706">
        <v>1825</v>
      </c>
      <c r="K2706" t="s">
        <v>1462</v>
      </c>
      <c r="L2706" t="s">
        <v>1462</v>
      </c>
      <c r="M2706" s="29">
        <v>98680851</v>
      </c>
      <c r="N2706">
        <v>0</v>
      </c>
      <c r="O2706" s="29">
        <v>98680851</v>
      </c>
      <c r="P2706">
        <v>0</v>
      </c>
      <c r="Q2706">
        <v>0</v>
      </c>
      <c r="R2706">
        <v>0</v>
      </c>
      <c r="T2706" t="s">
        <v>1262</v>
      </c>
      <c r="U2706" t="s">
        <v>1262</v>
      </c>
      <c r="V2706" t="s">
        <v>1262</v>
      </c>
      <c r="W2706" t="s">
        <v>1262</v>
      </c>
      <c r="X2706" t="s">
        <v>1262</v>
      </c>
      <c r="AA2706" s="30">
        <v>45765.583333333336</v>
      </c>
      <c r="AB2706" s="30">
        <v>45775.5</v>
      </c>
      <c r="AC2706" s="30">
        <v>45765.583333333336</v>
      </c>
      <c r="AD2706" s="30">
        <v>45775.5</v>
      </c>
      <c r="AE2706" s="30">
        <v>45817.375</v>
      </c>
      <c r="AF2706" s="30">
        <v>45824.708333333336</v>
      </c>
      <c r="AG2706" t="s">
        <v>1266</v>
      </c>
      <c r="AK2706" t="s">
        <v>1265</v>
      </c>
      <c r="AL2706" t="s">
        <v>1959</v>
      </c>
      <c r="AM2706" t="s">
        <v>1263</v>
      </c>
      <c r="AN2706" t="s">
        <v>1262</v>
      </c>
      <c r="AO2706">
        <v>0</v>
      </c>
      <c r="AQ2706" t="s">
        <v>1261</v>
      </c>
      <c r="AR2706" t="s">
        <v>1260</v>
      </c>
      <c r="AS2706" t="s">
        <v>1259</v>
      </c>
      <c r="AT2706" s="30">
        <v>46072.689583333333</v>
      </c>
    </row>
    <row r="2707" spans="1:46" x14ac:dyDescent="0.25">
      <c r="A2707" t="s">
        <v>1248</v>
      </c>
      <c r="B2707">
        <v>253140</v>
      </c>
      <c r="C2707">
        <v>352127</v>
      </c>
      <c r="D2707">
        <v>405</v>
      </c>
      <c r="E2707" t="s">
        <v>1266</v>
      </c>
      <c r="G2707">
        <v>745</v>
      </c>
      <c r="H2707">
        <v>1825</v>
      </c>
      <c r="K2707" t="s">
        <v>1462</v>
      </c>
      <c r="L2707" t="s">
        <v>1462</v>
      </c>
      <c r="M2707" s="29">
        <v>98680851</v>
      </c>
      <c r="N2707">
        <v>0</v>
      </c>
      <c r="O2707" s="29">
        <v>98680851</v>
      </c>
      <c r="P2707">
        <v>0</v>
      </c>
      <c r="Q2707">
        <v>0</v>
      </c>
      <c r="R2707">
        <v>0</v>
      </c>
      <c r="T2707" t="s">
        <v>1262</v>
      </c>
      <c r="U2707" t="s">
        <v>1262</v>
      </c>
      <c r="V2707" t="s">
        <v>1262</v>
      </c>
      <c r="W2707" t="s">
        <v>1262</v>
      </c>
      <c r="X2707" t="s">
        <v>1262</v>
      </c>
      <c r="AA2707" s="30">
        <v>45763.625</v>
      </c>
      <c r="AB2707" s="30">
        <v>45771.583333333336</v>
      </c>
      <c r="AC2707" s="30">
        <v>45763.625</v>
      </c>
      <c r="AD2707" s="30">
        <v>45771.583333333336</v>
      </c>
      <c r="AE2707" s="30">
        <v>45811.375</v>
      </c>
      <c r="AF2707" s="30">
        <v>45818.708333333336</v>
      </c>
      <c r="AG2707" t="s">
        <v>1266</v>
      </c>
      <c r="AK2707" t="s">
        <v>1265</v>
      </c>
      <c r="AL2707" t="s">
        <v>1958</v>
      </c>
      <c r="AM2707" t="s">
        <v>1263</v>
      </c>
      <c r="AN2707" t="s">
        <v>1262</v>
      </c>
      <c r="AO2707">
        <v>0</v>
      </c>
      <c r="AQ2707" t="s">
        <v>1261</v>
      </c>
      <c r="AR2707" t="s">
        <v>1260</v>
      </c>
      <c r="AS2707" t="s">
        <v>1259</v>
      </c>
      <c r="AT2707" s="30">
        <v>46072.689583333333</v>
      </c>
    </row>
    <row r="2708" spans="1:46" x14ac:dyDescent="0.25">
      <c r="A2708" t="s">
        <v>1248</v>
      </c>
      <c r="B2708">
        <v>253141</v>
      </c>
      <c r="C2708">
        <v>352134</v>
      </c>
      <c r="D2708">
        <v>405</v>
      </c>
      <c r="E2708" t="s">
        <v>1266</v>
      </c>
      <c r="G2708">
        <v>745</v>
      </c>
      <c r="H2708">
        <v>1825</v>
      </c>
      <c r="K2708" t="s">
        <v>1462</v>
      </c>
      <c r="L2708" t="s">
        <v>1462</v>
      </c>
      <c r="M2708" s="29">
        <v>98680851</v>
      </c>
      <c r="N2708">
        <v>0</v>
      </c>
      <c r="O2708" s="29">
        <v>98680851</v>
      </c>
      <c r="P2708">
        <v>0</v>
      </c>
      <c r="Q2708">
        <v>0</v>
      </c>
      <c r="R2708">
        <v>0</v>
      </c>
      <c r="T2708" t="s">
        <v>1262</v>
      </c>
      <c r="U2708" t="s">
        <v>1262</v>
      </c>
      <c r="V2708" t="s">
        <v>1262</v>
      </c>
      <c r="W2708" t="s">
        <v>1262</v>
      </c>
      <c r="X2708" t="s">
        <v>1262</v>
      </c>
      <c r="AA2708" s="30">
        <v>45761.666666666664</v>
      </c>
      <c r="AB2708" s="30">
        <v>45769.625</v>
      </c>
      <c r="AC2708" s="30">
        <v>45761.666666666664</v>
      </c>
      <c r="AD2708" s="30">
        <v>45769.625</v>
      </c>
      <c r="AE2708" s="30">
        <v>45805.375</v>
      </c>
      <c r="AF2708" s="30">
        <v>45812.708333333336</v>
      </c>
      <c r="AG2708" t="s">
        <v>1266</v>
      </c>
      <c r="AK2708" t="s">
        <v>1265</v>
      </c>
      <c r="AL2708" t="s">
        <v>1957</v>
      </c>
      <c r="AM2708" t="s">
        <v>1263</v>
      </c>
      <c r="AN2708" t="s">
        <v>1262</v>
      </c>
      <c r="AO2708">
        <v>0</v>
      </c>
      <c r="AQ2708" t="s">
        <v>1261</v>
      </c>
      <c r="AR2708" t="s">
        <v>1260</v>
      </c>
      <c r="AS2708" t="s">
        <v>1259</v>
      </c>
      <c r="AT2708" s="30">
        <v>46072.689583333333</v>
      </c>
    </row>
    <row r="2709" spans="1:46" x14ac:dyDescent="0.25">
      <c r="A2709" t="s">
        <v>1248</v>
      </c>
      <c r="B2709">
        <v>253142</v>
      </c>
      <c r="C2709">
        <v>352141</v>
      </c>
      <c r="D2709">
        <v>405</v>
      </c>
      <c r="E2709" t="s">
        <v>1266</v>
      </c>
      <c r="G2709">
        <v>745</v>
      </c>
      <c r="H2709">
        <v>1825</v>
      </c>
      <c r="K2709" t="s">
        <v>1462</v>
      </c>
      <c r="L2709" t="s">
        <v>1462</v>
      </c>
      <c r="M2709" s="29">
        <v>98680851</v>
      </c>
      <c r="N2709">
        <v>0</v>
      </c>
      <c r="O2709" s="29">
        <v>98680851</v>
      </c>
      <c r="P2709">
        <v>0</v>
      </c>
      <c r="Q2709">
        <v>0</v>
      </c>
      <c r="R2709">
        <v>0</v>
      </c>
      <c r="T2709" t="s">
        <v>1262</v>
      </c>
      <c r="U2709" t="s">
        <v>1262</v>
      </c>
      <c r="V2709" t="s">
        <v>1262</v>
      </c>
      <c r="W2709" t="s">
        <v>1262</v>
      </c>
      <c r="X2709" t="s">
        <v>1262</v>
      </c>
      <c r="AA2709" s="30">
        <v>45758.333333333336</v>
      </c>
      <c r="AB2709" s="30">
        <v>45765.666666666664</v>
      </c>
      <c r="AC2709" s="30">
        <v>45758.333333333336</v>
      </c>
      <c r="AD2709" s="30">
        <v>45765.666666666664</v>
      </c>
      <c r="AE2709" s="30">
        <v>45799.375</v>
      </c>
      <c r="AF2709" s="30">
        <v>45806.708333333336</v>
      </c>
      <c r="AG2709" t="s">
        <v>1266</v>
      </c>
      <c r="AK2709" t="s">
        <v>1265</v>
      </c>
      <c r="AL2709" t="e">
        <f>+Ak/Xli8R0yKkFbIsDcNlg</f>
        <v>#NAME?</v>
      </c>
      <c r="AM2709" t="s">
        <v>1263</v>
      </c>
      <c r="AN2709" t="s">
        <v>1262</v>
      </c>
      <c r="AO2709">
        <v>0</v>
      </c>
      <c r="AQ2709" t="s">
        <v>1261</v>
      </c>
      <c r="AR2709" t="s">
        <v>1260</v>
      </c>
      <c r="AS2709" t="s">
        <v>1259</v>
      </c>
      <c r="AT2709" s="30">
        <v>46072.689583333333</v>
      </c>
    </row>
    <row r="2710" spans="1:46" x14ac:dyDescent="0.25">
      <c r="A2710" t="s">
        <v>1248</v>
      </c>
      <c r="B2710">
        <v>253143</v>
      </c>
      <c r="C2710">
        <v>352148</v>
      </c>
      <c r="D2710">
        <v>405</v>
      </c>
      <c r="E2710" t="s">
        <v>1266</v>
      </c>
      <c r="G2710">
        <v>745</v>
      </c>
      <c r="H2710">
        <v>1825</v>
      </c>
      <c r="K2710" t="s">
        <v>1462</v>
      </c>
      <c r="L2710" t="s">
        <v>1462</v>
      </c>
      <c r="M2710" s="29">
        <v>98680851</v>
      </c>
      <c r="N2710">
        <v>0</v>
      </c>
      <c r="O2710" s="29">
        <v>98680851</v>
      </c>
      <c r="P2710">
        <v>0</v>
      </c>
      <c r="Q2710">
        <v>0</v>
      </c>
      <c r="R2710">
        <v>0</v>
      </c>
      <c r="T2710" t="s">
        <v>1262</v>
      </c>
      <c r="U2710" t="s">
        <v>1262</v>
      </c>
      <c r="V2710" t="s">
        <v>1262</v>
      </c>
      <c r="W2710" t="s">
        <v>1262</v>
      </c>
      <c r="X2710" t="s">
        <v>1262</v>
      </c>
      <c r="AA2710" s="30">
        <v>45756.375</v>
      </c>
      <c r="AB2710" s="30">
        <v>45763.708333333336</v>
      </c>
      <c r="AC2710" s="30">
        <v>45756.375</v>
      </c>
      <c r="AD2710" s="30">
        <v>45763.708333333336</v>
      </c>
      <c r="AE2710" s="30">
        <v>45793.375</v>
      </c>
      <c r="AF2710" s="30">
        <v>45800.708333333336</v>
      </c>
      <c r="AG2710" t="s">
        <v>1266</v>
      </c>
      <c r="AK2710" t="s">
        <v>1265</v>
      </c>
      <c r="AL2710" t="s">
        <v>1956</v>
      </c>
      <c r="AM2710" t="s">
        <v>1263</v>
      </c>
      <c r="AN2710" t="s">
        <v>1262</v>
      </c>
      <c r="AO2710">
        <v>0</v>
      </c>
      <c r="AQ2710" t="s">
        <v>1261</v>
      </c>
      <c r="AR2710" t="s">
        <v>1260</v>
      </c>
      <c r="AS2710" t="s">
        <v>1259</v>
      </c>
      <c r="AT2710" s="30">
        <v>46072.689583333333</v>
      </c>
    </row>
    <row r="2711" spans="1:46" x14ac:dyDescent="0.25">
      <c r="A2711" t="s">
        <v>1248</v>
      </c>
      <c r="B2711">
        <v>253144</v>
      </c>
      <c r="C2711">
        <v>352155</v>
      </c>
      <c r="D2711">
        <v>405</v>
      </c>
      <c r="E2711" t="s">
        <v>1266</v>
      </c>
      <c r="G2711">
        <v>745</v>
      </c>
      <c r="H2711">
        <v>1825</v>
      </c>
      <c r="K2711" t="s">
        <v>1462</v>
      </c>
      <c r="L2711" t="s">
        <v>1462</v>
      </c>
      <c r="M2711" s="29">
        <v>98680851</v>
      </c>
      <c r="N2711">
        <v>0</v>
      </c>
      <c r="O2711" s="29">
        <v>98680851</v>
      </c>
      <c r="P2711">
        <v>0</v>
      </c>
      <c r="Q2711">
        <v>0</v>
      </c>
      <c r="R2711">
        <v>0</v>
      </c>
      <c r="T2711" t="s">
        <v>1262</v>
      </c>
      <c r="U2711" t="s">
        <v>1262</v>
      </c>
      <c r="V2711" t="s">
        <v>1262</v>
      </c>
      <c r="W2711" t="s">
        <v>1262</v>
      </c>
      <c r="X2711" t="s">
        <v>1262</v>
      </c>
      <c r="AA2711" s="30">
        <v>45754.416666666664</v>
      </c>
      <c r="AB2711" s="30">
        <v>45762.375</v>
      </c>
      <c r="AC2711" s="30">
        <v>45754.416666666664</v>
      </c>
      <c r="AD2711" s="30">
        <v>45762.375</v>
      </c>
      <c r="AE2711" s="30">
        <v>45789.375</v>
      </c>
      <c r="AF2711" s="30">
        <v>45796.708333333336</v>
      </c>
      <c r="AG2711" t="s">
        <v>1266</v>
      </c>
      <c r="AK2711" t="s">
        <v>1265</v>
      </c>
      <c r="AL2711" t="s">
        <v>1955</v>
      </c>
      <c r="AM2711" t="s">
        <v>1263</v>
      </c>
      <c r="AN2711" t="s">
        <v>1262</v>
      </c>
      <c r="AO2711">
        <v>0</v>
      </c>
      <c r="AQ2711" t="s">
        <v>1261</v>
      </c>
      <c r="AR2711" t="s">
        <v>1260</v>
      </c>
      <c r="AS2711" t="s">
        <v>1259</v>
      </c>
      <c r="AT2711" s="30">
        <v>46072.689583333333</v>
      </c>
    </row>
    <row r="2712" spans="1:46" x14ac:dyDescent="0.25">
      <c r="A2712" t="s">
        <v>1248</v>
      </c>
      <c r="B2712">
        <v>253145</v>
      </c>
      <c r="C2712">
        <v>352162</v>
      </c>
      <c r="D2712">
        <v>405</v>
      </c>
      <c r="E2712" t="s">
        <v>1266</v>
      </c>
      <c r="G2712">
        <v>745</v>
      </c>
      <c r="H2712">
        <v>1825</v>
      </c>
      <c r="K2712" t="s">
        <v>1462</v>
      </c>
      <c r="L2712" t="s">
        <v>1462</v>
      </c>
      <c r="M2712" s="29">
        <v>98680851</v>
      </c>
      <c r="N2712">
        <v>0</v>
      </c>
      <c r="O2712" s="29">
        <v>98680851</v>
      </c>
      <c r="P2712">
        <v>0</v>
      </c>
      <c r="Q2712">
        <v>0</v>
      </c>
      <c r="R2712">
        <v>0</v>
      </c>
      <c r="T2712" t="s">
        <v>1262</v>
      </c>
      <c r="U2712" t="s">
        <v>1262</v>
      </c>
      <c r="V2712" t="s">
        <v>1262</v>
      </c>
      <c r="W2712" t="s">
        <v>1262</v>
      </c>
      <c r="X2712" t="s">
        <v>1262</v>
      </c>
      <c r="AA2712" s="30">
        <v>45750.458333333336</v>
      </c>
      <c r="AB2712" s="30">
        <v>45758.416666666664</v>
      </c>
      <c r="AC2712" s="30">
        <v>45750.458333333336</v>
      </c>
      <c r="AD2712" s="30">
        <v>45758.416666666664</v>
      </c>
      <c r="AE2712" s="30">
        <v>45783.375</v>
      </c>
      <c r="AF2712" s="30">
        <v>45790.708333333336</v>
      </c>
      <c r="AG2712" t="s">
        <v>1266</v>
      </c>
      <c r="AK2712" t="s">
        <v>1265</v>
      </c>
      <c r="AL2712" t="s">
        <v>1954</v>
      </c>
      <c r="AM2712" t="s">
        <v>1263</v>
      </c>
      <c r="AN2712" t="s">
        <v>1262</v>
      </c>
      <c r="AO2712">
        <v>0</v>
      </c>
      <c r="AQ2712" t="s">
        <v>1261</v>
      </c>
      <c r="AR2712" t="s">
        <v>1260</v>
      </c>
      <c r="AS2712" t="s">
        <v>1259</v>
      </c>
      <c r="AT2712" s="30">
        <v>46072.689583333333</v>
      </c>
    </row>
    <row r="2713" spans="1:46" x14ac:dyDescent="0.25">
      <c r="A2713" t="s">
        <v>1248</v>
      </c>
      <c r="B2713">
        <v>253146</v>
      </c>
      <c r="C2713">
        <v>352169</v>
      </c>
      <c r="D2713">
        <v>405</v>
      </c>
      <c r="E2713" t="s">
        <v>1266</v>
      </c>
      <c r="G2713">
        <v>745</v>
      </c>
      <c r="H2713">
        <v>1825</v>
      </c>
      <c r="K2713" t="s">
        <v>1462</v>
      </c>
      <c r="L2713" t="s">
        <v>1462</v>
      </c>
      <c r="M2713" s="29">
        <v>98680851</v>
      </c>
      <c r="N2713">
        <v>0</v>
      </c>
      <c r="O2713" s="29">
        <v>98680851</v>
      </c>
      <c r="P2713">
        <v>0</v>
      </c>
      <c r="Q2713">
        <v>0</v>
      </c>
      <c r="R2713">
        <v>0</v>
      </c>
      <c r="T2713" t="s">
        <v>1262</v>
      </c>
      <c r="U2713" t="s">
        <v>1262</v>
      </c>
      <c r="V2713" t="s">
        <v>1262</v>
      </c>
      <c r="W2713" t="s">
        <v>1262</v>
      </c>
      <c r="X2713" t="s">
        <v>1262</v>
      </c>
      <c r="AA2713" s="30">
        <v>45737.416666666664</v>
      </c>
      <c r="AB2713" s="30">
        <v>45747.375</v>
      </c>
      <c r="AC2713" s="30">
        <v>45737.416666666664</v>
      </c>
      <c r="AD2713" s="30">
        <v>45747.375</v>
      </c>
      <c r="AE2713" s="30">
        <v>45777.375</v>
      </c>
      <c r="AF2713" s="30">
        <v>45784.708333333336</v>
      </c>
      <c r="AG2713" t="s">
        <v>1266</v>
      </c>
      <c r="AK2713" t="s">
        <v>1265</v>
      </c>
      <c r="AL2713" t="s">
        <v>1953</v>
      </c>
      <c r="AM2713" t="s">
        <v>1263</v>
      </c>
      <c r="AN2713" t="s">
        <v>1262</v>
      </c>
      <c r="AO2713">
        <v>0</v>
      </c>
      <c r="AQ2713" t="s">
        <v>1261</v>
      </c>
      <c r="AR2713" t="s">
        <v>1260</v>
      </c>
      <c r="AS2713" t="s">
        <v>1259</v>
      </c>
      <c r="AT2713" s="30">
        <v>46072.689583333333</v>
      </c>
    </row>
    <row r="2714" spans="1:46" x14ac:dyDescent="0.25">
      <c r="A2714" t="s">
        <v>1248</v>
      </c>
      <c r="B2714">
        <v>253147</v>
      </c>
      <c r="C2714">
        <v>352176</v>
      </c>
      <c r="D2714">
        <v>405</v>
      </c>
      <c r="E2714" t="s">
        <v>1266</v>
      </c>
      <c r="G2714">
        <v>745</v>
      </c>
      <c r="H2714">
        <v>1825</v>
      </c>
      <c r="K2714" t="s">
        <v>1462</v>
      </c>
      <c r="L2714" t="s">
        <v>1462</v>
      </c>
      <c r="M2714" s="29">
        <v>98680851</v>
      </c>
      <c r="N2714">
        <v>0</v>
      </c>
      <c r="O2714" s="29">
        <v>98680851</v>
      </c>
      <c r="P2714">
        <v>0</v>
      </c>
      <c r="Q2714">
        <v>0</v>
      </c>
      <c r="R2714">
        <v>0</v>
      </c>
      <c r="T2714" t="s">
        <v>1262</v>
      </c>
      <c r="U2714" t="s">
        <v>1262</v>
      </c>
      <c r="V2714" t="s">
        <v>1262</v>
      </c>
      <c r="W2714" t="s">
        <v>1262</v>
      </c>
      <c r="X2714" t="s">
        <v>1262</v>
      </c>
      <c r="AA2714" s="30">
        <v>45734.458333333336</v>
      </c>
      <c r="AB2714" s="30">
        <v>45742.416666666664</v>
      </c>
      <c r="AC2714" s="30">
        <v>45734.458333333336</v>
      </c>
      <c r="AD2714" s="30">
        <v>45742.416666666664</v>
      </c>
      <c r="AE2714" s="30">
        <v>45771.375</v>
      </c>
      <c r="AF2714" s="30">
        <v>45778.708333333336</v>
      </c>
      <c r="AG2714" t="s">
        <v>1266</v>
      </c>
      <c r="AK2714" t="s">
        <v>1265</v>
      </c>
      <c r="AL2714" t="s">
        <v>1952</v>
      </c>
      <c r="AM2714" t="s">
        <v>1263</v>
      </c>
      <c r="AN2714" t="s">
        <v>1262</v>
      </c>
      <c r="AO2714">
        <v>0</v>
      </c>
      <c r="AQ2714" t="s">
        <v>1261</v>
      </c>
      <c r="AR2714" t="s">
        <v>1260</v>
      </c>
      <c r="AS2714" t="s">
        <v>1259</v>
      </c>
      <c r="AT2714" s="30">
        <v>46072.689583333333</v>
      </c>
    </row>
    <row r="2715" spans="1:46" x14ac:dyDescent="0.25">
      <c r="A2715" t="s">
        <v>1248</v>
      </c>
      <c r="B2715">
        <v>253148</v>
      </c>
      <c r="C2715">
        <v>352183</v>
      </c>
      <c r="D2715">
        <v>405</v>
      </c>
      <c r="E2715" t="s">
        <v>1266</v>
      </c>
      <c r="G2715">
        <v>745</v>
      </c>
      <c r="H2715">
        <v>1825</v>
      </c>
      <c r="K2715" t="s">
        <v>1462</v>
      </c>
      <c r="L2715" t="s">
        <v>1462</v>
      </c>
      <c r="M2715" s="29">
        <v>98680851</v>
      </c>
      <c r="N2715">
        <v>0</v>
      </c>
      <c r="O2715" s="29">
        <v>98680851</v>
      </c>
      <c r="P2715">
        <v>0</v>
      </c>
      <c r="Q2715">
        <v>0</v>
      </c>
      <c r="R2715">
        <v>0</v>
      </c>
      <c r="T2715" t="s">
        <v>1262</v>
      </c>
      <c r="U2715" t="s">
        <v>1262</v>
      </c>
      <c r="V2715" t="s">
        <v>1262</v>
      </c>
      <c r="W2715" t="s">
        <v>1262</v>
      </c>
      <c r="X2715" t="s">
        <v>1262</v>
      </c>
      <c r="AA2715" s="30">
        <v>45737.541666666664</v>
      </c>
      <c r="AB2715" s="30">
        <v>45747.458333333336</v>
      </c>
      <c r="AC2715" s="30">
        <v>45737.541666666664</v>
      </c>
      <c r="AD2715" s="30">
        <v>45747.458333333336</v>
      </c>
      <c r="AE2715" s="30">
        <v>45765.375</v>
      </c>
      <c r="AF2715" s="30">
        <v>45772.708333333336</v>
      </c>
      <c r="AG2715" t="s">
        <v>1266</v>
      </c>
      <c r="AK2715" t="s">
        <v>1265</v>
      </c>
      <c r="AL2715" t="s">
        <v>1951</v>
      </c>
      <c r="AM2715" t="s">
        <v>1263</v>
      </c>
      <c r="AN2715" t="s">
        <v>1262</v>
      </c>
      <c r="AO2715">
        <v>0</v>
      </c>
      <c r="AQ2715" t="s">
        <v>1261</v>
      </c>
      <c r="AR2715" t="s">
        <v>1260</v>
      </c>
      <c r="AS2715" t="s">
        <v>1259</v>
      </c>
      <c r="AT2715" s="30">
        <v>46072.689583333333</v>
      </c>
    </row>
    <row r="2716" spans="1:46" x14ac:dyDescent="0.25">
      <c r="A2716" t="s">
        <v>1248</v>
      </c>
      <c r="B2716">
        <v>253149</v>
      </c>
      <c r="C2716">
        <v>352190</v>
      </c>
      <c r="D2716">
        <v>405</v>
      </c>
      <c r="E2716" t="s">
        <v>1266</v>
      </c>
      <c r="G2716">
        <v>745</v>
      </c>
      <c r="H2716">
        <v>1825</v>
      </c>
      <c r="K2716" s="29">
        <v>473668084</v>
      </c>
      <c r="L2716" s="29">
        <v>473668084</v>
      </c>
      <c r="M2716" s="29">
        <v>98680851</v>
      </c>
      <c r="N2716">
        <v>0</v>
      </c>
      <c r="O2716" s="29">
        <v>98680851</v>
      </c>
      <c r="P2716">
        <v>0</v>
      </c>
      <c r="Q2716">
        <v>0</v>
      </c>
      <c r="R2716">
        <v>0</v>
      </c>
      <c r="T2716" t="s">
        <v>1262</v>
      </c>
      <c r="U2716" t="s">
        <v>1262</v>
      </c>
      <c r="V2716" t="s">
        <v>1262</v>
      </c>
      <c r="W2716" t="s">
        <v>1262</v>
      </c>
      <c r="X2716" t="s">
        <v>1262</v>
      </c>
      <c r="AA2716" s="30">
        <v>45735.333333333336</v>
      </c>
      <c r="AB2716" s="30">
        <v>45742.708333333336</v>
      </c>
      <c r="AC2716" s="30">
        <v>45735.333333333336</v>
      </c>
      <c r="AD2716" s="30">
        <v>45742.708333333336</v>
      </c>
      <c r="AE2716" s="30">
        <v>45761.333333333336</v>
      </c>
      <c r="AF2716" s="30">
        <v>45768.708333333336</v>
      </c>
      <c r="AG2716" t="s">
        <v>1266</v>
      </c>
      <c r="AK2716" t="s">
        <v>1265</v>
      </c>
      <c r="AL2716" t="s">
        <v>1950</v>
      </c>
      <c r="AM2716" t="s">
        <v>1263</v>
      </c>
      <c r="AN2716" t="s">
        <v>1262</v>
      </c>
      <c r="AO2716">
        <v>0</v>
      </c>
      <c r="AQ2716" t="s">
        <v>1261</v>
      </c>
      <c r="AR2716" t="s">
        <v>1260</v>
      </c>
      <c r="AS2716" t="s">
        <v>1259</v>
      </c>
      <c r="AT2716" s="30">
        <v>46072.689583333333</v>
      </c>
    </row>
    <row r="2717" spans="1:46" x14ac:dyDescent="0.25">
      <c r="A2717" t="s">
        <v>1248</v>
      </c>
      <c r="B2717">
        <v>253150</v>
      </c>
      <c r="C2717">
        <v>352197</v>
      </c>
      <c r="D2717">
        <v>405</v>
      </c>
      <c r="E2717" t="s">
        <v>1266</v>
      </c>
      <c r="G2717">
        <v>745</v>
      </c>
      <c r="H2717">
        <v>1825</v>
      </c>
      <c r="K2717" t="s">
        <v>1462</v>
      </c>
      <c r="L2717" t="s">
        <v>1462</v>
      </c>
      <c r="M2717" s="29">
        <v>98680851</v>
      </c>
      <c r="N2717">
        <v>0</v>
      </c>
      <c r="O2717" s="29">
        <v>98680851</v>
      </c>
      <c r="P2717">
        <v>0</v>
      </c>
      <c r="Q2717">
        <v>0</v>
      </c>
      <c r="R2717">
        <v>0</v>
      </c>
      <c r="T2717" t="s">
        <v>1262</v>
      </c>
      <c r="U2717" t="s">
        <v>1262</v>
      </c>
      <c r="V2717" t="s">
        <v>1262</v>
      </c>
      <c r="W2717" t="s">
        <v>1262</v>
      </c>
      <c r="X2717" t="s">
        <v>1262</v>
      </c>
      <c r="AA2717" s="30">
        <v>45915.380555555559</v>
      </c>
      <c r="AB2717" s="30">
        <v>45923.338888888888</v>
      </c>
      <c r="AC2717" s="30">
        <v>45915.380555555559</v>
      </c>
      <c r="AD2717" s="30">
        <v>45923.338888888888</v>
      </c>
      <c r="AE2717" s="30">
        <v>46406.416666666664</v>
      </c>
      <c r="AF2717" s="30">
        <v>46414.375</v>
      </c>
      <c r="AG2717" t="s">
        <v>1266</v>
      </c>
      <c r="AK2717" t="s">
        <v>1265</v>
      </c>
      <c r="AL2717" t="s">
        <v>1949</v>
      </c>
      <c r="AM2717" t="s">
        <v>1263</v>
      </c>
      <c r="AN2717" t="s">
        <v>1262</v>
      </c>
      <c r="AO2717">
        <v>0</v>
      </c>
      <c r="AQ2717" t="s">
        <v>1261</v>
      </c>
      <c r="AR2717" t="s">
        <v>1260</v>
      </c>
      <c r="AS2717" t="s">
        <v>1259</v>
      </c>
      <c r="AT2717" s="30">
        <v>46072.689583333333</v>
      </c>
    </row>
    <row r="2718" spans="1:46" x14ac:dyDescent="0.25">
      <c r="A2718" t="s">
        <v>1248</v>
      </c>
      <c r="B2718">
        <v>253151</v>
      </c>
      <c r="C2718">
        <v>352204</v>
      </c>
      <c r="D2718">
        <v>405</v>
      </c>
      <c r="E2718" t="s">
        <v>1266</v>
      </c>
      <c r="G2718">
        <v>745</v>
      </c>
      <c r="H2718">
        <v>1825</v>
      </c>
      <c r="K2718">
        <v>47</v>
      </c>
      <c r="L2718">
        <v>47</v>
      </c>
      <c r="M2718">
        <v>1</v>
      </c>
      <c r="N2718">
        <v>0</v>
      </c>
      <c r="O2718">
        <v>1</v>
      </c>
      <c r="P2718">
        <v>0</v>
      </c>
      <c r="Q2718">
        <v>0</v>
      </c>
      <c r="R2718">
        <v>0</v>
      </c>
      <c r="T2718" t="s">
        <v>1262</v>
      </c>
      <c r="U2718" t="s">
        <v>1262</v>
      </c>
      <c r="V2718" t="s">
        <v>1262</v>
      </c>
      <c r="W2718" t="s">
        <v>1262</v>
      </c>
      <c r="X2718" t="s">
        <v>1262</v>
      </c>
      <c r="AA2718" s="30">
        <v>45910.380555555559</v>
      </c>
      <c r="AB2718" s="30">
        <v>45918.338888888888</v>
      </c>
      <c r="AC2718" s="30">
        <v>45910.380555555559</v>
      </c>
      <c r="AD2718" s="30">
        <v>45918.338888888888</v>
      </c>
      <c r="AE2718" s="30">
        <v>46386.416666666664</v>
      </c>
      <c r="AF2718" s="30">
        <v>46398.375</v>
      </c>
      <c r="AG2718" t="s">
        <v>1266</v>
      </c>
      <c r="AK2718" t="s">
        <v>1265</v>
      </c>
      <c r="AL2718" t="s">
        <v>1948</v>
      </c>
      <c r="AM2718" t="s">
        <v>1263</v>
      </c>
      <c r="AN2718" t="s">
        <v>1262</v>
      </c>
      <c r="AO2718">
        <v>0</v>
      </c>
      <c r="AQ2718" t="s">
        <v>1261</v>
      </c>
      <c r="AR2718" t="s">
        <v>1260</v>
      </c>
      <c r="AS2718" t="s">
        <v>1259</v>
      </c>
      <c r="AT2718" s="30">
        <v>46072.689583333333</v>
      </c>
    </row>
    <row r="2719" spans="1:46" x14ac:dyDescent="0.25">
      <c r="A2719" t="s">
        <v>1248</v>
      </c>
      <c r="B2719">
        <v>253152</v>
      </c>
      <c r="C2719">
        <v>352211</v>
      </c>
      <c r="D2719">
        <v>405</v>
      </c>
      <c r="E2719" t="s">
        <v>1266</v>
      </c>
      <c r="G2719">
        <v>745</v>
      </c>
      <c r="H2719">
        <v>1825</v>
      </c>
      <c r="K2719" t="s">
        <v>1462</v>
      </c>
      <c r="L2719" t="s">
        <v>1462</v>
      </c>
      <c r="M2719" s="29">
        <v>98680851</v>
      </c>
      <c r="N2719">
        <v>0</v>
      </c>
      <c r="O2719" s="29">
        <v>98680851</v>
      </c>
      <c r="P2719">
        <v>0</v>
      </c>
      <c r="Q2719">
        <v>0</v>
      </c>
      <c r="R2719">
        <v>0</v>
      </c>
      <c r="T2719" t="s">
        <v>1262</v>
      </c>
      <c r="U2719" t="s">
        <v>1262</v>
      </c>
      <c r="V2719" t="s">
        <v>1262</v>
      </c>
      <c r="W2719" t="s">
        <v>1262</v>
      </c>
      <c r="X2719" t="s">
        <v>1262</v>
      </c>
      <c r="AA2719" s="30">
        <v>45905.380555555559</v>
      </c>
      <c r="AB2719" s="30">
        <v>45915.338888888888</v>
      </c>
      <c r="AC2719" s="30">
        <v>45905.380555555559</v>
      </c>
      <c r="AD2719" s="30">
        <v>45915.338888888888</v>
      </c>
      <c r="AE2719" s="30">
        <v>46367.416666666664</v>
      </c>
      <c r="AF2719" s="30">
        <v>46377.375</v>
      </c>
      <c r="AG2719" t="s">
        <v>1266</v>
      </c>
      <c r="AK2719" t="s">
        <v>1265</v>
      </c>
      <c r="AL2719" t="s">
        <v>1947</v>
      </c>
      <c r="AM2719" t="s">
        <v>1263</v>
      </c>
      <c r="AN2719" t="s">
        <v>1262</v>
      </c>
      <c r="AO2719">
        <v>0</v>
      </c>
      <c r="AQ2719" t="s">
        <v>1261</v>
      </c>
      <c r="AR2719" t="s">
        <v>1260</v>
      </c>
      <c r="AS2719" t="s">
        <v>1259</v>
      </c>
      <c r="AT2719" s="30">
        <v>46072.689583333333</v>
      </c>
    </row>
    <row r="2720" spans="1:46" x14ac:dyDescent="0.25">
      <c r="A2720" t="s">
        <v>1248</v>
      </c>
      <c r="B2720">
        <v>253153</v>
      </c>
      <c r="C2720">
        <v>352218</v>
      </c>
      <c r="D2720">
        <v>405</v>
      </c>
      <c r="E2720" t="s">
        <v>1266</v>
      </c>
      <c r="G2720">
        <v>745</v>
      </c>
      <c r="H2720">
        <v>1825</v>
      </c>
      <c r="K2720">
        <v>47</v>
      </c>
      <c r="L2720">
        <v>47</v>
      </c>
      <c r="M2720">
        <v>1</v>
      </c>
      <c r="N2720">
        <v>0</v>
      </c>
      <c r="O2720">
        <v>1</v>
      </c>
      <c r="P2720">
        <v>0</v>
      </c>
      <c r="Q2720">
        <v>0</v>
      </c>
      <c r="R2720">
        <v>0</v>
      </c>
      <c r="T2720" t="s">
        <v>1262</v>
      </c>
      <c r="U2720" t="s">
        <v>1262</v>
      </c>
      <c r="V2720" t="s">
        <v>1262</v>
      </c>
      <c r="W2720" t="s">
        <v>1262</v>
      </c>
      <c r="X2720" t="s">
        <v>1262</v>
      </c>
      <c r="AA2720" s="30">
        <v>45896.380555555559</v>
      </c>
      <c r="AB2720" s="30">
        <v>45904.338888888888</v>
      </c>
      <c r="AC2720" s="30">
        <v>45896.380555555559</v>
      </c>
      <c r="AD2720" s="30">
        <v>45904.338888888888</v>
      </c>
      <c r="AE2720" s="30">
        <v>46344.416666666664</v>
      </c>
      <c r="AF2720" s="30">
        <v>46352.375</v>
      </c>
      <c r="AG2720" t="s">
        <v>1266</v>
      </c>
      <c r="AK2720" t="s">
        <v>1265</v>
      </c>
      <c r="AL2720" t="s">
        <v>1946</v>
      </c>
      <c r="AM2720" t="s">
        <v>1263</v>
      </c>
      <c r="AN2720" t="s">
        <v>1262</v>
      </c>
      <c r="AO2720">
        <v>0</v>
      </c>
      <c r="AQ2720" t="s">
        <v>1261</v>
      </c>
      <c r="AR2720" t="s">
        <v>1260</v>
      </c>
      <c r="AS2720" t="s">
        <v>1259</v>
      </c>
      <c r="AT2720" s="30">
        <v>46072.689583333333</v>
      </c>
    </row>
    <row r="2721" spans="1:46" x14ac:dyDescent="0.25">
      <c r="A2721" t="s">
        <v>1248</v>
      </c>
      <c r="B2721">
        <v>253154</v>
      </c>
      <c r="C2721">
        <v>352225</v>
      </c>
      <c r="D2721">
        <v>405</v>
      </c>
      <c r="E2721" t="s">
        <v>1266</v>
      </c>
      <c r="G2721">
        <v>745</v>
      </c>
      <c r="H2721">
        <v>1825</v>
      </c>
      <c r="K2721" t="s">
        <v>1462</v>
      </c>
      <c r="L2721" t="s">
        <v>1462</v>
      </c>
      <c r="M2721" s="29">
        <v>98680851</v>
      </c>
      <c r="N2721">
        <v>0</v>
      </c>
      <c r="O2721" s="29">
        <v>98680851</v>
      </c>
      <c r="P2721">
        <v>0</v>
      </c>
      <c r="Q2721">
        <v>0</v>
      </c>
      <c r="R2721">
        <v>0</v>
      </c>
      <c r="T2721" t="s">
        <v>1262</v>
      </c>
      <c r="U2721" t="s">
        <v>1262</v>
      </c>
      <c r="V2721" t="s">
        <v>1262</v>
      </c>
      <c r="W2721" t="s">
        <v>1262</v>
      </c>
      <c r="X2721" t="s">
        <v>1262</v>
      </c>
      <c r="AA2721" s="30">
        <v>45897.547222222223</v>
      </c>
      <c r="AB2721" s="30">
        <v>45905.463888888888</v>
      </c>
      <c r="AC2721" s="30">
        <v>45897.547222222223</v>
      </c>
      <c r="AD2721" s="30">
        <v>45905.463888888888</v>
      </c>
      <c r="AE2721" s="30">
        <v>46332.416666666664</v>
      </c>
      <c r="AF2721" s="30">
        <v>46342.375</v>
      </c>
      <c r="AG2721" t="s">
        <v>1266</v>
      </c>
      <c r="AK2721" t="s">
        <v>1265</v>
      </c>
      <c r="AL2721" t="s">
        <v>1945</v>
      </c>
      <c r="AM2721" t="s">
        <v>1263</v>
      </c>
      <c r="AN2721" t="s">
        <v>1262</v>
      </c>
      <c r="AO2721">
        <v>0</v>
      </c>
      <c r="AQ2721" t="s">
        <v>1261</v>
      </c>
      <c r="AR2721" t="s">
        <v>1260</v>
      </c>
      <c r="AS2721" t="s">
        <v>1259</v>
      </c>
      <c r="AT2721" s="30">
        <v>46072.689583333333</v>
      </c>
    </row>
    <row r="2722" spans="1:46" x14ac:dyDescent="0.25">
      <c r="A2722" t="s">
        <v>1248</v>
      </c>
      <c r="B2722">
        <v>253155</v>
      </c>
      <c r="C2722">
        <v>352232</v>
      </c>
      <c r="D2722">
        <v>405</v>
      </c>
      <c r="E2722" t="s">
        <v>1266</v>
      </c>
      <c r="G2722">
        <v>745</v>
      </c>
      <c r="H2722">
        <v>1825</v>
      </c>
      <c r="K2722" t="s">
        <v>1462</v>
      </c>
      <c r="L2722" t="s">
        <v>1462</v>
      </c>
      <c r="M2722" s="29">
        <v>98680851</v>
      </c>
      <c r="N2722">
        <v>0</v>
      </c>
      <c r="O2722" s="29">
        <v>98680851</v>
      </c>
      <c r="P2722">
        <v>0</v>
      </c>
      <c r="Q2722">
        <v>0</v>
      </c>
      <c r="R2722">
        <v>0</v>
      </c>
      <c r="T2722" t="s">
        <v>1262</v>
      </c>
      <c r="U2722" t="s">
        <v>1262</v>
      </c>
      <c r="V2722" t="s">
        <v>1262</v>
      </c>
      <c r="W2722" t="s">
        <v>1262</v>
      </c>
      <c r="X2722" t="s">
        <v>1262</v>
      </c>
      <c r="AA2722" s="30">
        <v>45895.588888888888</v>
      </c>
      <c r="AB2722" s="30">
        <v>45903.547222222223</v>
      </c>
      <c r="AC2722" s="30">
        <v>45895.588888888888</v>
      </c>
      <c r="AD2722" s="30">
        <v>45903.547222222223</v>
      </c>
      <c r="AE2722" s="30">
        <v>46316.416666666664</v>
      </c>
      <c r="AF2722" s="30">
        <v>46324.375</v>
      </c>
      <c r="AG2722" t="s">
        <v>1266</v>
      </c>
      <c r="AK2722" t="s">
        <v>1265</v>
      </c>
      <c r="AL2722" t="s">
        <v>1944</v>
      </c>
      <c r="AM2722" t="s">
        <v>1263</v>
      </c>
      <c r="AN2722" t="s">
        <v>1262</v>
      </c>
      <c r="AO2722">
        <v>0</v>
      </c>
      <c r="AQ2722" t="s">
        <v>1261</v>
      </c>
      <c r="AR2722" t="s">
        <v>1260</v>
      </c>
      <c r="AS2722" t="s">
        <v>1259</v>
      </c>
      <c r="AT2722" s="30">
        <v>46072.689583333333</v>
      </c>
    </row>
    <row r="2723" spans="1:46" x14ac:dyDescent="0.25">
      <c r="A2723" t="s">
        <v>1248</v>
      </c>
      <c r="B2723">
        <v>253156</v>
      </c>
      <c r="C2723">
        <v>352239</v>
      </c>
      <c r="D2723">
        <v>405</v>
      </c>
      <c r="E2723" t="s">
        <v>1266</v>
      </c>
      <c r="G2723">
        <v>745</v>
      </c>
      <c r="H2723">
        <v>1825</v>
      </c>
      <c r="K2723" t="s">
        <v>1462</v>
      </c>
      <c r="L2723" t="s">
        <v>1462</v>
      </c>
      <c r="M2723" s="29">
        <v>98680851</v>
      </c>
      <c r="N2723">
        <v>0</v>
      </c>
      <c r="O2723" s="29">
        <v>98680851</v>
      </c>
      <c r="P2723">
        <v>0</v>
      </c>
      <c r="Q2723">
        <v>0</v>
      </c>
      <c r="R2723">
        <v>0</v>
      </c>
      <c r="T2723" t="s">
        <v>1262</v>
      </c>
      <c r="U2723" t="s">
        <v>1262</v>
      </c>
      <c r="V2723" t="s">
        <v>1262</v>
      </c>
      <c r="W2723" t="s">
        <v>1262</v>
      </c>
      <c r="X2723" t="s">
        <v>1262</v>
      </c>
      <c r="AA2723" s="30">
        <v>45891.630555555559</v>
      </c>
      <c r="AB2723" s="30">
        <v>45901.588888888888</v>
      </c>
      <c r="AC2723" s="30">
        <v>45891.630555555559</v>
      </c>
      <c r="AD2723" s="30">
        <v>45901.588888888888</v>
      </c>
      <c r="AE2723" s="30">
        <v>46300.416666666664</v>
      </c>
      <c r="AF2723" s="30">
        <v>46308.375</v>
      </c>
      <c r="AG2723" t="s">
        <v>1266</v>
      </c>
      <c r="AK2723" t="s">
        <v>1265</v>
      </c>
      <c r="AL2723" t="s">
        <v>1943</v>
      </c>
      <c r="AM2723" t="s">
        <v>1263</v>
      </c>
      <c r="AN2723" t="s">
        <v>1262</v>
      </c>
      <c r="AO2723">
        <v>0</v>
      </c>
      <c r="AQ2723" t="s">
        <v>1261</v>
      </c>
      <c r="AR2723" t="s">
        <v>1260</v>
      </c>
      <c r="AS2723" t="s">
        <v>1259</v>
      </c>
      <c r="AT2723" s="30">
        <v>46072.689583333333</v>
      </c>
    </row>
    <row r="2724" spans="1:46" x14ac:dyDescent="0.25">
      <c r="A2724" t="s">
        <v>1248</v>
      </c>
      <c r="B2724">
        <v>253157</v>
      </c>
      <c r="C2724">
        <v>352246</v>
      </c>
      <c r="D2724">
        <v>405</v>
      </c>
      <c r="E2724" t="s">
        <v>1266</v>
      </c>
      <c r="G2724">
        <v>745</v>
      </c>
      <c r="H2724">
        <v>1825</v>
      </c>
      <c r="K2724" t="s">
        <v>1462</v>
      </c>
      <c r="L2724" t="s">
        <v>1462</v>
      </c>
      <c r="M2724" s="29">
        <v>98680851</v>
      </c>
      <c r="N2724">
        <v>0</v>
      </c>
      <c r="O2724" s="29">
        <v>98680851</v>
      </c>
      <c r="P2724">
        <v>0</v>
      </c>
      <c r="Q2724">
        <v>0</v>
      </c>
      <c r="R2724">
        <v>0</v>
      </c>
      <c r="T2724" t="s">
        <v>1262</v>
      </c>
      <c r="U2724" t="s">
        <v>1262</v>
      </c>
      <c r="V2724" t="s">
        <v>1262</v>
      </c>
      <c r="W2724" t="s">
        <v>1262</v>
      </c>
      <c r="X2724" t="s">
        <v>1262</v>
      </c>
      <c r="AA2724" s="30">
        <v>45895.35</v>
      </c>
      <c r="AB2724" s="30">
        <v>45902.683333333334</v>
      </c>
      <c r="AC2724" s="30">
        <v>45895.35</v>
      </c>
      <c r="AD2724" s="30">
        <v>45902.683333333334</v>
      </c>
      <c r="AE2724" s="30">
        <v>46282.416666666664</v>
      </c>
      <c r="AF2724" s="30">
        <v>46290.375</v>
      </c>
      <c r="AG2724" t="s">
        <v>1266</v>
      </c>
      <c r="AK2724" t="s">
        <v>1265</v>
      </c>
      <c r="AL2724" t="s">
        <v>1942</v>
      </c>
      <c r="AM2724" t="s">
        <v>1263</v>
      </c>
      <c r="AN2724" t="s">
        <v>1262</v>
      </c>
      <c r="AO2724">
        <v>0</v>
      </c>
      <c r="AQ2724" t="s">
        <v>1261</v>
      </c>
      <c r="AR2724" t="s">
        <v>1260</v>
      </c>
      <c r="AS2724" t="s">
        <v>1259</v>
      </c>
      <c r="AT2724" s="30">
        <v>46072.689583333333</v>
      </c>
    </row>
    <row r="2725" spans="1:46" x14ac:dyDescent="0.25">
      <c r="A2725" t="s">
        <v>1248</v>
      </c>
      <c r="B2725">
        <v>253158</v>
      </c>
      <c r="C2725">
        <v>352253</v>
      </c>
      <c r="D2725">
        <v>405</v>
      </c>
      <c r="E2725" t="s">
        <v>1266</v>
      </c>
      <c r="G2725">
        <v>745</v>
      </c>
      <c r="H2725">
        <v>1825</v>
      </c>
      <c r="K2725" t="s">
        <v>1462</v>
      </c>
      <c r="L2725" t="s">
        <v>1462</v>
      </c>
      <c r="M2725" s="29">
        <v>98680851</v>
      </c>
      <c r="N2725">
        <v>0</v>
      </c>
      <c r="O2725" s="29">
        <v>98680851</v>
      </c>
      <c r="P2725">
        <v>0</v>
      </c>
      <c r="Q2725">
        <v>0</v>
      </c>
      <c r="R2725">
        <v>0</v>
      </c>
      <c r="T2725" t="s">
        <v>1262</v>
      </c>
      <c r="U2725" t="s">
        <v>1262</v>
      </c>
      <c r="V2725" t="s">
        <v>1262</v>
      </c>
      <c r="W2725" t="s">
        <v>1262</v>
      </c>
      <c r="X2725" t="s">
        <v>1262</v>
      </c>
      <c r="AA2725" s="30">
        <v>45891.39166666667</v>
      </c>
      <c r="AB2725" s="30">
        <v>45901.35</v>
      </c>
      <c r="AC2725" s="30">
        <v>45891.39166666667</v>
      </c>
      <c r="AD2725" s="30">
        <v>45901.35</v>
      </c>
      <c r="AE2725" s="30">
        <v>46266.416666666664</v>
      </c>
      <c r="AF2725" s="30">
        <v>46274.375</v>
      </c>
      <c r="AG2725" t="s">
        <v>1266</v>
      </c>
      <c r="AK2725" t="s">
        <v>1265</v>
      </c>
      <c r="AL2725" t="s">
        <v>1941</v>
      </c>
      <c r="AM2725" t="s">
        <v>1263</v>
      </c>
      <c r="AN2725" t="s">
        <v>1262</v>
      </c>
      <c r="AO2725">
        <v>0</v>
      </c>
      <c r="AQ2725" t="s">
        <v>1261</v>
      </c>
      <c r="AR2725" t="s">
        <v>1260</v>
      </c>
      <c r="AS2725" t="s">
        <v>1259</v>
      </c>
      <c r="AT2725" s="30">
        <v>46072.689583333333</v>
      </c>
    </row>
    <row r="2726" spans="1:46" x14ac:dyDescent="0.25">
      <c r="A2726" t="s">
        <v>1248</v>
      </c>
      <c r="B2726">
        <v>253159</v>
      </c>
      <c r="C2726">
        <v>352260</v>
      </c>
      <c r="D2726">
        <v>405</v>
      </c>
      <c r="E2726" t="s">
        <v>1266</v>
      </c>
      <c r="G2726">
        <v>745</v>
      </c>
      <c r="H2726">
        <v>1825</v>
      </c>
      <c r="K2726" t="s">
        <v>1462</v>
      </c>
      <c r="L2726" t="s">
        <v>1462</v>
      </c>
      <c r="M2726" s="29">
        <v>98680851</v>
      </c>
      <c r="N2726">
        <v>0</v>
      </c>
      <c r="O2726" s="29">
        <v>98680851</v>
      </c>
      <c r="P2726">
        <v>0</v>
      </c>
      <c r="Q2726">
        <v>0</v>
      </c>
      <c r="R2726">
        <v>0</v>
      </c>
      <c r="T2726" t="s">
        <v>1262</v>
      </c>
      <c r="U2726" t="s">
        <v>1262</v>
      </c>
      <c r="V2726" t="s">
        <v>1262</v>
      </c>
      <c r="W2726" t="s">
        <v>1262</v>
      </c>
      <c r="X2726" t="s">
        <v>1262</v>
      </c>
      <c r="AA2726" s="30">
        <v>45889.433333333334</v>
      </c>
      <c r="AB2726" s="30">
        <v>45897.39166666667</v>
      </c>
      <c r="AC2726" s="30">
        <v>45889.433333333334</v>
      </c>
      <c r="AD2726" s="30">
        <v>45897.39166666667</v>
      </c>
      <c r="AE2726" s="30">
        <v>46248.416666666664</v>
      </c>
      <c r="AF2726" s="30">
        <v>46258.375</v>
      </c>
      <c r="AG2726" t="s">
        <v>1266</v>
      </c>
      <c r="AK2726" t="s">
        <v>1265</v>
      </c>
      <c r="AL2726" t="s">
        <v>1940</v>
      </c>
      <c r="AM2726" t="s">
        <v>1263</v>
      </c>
      <c r="AN2726" t="s">
        <v>1262</v>
      </c>
      <c r="AO2726">
        <v>0</v>
      </c>
      <c r="AQ2726" t="s">
        <v>1261</v>
      </c>
      <c r="AR2726" t="s">
        <v>1260</v>
      </c>
      <c r="AS2726" t="s">
        <v>1259</v>
      </c>
      <c r="AT2726" s="30">
        <v>46072.689583333333</v>
      </c>
    </row>
    <row r="2727" spans="1:46" x14ac:dyDescent="0.25">
      <c r="A2727" t="s">
        <v>1248</v>
      </c>
      <c r="B2727">
        <v>253160</v>
      </c>
      <c r="C2727">
        <v>352267</v>
      </c>
      <c r="D2727">
        <v>405</v>
      </c>
      <c r="E2727" t="s">
        <v>1266</v>
      </c>
      <c r="G2727">
        <v>745</v>
      </c>
      <c r="H2727">
        <v>1825</v>
      </c>
      <c r="K2727" t="s">
        <v>1462</v>
      </c>
      <c r="L2727" t="s">
        <v>1462</v>
      </c>
      <c r="M2727" s="29">
        <v>98680851</v>
      </c>
      <c r="N2727">
        <v>0</v>
      </c>
      <c r="O2727" s="29">
        <v>98680851</v>
      </c>
      <c r="P2727">
        <v>0</v>
      </c>
      <c r="Q2727">
        <v>0</v>
      </c>
      <c r="R2727">
        <v>0</v>
      </c>
      <c r="T2727" t="s">
        <v>1262</v>
      </c>
      <c r="U2727" t="s">
        <v>1262</v>
      </c>
      <c r="V2727" t="s">
        <v>1262</v>
      </c>
      <c r="W2727" t="s">
        <v>1262</v>
      </c>
      <c r="X2727" t="s">
        <v>1262</v>
      </c>
      <c r="AA2727" s="30">
        <v>45877.7</v>
      </c>
      <c r="AB2727" s="30">
        <v>45887.658333333333</v>
      </c>
      <c r="AC2727" s="30">
        <v>45877.7</v>
      </c>
      <c r="AD2727" s="30">
        <v>45887.658333333333</v>
      </c>
      <c r="AE2727" s="30">
        <v>46232.416666666664</v>
      </c>
      <c r="AF2727" s="30">
        <v>46240.375</v>
      </c>
      <c r="AG2727" t="s">
        <v>1266</v>
      </c>
      <c r="AK2727" t="s">
        <v>1265</v>
      </c>
      <c r="AL2727" t="s">
        <v>1939</v>
      </c>
      <c r="AM2727" t="s">
        <v>1263</v>
      </c>
      <c r="AN2727" t="s">
        <v>1262</v>
      </c>
      <c r="AO2727">
        <v>0</v>
      </c>
      <c r="AQ2727" t="s">
        <v>1261</v>
      </c>
      <c r="AR2727" t="s">
        <v>1260</v>
      </c>
      <c r="AS2727" t="s">
        <v>1259</v>
      </c>
      <c r="AT2727" s="30">
        <v>46072.689583333333</v>
      </c>
    </row>
    <row r="2728" spans="1:46" x14ac:dyDescent="0.25">
      <c r="A2728" t="s">
        <v>1248</v>
      </c>
      <c r="B2728">
        <v>253161</v>
      </c>
      <c r="C2728">
        <v>352274</v>
      </c>
      <c r="D2728">
        <v>405</v>
      </c>
      <c r="E2728" t="s">
        <v>1266</v>
      </c>
      <c r="G2728">
        <v>745</v>
      </c>
      <c r="H2728">
        <v>1825</v>
      </c>
      <c r="K2728" t="s">
        <v>1462</v>
      </c>
      <c r="L2728" t="s">
        <v>1462</v>
      </c>
      <c r="M2728" s="29">
        <v>98680851</v>
      </c>
      <c r="N2728">
        <v>0</v>
      </c>
      <c r="O2728" s="29">
        <v>98680851</v>
      </c>
      <c r="P2728">
        <v>0</v>
      </c>
      <c r="Q2728">
        <v>0</v>
      </c>
      <c r="R2728">
        <v>0</v>
      </c>
      <c r="T2728" t="s">
        <v>1262</v>
      </c>
      <c r="U2728" t="s">
        <v>1262</v>
      </c>
      <c r="V2728" t="s">
        <v>1262</v>
      </c>
      <c r="W2728" t="s">
        <v>1262</v>
      </c>
      <c r="X2728" t="s">
        <v>1262</v>
      </c>
      <c r="AA2728" s="30">
        <v>45876.366666666669</v>
      </c>
      <c r="AB2728" s="30">
        <v>45883.7</v>
      </c>
      <c r="AC2728" s="30">
        <v>45876.366666666669</v>
      </c>
      <c r="AD2728" s="30">
        <v>45883.7</v>
      </c>
      <c r="AE2728" s="30">
        <v>46216.416666666664</v>
      </c>
      <c r="AF2728" s="30">
        <v>46224.375</v>
      </c>
      <c r="AG2728" t="s">
        <v>1266</v>
      </c>
      <c r="AK2728" t="s">
        <v>1265</v>
      </c>
      <c r="AL2728" t="s">
        <v>1938</v>
      </c>
      <c r="AM2728" t="s">
        <v>1263</v>
      </c>
      <c r="AN2728" t="s">
        <v>1262</v>
      </c>
      <c r="AO2728">
        <v>0</v>
      </c>
      <c r="AQ2728" t="s">
        <v>1261</v>
      </c>
      <c r="AR2728" t="s">
        <v>1260</v>
      </c>
      <c r="AS2728" t="s">
        <v>1259</v>
      </c>
      <c r="AT2728" s="30">
        <v>46072.689583333333</v>
      </c>
    </row>
    <row r="2729" spans="1:46" x14ac:dyDescent="0.25">
      <c r="A2729" t="s">
        <v>1248</v>
      </c>
      <c r="B2729">
        <v>253162</v>
      </c>
      <c r="C2729">
        <v>352281</v>
      </c>
      <c r="D2729">
        <v>405</v>
      </c>
      <c r="E2729" t="s">
        <v>1266</v>
      </c>
      <c r="G2729">
        <v>745</v>
      </c>
      <c r="H2729">
        <v>1825</v>
      </c>
      <c r="K2729" t="s">
        <v>1462</v>
      </c>
      <c r="L2729" t="s">
        <v>1462</v>
      </c>
      <c r="M2729" s="29">
        <v>98680851</v>
      </c>
      <c r="N2729">
        <v>0</v>
      </c>
      <c r="O2729" s="29">
        <v>98680851</v>
      </c>
      <c r="P2729">
        <v>0</v>
      </c>
      <c r="Q2729">
        <v>0</v>
      </c>
      <c r="R2729">
        <v>0</v>
      </c>
      <c r="T2729" t="s">
        <v>1262</v>
      </c>
      <c r="U2729" t="s">
        <v>1262</v>
      </c>
      <c r="V2729" t="s">
        <v>1262</v>
      </c>
      <c r="W2729" t="s">
        <v>1262</v>
      </c>
      <c r="X2729" t="s">
        <v>1262</v>
      </c>
      <c r="AA2729" s="30">
        <v>45874.408333333333</v>
      </c>
      <c r="AB2729" s="30">
        <v>45882.366666666669</v>
      </c>
      <c r="AC2729" s="30">
        <v>45874.408333333333</v>
      </c>
      <c r="AD2729" s="30">
        <v>45882.366666666669</v>
      </c>
      <c r="AE2729" s="30">
        <v>46198.416666666664</v>
      </c>
      <c r="AF2729" s="30">
        <v>46206.375</v>
      </c>
      <c r="AG2729" t="s">
        <v>1266</v>
      </c>
      <c r="AK2729" t="s">
        <v>1265</v>
      </c>
      <c r="AL2729" t="s">
        <v>1937</v>
      </c>
      <c r="AM2729" t="s">
        <v>1263</v>
      </c>
      <c r="AN2729" t="s">
        <v>1262</v>
      </c>
      <c r="AO2729">
        <v>0</v>
      </c>
      <c r="AQ2729" t="s">
        <v>1261</v>
      </c>
      <c r="AR2729" t="s">
        <v>1260</v>
      </c>
      <c r="AS2729" t="s">
        <v>1259</v>
      </c>
      <c r="AT2729" s="30">
        <v>46072.689583333333</v>
      </c>
    </row>
    <row r="2730" spans="1:46" x14ac:dyDescent="0.25">
      <c r="A2730" t="s">
        <v>1248</v>
      </c>
      <c r="B2730">
        <v>253163</v>
      </c>
      <c r="C2730">
        <v>352288</v>
      </c>
      <c r="D2730">
        <v>405</v>
      </c>
      <c r="E2730" t="s">
        <v>1266</v>
      </c>
      <c r="G2730">
        <v>745</v>
      </c>
      <c r="H2730">
        <v>1825</v>
      </c>
      <c r="K2730" t="s">
        <v>1462</v>
      </c>
      <c r="L2730" t="s">
        <v>1462</v>
      </c>
      <c r="M2730" s="29">
        <v>98680851</v>
      </c>
      <c r="N2730">
        <v>0</v>
      </c>
      <c r="O2730" s="29">
        <v>98680851</v>
      </c>
      <c r="P2730">
        <v>0</v>
      </c>
      <c r="Q2730">
        <v>0</v>
      </c>
      <c r="R2730">
        <v>0</v>
      </c>
      <c r="T2730" t="s">
        <v>1262</v>
      </c>
      <c r="U2730" t="s">
        <v>1262</v>
      </c>
      <c r="V2730" t="s">
        <v>1262</v>
      </c>
      <c r="W2730" t="s">
        <v>1262</v>
      </c>
      <c r="X2730" t="s">
        <v>1262</v>
      </c>
      <c r="AA2730" s="30">
        <v>45870.45</v>
      </c>
      <c r="AB2730" s="30">
        <v>45880.408333333333</v>
      </c>
      <c r="AC2730" s="30">
        <v>45870.45</v>
      </c>
      <c r="AD2730" s="30">
        <v>45880.408333333333</v>
      </c>
      <c r="AE2730" s="30">
        <v>46182.416666666664</v>
      </c>
      <c r="AF2730" s="30">
        <v>46190.375</v>
      </c>
      <c r="AG2730" t="s">
        <v>1266</v>
      </c>
      <c r="AK2730" t="s">
        <v>1265</v>
      </c>
      <c r="AL2730" t="s">
        <v>1936</v>
      </c>
      <c r="AM2730" t="s">
        <v>1263</v>
      </c>
      <c r="AN2730" t="s">
        <v>1262</v>
      </c>
      <c r="AO2730">
        <v>0</v>
      </c>
      <c r="AQ2730" t="s">
        <v>1261</v>
      </c>
      <c r="AR2730" t="s">
        <v>1260</v>
      </c>
      <c r="AS2730" t="s">
        <v>1259</v>
      </c>
      <c r="AT2730" s="30">
        <v>46072.689583333333</v>
      </c>
    </row>
    <row r="2731" spans="1:46" x14ac:dyDescent="0.25">
      <c r="A2731" t="s">
        <v>1248</v>
      </c>
      <c r="B2731">
        <v>253164</v>
      </c>
      <c r="C2731">
        <v>352295</v>
      </c>
      <c r="D2731">
        <v>405</v>
      </c>
      <c r="E2731" t="s">
        <v>1266</v>
      </c>
      <c r="G2731">
        <v>745</v>
      </c>
      <c r="H2731">
        <v>1825</v>
      </c>
      <c r="K2731" t="s">
        <v>1462</v>
      </c>
      <c r="L2731" t="s">
        <v>1462</v>
      </c>
      <c r="M2731" s="29">
        <v>98680851</v>
      </c>
      <c r="N2731">
        <v>0</v>
      </c>
      <c r="O2731" s="29">
        <v>98680851</v>
      </c>
      <c r="P2731">
        <v>0</v>
      </c>
      <c r="Q2731">
        <v>0</v>
      </c>
      <c r="R2731">
        <v>0</v>
      </c>
      <c r="T2731" t="s">
        <v>1262</v>
      </c>
      <c r="U2731" t="s">
        <v>1262</v>
      </c>
      <c r="V2731" t="s">
        <v>1262</v>
      </c>
      <c r="W2731" t="s">
        <v>1262</v>
      </c>
      <c r="X2731" t="s">
        <v>1262</v>
      </c>
      <c r="AA2731" s="30">
        <v>45868.491666666669</v>
      </c>
      <c r="AB2731" s="30">
        <v>45876.45</v>
      </c>
      <c r="AC2731" s="30">
        <v>45868.491666666669</v>
      </c>
      <c r="AD2731" s="30">
        <v>45876.45</v>
      </c>
      <c r="AE2731" s="30">
        <v>46163.416666666664</v>
      </c>
      <c r="AF2731" s="30">
        <v>46171.375</v>
      </c>
      <c r="AG2731" t="s">
        <v>1266</v>
      </c>
      <c r="AK2731" t="s">
        <v>1265</v>
      </c>
      <c r="AL2731" t="s">
        <v>1935</v>
      </c>
      <c r="AM2731" t="s">
        <v>1263</v>
      </c>
      <c r="AN2731" t="s">
        <v>1262</v>
      </c>
      <c r="AO2731">
        <v>0</v>
      </c>
      <c r="AQ2731" t="s">
        <v>1261</v>
      </c>
      <c r="AR2731" t="s">
        <v>1260</v>
      </c>
      <c r="AS2731" t="s">
        <v>1259</v>
      </c>
      <c r="AT2731" s="30">
        <v>46072.689583333333</v>
      </c>
    </row>
    <row r="2732" spans="1:46" x14ac:dyDescent="0.25">
      <c r="A2732" t="s">
        <v>1248</v>
      </c>
      <c r="B2732">
        <v>253165</v>
      </c>
      <c r="C2732">
        <v>352302</v>
      </c>
      <c r="D2732">
        <v>405</v>
      </c>
      <c r="E2732" t="s">
        <v>1266</v>
      </c>
      <c r="G2732">
        <v>745</v>
      </c>
      <c r="H2732">
        <v>1825</v>
      </c>
      <c r="K2732" t="s">
        <v>1462</v>
      </c>
      <c r="L2732" t="s">
        <v>1462</v>
      </c>
      <c r="M2732" s="29">
        <v>98680851</v>
      </c>
      <c r="N2732">
        <v>0</v>
      </c>
      <c r="O2732" s="29">
        <v>98680851</v>
      </c>
      <c r="P2732">
        <v>0</v>
      </c>
      <c r="Q2732">
        <v>0</v>
      </c>
      <c r="R2732">
        <v>0</v>
      </c>
      <c r="T2732" t="s">
        <v>1262</v>
      </c>
      <c r="U2732" t="s">
        <v>1262</v>
      </c>
      <c r="V2732" t="s">
        <v>1262</v>
      </c>
      <c r="W2732" t="s">
        <v>1262</v>
      </c>
      <c r="X2732" t="s">
        <v>1262</v>
      </c>
      <c r="AA2732" s="30">
        <v>45866.574999999997</v>
      </c>
      <c r="AB2732" s="30">
        <v>45874.491666666669</v>
      </c>
      <c r="AC2732" s="30">
        <v>45866.574999999997</v>
      </c>
      <c r="AD2732" s="30">
        <v>45874.491666666669</v>
      </c>
      <c r="AE2732" s="30">
        <v>46147.416666666664</v>
      </c>
      <c r="AF2732" s="30">
        <v>46155.375</v>
      </c>
      <c r="AG2732" t="s">
        <v>1266</v>
      </c>
      <c r="AK2732" t="s">
        <v>1265</v>
      </c>
      <c r="AL2732" t="s">
        <v>1934</v>
      </c>
      <c r="AM2732" t="s">
        <v>1263</v>
      </c>
      <c r="AN2732" t="s">
        <v>1262</v>
      </c>
      <c r="AO2732">
        <v>0</v>
      </c>
      <c r="AQ2732" t="s">
        <v>1261</v>
      </c>
      <c r="AR2732" t="s">
        <v>1260</v>
      </c>
      <c r="AS2732" t="s">
        <v>1259</v>
      </c>
      <c r="AT2732" s="30">
        <v>46072.689583333333</v>
      </c>
    </row>
    <row r="2733" spans="1:46" x14ac:dyDescent="0.25">
      <c r="A2733" t="s">
        <v>1248</v>
      </c>
      <c r="B2733">
        <v>253166</v>
      </c>
      <c r="C2733">
        <v>352309</v>
      </c>
      <c r="D2733">
        <v>405</v>
      </c>
      <c r="E2733" t="s">
        <v>1266</v>
      </c>
      <c r="G2733">
        <v>745</v>
      </c>
      <c r="H2733">
        <v>1825</v>
      </c>
      <c r="K2733" t="s">
        <v>1462</v>
      </c>
      <c r="L2733" t="s">
        <v>1462</v>
      </c>
      <c r="M2733" s="29">
        <v>98680851</v>
      </c>
      <c r="N2733">
        <v>0</v>
      </c>
      <c r="O2733" s="29">
        <v>98680851</v>
      </c>
      <c r="P2733">
        <v>0</v>
      </c>
      <c r="Q2733">
        <v>0</v>
      </c>
      <c r="R2733">
        <v>0</v>
      </c>
      <c r="T2733" t="s">
        <v>1262</v>
      </c>
      <c r="U2733" t="s">
        <v>1262</v>
      </c>
      <c r="V2733" t="s">
        <v>1262</v>
      </c>
      <c r="W2733" t="s">
        <v>1262</v>
      </c>
      <c r="X2733" t="s">
        <v>1262</v>
      </c>
      <c r="AA2733" s="30">
        <v>45852.433333333334</v>
      </c>
      <c r="AB2733" s="30">
        <v>45860.39166666667</v>
      </c>
      <c r="AC2733" s="30">
        <v>45852.433333333334</v>
      </c>
      <c r="AD2733" s="30">
        <v>45860.39166666667</v>
      </c>
      <c r="AE2733" s="30">
        <v>46128.416666666664</v>
      </c>
      <c r="AF2733" s="30">
        <v>46136.375</v>
      </c>
      <c r="AG2733" t="s">
        <v>1266</v>
      </c>
      <c r="AK2733" t="s">
        <v>1265</v>
      </c>
      <c r="AL2733" t="s">
        <v>1933</v>
      </c>
      <c r="AM2733" t="s">
        <v>1263</v>
      </c>
      <c r="AN2733" t="s">
        <v>1262</v>
      </c>
      <c r="AO2733">
        <v>0</v>
      </c>
      <c r="AQ2733" t="s">
        <v>1261</v>
      </c>
      <c r="AR2733" t="s">
        <v>1260</v>
      </c>
      <c r="AS2733" t="s">
        <v>1259</v>
      </c>
      <c r="AT2733" s="30">
        <v>46072.689583333333</v>
      </c>
    </row>
    <row r="2734" spans="1:46" x14ac:dyDescent="0.25">
      <c r="A2734" t="s">
        <v>1248</v>
      </c>
      <c r="B2734">
        <v>253167</v>
      </c>
      <c r="C2734">
        <v>352316</v>
      </c>
      <c r="D2734">
        <v>405</v>
      </c>
      <c r="E2734" t="s">
        <v>1266</v>
      </c>
      <c r="G2734">
        <v>745</v>
      </c>
      <c r="H2734">
        <v>1825</v>
      </c>
      <c r="K2734" t="s">
        <v>1462</v>
      </c>
      <c r="L2734" t="s">
        <v>1462</v>
      </c>
      <c r="M2734" s="29">
        <v>98680851</v>
      </c>
      <c r="N2734">
        <v>0</v>
      </c>
      <c r="O2734" s="29">
        <v>98680851</v>
      </c>
      <c r="P2734">
        <v>0</v>
      </c>
      <c r="Q2734">
        <v>0</v>
      </c>
      <c r="R2734">
        <v>0</v>
      </c>
      <c r="T2734" t="s">
        <v>1262</v>
      </c>
      <c r="U2734" t="s">
        <v>1262</v>
      </c>
      <c r="V2734" t="s">
        <v>1262</v>
      </c>
      <c r="W2734" t="s">
        <v>1262</v>
      </c>
      <c r="X2734" t="s">
        <v>1262</v>
      </c>
      <c r="AA2734" s="30">
        <v>45847.64166666667</v>
      </c>
      <c r="AB2734" s="30">
        <v>45855.6</v>
      </c>
      <c r="AC2734" s="30">
        <v>45847.64166666667</v>
      </c>
      <c r="AD2734" s="30">
        <v>45855.6</v>
      </c>
      <c r="AE2734" s="30">
        <v>46111.416666666664</v>
      </c>
      <c r="AF2734" s="30">
        <v>46120.375</v>
      </c>
      <c r="AG2734" t="s">
        <v>1266</v>
      </c>
      <c r="AK2734" t="s">
        <v>1265</v>
      </c>
      <c r="AL2734" t="s">
        <v>1932</v>
      </c>
      <c r="AM2734" t="s">
        <v>1263</v>
      </c>
      <c r="AN2734" t="s">
        <v>1262</v>
      </c>
      <c r="AO2734">
        <v>0</v>
      </c>
      <c r="AQ2734" t="s">
        <v>1261</v>
      </c>
      <c r="AR2734" t="s">
        <v>1260</v>
      </c>
      <c r="AS2734" t="s">
        <v>1259</v>
      </c>
      <c r="AT2734" s="30">
        <v>46072.689583333333</v>
      </c>
    </row>
    <row r="2735" spans="1:46" x14ac:dyDescent="0.25">
      <c r="A2735" t="s">
        <v>1248</v>
      </c>
      <c r="B2735">
        <v>253168</v>
      </c>
      <c r="C2735">
        <v>352323</v>
      </c>
      <c r="D2735">
        <v>405</v>
      </c>
      <c r="E2735" t="s">
        <v>1266</v>
      </c>
      <c r="G2735">
        <v>745</v>
      </c>
      <c r="H2735">
        <v>1825</v>
      </c>
      <c r="K2735" t="s">
        <v>1462</v>
      </c>
      <c r="L2735" t="s">
        <v>1462</v>
      </c>
      <c r="M2735" s="29">
        <v>98680851</v>
      </c>
      <c r="N2735">
        <v>0</v>
      </c>
      <c r="O2735" s="29">
        <v>98680851</v>
      </c>
      <c r="P2735">
        <v>0</v>
      </c>
      <c r="Q2735">
        <v>0</v>
      </c>
      <c r="R2735">
        <v>0</v>
      </c>
      <c r="T2735" t="s">
        <v>1262</v>
      </c>
      <c r="U2735" t="s">
        <v>1262</v>
      </c>
      <c r="V2735" t="s">
        <v>1262</v>
      </c>
      <c r="W2735" t="s">
        <v>1262</v>
      </c>
      <c r="X2735" t="s">
        <v>1262</v>
      </c>
      <c r="AA2735" s="30">
        <v>45845.683333333334</v>
      </c>
      <c r="AB2735" s="30">
        <v>45853.64166666667</v>
      </c>
      <c r="AC2735" s="30">
        <v>45845.683333333334</v>
      </c>
      <c r="AD2735" s="30">
        <v>45853.64166666667</v>
      </c>
      <c r="AE2735" s="30">
        <v>46093.416666666664</v>
      </c>
      <c r="AF2735" s="30">
        <v>46101.375</v>
      </c>
      <c r="AG2735" t="s">
        <v>1266</v>
      </c>
      <c r="AK2735" t="s">
        <v>1265</v>
      </c>
      <c r="AL2735" t="s">
        <v>1931</v>
      </c>
      <c r="AM2735" t="s">
        <v>1263</v>
      </c>
      <c r="AN2735" t="s">
        <v>1262</v>
      </c>
      <c r="AO2735">
        <v>0</v>
      </c>
      <c r="AQ2735" t="s">
        <v>1261</v>
      </c>
      <c r="AR2735" t="s">
        <v>1260</v>
      </c>
      <c r="AS2735" t="s">
        <v>1259</v>
      </c>
      <c r="AT2735" s="30">
        <v>46072.689583333333</v>
      </c>
    </row>
    <row r="2736" spans="1:46" x14ac:dyDescent="0.25">
      <c r="A2736" t="s">
        <v>1248</v>
      </c>
      <c r="B2736">
        <v>253169</v>
      </c>
      <c r="C2736">
        <v>352330</v>
      </c>
      <c r="D2736">
        <v>405</v>
      </c>
      <c r="E2736" t="s">
        <v>1266</v>
      </c>
      <c r="G2736">
        <v>745</v>
      </c>
      <c r="H2736">
        <v>1825</v>
      </c>
      <c r="K2736" t="s">
        <v>1462</v>
      </c>
      <c r="L2736" t="s">
        <v>1462</v>
      </c>
      <c r="M2736" s="29">
        <v>98680851</v>
      </c>
      <c r="N2736">
        <v>0</v>
      </c>
      <c r="O2736" s="29">
        <v>98680851</v>
      </c>
      <c r="P2736">
        <v>0</v>
      </c>
      <c r="Q2736">
        <v>0</v>
      </c>
      <c r="R2736">
        <v>0</v>
      </c>
      <c r="T2736" t="s">
        <v>1262</v>
      </c>
      <c r="U2736" t="s">
        <v>1262</v>
      </c>
      <c r="V2736" t="s">
        <v>1262</v>
      </c>
      <c r="W2736" t="s">
        <v>1262</v>
      </c>
      <c r="X2736" t="s">
        <v>1262</v>
      </c>
      <c r="AA2736" s="30">
        <v>45842.35</v>
      </c>
      <c r="AB2736" s="30">
        <v>45849.683333333334</v>
      </c>
      <c r="AC2736" s="30">
        <v>45842.35</v>
      </c>
      <c r="AD2736" s="30">
        <v>45849.683333333334</v>
      </c>
      <c r="AE2736" s="30">
        <v>46077.416666666664</v>
      </c>
      <c r="AF2736" s="30">
        <v>46085.375</v>
      </c>
      <c r="AG2736" t="s">
        <v>1266</v>
      </c>
      <c r="AK2736" t="s">
        <v>1265</v>
      </c>
      <c r="AL2736" t="s">
        <v>1930</v>
      </c>
      <c r="AM2736" t="s">
        <v>1263</v>
      </c>
      <c r="AN2736" t="s">
        <v>1262</v>
      </c>
      <c r="AO2736">
        <v>0</v>
      </c>
      <c r="AQ2736" t="s">
        <v>1261</v>
      </c>
      <c r="AR2736" t="s">
        <v>1260</v>
      </c>
      <c r="AS2736" t="s">
        <v>1259</v>
      </c>
      <c r="AT2736" s="30">
        <v>46072.689583333333</v>
      </c>
    </row>
    <row r="2737" spans="1:46" x14ac:dyDescent="0.25">
      <c r="A2737" t="s">
        <v>1248</v>
      </c>
      <c r="B2737">
        <v>253170</v>
      </c>
      <c r="C2737">
        <v>352337</v>
      </c>
      <c r="D2737">
        <v>405</v>
      </c>
      <c r="E2737" t="s">
        <v>1266</v>
      </c>
      <c r="G2737">
        <v>745</v>
      </c>
      <c r="H2737">
        <v>1825</v>
      </c>
      <c r="K2737" t="s">
        <v>1462</v>
      </c>
      <c r="L2737" t="s">
        <v>1462</v>
      </c>
      <c r="M2737" s="29">
        <v>98680851</v>
      </c>
      <c r="N2737">
        <v>0</v>
      </c>
      <c r="O2737" s="29">
        <v>98680851</v>
      </c>
      <c r="P2737">
        <v>0</v>
      </c>
      <c r="Q2737">
        <v>0</v>
      </c>
      <c r="R2737">
        <v>0</v>
      </c>
      <c r="T2737" t="s">
        <v>1262</v>
      </c>
      <c r="U2737" t="s">
        <v>1262</v>
      </c>
      <c r="V2737" t="s">
        <v>1262</v>
      </c>
      <c r="W2737" t="s">
        <v>1262</v>
      </c>
      <c r="X2737" t="s">
        <v>1262</v>
      </c>
      <c r="AA2737" s="30">
        <v>45840.39166666667</v>
      </c>
      <c r="AB2737" s="30">
        <v>45848.35</v>
      </c>
      <c r="AC2737" s="30">
        <v>45840.39166666667</v>
      </c>
      <c r="AD2737" s="30">
        <v>45848.35</v>
      </c>
      <c r="AE2737" s="30">
        <v>46059.416666666664</v>
      </c>
      <c r="AF2737" s="30">
        <v>46069.375</v>
      </c>
      <c r="AG2737" t="s">
        <v>1266</v>
      </c>
      <c r="AK2737" t="s">
        <v>1265</v>
      </c>
      <c r="AL2737" t="s">
        <v>1929</v>
      </c>
      <c r="AM2737" t="s">
        <v>1263</v>
      </c>
      <c r="AN2737" t="s">
        <v>1262</v>
      </c>
      <c r="AO2737">
        <v>0</v>
      </c>
      <c r="AQ2737" t="s">
        <v>1261</v>
      </c>
      <c r="AR2737" t="s">
        <v>1260</v>
      </c>
      <c r="AS2737" t="s">
        <v>1259</v>
      </c>
      <c r="AT2737" s="30">
        <v>46072.689583333333</v>
      </c>
    </row>
    <row r="2738" spans="1:46" x14ac:dyDescent="0.25">
      <c r="A2738" t="s">
        <v>1248</v>
      </c>
      <c r="B2738">
        <v>253171</v>
      </c>
      <c r="C2738">
        <v>352344</v>
      </c>
      <c r="D2738">
        <v>405</v>
      </c>
      <c r="E2738" t="s">
        <v>1266</v>
      </c>
      <c r="G2738">
        <v>745</v>
      </c>
      <c r="H2738">
        <v>1825</v>
      </c>
      <c r="K2738" t="s">
        <v>1462</v>
      </c>
      <c r="L2738" t="s">
        <v>1462</v>
      </c>
      <c r="M2738" s="29">
        <v>96625</v>
      </c>
      <c r="N2738">
        <v>0</v>
      </c>
      <c r="O2738" s="29">
        <v>96625</v>
      </c>
      <c r="P2738">
        <v>0</v>
      </c>
      <c r="Q2738">
        <v>0</v>
      </c>
      <c r="R2738">
        <v>0</v>
      </c>
      <c r="T2738" t="s">
        <v>1262</v>
      </c>
      <c r="U2738" t="s">
        <v>1262</v>
      </c>
      <c r="V2738" t="s">
        <v>1262</v>
      </c>
      <c r="W2738" t="s">
        <v>1262</v>
      </c>
      <c r="X2738" t="s">
        <v>1262</v>
      </c>
      <c r="AA2738" s="30">
        <v>45838.433333333334</v>
      </c>
      <c r="AB2738" s="30">
        <v>45846.433333333334</v>
      </c>
      <c r="AC2738" s="30">
        <v>45838.433333333334</v>
      </c>
      <c r="AD2738" s="30">
        <v>45846.433333333334</v>
      </c>
      <c r="AE2738" s="30">
        <v>46043.375</v>
      </c>
      <c r="AF2738" s="30">
        <v>46051.375</v>
      </c>
      <c r="AG2738" t="s">
        <v>1266</v>
      </c>
      <c r="AK2738" t="s">
        <v>1265</v>
      </c>
      <c r="AL2738" t="s">
        <v>1928</v>
      </c>
      <c r="AM2738" t="s">
        <v>1263</v>
      </c>
      <c r="AN2738" t="s">
        <v>1262</v>
      </c>
      <c r="AO2738">
        <v>0</v>
      </c>
      <c r="AQ2738" t="s">
        <v>1261</v>
      </c>
      <c r="AR2738" t="s">
        <v>1260</v>
      </c>
      <c r="AS2738" t="s">
        <v>1259</v>
      </c>
      <c r="AT2738" s="30">
        <v>46072.689583333333</v>
      </c>
    </row>
    <row r="2739" spans="1:46" x14ac:dyDescent="0.25">
      <c r="A2739" t="s">
        <v>1248</v>
      </c>
      <c r="B2739">
        <v>253172</v>
      </c>
      <c r="C2739">
        <v>352351</v>
      </c>
      <c r="D2739">
        <v>405</v>
      </c>
      <c r="E2739" t="s">
        <v>1266</v>
      </c>
      <c r="G2739">
        <v>745</v>
      </c>
      <c r="H2739">
        <v>1825</v>
      </c>
      <c r="K2739" t="s">
        <v>1462</v>
      </c>
      <c r="L2739" t="s">
        <v>1462</v>
      </c>
      <c r="M2739" s="29">
        <v>96625</v>
      </c>
      <c r="N2739">
        <v>0</v>
      </c>
      <c r="O2739" s="29">
        <v>96625</v>
      </c>
      <c r="P2739">
        <v>0</v>
      </c>
      <c r="Q2739">
        <v>0</v>
      </c>
      <c r="R2739">
        <v>0</v>
      </c>
      <c r="T2739" t="s">
        <v>1262</v>
      </c>
      <c r="U2739" t="s">
        <v>1262</v>
      </c>
      <c r="V2739" t="s">
        <v>1262</v>
      </c>
      <c r="W2739" t="s">
        <v>1262</v>
      </c>
      <c r="X2739" t="s">
        <v>1262</v>
      </c>
      <c r="AA2739" s="30">
        <v>45828.39166666667</v>
      </c>
      <c r="AB2739" s="30">
        <v>45838.39166666667</v>
      </c>
      <c r="AC2739" s="30">
        <v>45828.39166666667</v>
      </c>
      <c r="AD2739" s="30">
        <v>45838.39166666667</v>
      </c>
      <c r="AE2739" s="30">
        <v>46022.333333333336</v>
      </c>
      <c r="AF2739" s="30">
        <v>46031.708333333336</v>
      </c>
      <c r="AG2739" t="s">
        <v>1266</v>
      </c>
      <c r="AK2739" t="s">
        <v>1265</v>
      </c>
      <c r="AL2739" t="s">
        <v>1927</v>
      </c>
      <c r="AM2739" t="s">
        <v>1263</v>
      </c>
      <c r="AN2739" t="s">
        <v>1262</v>
      </c>
      <c r="AO2739">
        <v>0</v>
      </c>
      <c r="AQ2739" t="s">
        <v>1261</v>
      </c>
      <c r="AR2739" t="s">
        <v>1260</v>
      </c>
      <c r="AS2739" t="s">
        <v>1259</v>
      </c>
      <c r="AT2739" s="30">
        <v>46072.689583333333</v>
      </c>
    </row>
    <row r="2740" spans="1:46" x14ac:dyDescent="0.25">
      <c r="A2740" t="s">
        <v>1248</v>
      </c>
      <c r="B2740">
        <v>253173</v>
      </c>
      <c r="C2740">
        <v>352358</v>
      </c>
      <c r="D2740">
        <v>405</v>
      </c>
      <c r="E2740" t="s">
        <v>1266</v>
      </c>
      <c r="G2740">
        <v>745</v>
      </c>
      <c r="H2740">
        <v>1825</v>
      </c>
      <c r="K2740" t="s">
        <v>1462</v>
      </c>
      <c r="L2740" t="s">
        <v>1462</v>
      </c>
      <c r="M2740" s="29">
        <v>96625</v>
      </c>
      <c r="N2740">
        <v>0</v>
      </c>
      <c r="O2740" s="29">
        <v>96625</v>
      </c>
      <c r="P2740">
        <v>0</v>
      </c>
      <c r="Q2740">
        <v>0</v>
      </c>
      <c r="R2740">
        <v>0</v>
      </c>
      <c r="T2740" t="s">
        <v>1262</v>
      </c>
      <c r="U2740" t="s">
        <v>1262</v>
      </c>
      <c r="V2740" t="s">
        <v>1262</v>
      </c>
      <c r="W2740" t="s">
        <v>1262</v>
      </c>
      <c r="X2740" t="s">
        <v>1262</v>
      </c>
      <c r="AA2740" s="30">
        <v>45827.433333333334</v>
      </c>
      <c r="AB2740" s="30">
        <v>45835.433333333334</v>
      </c>
      <c r="AC2740" s="30">
        <v>45827.433333333334</v>
      </c>
      <c r="AD2740" s="30">
        <v>45835.433333333334</v>
      </c>
      <c r="AE2740" s="30">
        <v>46016.333333333336</v>
      </c>
      <c r="AF2740" s="30">
        <v>46024.708333333336</v>
      </c>
      <c r="AG2740" t="s">
        <v>1266</v>
      </c>
      <c r="AK2740" t="s">
        <v>1265</v>
      </c>
      <c r="AL2740" t="s">
        <v>1926</v>
      </c>
      <c r="AM2740" t="s">
        <v>1263</v>
      </c>
      <c r="AN2740" t="s">
        <v>1262</v>
      </c>
      <c r="AO2740">
        <v>0</v>
      </c>
      <c r="AQ2740" t="s">
        <v>1261</v>
      </c>
      <c r="AR2740" t="s">
        <v>1260</v>
      </c>
      <c r="AS2740" t="s">
        <v>1259</v>
      </c>
      <c r="AT2740" s="30">
        <v>46072.689583333333</v>
      </c>
    </row>
    <row r="2741" spans="1:46" x14ac:dyDescent="0.25">
      <c r="A2741" t="s">
        <v>1248</v>
      </c>
      <c r="B2741">
        <v>253174</v>
      </c>
      <c r="C2741">
        <v>352365</v>
      </c>
      <c r="D2741">
        <v>405</v>
      </c>
      <c r="E2741" t="s">
        <v>1266</v>
      </c>
      <c r="G2741">
        <v>745</v>
      </c>
      <c r="H2741">
        <v>1825</v>
      </c>
      <c r="K2741" t="s">
        <v>1462</v>
      </c>
      <c r="L2741" t="s">
        <v>1462</v>
      </c>
      <c r="M2741" s="29">
        <v>96625</v>
      </c>
      <c r="N2741">
        <v>0</v>
      </c>
      <c r="O2741" s="29">
        <v>96625</v>
      </c>
      <c r="P2741">
        <v>0</v>
      </c>
      <c r="Q2741">
        <v>0</v>
      </c>
      <c r="R2741">
        <v>0</v>
      </c>
      <c r="T2741" t="s">
        <v>1262</v>
      </c>
      <c r="U2741" t="s">
        <v>1262</v>
      </c>
      <c r="V2741" t="s">
        <v>1262</v>
      </c>
      <c r="W2741" t="s">
        <v>1262</v>
      </c>
      <c r="X2741" t="s">
        <v>1262</v>
      </c>
      <c r="AA2741" s="30">
        <v>45826.474999999999</v>
      </c>
      <c r="AB2741" s="30">
        <v>45834.474999999999</v>
      </c>
      <c r="AC2741" s="30">
        <v>45826.474999999999</v>
      </c>
      <c r="AD2741" s="30">
        <v>45834.474999999999</v>
      </c>
      <c r="AE2741" s="30">
        <v>45883.375</v>
      </c>
      <c r="AF2741" s="30">
        <v>45891.375</v>
      </c>
      <c r="AG2741" t="s">
        <v>1266</v>
      </c>
      <c r="AK2741" t="s">
        <v>1265</v>
      </c>
      <c r="AL2741" t="s">
        <v>1925</v>
      </c>
      <c r="AM2741" t="s">
        <v>1263</v>
      </c>
      <c r="AN2741" t="s">
        <v>1262</v>
      </c>
      <c r="AO2741">
        <v>0</v>
      </c>
      <c r="AQ2741" t="s">
        <v>1261</v>
      </c>
      <c r="AR2741" t="s">
        <v>1260</v>
      </c>
      <c r="AS2741" t="s">
        <v>1259</v>
      </c>
      <c r="AT2741" s="30">
        <v>46072.689583333333</v>
      </c>
    </row>
    <row r="2742" spans="1:46" x14ac:dyDescent="0.25">
      <c r="A2742" t="s">
        <v>1248</v>
      </c>
      <c r="B2742">
        <v>253175</v>
      </c>
      <c r="C2742">
        <v>352049</v>
      </c>
      <c r="D2742">
        <v>405</v>
      </c>
      <c r="E2742" t="s">
        <v>1266</v>
      </c>
      <c r="G2742">
        <v>745</v>
      </c>
      <c r="H2742">
        <v>1832</v>
      </c>
      <c r="K2742" s="29">
        <v>106984258</v>
      </c>
      <c r="L2742" s="29">
        <v>106984258</v>
      </c>
      <c r="M2742" s="29">
        <v>3343258064</v>
      </c>
      <c r="N2742">
        <v>0</v>
      </c>
      <c r="O2742" s="29">
        <v>3343258064</v>
      </c>
      <c r="P2742">
        <v>0</v>
      </c>
      <c r="Q2742">
        <v>0</v>
      </c>
      <c r="R2742">
        <v>0</v>
      </c>
      <c r="T2742" s="29">
        <v>11200</v>
      </c>
      <c r="U2742" s="29">
        <v>11982237</v>
      </c>
      <c r="V2742" t="s">
        <v>1262</v>
      </c>
      <c r="W2742" t="s">
        <v>1262</v>
      </c>
      <c r="X2742" s="29">
        <v>11982237</v>
      </c>
      <c r="AA2742" s="30">
        <v>45805.625</v>
      </c>
      <c r="AB2742" s="30">
        <v>45811.625</v>
      </c>
      <c r="AC2742" s="30">
        <v>45805.625</v>
      </c>
      <c r="AD2742" s="30">
        <v>45811.625</v>
      </c>
      <c r="AE2742" s="30">
        <v>45873.333333333336</v>
      </c>
      <c r="AF2742" s="30">
        <v>45876.708333333336</v>
      </c>
      <c r="AG2742" t="s">
        <v>1266</v>
      </c>
      <c r="AK2742" t="s">
        <v>1265</v>
      </c>
      <c r="AL2742" t="s">
        <v>1924</v>
      </c>
      <c r="AM2742" t="s">
        <v>1263</v>
      </c>
      <c r="AN2742" t="s">
        <v>1262</v>
      </c>
      <c r="AO2742">
        <v>0</v>
      </c>
      <c r="AQ2742" t="s">
        <v>1261</v>
      </c>
      <c r="AR2742" t="s">
        <v>1260</v>
      </c>
      <c r="AS2742" t="s">
        <v>1259</v>
      </c>
      <c r="AT2742" s="30">
        <v>46072.692361111112</v>
      </c>
    </row>
    <row r="2743" spans="1:46" x14ac:dyDescent="0.25">
      <c r="A2743" t="s">
        <v>1248</v>
      </c>
      <c r="B2743">
        <v>253176</v>
      </c>
      <c r="C2743">
        <v>352056</v>
      </c>
      <c r="D2743">
        <v>405</v>
      </c>
      <c r="E2743" t="s">
        <v>1266</v>
      </c>
      <c r="G2743">
        <v>745</v>
      </c>
      <c r="H2743">
        <v>1832</v>
      </c>
      <c r="K2743" t="s">
        <v>1881</v>
      </c>
      <c r="L2743" t="s">
        <v>1881</v>
      </c>
      <c r="M2743" s="29">
        <v>3343258064</v>
      </c>
      <c r="N2743">
        <v>0</v>
      </c>
      <c r="O2743" s="29">
        <v>3343258064</v>
      </c>
      <c r="P2743">
        <v>0</v>
      </c>
      <c r="Q2743">
        <v>0</v>
      </c>
      <c r="R2743">
        <v>0</v>
      </c>
      <c r="T2743" s="29">
        <v>11200</v>
      </c>
      <c r="U2743" s="29">
        <v>11607792</v>
      </c>
      <c r="V2743" t="s">
        <v>1262</v>
      </c>
      <c r="W2743" t="s">
        <v>1262</v>
      </c>
      <c r="X2743" s="29">
        <v>11607792</v>
      </c>
      <c r="AA2743" s="30">
        <v>45803.458333333336</v>
      </c>
      <c r="AB2743" s="30">
        <v>45807.416666666664</v>
      </c>
      <c r="AC2743" s="30">
        <v>45803.458333333336</v>
      </c>
      <c r="AD2743" s="30">
        <v>45807.416666666664</v>
      </c>
      <c r="AE2743" s="30">
        <v>45867.458333333336</v>
      </c>
      <c r="AF2743" s="30">
        <v>45873.416666666664</v>
      </c>
      <c r="AG2743" t="s">
        <v>1266</v>
      </c>
      <c r="AK2743" t="s">
        <v>1265</v>
      </c>
      <c r="AL2743" t="s">
        <v>1923</v>
      </c>
      <c r="AM2743" t="s">
        <v>1263</v>
      </c>
      <c r="AN2743" t="s">
        <v>1262</v>
      </c>
      <c r="AO2743">
        <v>0</v>
      </c>
      <c r="AQ2743" t="s">
        <v>1261</v>
      </c>
      <c r="AR2743" t="s">
        <v>1260</v>
      </c>
      <c r="AS2743" t="s">
        <v>1259</v>
      </c>
      <c r="AT2743" s="30">
        <v>46072.692361111112</v>
      </c>
    </row>
    <row r="2744" spans="1:46" x14ac:dyDescent="0.25">
      <c r="A2744" t="s">
        <v>1248</v>
      </c>
      <c r="B2744">
        <v>253177</v>
      </c>
      <c r="C2744">
        <v>352063</v>
      </c>
      <c r="D2744">
        <v>405</v>
      </c>
      <c r="E2744" t="s">
        <v>1266</v>
      </c>
      <c r="G2744">
        <v>745</v>
      </c>
      <c r="H2744">
        <v>1832</v>
      </c>
      <c r="K2744" t="s">
        <v>1881</v>
      </c>
      <c r="L2744" t="s">
        <v>1881</v>
      </c>
      <c r="M2744" s="29">
        <v>3343258064</v>
      </c>
      <c r="N2744">
        <v>0</v>
      </c>
      <c r="O2744" s="29">
        <v>3343258064</v>
      </c>
      <c r="P2744">
        <v>0</v>
      </c>
      <c r="Q2744">
        <v>0</v>
      </c>
      <c r="R2744">
        <v>0</v>
      </c>
      <c r="T2744" s="29">
        <v>11200</v>
      </c>
      <c r="U2744" s="29">
        <v>11607792</v>
      </c>
      <c r="V2744" t="s">
        <v>1262</v>
      </c>
      <c r="W2744" t="s">
        <v>1262</v>
      </c>
      <c r="X2744" s="29">
        <v>11607792</v>
      </c>
      <c r="AA2744" s="30">
        <v>45799.541666666664</v>
      </c>
      <c r="AB2744" s="30">
        <v>45805.458333333336</v>
      </c>
      <c r="AC2744" s="30">
        <v>45799.541666666664</v>
      </c>
      <c r="AD2744" s="30">
        <v>45805.458333333336</v>
      </c>
      <c r="AE2744" s="30">
        <v>45861.458333333336</v>
      </c>
      <c r="AF2744" s="30">
        <v>45867.416666666664</v>
      </c>
      <c r="AG2744" t="s">
        <v>1266</v>
      </c>
      <c r="AK2744" t="s">
        <v>1265</v>
      </c>
      <c r="AL2744" t="s">
        <v>1922</v>
      </c>
      <c r="AM2744" t="s">
        <v>1263</v>
      </c>
      <c r="AN2744" t="s">
        <v>1262</v>
      </c>
      <c r="AO2744">
        <v>0</v>
      </c>
      <c r="AQ2744" t="s">
        <v>1261</v>
      </c>
      <c r="AR2744" t="s">
        <v>1260</v>
      </c>
      <c r="AS2744" t="s">
        <v>1259</v>
      </c>
      <c r="AT2744" s="30">
        <v>46072.692361111112</v>
      </c>
    </row>
    <row r="2745" spans="1:46" x14ac:dyDescent="0.25">
      <c r="A2745" t="s">
        <v>1248</v>
      </c>
      <c r="B2745">
        <v>253178</v>
      </c>
      <c r="C2745">
        <v>352070</v>
      </c>
      <c r="D2745">
        <v>405</v>
      </c>
      <c r="E2745" t="s">
        <v>1266</v>
      </c>
      <c r="G2745">
        <v>745</v>
      </c>
      <c r="H2745">
        <v>1832</v>
      </c>
      <c r="K2745" s="29">
        <v>106984258</v>
      </c>
      <c r="L2745" s="29">
        <v>106984258</v>
      </c>
      <c r="M2745" s="29">
        <v>3343258064</v>
      </c>
      <c r="N2745">
        <v>0</v>
      </c>
      <c r="O2745" s="29">
        <v>3343258064</v>
      </c>
      <c r="P2745">
        <v>0</v>
      </c>
      <c r="Q2745">
        <v>0</v>
      </c>
      <c r="R2745">
        <v>0</v>
      </c>
      <c r="T2745" s="29">
        <v>11200</v>
      </c>
      <c r="U2745" s="29">
        <v>11982237</v>
      </c>
      <c r="V2745" t="s">
        <v>1262</v>
      </c>
      <c r="W2745" t="s">
        <v>1262</v>
      </c>
      <c r="X2745" s="29">
        <v>11982237</v>
      </c>
      <c r="AA2745" s="30">
        <v>45789.458333333336</v>
      </c>
      <c r="AB2745" s="30">
        <v>45793.458333333336</v>
      </c>
      <c r="AC2745" s="30">
        <v>45789.458333333336</v>
      </c>
      <c r="AD2745" s="30">
        <v>45793.458333333336</v>
      </c>
      <c r="AE2745" s="30">
        <v>45856.333333333336</v>
      </c>
      <c r="AF2745" s="30">
        <v>45861.708333333336</v>
      </c>
      <c r="AG2745" t="s">
        <v>1266</v>
      </c>
      <c r="AK2745" t="s">
        <v>1265</v>
      </c>
      <c r="AL2745" t="s">
        <v>1921</v>
      </c>
      <c r="AM2745" t="s">
        <v>1263</v>
      </c>
      <c r="AN2745" t="s">
        <v>1262</v>
      </c>
      <c r="AO2745">
        <v>0</v>
      </c>
      <c r="AQ2745" t="s">
        <v>1261</v>
      </c>
      <c r="AR2745" t="s">
        <v>1260</v>
      </c>
      <c r="AS2745" t="s">
        <v>1259</v>
      </c>
      <c r="AT2745" s="30">
        <v>46072.692361111112</v>
      </c>
    </row>
    <row r="2746" spans="1:46" x14ac:dyDescent="0.25">
      <c r="A2746" t="s">
        <v>1248</v>
      </c>
      <c r="B2746">
        <v>253179</v>
      </c>
      <c r="C2746">
        <v>352077</v>
      </c>
      <c r="D2746">
        <v>405</v>
      </c>
      <c r="E2746" t="s">
        <v>1266</v>
      </c>
      <c r="G2746">
        <v>745</v>
      </c>
      <c r="H2746">
        <v>1832</v>
      </c>
      <c r="K2746" t="s">
        <v>1881</v>
      </c>
      <c r="L2746" t="s">
        <v>1881</v>
      </c>
      <c r="M2746" s="29">
        <v>3343258064</v>
      </c>
      <c r="N2746">
        <v>0</v>
      </c>
      <c r="O2746" s="29">
        <v>3343258064</v>
      </c>
      <c r="P2746">
        <v>0</v>
      </c>
      <c r="Q2746">
        <v>0</v>
      </c>
      <c r="R2746">
        <v>0</v>
      </c>
      <c r="T2746" s="29">
        <v>11200</v>
      </c>
      <c r="U2746" s="29">
        <v>11607792</v>
      </c>
      <c r="V2746" t="s">
        <v>1262</v>
      </c>
      <c r="W2746" t="s">
        <v>1262</v>
      </c>
      <c r="X2746" s="29">
        <v>11607792</v>
      </c>
      <c r="AA2746" s="30">
        <v>45785.333333333336</v>
      </c>
      <c r="AB2746" s="30">
        <v>45790.666666666664</v>
      </c>
      <c r="AC2746" s="30">
        <v>45785.333333333336</v>
      </c>
      <c r="AD2746" s="30">
        <v>45790.666666666664</v>
      </c>
      <c r="AE2746" s="30">
        <v>45845.416666666664</v>
      </c>
      <c r="AF2746" s="30">
        <v>45849.375</v>
      </c>
      <c r="AG2746" t="s">
        <v>1266</v>
      </c>
      <c r="AK2746" t="s">
        <v>1265</v>
      </c>
      <c r="AL2746" t="s">
        <v>1920</v>
      </c>
      <c r="AM2746" t="s">
        <v>1263</v>
      </c>
      <c r="AN2746" t="s">
        <v>1262</v>
      </c>
      <c r="AO2746">
        <v>0</v>
      </c>
      <c r="AQ2746" t="s">
        <v>1261</v>
      </c>
      <c r="AR2746" t="s">
        <v>1260</v>
      </c>
      <c r="AS2746" t="s">
        <v>1259</v>
      </c>
      <c r="AT2746" s="30">
        <v>46072.692361111112</v>
      </c>
    </row>
    <row r="2747" spans="1:46" x14ac:dyDescent="0.25">
      <c r="A2747" t="s">
        <v>1248</v>
      </c>
      <c r="B2747">
        <v>253180</v>
      </c>
      <c r="C2747">
        <v>352084</v>
      </c>
      <c r="D2747">
        <v>405</v>
      </c>
      <c r="E2747" t="s">
        <v>1266</v>
      </c>
      <c r="G2747">
        <v>745</v>
      </c>
      <c r="H2747">
        <v>1832</v>
      </c>
      <c r="K2747" t="s">
        <v>1881</v>
      </c>
      <c r="L2747" t="s">
        <v>1881</v>
      </c>
      <c r="M2747" s="29">
        <v>3343258064</v>
      </c>
      <c r="N2747">
        <v>0</v>
      </c>
      <c r="O2747" s="29">
        <v>3343258064</v>
      </c>
      <c r="P2747">
        <v>0</v>
      </c>
      <c r="Q2747">
        <v>0</v>
      </c>
      <c r="R2747">
        <v>0</v>
      </c>
      <c r="T2747" s="29">
        <v>11200</v>
      </c>
      <c r="U2747" s="29">
        <v>11607792</v>
      </c>
      <c r="V2747" t="s">
        <v>1262</v>
      </c>
      <c r="W2747" t="s">
        <v>1262</v>
      </c>
      <c r="X2747" s="29">
        <v>11607792</v>
      </c>
      <c r="AA2747" s="30">
        <v>45783.375</v>
      </c>
      <c r="AB2747" s="30">
        <v>45786.708333333336</v>
      </c>
      <c r="AC2747" s="30">
        <v>45783.375</v>
      </c>
      <c r="AD2747" s="30">
        <v>45786.708333333336</v>
      </c>
      <c r="AE2747" s="30">
        <v>45839.416666666664</v>
      </c>
      <c r="AF2747" s="30">
        <v>45845.375</v>
      </c>
      <c r="AG2747" t="s">
        <v>1266</v>
      </c>
      <c r="AK2747" t="s">
        <v>1265</v>
      </c>
      <c r="AL2747" t="s">
        <v>1919</v>
      </c>
      <c r="AM2747" t="s">
        <v>1263</v>
      </c>
      <c r="AN2747" t="s">
        <v>1262</v>
      </c>
      <c r="AO2747">
        <v>0</v>
      </c>
      <c r="AQ2747" t="s">
        <v>1261</v>
      </c>
      <c r="AR2747" t="s">
        <v>1260</v>
      </c>
      <c r="AS2747" t="s">
        <v>1259</v>
      </c>
      <c r="AT2747" s="30">
        <v>46072.692361111112</v>
      </c>
    </row>
    <row r="2748" spans="1:46" x14ac:dyDescent="0.25">
      <c r="A2748" t="s">
        <v>1248</v>
      </c>
      <c r="B2748">
        <v>253181</v>
      </c>
      <c r="C2748">
        <v>352091</v>
      </c>
      <c r="D2748">
        <v>405</v>
      </c>
      <c r="E2748" t="s">
        <v>1266</v>
      </c>
      <c r="G2748">
        <v>745</v>
      </c>
      <c r="H2748">
        <v>1832</v>
      </c>
      <c r="K2748" t="s">
        <v>1881</v>
      </c>
      <c r="L2748" t="s">
        <v>1881</v>
      </c>
      <c r="M2748" s="29">
        <v>3343258064</v>
      </c>
      <c r="N2748">
        <v>0</v>
      </c>
      <c r="O2748" s="29">
        <v>3343258064</v>
      </c>
      <c r="P2748">
        <v>0</v>
      </c>
      <c r="Q2748">
        <v>0</v>
      </c>
      <c r="R2748">
        <v>0</v>
      </c>
      <c r="T2748" s="29">
        <v>11200</v>
      </c>
      <c r="U2748" s="29">
        <v>11607792</v>
      </c>
      <c r="V2748" t="s">
        <v>1262</v>
      </c>
      <c r="W2748" t="s">
        <v>1262</v>
      </c>
      <c r="X2748" s="29">
        <v>11607792</v>
      </c>
      <c r="AA2748" s="30">
        <v>45779.416666666664</v>
      </c>
      <c r="AB2748" s="30">
        <v>45785.375</v>
      </c>
      <c r="AC2748" s="30">
        <v>45779.416666666664</v>
      </c>
      <c r="AD2748" s="30">
        <v>45785.375</v>
      </c>
      <c r="AE2748" s="30">
        <v>45833.416666666664</v>
      </c>
      <c r="AF2748" s="30">
        <v>45839.375</v>
      </c>
      <c r="AG2748" t="s">
        <v>1266</v>
      </c>
      <c r="AK2748" t="s">
        <v>1265</v>
      </c>
      <c r="AL2748" t="s">
        <v>1918</v>
      </c>
      <c r="AM2748" t="s">
        <v>1263</v>
      </c>
      <c r="AN2748" t="s">
        <v>1262</v>
      </c>
      <c r="AO2748">
        <v>0</v>
      </c>
      <c r="AQ2748" t="s">
        <v>1261</v>
      </c>
      <c r="AR2748" t="s">
        <v>1260</v>
      </c>
      <c r="AS2748" t="s">
        <v>1259</v>
      </c>
      <c r="AT2748" s="30">
        <v>46072.692361111112</v>
      </c>
    </row>
    <row r="2749" spans="1:46" x14ac:dyDescent="0.25">
      <c r="A2749" t="s">
        <v>1248</v>
      </c>
      <c r="B2749">
        <v>253182</v>
      </c>
      <c r="C2749">
        <v>352098</v>
      </c>
      <c r="D2749">
        <v>405</v>
      </c>
      <c r="E2749" t="s">
        <v>1266</v>
      </c>
      <c r="G2749">
        <v>745</v>
      </c>
      <c r="H2749">
        <v>1832</v>
      </c>
      <c r="K2749" t="s">
        <v>1881</v>
      </c>
      <c r="L2749" t="s">
        <v>1881</v>
      </c>
      <c r="M2749" s="29">
        <v>3343258064</v>
      </c>
      <c r="N2749">
        <v>0</v>
      </c>
      <c r="O2749" s="29">
        <v>3343258064</v>
      </c>
      <c r="P2749">
        <v>0</v>
      </c>
      <c r="Q2749">
        <v>0</v>
      </c>
      <c r="R2749">
        <v>0</v>
      </c>
      <c r="T2749" s="29">
        <v>11200</v>
      </c>
      <c r="U2749" s="29">
        <v>11607792</v>
      </c>
      <c r="V2749" t="s">
        <v>1262</v>
      </c>
      <c r="W2749" t="s">
        <v>1262</v>
      </c>
      <c r="X2749" s="29">
        <v>11607792</v>
      </c>
      <c r="AA2749" s="30">
        <v>45777.458333333336</v>
      </c>
      <c r="AB2749" s="30">
        <v>45783.416666666664</v>
      </c>
      <c r="AC2749" s="30">
        <v>45777.458333333336</v>
      </c>
      <c r="AD2749" s="30">
        <v>45783.416666666664</v>
      </c>
      <c r="AE2749" s="30">
        <v>45827.416666666664</v>
      </c>
      <c r="AF2749" s="30">
        <v>45833.375</v>
      </c>
      <c r="AG2749" t="s">
        <v>1266</v>
      </c>
      <c r="AK2749" t="s">
        <v>1265</v>
      </c>
      <c r="AL2749" t="s">
        <v>1917</v>
      </c>
      <c r="AM2749" t="s">
        <v>1263</v>
      </c>
      <c r="AN2749" t="s">
        <v>1262</v>
      </c>
      <c r="AO2749">
        <v>0</v>
      </c>
      <c r="AQ2749" t="s">
        <v>1261</v>
      </c>
      <c r="AR2749" t="s">
        <v>1260</v>
      </c>
      <c r="AS2749" t="s">
        <v>1259</v>
      </c>
      <c r="AT2749" s="30">
        <v>46072.692361111112</v>
      </c>
    </row>
    <row r="2750" spans="1:46" x14ac:dyDescent="0.25">
      <c r="A2750" t="s">
        <v>1248</v>
      </c>
      <c r="B2750">
        <v>253183</v>
      </c>
      <c r="C2750">
        <v>352105</v>
      </c>
      <c r="D2750">
        <v>405</v>
      </c>
      <c r="E2750" t="s">
        <v>1266</v>
      </c>
      <c r="G2750">
        <v>745</v>
      </c>
      <c r="H2750">
        <v>1832</v>
      </c>
      <c r="K2750" t="s">
        <v>1881</v>
      </c>
      <c r="L2750" t="s">
        <v>1881</v>
      </c>
      <c r="M2750" s="29">
        <v>3343258064</v>
      </c>
      <c r="N2750">
        <v>0</v>
      </c>
      <c r="O2750" s="29">
        <v>3343258064</v>
      </c>
      <c r="P2750">
        <v>0</v>
      </c>
      <c r="Q2750">
        <v>0</v>
      </c>
      <c r="R2750">
        <v>0</v>
      </c>
      <c r="T2750" s="29">
        <v>11200</v>
      </c>
      <c r="U2750" s="29">
        <v>11607792</v>
      </c>
      <c r="V2750" t="s">
        <v>1262</v>
      </c>
      <c r="W2750" t="s">
        <v>1262</v>
      </c>
      <c r="X2750" s="29">
        <v>11607792</v>
      </c>
      <c r="AA2750" s="30">
        <v>45775.541666666664</v>
      </c>
      <c r="AB2750" s="30">
        <v>45779.458333333336</v>
      </c>
      <c r="AC2750" s="30">
        <v>45775.541666666664</v>
      </c>
      <c r="AD2750" s="30">
        <v>45779.458333333336</v>
      </c>
      <c r="AE2750" s="30">
        <v>45821.416666666664</v>
      </c>
      <c r="AF2750" s="30">
        <v>45827.375</v>
      </c>
      <c r="AG2750" t="s">
        <v>1266</v>
      </c>
      <c r="AK2750" t="s">
        <v>1265</v>
      </c>
      <c r="AL2750" t="s">
        <v>1916</v>
      </c>
      <c r="AM2750" t="s">
        <v>1263</v>
      </c>
      <c r="AN2750" t="s">
        <v>1262</v>
      </c>
      <c r="AO2750">
        <v>0</v>
      </c>
      <c r="AQ2750" t="s">
        <v>1261</v>
      </c>
      <c r="AR2750" t="s">
        <v>1260</v>
      </c>
      <c r="AS2750" t="s">
        <v>1259</v>
      </c>
      <c r="AT2750" s="30">
        <v>46072.692361111112</v>
      </c>
    </row>
    <row r="2751" spans="1:46" x14ac:dyDescent="0.25">
      <c r="A2751" t="s">
        <v>1248</v>
      </c>
      <c r="B2751">
        <v>253184</v>
      </c>
      <c r="C2751">
        <v>352112</v>
      </c>
      <c r="D2751">
        <v>405</v>
      </c>
      <c r="E2751" t="s">
        <v>1266</v>
      </c>
      <c r="G2751">
        <v>745</v>
      </c>
      <c r="H2751">
        <v>1832</v>
      </c>
      <c r="K2751" t="s">
        <v>1881</v>
      </c>
      <c r="L2751" t="s">
        <v>1881</v>
      </c>
      <c r="M2751" s="29">
        <v>3343258064</v>
      </c>
      <c r="N2751">
        <v>0</v>
      </c>
      <c r="O2751" s="29">
        <v>3343258064</v>
      </c>
      <c r="P2751">
        <v>0</v>
      </c>
      <c r="Q2751">
        <v>0</v>
      </c>
      <c r="R2751">
        <v>0</v>
      </c>
      <c r="T2751" s="29">
        <v>11200</v>
      </c>
      <c r="U2751" s="29">
        <v>11607792</v>
      </c>
      <c r="V2751" t="s">
        <v>1262</v>
      </c>
      <c r="W2751" t="s">
        <v>1262</v>
      </c>
      <c r="X2751" s="29">
        <v>11607792</v>
      </c>
      <c r="AA2751" s="30">
        <v>45763.583333333336</v>
      </c>
      <c r="AB2751" s="30">
        <v>45769.5</v>
      </c>
      <c r="AC2751" s="30">
        <v>45763.583333333336</v>
      </c>
      <c r="AD2751" s="30">
        <v>45769.5</v>
      </c>
      <c r="AE2751" s="30">
        <v>45817.416666666664</v>
      </c>
      <c r="AF2751" s="30">
        <v>45821.375</v>
      </c>
      <c r="AG2751" t="s">
        <v>1266</v>
      </c>
      <c r="AK2751" t="s">
        <v>1265</v>
      </c>
      <c r="AL2751" t="s">
        <v>1915</v>
      </c>
      <c r="AM2751" t="s">
        <v>1263</v>
      </c>
      <c r="AN2751" t="s">
        <v>1262</v>
      </c>
      <c r="AO2751">
        <v>0</v>
      </c>
      <c r="AQ2751" t="s">
        <v>1261</v>
      </c>
      <c r="AR2751" t="s">
        <v>1260</v>
      </c>
      <c r="AS2751" t="s">
        <v>1259</v>
      </c>
      <c r="AT2751" s="30">
        <v>46072.692361111112</v>
      </c>
    </row>
    <row r="2752" spans="1:46" x14ac:dyDescent="0.25">
      <c r="A2752" t="s">
        <v>1248</v>
      </c>
      <c r="B2752">
        <v>253185</v>
      </c>
      <c r="C2752">
        <v>352119</v>
      </c>
      <c r="D2752">
        <v>405</v>
      </c>
      <c r="E2752" t="s">
        <v>1266</v>
      </c>
      <c r="G2752">
        <v>745</v>
      </c>
      <c r="H2752">
        <v>1832</v>
      </c>
      <c r="K2752" t="s">
        <v>1881</v>
      </c>
      <c r="L2752" t="s">
        <v>1881</v>
      </c>
      <c r="M2752" s="29">
        <v>3343258064</v>
      </c>
      <c r="N2752">
        <v>0</v>
      </c>
      <c r="O2752" s="29">
        <v>3343258064</v>
      </c>
      <c r="P2752">
        <v>0</v>
      </c>
      <c r="Q2752">
        <v>0</v>
      </c>
      <c r="R2752">
        <v>0</v>
      </c>
      <c r="T2752" s="29">
        <v>11200</v>
      </c>
      <c r="U2752" s="29">
        <v>11607792</v>
      </c>
      <c r="V2752" t="s">
        <v>1262</v>
      </c>
      <c r="W2752" t="s">
        <v>1262</v>
      </c>
      <c r="X2752" s="29">
        <v>11607792</v>
      </c>
      <c r="AA2752" s="30">
        <v>45761.625</v>
      </c>
      <c r="AB2752" s="30">
        <v>45765.583333333336</v>
      </c>
      <c r="AC2752" s="30">
        <v>45761.625</v>
      </c>
      <c r="AD2752" s="30">
        <v>45765.583333333336</v>
      </c>
      <c r="AE2752" s="30">
        <v>45811.416666666664</v>
      </c>
      <c r="AF2752" s="30">
        <v>45817.375</v>
      </c>
      <c r="AG2752" t="s">
        <v>1266</v>
      </c>
      <c r="AK2752" t="s">
        <v>1265</v>
      </c>
      <c r="AL2752" t="s">
        <v>1914</v>
      </c>
      <c r="AM2752" t="s">
        <v>1263</v>
      </c>
      <c r="AN2752" t="s">
        <v>1262</v>
      </c>
      <c r="AO2752">
        <v>0</v>
      </c>
      <c r="AQ2752" t="s">
        <v>1261</v>
      </c>
      <c r="AR2752" t="s">
        <v>1260</v>
      </c>
      <c r="AS2752" t="s">
        <v>1259</v>
      </c>
      <c r="AT2752" s="30">
        <v>46072.692361111112</v>
      </c>
    </row>
    <row r="2753" spans="1:46" x14ac:dyDescent="0.25">
      <c r="A2753" t="s">
        <v>1248</v>
      </c>
      <c r="B2753">
        <v>253186</v>
      </c>
      <c r="C2753">
        <v>352126</v>
      </c>
      <c r="D2753">
        <v>405</v>
      </c>
      <c r="E2753" t="s">
        <v>1266</v>
      </c>
      <c r="G2753">
        <v>745</v>
      </c>
      <c r="H2753">
        <v>1832</v>
      </c>
      <c r="K2753" t="s">
        <v>1881</v>
      </c>
      <c r="L2753" t="s">
        <v>1881</v>
      </c>
      <c r="M2753" s="29">
        <v>3343258064</v>
      </c>
      <c r="N2753">
        <v>0</v>
      </c>
      <c r="O2753" s="29">
        <v>3343258064</v>
      </c>
      <c r="P2753">
        <v>0</v>
      </c>
      <c r="Q2753">
        <v>0</v>
      </c>
      <c r="R2753">
        <v>0</v>
      </c>
      <c r="T2753" s="29">
        <v>11200</v>
      </c>
      <c r="U2753" s="29">
        <v>11607792</v>
      </c>
      <c r="V2753" t="s">
        <v>1262</v>
      </c>
      <c r="W2753" t="s">
        <v>1262</v>
      </c>
      <c r="X2753" s="29">
        <v>11607792</v>
      </c>
      <c r="AA2753" s="30">
        <v>45757.666666666664</v>
      </c>
      <c r="AB2753" s="30">
        <v>45763.625</v>
      </c>
      <c r="AC2753" s="30">
        <v>45757.666666666664</v>
      </c>
      <c r="AD2753" s="30">
        <v>45763.625</v>
      </c>
      <c r="AE2753" s="30">
        <v>45805.416666666664</v>
      </c>
      <c r="AF2753" s="30">
        <v>45811.375</v>
      </c>
      <c r="AG2753" t="s">
        <v>1266</v>
      </c>
      <c r="AK2753" t="s">
        <v>1265</v>
      </c>
      <c r="AL2753" t="s">
        <v>1913</v>
      </c>
      <c r="AM2753" t="s">
        <v>1263</v>
      </c>
      <c r="AN2753" t="s">
        <v>1262</v>
      </c>
      <c r="AO2753">
        <v>0</v>
      </c>
      <c r="AQ2753" t="s">
        <v>1261</v>
      </c>
      <c r="AR2753" t="s">
        <v>1260</v>
      </c>
      <c r="AS2753" t="s">
        <v>1259</v>
      </c>
      <c r="AT2753" s="30">
        <v>46072.692361111112</v>
      </c>
    </row>
    <row r="2754" spans="1:46" x14ac:dyDescent="0.25">
      <c r="A2754" t="s">
        <v>1248</v>
      </c>
      <c r="B2754">
        <v>253187</v>
      </c>
      <c r="C2754">
        <v>352133</v>
      </c>
      <c r="D2754">
        <v>405</v>
      </c>
      <c r="E2754" t="s">
        <v>1266</v>
      </c>
      <c r="G2754">
        <v>745</v>
      </c>
      <c r="H2754">
        <v>1832</v>
      </c>
      <c r="K2754" t="s">
        <v>1881</v>
      </c>
      <c r="L2754" t="s">
        <v>1881</v>
      </c>
      <c r="M2754" s="29">
        <v>3343258064</v>
      </c>
      <c r="N2754">
        <v>0</v>
      </c>
      <c r="O2754" s="29">
        <v>3343258064</v>
      </c>
      <c r="P2754">
        <v>0</v>
      </c>
      <c r="Q2754">
        <v>0</v>
      </c>
      <c r="R2754">
        <v>0</v>
      </c>
      <c r="T2754" s="29">
        <v>11200</v>
      </c>
      <c r="U2754" s="29">
        <v>11607792</v>
      </c>
      <c r="V2754" t="s">
        <v>1262</v>
      </c>
      <c r="W2754" t="s">
        <v>1262</v>
      </c>
      <c r="X2754" s="29">
        <v>11607792</v>
      </c>
      <c r="AA2754" s="30">
        <v>45756.333333333336</v>
      </c>
      <c r="AB2754" s="30">
        <v>45761.666666666664</v>
      </c>
      <c r="AC2754" s="30">
        <v>45756.333333333336</v>
      </c>
      <c r="AD2754" s="30">
        <v>45761.666666666664</v>
      </c>
      <c r="AE2754" s="30">
        <v>45799.416666666664</v>
      </c>
      <c r="AF2754" s="30">
        <v>45805.375</v>
      </c>
      <c r="AG2754" t="s">
        <v>1266</v>
      </c>
      <c r="AK2754" t="s">
        <v>1265</v>
      </c>
      <c r="AL2754" t="s">
        <v>1912</v>
      </c>
      <c r="AM2754" t="s">
        <v>1263</v>
      </c>
      <c r="AN2754" t="s">
        <v>1262</v>
      </c>
      <c r="AO2754">
        <v>0</v>
      </c>
      <c r="AQ2754" t="s">
        <v>1261</v>
      </c>
      <c r="AR2754" t="s">
        <v>1260</v>
      </c>
      <c r="AS2754" t="s">
        <v>1259</v>
      </c>
      <c r="AT2754" s="30">
        <v>46072.692361111112</v>
      </c>
    </row>
    <row r="2755" spans="1:46" x14ac:dyDescent="0.25">
      <c r="A2755" t="s">
        <v>1248</v>
      </c>
      <c r="B2755">
        <v>253188</v>
      </c>
      <c r="C2755">
        <v>352140</v>
      </c>
      <c r="D2755">
        <v>405</v>
      </c>
      <c r="E2755" t="s">
        <v>1266</v>
      </c>
      <c r="G2755">
        <v>745</v>
      </c>
      <c r="H2755">
        <v>1832</v>
      </c>
      <c r="K2755" t="s">
        <v>1881</v>
      </c>
      <c r="L2755" t="s">
        <v>1881</v>
      </c>
      <c r="M2755" s="29">
        <v>3343258064</v>
      </c>
      <c r="N2755">
        <v>0</v>
      </c>
      <c r="O2755" s="29">
        <v>3343258064</v>
      </c>
      <c r="P2755">
        <v>0</v>
      </c>
      <c r="Q2755">
        <v>0</v>
      </c>
      <c r="R2755">
        <v>0</v>
      </c>
      <c r="T2755" s="29">
        <v>11200</v>
      </c>
      <c r="U2755" s="29">
        <v>11607792</v>
      </c>
      <c r="V2755" t="s">
        <v>1262</v>
      </c>
      <c r="W2755" t="s">
        <v>1262</v>
      </c>
      <c r="X2755" s="29">
        <v>11607792</v>
      </c>
      <c r="AA2755" s="30">
        <v>45754.375</v>
      </c>
      <c r="AB2755" s="30">
        <v>45757.708333333336</v>
      </c>
      <c r="AC2755" s="30">
        <v>45754.375</v>
      </c>
      <c r="AD2755" s="30">
        <v>45757.708333333336</v>
      </c>
      <c r="AE2755" s="30">
        <v>45793.416666666664</v>
      </c>
      <c r="AF2755" s="30">
        <v>45799.375</v>
      </c>
      <c r="AG2755" t="s">
        <v>1266</v>
      </c>
      <c r="AK2755" t="s">
        <v>1265</v>
      </c>
      <c r="AL2755" t="s">
        <v>1911</v>
      </c>
      <c r="AM2755" t="s">
        <v>1263</v>
      </c>
      <c r="AN2755" t="s">
        <v>1262</v>
      </c>
      <c r="AO2755">
        <v>0</v>
      </c>
      <c r="AQ2755" t="s">
        <v>1261</v>
      </c>
      <c r="AR2755" t="s">
        <v>1260</v>
      </c>
      <c r="AS2755" t="s">
        <v>1259</v>
      </c>
      <c r="AT2755" s="30">
        <v>46072.692361111112</v>
      </c>
    </row>
    <row r="2756" spans="1:46" x14ac:dyDescent="0.25">
      <c r="A2756" t="s">
        <v>1248</v>
      </c>
      <c r="B2756">
        <v>253189</v>
      </c>
      <c r="C2756">
        <v>352147</v>
      </c>
      <c r="D2756">
        <v>405</v>
      </c>
      <c r="E2756" t="s">
        <v>1266</v>
      </c>
      <c r="G2756">
        <v>745</v>
      </c>
      <c r="H2756">
        <v>1832</v>
      </c>
      <c r="K2756" t="s">
        <v>1881</v>
      </c>
      <c r="L2756" t="s">
        <v>1881</v>
      </c>
      <c r="M2756" s="29">
        <v>3343258064</v>
      </c>
      <c r="N2756">
        <v>0</v>
      </c>
      <c r="O2756" s="29">
        <v>3343258064</v>
      </c>
      <c r="P2756">
        <v>0</v>
      </c>
      <c r="Q2756">
        <v>0</v>
      </c>
      <c r="R2756">
        <v>0</v>
      </c>
      <c r="T2756" s="29">
        <v>11200</v>
      </c>
      <c r="U2756" s="29">
        <v>11607792</v>
      </c>
      <c r="V2756" t="s">
        <v>1262</v>
      </c>
      <c r="W2756" t="s">
        <v>1262</v>
      </c>
      <c r="X2756" s="29">
        <v>11607792</v>
      </c>
      <c r="AA2756" s="30">
        <v>45750.416666666664</v>
      </c>
      <c r="AB2756" s="30">
        <v>45756.375</v>
      </c>
      <c r="AC2756" s="30">
        <v>45750.416666666664</v>
      </c>
      <c r="AD2756" s="30">
        <v>45756.375</v>
      </c>
      <c r="AE2756" s="30">
        <v>45789.416666666664</v>
      </c>
      <c r="AF2756" s="30">
        <v>45793.375</v>
      </c>
      <c r="AG2756" t="s">
        <v>1266</v>
      </c>
      <c r="AK2756" t="s">
        <v>1265</v>
      </c>
      <c r="AL2756" t="s">
        <v>1910</v>
      </c>
      <c r="AM2756" t="s">
        <v>1263</v>
      </c>
      <c r="AN2756" t="s">
        <v>1262</v>
      </c>
      <c r="AO2756">
        <v>0</v>
      </c>
      <c r="AQ2756" t="s">
        <v>1261</v>
      </c>
      <c r="AR2756" t="s">
        <v>1260</v>
      </c>
      <c r="AS2756" t="s">
        <v>1259</v>
      </c>
      <c r="AT2756" s="30">
        <v>46072.692361111112</v>
      </c>
    </row>
    <row r="2757" spans="1:46" x14ac:dyDescent="0.25">
      <c r="A2757" t="s">
        <v>1248</v>
      </c>
      <c r="B2757">
        <v>253190</v>
      </c>
      <c r="C2757">
        <v>352154</v>
      </c>
      <c r="D2757">
        <v>405</v>
      </c>
      <c r="E2757" t="s">
        <v>1266</v>
      </c>
      <c r="G2757">
        <v>745</v>
      </c>
      <c r="H2757">
        <v>1832</v>
      </c>
      <c r="K2757" t="s">
        <v>1881</v>
      </c>
      <c r="L2757" t="s">
        <v>1881</v>
      </c>
      <c r="M2757" s="29">
        <v>3343258064</v>
      </c>
      <c r="N2757">
        <v>0</v>
      </c>
      <c r="O2757" s="29">
        <v>3343258064</v>
      </c>
      <c r="P2757">
        <v>0</v>
      </c>
      <c r="Q2757">
        <v>0</v>
      </c>
      <c r="R2757">
        <v>0</v>
      </c>
      <c r="T2757" s="29">
        <v>11200</v>
      </c>
      <c r="U2757" s="29">
        <v>11607792</v>
      </c>
      <c r="V2757" t="s">
        <v>1262</v>
      </c>
      <c r="W2757" t="s">
        <v>1262</v>
      </c>
      <c r="X2757" s="29">
        <v>11607792</v>
      </c>
      <c r="AA2757" s="30">
        <v>45748.458333333336</v>
      </c>
      <c r="AB2757" s="30">
        <v>45754.416666666664</v>
      </c>
      <c r="AC2757" s="30">
        <v>45748.458333333336</v>
      </c>
      <c r="AD2757" s="30">
        <v>45754.416666666664</v>
      </c>
      <c r="AE2757" s="30">
        <v>45783.416666666664</v>
      </c>
      <c r="AF2757" s="30">
        <v>45789.375</v>
      </c>
      <c r="AG2757" t="s">
        <v>1266</v>
      </c>
      <c r="AK2757" t="s">
        <v>1265</v>
      </c>
      <c r="AL2757" t="s">
        <v>1909</v>
      </c>
      <c r="AM2757" t="s">
        <v>1263</v>
      </c>
      <c r="AN2757" t="s">
        <v>1262</v>
      </c>
      <c r="AO2757">
        <v>0</v>
      </c>
      <c r="AQ2757" t="s">
        <v>1261</v>
      </c>
      <c r="AR2757" t="s">
        <v>1260</v>
      </c>
      <c r="AS2757" t="s">
        <v>1259</v>
      </c>
      <c r="AT2757" s="30">
        <v>46072.692361111112</v>
      </c>
    </row>
    <row r="2758" spans="1:46" x14ac:dyDescent="0.25">
      <c r="A2758" t="s">
        <v>1248</v>
      </c>
      <c r="B2758">
        <v>253191</v>
      </c>
      <c r="C2758">
        <v>352161</v>
      </c>
      <c r="D2758">
        <v>405</v>
      </c>
      <c r="E2758" t="s">
        <v>1266</v>
      </c>
      <c r="G2758">
        <v>745</v>
      </c>
      <c r="H2758">
        <v>1832</v>
      </c>
      <c r="K2758" t="s">
        <v>1881</v>
      </c>
      <c r="L2758" t="s">
        <v>1881</v>
      </c>
      <c r="M2758" s="29">
        <v>3343258064</v>
      </c>
      <c r="N2758">
        <v>0</v>
      </c>
      <c r="O2758" s="29">
        <v>3343258064</v>
      </c>
      <c r="P2758">
        <v>0</v>
      </c>
      <c r="Q2758">
        <v>0</v>
      </c>
      <c r="R2758">
        <v>0</v>
      </c>
      <c r="T2758" s="29">
        <v>11200</v>
      </c>
      <c r="U2758" s="29">
        <v>11607792</v>
      </c>
      <c r="V2758" t="s">
        <v>1262</v>
      </c>
      <c r="W2758" t="s">
        <v>1262</v>
      </c>
      <c r="X2758" s="29">
        <v>11607792</v>
      </c>
      <c r="AA2758" s="30">
        <v>45744.541666666664</v>
      </c>
      <c r="AB2758" s="30">
        <v>45750.458333333336</v>
      </c>
      <c r="AC2758" s="30">
        <v>45744.541666666664</v>
      </c>
      <c r="AD2758" s="30">
        <v>45750.458333333336</v>
      </c>
      <c r="AE2758" s="30">
        <v>45777.416666666664</v>
      </c>
      <c r="AF2758" s="30">
        <v>45783.375</v>
      </c>
      <c r="AG2758" t="s">
        <v>1266</v>
      </c>
      <c r="AK2758" t="s">
        <v>1265</v>
      </c>
      <c r="AL2758" t="s">
        <v>1908</v>
      </c>
      <c r="AM2758" t="s">
        <v>1263</v>
      </c>
      <c r="AN2758" t="s">
        <v>1262</v>
      </c>
      <c r="AO2758">
        <v>0</v>
      </c>
      <c r="AQ2758" t="s">
        <v>1261</v>
      </c>
      <c r="AR2758" t="s">
        <v>1260</v>
      </c>
      <c r="AS2758" t="s">
        <v>1259</v>
      </c>
      <c r="AT2758" s="30">
        <v>46072.692361111112</v>
      </c>
    </row>
    <row r="2759" spans="1:46" x14ac:dyDescent="0.25">
      <c r="A2759" t="s">
        <v>1248</v>
      </c>
      <c r="B2759">
        <v>253192</v>
      </c>
      <c r="C2759">
        <v>352168</v>
      </c>
      <c r="D2759">
        <v>405</v>
      </c>
      <c r="E2759" t="s">
        <v>1266</v>
      </c>
      <c r="G2759">
        <v>745</v>
      </c>
      <c r="H2759">
        <v>1832</v>
      </c>
      <c r="K2759" t="s">
        <v>1881</v>
      </c>
      <c r="L2759" t="s">
        <v>1881</v>
      </c>
      <c r="M2759" s="29">
        <v>3343258064</v>
      </c>
      <c r="N2759">
        <v>0</v>
      </c>
      <c r="O2759" s="29">
        <v>3343258064</v>
      </c>
      <c r="P2759">
        <v>0</v>
      </c>
      <c r="Q2759">
        <v>0</v>
      </c>
      <c r="R2759">
        <v>0</v>
      </c>
      <c r="T2759" s="29">
        <v>11200</v>
      </c>
      <c r="U2759" s="29">
        <v>11607792</v>
      </c>
      <c r="V2759" t="s">
        <v>1262</v>
      </c>
      <c r="W2759" t="s">
        <v>1262</v>
      </c>
      <c r="X2759" s="29">
        <v>11607792</v>
      </c>
      <c r="AA2759" s="30">
        <v>45733.458333333336</v>
      </c>
      <c r="AB2759" s="30">
        <v>45737.416666666664</v>
      </c>
      <c r="AC2759" s="30">
        <v>45733.458333333336</v>
      </c>
      <c r="AD2759" s="30">
        <v>45737.416666666664</v>
      </c>
      <c r="AE2759" s="30">
        <v>45771.416666666664</v>
      </c>
      <c r="AF2759" s="30">
        <v>45777.375</v>
      </c>
      <c r="AG2759" t="s">
        <v>1266</v>
      </c>
      <c r="AK2759" t="s">
        <v>1265</v>
      </c>
      <c r="AL2759" t="s">
        <v>1907</v>
      </c>
      <c r="AM2759" t="s">
        <v>1263</v>
      </c>
      <c r="AN2759" t="s">
        <v>1262</v>
      </c>
      <c r="AO2759">
        <v>0</v>
      </c>
      <c r="AQ2759" t="s">
        <v>1261</v>
      </c>
      <c r="AR2759" t="s">
        <v>1260</v>
      </c>
      <c r="AS2759" t="s">
        <v>1259</v>
      </c>
      <c r="AT2759" s="30">
        <v>46072.692361111112</v>
      </c>
    </row>
    <row r="2760" spans="1:46" x14ac:dyDescent="0.25">
      <c r="A2760" t="s">
        <v>1248</v>
      </c>
      <c r="B2760">
        <v>253193</v>
      </c>
      <c r="C2760">
        <v>352175</v>
      </c>
      <c r="D2760">
        <v>405</v>
      </c>
      <c r="E2760" t="s">
        <v>1266</v>
      </c>
      <c r="G2760">
        <v>745</v>
      </c>
      <c r="H2760">
        <v>1832</v>
      </c>
      <c r="K2760" t="s">
        <v>1881</v>
      </c>
      <c r="L2760" t="s">
        <v>1881</v>
      </c>
      <c r="M2760" s="29">
        <v>3343258064</v>
      </c>
      <c r="N2760">
        <v>0</v>
      </c>
      <c r="O2760" s="29">
        <v>3343258064</v>
      </c>
      <c r="P2760">
        <v>0</v>
      </c>
      <c r="Q2760">
        <v>0</v>
      </c>
      <c r="R2760">
        <v>0</v>
      </c>
      <c r="T2760" s="29">
        <v>11200</v>
      </c>
      <c r="U2760" s="29">
        <v>11607792</v>
      </c>
      <c r="V2760" t="s">
        <v>1262</v>
      </c>
      <c r="W2760" t="s">
        <v>1262</v>
      </c>
      <c r="X2760" s="29">
        <v>11607792</v>
      </c>
      <c r="AA2760" s="30">
        <v>45728.541666666664</v>
      </c>
      <c r="AB2760" s="30">
        <v>45734.458333333336</v>
      </c>
      <c r="AC2760" s="30">
        <v>45728.541666666664</v>
      </c>
      <c r="AD2760" s="30">
        <v>45734.458333333336</v>
      </c>
      <c r="AE2760" s="30">
        <v>45765.416666666664</v>
      </c>
      <c r="AF2760" s="30">
        <v>45771.375</v>
      </c>
      <c r="AG2760" t="s">
        <v>1266</v>
      </c>
      <c r="AK2760" t="s">
        <v>1265</v>
      </c>
      <c r="AL2760" t="s">
        <v>1906</v>
      </c>
      <c r="AM2760" t="s">
        <v>1263</v>
      </c>
      <c r="AN2760" t="s">
        <v>1262</v>
      </c>
      <c r="AO2760">
        <v>0</v>
      </c>
      <c r="AQ2760" t="s">
        <v>1261</v>
      </c>
      <c r="AR2760" t="s">
        <v>1260</v>
      </c>
      <c r="AS2760" t="s">
        <v>1259</v>
      </c>
      <c r="AT2760" s="30">
        <v>46072.692361111112</v>
      </c>
    </row>
    <row r="2761" spans="1:46" x14ac:dyDescent="0.25">
      <c r="A2761" t="s">
        <v>1248</v>
      </c>
      <c r="B2761">
        <v>253194</v>
      </c>
      <c r="C2761">
        <v>352182</v>
      </c>
      <c r="D2761">
        <v>405</v>
      </c>
      <c r="E2761" t="s">
        <v>1266</v>
      </c>
      <c r="G2761">
        <v>745</v>
      </c>
      <c r="H2761">
        <v>1832</v>
      </c>
      <c r="K2761" t="s">
        <v>1881</v>
      </c>
      <c r="L2761" t="s">
        <v>1881</v>
      </c>
      <c r="M2761" s="29">
        <v>3343258064</v>
      </c>
      <c r="N2761">
        <v>0</v>
      </c>
      <c r="O2761" s="29">
        <v>3343258064</v>
      </c>
      <c r="P2761">
        <v>0</v>
      </c>
      <c r="Q2761">
        <v>0</v>
      </c>
      <c r="R2761">
        <v>0</v>
      </c>
      <c r="T2761" s="29">
        <v>11200</v>
      </c>
      <c r="U2761" s="29">
        <v>11607792</v>
      </c>
      <c r="V2761" t="s">
        <v>1262</v>
      </c>
      <c r="W2761" t="s">
        <v>1262</v>
      </c>
      <c r="X2761" s="29">
        <v>11607792</v>
      </c>
      <c r="AA2761" s="30">
        <v>45733.583333333336</v>
      </c>
      <c r="AB2761" s="30">
        <v>45737.5</v>
      </c>
      <c r="AC2761" s="30">
        <v>45733.583333333336</v>
      </c>
      <c r="AD2761" s="30">
        <v>45737.5</v>
      </c>
      <c r="AE2761" s="30">
        <v>45761.416666666664</v>
      </c>
      <c r="AF2761" s="30">
        <v>45765.375</v>
      </c>
      <c r="AG2761" t="s">
        <v>1266</v>
      </c>
      <c r="AK2761" t="s">
        <v>1265</v>
      </c>
      <c r="AL2761" t="s">
        <v>1905</v>
      </c>
      <c r="AM2761" t="s">
        <v>1263</v>
      </c>
      <c r="AN2761" t="s">
        <v>1262</v>
      </c>
      <c r="AO2761">
        <v>0</v>
      </c>
      <c r="AQ2761" t="s">
        <v>1261</v>
      </c>
      <c r="AR2761" t="s">
        <v>1260</v>
      </c>
      <c r="AS2761" t="s">
        <v>1259</v>
      </c>
      <c r="AT2761" s="30">
        <v>46072.692361111112</v>
      </c>
    </row>
    <row r="2762" spans="1:46" x14ac:dyDescent="0.25">
      <c r="A2762" t="s">
        <v>1248</v>
      </c>
      <c r="B2762">
        <v>253195</v>
      </c>
      <c r="C2762">
        <v>352189</v>
      </c>
      <c r="D2762">
        <v>405</v>
      </c>
      <c r="E2762" t="s">
        <v>1266</v>
      </c>
      <c r="G2762">
        <v>745</v>
      </c>
      <c r="H2762">
        <v>1832</v>
      </c>
      <c r="K2762" s="29">
        <v>106984258</v>
      </c>
      <c r="L2762" s="29">
        <v>106984258</v>
      </c>
      <c r="M2762" s="29">
        <v>3343258064</v>
      </c>
      <c r="N2762">
        <v>0</v>
      </c>
      <c r="O2762" s="29">
        <v>3343258064</v>
      </c>
      <c r="P2762">
        <v>0</v>
      </c>
      <c r="Q2762">
        <v>0</v>
      </c>
      <c r="R2762">
        <v>0</v>
      </c>
      <c r="T2762" s="29">
        <v>11200</v>
      </c>
      <c r="U2762" s="29">
        <v>11982237</v>
      </c>
      <c r="V2762" t="s">
        <v>1262</v>
      </c>
      <c r="W2762" t="s">
        <v>1262</v>
      </c>
      <c r="X2762" s="29">
        <v>11982237</v>
      </c>
      <c r="AA2762" s="30">
        <v>45729.333333333336</v>
      </c>
      <c r="AB2762" s="30">
        <v>45734.708333333336</v>
      </c>
      <c r="AC2762" s="30">
        <v>45729.333333333336</v>
      </c>
      <c r="AD2762" s="30">
        <v>45734.708333333336</v>
      </c>
      <c r="AE2762" s="30">
        <v>45755.333333333336</v>
      </c>
      <c r="AF2762" s="30">
        <v>45758.708333333336</v>
      </c>
      <c r="AG2762" t="s">
        <v>1266</v>
      </c>
      <c r="AK2762" t="s">
        <v>1265</v>
      </c>
      <c r="AL2762" t="s">
        <v>1904</v>
      </c>
      <c r="AM2762" t="s">
        <v>1263</v>
      </c>
      <c r="AN2762" t="s">
        <v>1262</v>
      </c>
      <c r="AO2762">
        <v>0</v>
      </c>
      <c r="AQ2762" t="s">
        <v>1261</v>
      </c>
      <c r="AR2762" t="s">
        <v>1260</v>
      </c>
      <c r="AS2762" t="s">
        <v>1259</v>
      </c>
      <c r="AT2762" s="30">
        <v>46072.692361111112</v>
      </c>
    </row>
    <row r="2763" spans="1:46" x14ac:dyDescent="0.25">
      <c r="A2763" t="s">
        <v>1248</v>
      </c>
      <c r="B2763">
        <v>253196</v>
      </c>
      <c r="C2763">
        <v>352196</v>
      </c>
      <c r="D2763">
        <v>405</v>
      </c>
      <c r="E2763" t="s">
        <v>1266</v>
      </c>
      <c r="G2763">
        <v>745</v>
      </c>
      <c r="H2763">
        <v>1832</v>
      </c>
      <c r="K2763" t="s">
        <v>1881</v>
      </c>
      <c r="L2763" t="s">
        <v>1881</v>
      </c>
      <c r="M2763" s="29">
        <v>323878125</v>
      </c>
      <c r="N2763">
        <v>0</v>
      </c>
      <c r="O2763" s="29">
        <v>323878125</v>
      </c>
      <c r="P2763">
        <v>0</v>
      </c>
      <c r="Q2763">
        <v>0</v>
      </c>
      <c r="R2763">
        <v>0</v>
      </c>
      <c r="T2763" s="29">
        <v>18600</v>
      </c>
      <c r="U2763" s="29">
        <v>19277226</v>
      </c>
      <c r="V2763" t="s">
        <v>1262</v>
      </c>
      <c r="W2763" t="s">
        <v>1262</v>
      </c>
      <c r="X2763" s="29">
        <v>19277226</v>
      </c>
      <c r="AA2763" s="30">
        <v>45909.380555555559</v>
      </c>
      <c r="AB2763" s="30">
        <v>45915.380555555559</v>
      </c>
      <c r="AC2763" s="30">
        <v>45909.380555555559</v>
      </c>
      <c r="AD2763" s="30">
        <v>45915.380555555559</v>
      </c>
      <c r="AE2763" s="30">
        <v>46400.416666666664</v>
      </c>
      <c r="AF2763" s="30">
        <v>46406.416666666664</v>
      </c>
      <c r="AG2763" t="s">
        <v>1266</v>
      </c>
      <c r="AK2763" t="s">
        <v>1265</v>
      </c>
      <c r="AL2763" t="s">
        <v>1903</v>
      </c>
      <c r="AM2763" t="s">
        <v>1263</v>
      </c>
      <c r="AN2763" t="s">
        <v>1262</v>
      </c>
      <c r="AO2763">
        <v>0</v>
      </c>
      <c r="AQ2763" t="s">
        <v>1261</v>
      </c>
      <c r="AR2763" t="s">
        <v>1260</v>
      </c>
      <c r="AS2763" t="s">
        <v>1259</v>
      </c>
      <c r="AT2763" s="30">
        <v>46072.692361111112</v>
      </c>
    </row>
    <row r="2764" spans="1:46" x14ac:dyDescent="0.25">
      <c r="A2764" t="s">
        <v>1248</v>
      </c>
      <c r="B2764">
        <v>253198</v>
      </c>
      <c r="C2764">
        <v>352210</v>
      </c>
      <c r="D2764">
        <v>405</v>
      </c>
      <c r="E2764" t="s">
        <v>1266</v>
      </c>
      <c r="G2764">
        <v>745</v>
      </c>
      <c r="H2764">
        <v>1832</v>
      </c>
      <c r="K2764" t="s">
        <v>1881</v>
      </c>
      <c r="L2764" t="s">
        <v>1881</v>
      </c>
      <c r="M2764" s="29">
        <v>323878125</v>
      </c>
      <c r="N2764">
        <v>0</v>
      </c>
      <c r="O2764" s="29">
        <v>323878125</v>
      </c>
      <c r="P2764">
        <v>0</v>
      </c>
      <c r="Q2764">
        <v>0</v>
      </c>
      <c r="R2764">
        <v>0</v>
      </c>
      <c r="T2764" s="29">
        <v>18600</v>
      </c>
      <c r="U2764" s="29">
        <v>19277226</v>
      </c>
      <c r="V2764" t="s">
        <v>1262</v>
      </c>
      <c r="W2764" t="s">
        <v>1262</v>
      </c>
      <c r="X2764" s="29">
        <v>19277226</v>
      </c>
      <c r="AA2764" s="30">
        <v>45901.380555555559</v>
      </c>
      <c r="AB2764" s="30">
        <v>45905.380555555559</v>
      </c>
      <c r="AC2764" s="30">
        <v>45901.380555555559</v>
      </c>
      <c r="AD2764" s="30">
        <v>45905.380555555559</v>
      </c>
      <c r="AE2764" s="30">
        <v>46360.416666666664</v>
      </c>
      <c r="AF2764" s="30">
        <v>46367.416666666664</v>
      </c>
      <c r="AG2764" t="s">
        <v>1266</v>
      </c>
      <c r="AK2764" t="s">
        <v>1265</v>
      </c>
      <c r="AL2764" t="s">
        <v>1902</v>
      </c>
      <c r="AM2764" t="s">
        <v>1263</v>
      </c>
      <c r="AN2764" t="s">
        <v>1262</v>
      </c>
      <c r="AO2764">
        <v>0</v>
      </c>
      <c r="AQ2764" t="s">
        <v>1261</v>
      </c>
      <c r="AR2764" t="s">
        <v>1260</v>
      </c>
      <c r="AS2764" t="s">
        <v>1259</v>
      </c>
      <c r="AT2764" s="30">
        <v>46072.692361111112</v>
      </c>
    </row>
    <row r="2765" spans="1:46" x14ac:dyDescent="0.25">
      <c r="A2765" t="s">
        <v>1248</v>
      </c>
      <c r="B2765">
        <v>253200</v>
      </c>
      <c r="C2765">
        <v>352224</v>
      </c>
      <c r="D2765">
        <v>405</v>
      </c>
      <c r="E2765" t="s">
        <v>1266</v>
      </c>
      <c r="G2765">
        <v>745</v>
      </c>
      <c r="H2765">
        <v>1832</v>
      </c>
      <c r="K2765" t="s">
        <v>1881</v>
      </c>
      <c r="L2765" t="s">
        <v>1881</v>
      </c>
      <c r="M2765" s="29">
        <v>323878125</v>
      </c>
      <c r="N2765">
        <v>0</v>
      </c>
      <c r="O2765" s="29">
        <v>323878125</v>
      </c>
      <c r="P2765">
        <v>0</v>
      </c>
      <c r="Q2765">
        <v>0</v>
      </c>
      <c r="R2765">
        <v>0</v>
      </c>
      <c r="T2765" s="29">
        <v>18600</v>
      </c>
      <c r="U2765" s="29">
        <v>19277226</v>
      </c>
      <c r="V2765" t="s">
        <v>1262</v>
      </c>
      <c r="W2765" t="s">
        <v>1262</v>
      </c>
      <c r="X2765" s="29">
        <v>19277226</v>
      </c>
      <c r="AA2765" s="30">
        <v>45891.547222222223</v>
      </c>
      <c r="AB2765" s="30">
        <v>45897.547222222223</v>
      </c>
      <c r="AC2765" s="30">
        <v>45891.547222222223</v>
      </c>
      <c r="AD2765" s="30">
        <v>45897.547222222223</v>
      </c>
      <c r="AE2765" s="30">
        <v>46328.416666666664</v>
      </c>
      <c r="AF2765" s="30">
        <v>46332.416666666664</v>
      </c>
      <c r="AG2765" t="s">
        <v>1266</v>
      </c>
      <c r="AK2765" t="s">
        <v>1265</v>
      </c>
      <c r="AL2765" t="s">
        <v>1901</v>
      </c>
      <c r="AM2765" t="s">
        <v>1263</v>
      </c>
      <c r="AN2765" t="s">
        <v>1262</v>
      </c>
      <c r="AO2765">
        <v>0</v>
      </c>
      <c r="AQ2765" t="s">
        <v>1261</v>
      </c>
      <c r="AR2765" t="s">
        <v>1260</v>
      </c>
      <c r="AS2765" t="s">
        <v>1259</v>
      </c>
      <c r="AT2765" s="30">
        <v>46072.692361111112</v>
      </c>
    </row>
    <row r="2766" spans="1:46" x14ac:dyDescent="0.25">
      <c r="A2766" t="s">
        <v>1248</v>
      </c>
      <c r="B2766">
        <v>253201</v>
      </c>
      <c r="C2766">
        <v>352231</v>
      </c>
      <c r="D2766">
        <v>405</v>
      </c>
      <c r="E2766" t="s">
        <v>1266</v>
      </c>
      <c r="G2766">
        <v>745</v>
      </c>
      <c r="H2766">
        <v>1832</v>
      </c>
      <c r="K2766" t="s">
        <v>1881</v>
      </c>
      <c r="L2766" t="s">
        <v>1881</v>
      </c>
      <c r="M2766" s="29">
        <v>323878125</v>
      </c>
      <c r="N2766">
        <v>0</v>
      </c>
      <c r="O2766" s="29">
        <v>323878125</v>
      </c>
      <c r="P2766">
        <v>0</v>
      </c>
      <c r="Q2766">
        <v>0</v>
      </c>
      <c r="R2766">
        <v>0</v>
      </c>
      <c r="T2766" s="29">
        <v>18600</v>
      </c>
      <c r="U2766" s="29">
        <v>19277226</v>
      </c>
      <c r="V2766" t="s">
        <v>1262</v>
      </c>
      <c r="W2766" t="s">
        <v>1262</v>
      </c>
      <c r="X2766" s="29">
        <v>19277226</v>
      </c>
      <c r="AA2766" s="30">
        <v>45889.588888888888</v>
      </c>
      <c r="AB2766" s="30">
        <v>45895.588888888888</v>
      </c>
      <c r="AC2766" s="30">
        <v>45889.588888888888</v>
      </c>
      <c r="AD2766" s="30">
        <v>45895.588888888888</v>
      </c>
      <c r="AE2766" s="30">
        <v>46310.416666666664</v>
      </c>
      <c r="AF2766" s="30">
        <v>46316.416666666664</v>
      </c>
      <c r="AG2766" t="s">
        <v>1266</v>
      </c>
      <c r="AK2766" t="s">
        <v>1265</v>
      </c>
      <c r="AL2766" t="s">
        <v>1900</v>
      </c>
      <c r="AM2766" t="s">
        <v>1263</v>
      </c>
      <c r="AN2766" t="s">
        <v>1262</v>
      </c>
      <c r="AO2766">
        <v>0</v>
      </c>
      <c r="AQ2766" t="s">
        <v>1261</v>
      </c>
      <c r="AR2766" t="s">
        <v>1260</v>
      </c>
      <c r="AS2766" t="s">
        <v>1259</v>
      </c>
      <c r="AT2766" s="30">
        <v>46072.692361111112</v>
      </c>
    </row>
    <row r="2767" spans="1:46" x14ac:dyDescent="0.25">
      <c r="A2767" t="s">
        <v>1248</v>
      </c>
      <c r="B2767">
        <v>253202</v>
      </c>
      <c r="C2767">
        <v>352238</v>
      </c>
      <c r="D2767">
        <v>405</v>
      </c>
      <c r="E2767" t="s">
        <v>1266</v>
      </c>
      <c r="G2767">
        <v>745</v>
      </c>
      <c r="H2767">
        <v>1832</v>
      </c>
      <c r="K2767" t="s">
        <v>1881</v>
      </c>
      <c r="L2767" t="s">
        <v>1881</v>
      </c>
      <c r="M2767" s="29">
        <v>323878125</v>
      </c>
      <c r="N2767">
        <v>0</v>
      </c>
      <c r="O2767" s="29">
        <v>323878125</v>
      </c>
      <c r="P2767">
        <v>0</v>
      </c>
      <c r="Q2767">
        <v>0</v>
      </c>
      <c r="R2767">
        <v>0</v>
      </c>
      <c r="T2767" s="29">
        <v>18600</v>
      </c>
      <c r="U2767" s="29">
        <v>19277226</v>
      </c>
      <c r="V2767" t="s">
        <v>1262</v>
      </c>
      <c r="W2767" t="s">
        <v>1262</v>
      </c>
      <c r="X2767" s="29">
        <v>19277226</v>
      </c>
      <c r="AA2767" s="30">
        <v>45887.630555555559</v>
      </c>
      <c r="AB2767" s="30">
        <v>45891.630555555559</v>
      </c>
      <c r="AC2767" s="30">
        <v>45887.630555555559</v>
      </c>
      <c r="AD2767" s="30">
        <v>45891.630555555559</v>
      </c>
      <c r="AE2767" s="30">
        <v>46294.416666666664</v>
      </c>
      <c r="AF2767" s="30">
        <v>46300.416666666664</v>
      </c>
      <c r="AG2767" t="s">
        <v>1266</v>
      </c>
      <c r="AK2767" t="s">
        <v>1265</v>
      </c>
      <c r="AL2767" t="s">
        <v>1899</v>
      </c>
      <c r="AM2767" t="s">
        <v>1263</v>
      </c>
      <c r="AN2767" t="s">
        <v>1262</v>
      </c>
      <c r="AO2767">
        <v>0</v>
      </c>
      <c r="AQ2767" t="s">
        <v>1261</v>
      </c>
      <c r="AR2767" t="s">
        <v>1260</v>
      </c>
      <c r="AS2767" t="s">
        <v>1259</v>
      </c>
      <c r="AT2767" s="30">
        <v>46072.692361111112</v>
      </c>
    </row>
    <row r="2768" spans="1:46" x14ac:dyDescent="0.25">
      <c r="A2768" t="s">
        <v>1248</v>
      </c>
      <c r="B2768">
        <v>253203</v>
      </c>
      <c r="C2768">
        <v>352245</v>
      </c>
      <c r="D2768">
        <v>405</v>
      </c>
      <c r="E2768" t="s">
        <v>1266</v>
      </c>
      <c r="G2768">
        <v>745</v>
      </c>
      <c r="H2768">
        <v>1832</v>
      </c>
      <c r="K2768" t="s">
        <v>1881</v>
      </c>
      <c r="L2768" t="s">
        <v>1881</v>
      </c>
      <c r="M2768" s="29">
        <v>323878125</v>
      </c>
      <c r="N2768">
        <v>0</v>
      </c>
      <c r="O2768" s="29">
        <v>323878125</v>
      </c>
      <c r="P2768">
        <v>0</v>
      </c>
      <c r="Q2768">
        <v>0</v>
      </c>
      <c r="R2768">
        <v>0</v>
      </c>
      <c r="T2768" s="29">
        <v>18600</v>
      </c>
      <c r="U2768" s="29">
        <v>19277226</v>
      </c>
      <c r="V2768" t="s">
        <v>1262</v>
      </c>
      <c r="W2768" t="s">
        <v>1262</v>
      </c>
      <c r="X2768" s="29">
        <v>19277226</v>
      </c>
      <c r="AA2768" s="30">
        <v>45889.35</v>
      </c>
      <c r="AB2768" s="30">
        <v>45895.35</v>
      </c>
      <c r="AC2768" s="30">
        <v>45889.35</v>
      </c>
      <c r="AD2768" s="30">
        <v>45895.35</v>
      </c>
      <c r="AE2768" s="30">
        <v>46276.416666666664</v>
      </c>
      <c r="AF2768" s="30">
        <v>46282.416666666664</v>
      </c>
      <c r="AG2768" t="s">
        <v>1266</v>
      </c>
      <c r="AK2768" t="s">
        <v>1265</v>
      </c>
      <c r="AL2768" t="s">
        <v>1898</v>
      </c>
      <c r="AM2768" t="s">
        <v>1263</v>
      </c>
      <c r="AN2768" t="s">
        <v>1262</v>
      </c>
      <c r="AO2768">
        <v>0</v>
      </c>
      <c r="AQ2768" t="s">
        <v>1261</v>
      </c>
      <c r="AR2768" t="s">
        <v>1260</v>
      </c>
      <c r="AS2768" t="s">
        <v>1259</v>
      </c>
      <c r="AT2768" s="30">
        <v>46072.692361111112</v>
      </c>
    </row>
    <row r="2769" spans="1:46" x14ac:dyDescent="0.25">
      <c r="A2769" t="s">
        <v>1248</v>
      </c>
      <c r="B2769">
        <v>253204</v>
      </c>
      <c r="C2769">
        <v>352252</v>
      </c>
      <c r="D2769">
        <v>405</v>
      </c>
      <c r="E2769" t="s">
        <v>1266</v>
      </c>
      <c r="G2769">
        <v>745</v>
      </c>
      <c r="H2769">
        <v>1832</v>
      </c>
      <c r="K2769" t="s">
        <v>1881</v>
      </c>
      <c r="L2769" t="s">
        <v>1881</v>
      </c>
      <c r="M2769" s="29">
        <v>323878125</v>
      </c>
      <c r="N2769">
        <v>0</v>
      </c>
      <c r="O2769" s="29">
        <v>323878125</v>
      </c>
      <c r="P2769">
        <v>0</v>
      </c>
      <c r="Q2769">
        <v>0</v>
      </c>
      <c r="R2769">
        <v>0</v>
      </c>
      <c r="T2769" s="29">
        <v>18600</v>
      </c>
      <c r="U2769" s="29">
        <v>19277226</v>
      </c>
      <c r="V2769" t="s">
        <v>1262</v>
      </c>
      <c r="W2769" t="s">
        <v>1262</v>
      </c>
      <c r="X2769" s="29">
        <v>19277226</v>
      </c>
      <c r="AA2769" s="30">
        <v>45887.39166666667</v>
      </c>
      <c r="AB2769" s="30">
        <v>45891.39166666667</v>
      </c>
      <c r="AC2769" s="30">
        <v>45887.39166666667</v>
      </c>
      <c r="AD2769" s="30">
        <v>45891.39166666667</v>
      </c>
      <c r="AE2769" s="30">
        <v>46260.416666666664</v>
      </c>
      <c r="AF2769" s="30">
        <v>46266.416666666664</v>
      </c>
      <c r="AG2769" t="s">
        <v>1266</v>
      </c>
      <c r="AK2769" t="s">
        <v>1265</v>
      </c>
      <c r="AL2769" t="s">
        <v>1897</v>
      </c>
      <c r="AM2769" t="s">
        <v>1263</v>
      </c>
      <c r="AN2769" t="s">
        <v>1262</v>
      </c>
      <c r="AO2769">
        <v>0</v>
      </c>
      <c r="AQ2769" t="s">
        <v>1261</v>
      </c>
      <c r="AR2769" t="s">
        <v>1260</v>
      </c>
      <c r="AS2769" t="s">
        <v>1259</v>
      </c>
      <c r="AT2769" s="30">
        <v>46072.692361111112</v>
      </c>
    </row>
    <row r="2770" spans="1:46" x14ac:dyDescent="0.25">
      <c r="A2770" t="s">
        <v>1248</v>
      </c>
      <c r="B2770">
        <v>253205</v>
      </c>
      <c r="C2770">
        <v>352259</v>
      </c>
      <c r="D2770">
        <v>405</v>
      </c>
      <c r="E2770" t="s">
        <v>1266</v>
      </c>
      <c r="G2770">
        <v>745</v>
      </c>
      <c r="H2770">
        <v>1832</v>
      </c>
      <c r="K2770" t="s">
        <v>1881</v>
      </c>
      <c r="L2770" t="s">
        <v>1881</v>
      </c>
      <c r="M2770" s="29">
        <v>323878125</v>
      </c>
      <c r="N2770">
        <v>0</v>
      </c>
      <c r="O2770" s="29">
        <v>323878125</v>
      </c>
      <c r="P2770">
        <v>0</v>
      </c>
      <c r="Q2770">
        <v>0</v>
      </c>
      <c r="R2770">
        <v>0</v>
      </c>
      <c r="T2770" s="29">
        <v>18600</v>
      </c>
      <c r="U2770" s="29">
        <v>19277226</v>
      </c>
      <c r="V2770" t="s">
        <v>1262</v>
      </c>
      <c r="W2770" t="s">
        <v>1262</v>
      </c>
      <c r="X2770" s="29">
        <v>19277226</v>
      </c>
      <c r="AA2770" s="30">
        <v>45883.433333333334</v>
      </c>
      <c r="AB2770" s="30">
        <v>45889.433333333334</v>
      </c>
      <c r="AC2770" s="30">
        <v>45883.433333333334</v>
      </c>
      <c r="AD2770" s="30">
        <v>45889.433333333334</v>
      </c>
      <c r="AE2770" s="30">
        <v>46244.416666666664</v>
      </c>
      <c r="AF2770" s="30">
        <v>46248.416666666664</v>
      </c>
      <c r="AG2770" t="s">
        <v>1266</v>
      </c>
      <c r="AK2770" t="s">
        <v>1265</v>
      </c>
      <c r="AL2770" t="s">
        <v>1896</v>
      </c>
      <c r="AM2770" t="s">
        <v>1263</v>
      </c>
      <c r="AN2770" t="s">
        <v>1262</v>
      </c>
      <c r="AO2770">
        <v>0</v>
      </c>
      <c r="AQ2770" t="s">
        <v>1261</v>
      </c>
      <c r="AR2770" t="s">
        <v>1260</v>
      </c>
      <c r="AS2770" t="s">
        <v>1259</v>
      </c>
      <c r="AT2770" s="30">
        <v>46072.692361111112</v>
      </c>
    </row>
    <row r="2771" spans="1:46" x14ac:dyDescent="0.25">
      <c r="A2771" t="s">
        <v>1248</v>
      </c>
      <c r="B2771">
        <v>253206</v>
      </c>
      <c r="C2771">
        <v>352266</v>
      </c>
      <c r="D2771">
        <v>405</v>
      </c>
      <c r="E2771" t="s">
        <v>1266</v>
      </c>
      <c r="G2771">
        <v>745</v>
      </c>
      <c r="H2771">
        <v>1832</v>
      </c>
      <c r="K2771" t="s">
        <v>1881</v>
      </c>
      <c r="L2771" t="s">
        <v>1881</v>
      </c>
      <c r="M2771" s="29">
        <v>323878125</v>
      </c>
      <c r="N2771">
        <v>0</v>
      </c>
      <c r="O2771" s="29">
        <v>323878125</v>
      </c>
      <c r="P2771">
        <v>0</v>
      </c>
      <c r="Q2771">
        <v>0</v>
      </c>
      <c r="R2771">
        <v>0</v>
      </c>
      <c r="T2771" s="29">
        <v>11200</v>
      </c>
      <c r="U2771" s="29">
        <v>11607792</v>
      </c>
      <c r="V2771" t="s">
        <v>1262</v>
      </c>
      <c r="W2771" t="s">
        <v>1262</v>
      </c>
      <c r="X2771" s="29">
        <v>11607792</v>
      </c>
      <c r="AA2771" s="30">
        <v>45873.7</v>
      </c>
      <c r="AB2771" s="30">
        <v>45877.7</v>
      </c>
      <c r="AC2771" s="30">
        <v>45873.7</v>
      </c>
      <c r="AD2771" s="30">
        <v>45877.7</v>
      </c>
      <c r="AE2771" s="30">
        <v>46226.416666666664</v>
      </c>
      <c r="AF2771" s="30">
        <v>46232.416666666664</v>
      </c>
      <c r="AG2771" t="s">
        <v>1266</v>
      </c>
      <c r="AK2771" t="s">
        <v>1265</v>
      </c>
      <c r="AL2771" t="s">
        <v>1895</v>
      </c>
      <c r="AM2771" t="s">
        <v>1263</v>
      </c>
      <c r="AN2771" t="s">
        <v>1262</v>
      </c>
      <c r="AO2771">
        <v>0</v>
      </c>
      <c r="AQ2771" t="s">
        <v>1261</v>
      </c>
      <c r="AR2771" t="s">
        <v>1260</v>
      </c>
      <c r="AS2771" t="s">
        <v>1259</v>
      </c>
      <c r="AT2771" s="30">
        <v>46072.692361111112</v>
      </c>
    </row>
    <row r="2772" spans="1:46" x14ac:dyDescent="0.25">
      <c r="A2772" t="s">
        <v>1248</v>
      </c>
      <c r="B2772">
        <v>253207</v>
      </c>
      <c r="C2772">
        <v>352273</v>
      </c>
      <c r="D2772">
        <v>405</v>
      </c>
      <c r="E2772" t="s">
        <v>1266</v>
      </c>
      <c r="G2772">
        <v>745</v>
      </c>
      <c r="H2772">
        <v>1832</v>
      </c>
      <c r="K2772" t="s">
        <v>1881</v>
      </c>
      <c r="L2772" t="s">
        <v>1881</v>
      </c>
      <c r="M2772" s="29">
        <v>323878125</v>
      </c>
      <c r="N2772">
        <v>0</v>
      </c>
      <c r="O2772" s="29">
        <v>323878125</v>
      </c>
      <c r="P2772">
        <v>0</v>
      </c>
      <c r="Q2772">
        <v>0</v>
      </c>
      <c r="R2772">
        <v>0</v>
      </c>
      <c r="T2772" s="29">
        <v>11200</v>
      </c>
      <c r="U2772" s="29">
        <v>11607792</v>
      </c>
      <c r="V2772" t="s">
        <v>1262</v>
      </c>
      <c r="W2772" t="s">
        <v>1262</v>
      </c>
      <c r="X2772" s="29">
        <v>11607792</v>
      </c>
      <c r="AA2772" s="30">
        <v>45870.366666666669</v>
      </c>
      <c r="AB2772" s="30">
        <v>45876.366666666669</v>
      </c>
      <c r="AC2772" s="30">
        <v>45870.366666666669</v>
      </c>
      <c r="AD2772" s="30">
        <v>45876.366666666669</v>
      </c>
      <c r="AE2772" s="30">
        <v>46210.416666666664</v>
      </c>
      <c r="AF2772" s="30">
        <v>46216.416666666664</v>
      </c>
      <c r="AG2772" t="s">
        <v>1266</v>
      </c>
      <c r="AK2772" t="s">
        <v>1265</v>
      </c>
      <c r="AL2772" t="s">
        <v>1894</v>
      </c>
      <c r="AM2772" t="s">
        <v>1263</v>
      </c>
      <c r="AN2772" t="s">
        <v>1262</v>
      </c>
      <c r="AO2772">
        <v>0</v>
      </c>
      <c r="AQ2772" t="s">
        <v>1261</v>
      </c>
      <c r="AR2772" t="s">
        <v>1260</v>
      </c>
      <c r="AS2772" t="s">
        <v>1259</v>
      </c>
      <c r="AT2772" s="30">
        <v>46072.692361111112</v>
      </c>
    </row>
    <row r="2773" spans="1:46" x14ac:dyDescent="0.25">
      <c r="A2773" t="s">
        <v>1248</v>
      </c>
      <c r="B2773">
        <v>253208</v>
      </c>
      <c r="C2773">
        <v>352280</v>
      </c>
      <c r="D2773">
        <v>405</v>
      </c>
      <c r="E2773" t="s">
        <v>1266</v>
      </c>
      <c r="G2773">
        <v>745</v>
      </c>
      <c r="H2773">
        <v>1832</v>
      </c>
      <c r="K2773" t="s">
        <v>1881</v>
      </c>
      <c r="L2773" t="s">
        <v>1881</v>
      </c>
      <c r="M2773" s="29">
        <v>323878125</v>
      </c>
      <c r="N2773">
        <v>0</v>
      </c>
      <c r="O2773" s="29">
        <v>323878125</v>
      </c>
      <c r="P2773">
        <v>0</v>
      </c>
      <c r="Q2773">
        <v>0</v>
      </c>
      <c r="R2773">
        <v>0</v>
      </c>
      <c r="T2773" s="29">
        <v>11200</v>
      </c>
      <c r="U2773" s="29">
        <v>11607792</v>
      </c>
      <c r="V2773" t="s">
        <v>1262</v>
      </c>
      <c r="W2773" t="s">
        <v>1262</v>
      </c>
      <c r="X2773" s="29">
        <v>11607792</v>
      </c>
      <c r="AA2773" s="30">
        <v>45868.408333333333</v>
      </c>
      <c r="AB2773" s="30">
        <v>45874.408333333333</v>
      </c>
      <c r="AC2773" s="30">
        <v>45868.408333333333</v>
      </c>
      <c r="AD2773" s="30">
        <v>45874.408333333333</v>
      </c>
      <c r="AE2773" s="30">
        <v>46192.416666666664</v>
      </c>
      <c r="AF2773" s="30">
        <v>46198.416666666664</v>
      </c>
      <c r="AG2773" t="s">
        <v>1266</v>
      </c>
      <c r="AK2773" t="s">
        <v>1265</v>
      </c>
      <c r="AL2773" t="s">
        <v>1893</v>
      </c>
      <c r="AM2773" t="s">
        <v>1263</v>
      </c>
      <c r="AN2773" t="s">
        <v>1262</v>
      </c>
      <c r="AO2773">
        <v>0</v>
      </c>
      <c r="AQ2773" t="s">
        <v>1261</v>
      </c>
      <c r="AR2773" t="s">
        <v>1260</v>
      </c>
      <c r="AS2773" t="s">
        <v>1259</v>
      </c>
      <c r="AT2773" s="30">
        <v>46072.692361111112</v>
      </c>
    </row>
    <row r="2774" spans="1:46" x14ac:dyDescent="0.25">
      <c r="A2774" t="s">
        <v>1248</v>
      </c>
      <c r="B2774">
        <v>253209</v>
      </c>
      <c r="C2774">
        <v>352287</v>
      </c>
      <c r="D2774">
        <v>405</v>
      </c>
      <c r="E2774" t="s">
        <v>1266</v>
      </c>
      <c r="G2774">
        <v>745</v>
      </c>
      <c r="H2774">
        <v>1832</v>
      </c>
      <c r="K2774" t="s">
        <v>1881</v>
      </c>
      <c r="L2774" t="s">
        <v>1881</v>
      </c>
      <c r="M2774" s="29">
        <v>323878125</v>
      </c>
      <c r="N2774">
        <v>0</v>
      </c>
      <c r="O2774" s="29">
        <v>323878125</v>
      </c>
      <c r="P2774">
        <v>0</v>
      </c>
      <c r="Q2774">
        <v>0</v>
      </c>
      <c r="R2774">
        <v>0</v>
      </c>
      <c r="T2774" s="29">
        <v>11200</v>
      </c>
      <c r="U2774" s="29">
        <v>11607792</v>
      </c>
      <c r="V2774" t="s">
        <v>1262</v>
      </c>
      <c r="W2774" t="s">
        <v>1262</v>
      </c>
      <c r="X2774" s="29">
        <v>11607792</v>
      </c>
      <c r="AA2774" s="30">
        <v>45866.45</v>
      </c>
      <c r="AB2774" s="30">
        <v>45870.45</v>
      </c>
      <c r="AC2774" s="30">
        <v>45866.45</v>
      </c>
      <c r="AD2774" s="30">
        <v>45870.45</v>
      </c>
      <c r="AE2774" s="30">
        <v>46176.416666666664</v>
      </c>
      <c r="AF2774" s="30">
        <v>46182.416666666664</v>
      </c>
      <c r="AG2774" t="s">
        <v>1266</v>
      </c>
      <c r="AK2774" t="s">
        <v>1265</v>
      </c>
      <c r="AL2774" t="s">
        <v>1892</v>
      </c>
      <c r="AM2774" t="s">
        <v>1263</v>
      </c>
      <c r="AN2774" t="s">
        <v>1262</v>
      </c>
      <c r="AO2774">
        <v>0</v>
      </c>
      <c r="AQ2774" t="s">
        <v>1261</v>
      </c>
      <c r="AR2774" t="s">
        <v>1260</v>
      </c>
      <c r="AS2774" t="s">
        <v>1259</v>
      </c>
      <c r="AT2774" s="30">
        <v>46072.692361111112</v>
      </c>
    </row>
    <row r="2775" spans="1:46" x14ac:dyDescent="0.25">
      <c r="A2775" t="s">
        <v>1248</v>
      </c>
      <c r="B2775">
        <v>253210</v>
      </c>
      <c r="C2775">
        <v>352294</v>
      </c>
      <c r="D2775">
        <v>405</v>
      </c>
      <c r="E2775" t="s">
        <v>1266</v>
      </c>
      <c r="G2775">
        <v>745</v>
      </c>
      <c r="H2775">
        <v>1832</v>
      </c>
      <c r="K2775" t="s">
        <v>1881</v>
      </c>
      <c r="L2775" t="s">
        <v>1881</v>
      </c>
      <c r="M2775" s="29">
        <v>323878125</v>
      </c>
      <c r="N2775">
        <v>0</v>
      </c>
      <c r="O2775" s="29">
        <v>323878125</v>
      </c>
      <c r="P2775">
        <v>0</v>
      </c>
      <c r="Q2775">
        <v>0</v>
      </c>
      <c r="R2775">
        <v>0</v>
      </c>
      <c r="T2775" s="29">
        <v>11200</v>
      </c>
      <c r="U2775" s="29">
        <v>11607792</v>
      </c>
      <c r="V2775" t="s">
        <v>1262</v>
      </c>
      <c r="W2775" t="s">
        <v>1262</v>
      </c>
      <c r="X2775" s="29">
        <v>11607792</v>
      </c>
      <c r="AA2775" s="30">
        <v>45862.491666666669</v>
      </c>
      <c r="AB2775" s="30">
        <v>45868.491666666669</v>
      </c>
      <c r="AC2775" s="30">
        <v>45862.491666666669</v>
      </c>
      <c r="AD2775" s="30">
        <v>45868.491666666669</v>
      </c>
      <c r="AE2775" s="30">
        <v>46157.416666666664</v>
      </c>
      <c r="AF2775" s="30">
        <v>46163.416666666664</v>
      </c>
      <c r="AG2775" t="s">
        <v>1266</v>
      </c>
      <c r="AK2775" t="s">
        <v>1265</v>
      </c>
      <c r="AL2775" t="s">
        <v>1891</v>
      </c>
      <c r="AM2775" t="s">
        <v>1263</v>
      </c>
      <c r="AN2775" t="s">
        <v>1262</v>
      </c>
      <c r="AO2775">
        <v>0</v>
      </c>
      <c r="AQ2775" t="s">
        <v>1261</v>
      </c>
      <c r="AR2775" t="s">
        <v>1260</v>
      </c>
      <c r="AS2775" t="s">
        <v>1259</v>
      </c>
      <c r="AT2775" s="30">
        <v>46072.692361111112</v>
      </c>
    </row>
    <row r="2776" spans="1:46" x14ac:dyDescent="0.25">
      <c r="A2776" t="s">
        <v>1248</v>
      </c>
      <c r="B2776">
        <v>253211</v>
      </c>
      <c r="C2776">
        <v>352301</v>
      </c>
      <c r="D2776">
        <v>405</v>
      </c>
      <c r="E2776" t="s">
        <v>1266</v>
      </c>
      <c r="G2776">
        <v>745</v>
      </c>
      <c r="H2776">
        <v>1832</v>
      </c>
      <c r="K2776" t="s">
        <v>1881</v>
      </c>
      <c r="L2776" t="s">
        <v>1881</v>
      </c>
      <c r="M2776" s="29">
        <v>323878125</v>
      </c>
      <c r="N2776">
        <v>0</v>
      </c>
      <c r="O2776" s="29">
        <v>323878125</v>
      </c>
      <c r="P2776">
        <v>0</v>
      </c>
      <c r="Q2776">
        <v>0</v>
      </c>
      <c r="R2776">
        <v>0</v>
      </c>
      <c r="T2776" s="29">
        <v>11200</v>
      </c>
      <c r="U2776" s="29">
        <v>11607792</v>
      </c>
      <c r="V2776" t="s">
        <v>1262</v>
      </c>
      <c r="W2776" t="s">
        <v>1262</v>
      </c>
      <c r="X2776" s="29">
        <v>11607792</v>
      </c>
      <c r="AA2776" s="30">
        <v>45860.574999999997</v>
      </c>
      <c r="AB2776" s="30">
        <v>45866.574999999997</v>
      </c>
      <c r="AC2776" s="30">
        <v>45860.574999999997</v>
      </c>
      <c r="AD2776" s="30">
        <v>45866.574999999997</v>
      </c>
      <c r="AE2776" s="30">
        <v>46140.416666666664</v>
      </c>
      <c r="AF2776" s="30">
        <v>46147.416666666664</v>
      </c>
      <c r="AG2776" t="s">
        <v>1266</v>
      </c>
      <c r="AK2776" t="s">
        <v>1265</v>
      </c>
      <c r="AL2776" t="s">
        <v>1890</v>
      </c>
      <c r="AM2776" t="s">
        <v>1263</v>
      </c>
      <c r="AN2776" t="s">
        <v>1262</v>
      </c>
      <c r="AO2776">
        <v>0</v>
      </c>
      <c r="AQ2776" t="s">
        <v>1261</v>
      </c>
      <c r="AR2776" t="s">
        <v>1260</v>
      </c>
      <c r="AS2776" t="s">
        <v>1259</v>
      </c>
      <c r="AT2776" s="30">
        <v>46072.692361111112</v>
      </c>
    </row>
    <row r="2777" spans="1:46" x14ac:dyDescent="0.25">
      <c r="A2777" t="s">
        <v>1248</v>
      </c>
      <c r="B2777">
        <v>253212</v>
      </c>
      <c r="C2777">
        <v>352308</v>
      </c>
      <c r="D2777">
        <v>405</v>
      </c>
      <c r="E2777" t="s">
        <v>1266</v>
      </c>
      <c r="G2777">
        <v>745</v>
      </c>
      <c r="H2777">
        <v>1832</v>
      </c>
      <c r="K2777" t="s">
        <v>1881</v>
      </c>
      <c r="L2777" t="s">
        <v>1881</v>
      </c>
      <c r="M2777" s="29">
        <v>323878125</v>
      </c>
      <c r="N2777">
        <v>0</v>
      </c>
      <c r="O2777" s="29">
        <v>323878125</v>
      </c>
      <c r="P2777">
        <v>0</v>
      </c>
      <c r="Q2777">
        <v>0</v>
      </c>
      <c r="R2777">
        <v>0</v>
      </c>
      <c r="T2777" s="29">
        <v>11200</v>
      </c>
      <c r="U2777" s="29">
        <v>11607792</v>
      </c>
      <c r="V2777" t="s">
        <v>1262</v>
      </c>
      <c r="W2777" t="s">
        <v>1262</v>
      </c>
      <c r="X2777" s="29">
        <v>11607792</v>
      </c>
      <c r="AA2777" s="30">
        <v>45846.433333333334</v>
      </c>
      <c r="AB2777" s="30">
        <v>45852.433333333334</v>
      </c>
      <c r="AC2777" s="30">
        <v>45846.433333333334</v>
      </c>
      <c r="AD2777" s="30">
        <v>45852.433333333334</v>
      </c>
      <c r="AE2777" s="30">
        <v>46122.416666666664</v>
      </c>
      <c r="AF2777" s="30">
        <v>46128.416666666664</v>
      </c>
      <c r="AG2777" t="s">
        <v>1266</v>
      </c>
      <c r="AK2777" t="s">
        <v>1265</v>
      </c>
      <c r="AL2777" t="s">
        <v>1889</v>
      </c>
      <c r="AM2777" t="s">
        <v>1263</v>
      </c>
      <c r="AN2777" t="s">
        <v>1262</v>
      </c>
      <c r="AO2777">
        <v>0</v>
      </c>
      <c r="AQ2777" t="s">
        <v>1261</v>
      </c>
      <c r="AR2777" t="s">
        <v>1260</v>
      </c>
      <c r="AS2777" t="s">
        <v>1259</v>
      </c>
      <c r="AT2777" s="30">
        <v>46072.692361111112</v>
      </c>
    </row>
    <row r="2778" spans="1:46" x14ac:dyDescent="0.25">
      <c r="A2778" t="s">
        <v>1248</v>
      </c>
      <c r="B2778">
        <v>253213</v>
      </c>
      <c r="C2778">
        <v>352315</v>
      </c>
      <c r="D2778">
        <v>405</v>
      </c>
      <c r="E2778" t="s">
        <v>1266</v>
      </c>
      <c r="G2778">
        <v>745</v>
      </c>
      <c r="H2778">
        <v>1832</v>
      </c>
      <c r="K2778" t="s">
        <v>1881</v>
      </c>
      <c r="L2778" t="s">
        <v>1881</v>
      </c>
      <c r="M2778" s="29">
        <v>323878125</v>
      </c>
      <c r="N2778">
        <v>0</v>
      </c>
      <c r="O2778" s="29">
        <v>323878125</v>
      </c>
      <c r="P2778">
        <v>0</v>
      </c>
      <c r="Q2778">
        <v>0</v>
      </c>
      <c r="R2778">
        <v>0</v>
      </c>
      <c r="T2778" s="29">
        <v>11200</v>
      </c>
      <c r="U2778" s="29">
        <v>11607792</v>
      </c>
      <c r="V2778" t="s">
        <v>1262</v>
      </c>
      <c r="W2778" t="s">
        <v>1262</v>
      </c>
      <c r="X2778" s="29">
        <v>11607792</v>
      </c>
      <c r="AA2778" s="30">
        <v>45841.64166666667</v>
      </c>
      <c r="AB2778" s="30">
        <v>45847.64166666667</v>
      </c>
      <c r="AC2778" s="30">
        <v>45841.64166666667</v>
      </c>
      <c r="AD2778" s="30">
        <v>45847.64166666667</v>
      </c>
      <c r="AE2778" s="30">
        <v>46105.416666666664</v>
      </c>
      <c r="AF2778" s="30">
        <v>46111.416666666664</v>
      </c>
      <c r="AG2778" t="s">
        <v>1266</v>
      </c>
      <c r="AK2778" t="s">
        <v>1265</v>
      </c>
      <c r="AL2778" t="s">
        <v>1888</v>
      </c>
      <c r="AM2778" t="s">
        <v>1263</v>
      </c>
      <c r="AN2778" t="s">
        <v>1262</v>
      </c>
      <c r="AO2778">
        <v>0</v>
      </c>
      <c r="AQ2778" t="s">
        <v>1261</v>
      </c>
      <c r="AR2778" t="s">
        <v>1260</v>
      </c>
      <c r="AS2778" t="s">
        <v>1259</v>
      </c>
      <c r="AT2778" s="30">
        <v>46072.692361111112</v>
      </c>
    </row>
    <row r="2779" spans="1:46" x14ac:dyDescent="0.25">
      <c r="A2779" t="s">
        <v>1248</v>
      </c>
      <c r="B2779">
        <v>253214</v>
      </c>
      <c r="C2779">
        <v>352322</v>
      </c>
      <c r="D2779">
        <v>405</v>
      </c>
      <c r="E2779" t="s">
        <v>1266</v>
      </c>
      <c r="G2779">
        <v>745</v>
      </c>
      <c r="H2779">
        <v>1832</v>
      </c>
      <c r="K2779" t="s">
        <v>1881</v>
      </c>
      <c r="L2779" t="s">
        <v>1881</v>
      </c>
      <c r="M2779" s="29">
        <v>323878125</v>
      </c>
      <c r="N2779">
        <v>0</v>
      </c>
      <c r="O2779" s="29">
        <v>323878125</v>
      </c>
      <c r="P2779">
        <v>0</v>
      </c>
      <c r="Q2779">
        <v>0</v>
      </c>
      <c r="R2779">
        <v>0</v>
      </c>
      <c r="T2779" s="29">
        <v>11200</v>
      </c>
      <c r="U2779" s="29">
        <v>11607792</v>
      </c>
      <c r="V2779" t="s">
        <v>1262</v>
      </c>
      <c r="W2779" t="s">
        <v>1262</v>
      </c>
      <c r="X2779" s="29">
        <v>11607792</v>
      </c>
      <c r="AA2779" s="30">
        <v>45839.683333333334</v>
      </c>
      <c r="AB2779" s="30">
        <v>45845.683333333334</v>
      </c>
      <c r="AC2779" s="30">
        <v>45839.683333333334</v>
      </c>
      <c r="AD2779" s="30">
        <v>45845.683333333334</v>
      </c>
      <c r="AE2779" s="30">
        <v>46087.416666666664</v>
      </c>
      <c r="AF2779" s="30">
        <v>46093.416666666664</v>
      </c>
      <c r="AG2779" t="s">
        <v>1266</v>
      </c>
      <c r="AK2779" t="s">
        <v>1265</v>
      </c>
      <c r="AL2779" t="s">
        <v>1887</v>
      </c>
      <c r="AM2779" t="s">
        <v>1263</v>
      </c>
      <c r="AN2779" t="s">
        <v>1262</v>
      </c>
      <c r="AO2779">
        <v>0</v>
      </c>
      <c r="AQ2779" t="s">
        <v>1261</v>
      </c>
      <c r="AR2779" t="s">
        <v>1260</v>
      </c>
      <c r="AS2779" t="s">
        <v>1259</v>
      </c>
      <c r="AT2779" s="30">
        <v>46072.692361111112</v>
      </c>
    </row>
    <row r="2780" spans="1:46" x14ac:dyDescent="0.25">
      <c r="A2780" t="s">
        <v>1248</v>
      </c>
      <c r="B2780">
        <v>253215</v>
      </c>
      <c r="C2780">
        <v>352329</v>
      </c>
      <c r="D2780">
        <v>405</v>
      </c>
      <c r="E2780" t="s">
        <v>1266</v>
      </c>
      <c r="G2780">
        <v>745</v>
      </c>
      <c r="H2780">
        <v>1832</v>
      </c>
      <c r="K2780" t="s">
        <v>1881</v>
      </c>
      <c r="L2780" t="s">
        <v>1881</v>
      </c>
      <c r="M2780" s="29">
        <v>323878125</v>
      </c>
      <c r="N2780">
        <v>0</v>
      </c>
      <c r="O2780" s="29">
        <v>323878125</v>
      </c>
      <c r="P2780">
        <v>0</v>
      </c>
      <c r="Q2780">
        <v>0</v>
      </c>
      <c r="R2780">
        <v>0</v>
      </c>
      <c r="T2780" s="29">
        <v>11200</v>
      </c>
      <c r="U2780" s="29">
        <v>11607792</v>
      </c>
      <c r="V2780" t="s">
        <v>1262</v>
      </c>
      <c r="W2780" t="s">
        <v>1262</v>
      </c>
      <c r="X2780" s="29">
        <v>11607792</v>
      </c>
      <c r="AA2780" s="30">
        <v>45838.35</v>
      </c>
      <c r="AB2780" s="30">
        <v>45842.35</v>
      </c>
      <c r="AC2780" s="30">
        <v>45838.35</v>
      </c>
      <c r="AD2780" s="30">
        <v>45842.35</v>
      </c>
      <c r="AE2780" s="30">
        <v>46071.416666666664</v>
      </c>
      <c r="AF2780" s="30">
        <v>46077.416666666664</v>
      </c>
      <c r="AG2780" t="s">
        <v>1266</v>
      </c>
      <c r="AK2780" t="s">
        <v>1265</v>
      </c>
      <c r="AL2780" t="s">
        <v>1886</v>
      </c>
      <c r="AM2780" t="s">
        <v>1263</v>
      </c>
      <c r="AN2780" t="s">
        <v>1262</v>
      </c>
      <c r="AO2780">
        <v>0</v>
      </c>
      <c r="AQ2780" t="s">
        <v>1261</v>
      </c>
      <c r="AR2780" t="s">
        <v>1260</v>
      </c>
      <c r="AS2780" t="s">
        <v>1259</v>
      </c>
      <c r="AT2780" s="30">
        <v>46072.692361111112</v>
      </c>
    </row>
    <row r="2781" spans="1:46" x14ac:dyDescent="0.25">
      <c r="A2781" t="s">
        <v>1248</v>
      </c>
      <c r="B2781">
        <v>253216</v>
      </c>
      <c r="C2781">
        <v>352336</v>
      </c>
      <c r="D2781">
        <v>405</v>
      </c>
      <c r="E2781" t="s">
        <v>1266</v>
      </c>
      <c r="G2781">
        <v>745</v>
      </c>
      <c r="H2781">
        <v>1832</v>
      </c>
      <c r="K2781" t="s">
        <v>1881</v>
      </c>
      <c r="L2781" t="s">
        <v>1881</v>
      </c>
      <c r="M2781" s="29">
        <v>323878125</v>
      </c>
      <c r="N2781">
        <v>0</v>
      </c>
      <c r="O2781" s="29">
        <v>323878125</v>
      </c>
      <c r="P2781">
        <v>0</v>
      </c>
      <c r="Q2781">
        <v>0</v>
      </c>
      <c r="R2781">
        <v>0</v>
      </c>
      <c r="T2781" s="29">
        <v>11200</v>
      </c>
      <c r="U2781" s="29">
        <v>11607792</v>
      </c>
      <c r="V2781" t="s">
        <v>1262</v>
      </c>
      <c r="W2781" t="s">
        <v>1262</v>
      </c>
      <c r="X2781" s="29">
        <v>11607792</v>
      </c>
      <c r="AA2781" s="30">
        <v>45834.39166666667</v>
      </c>
      <c r="AB2781" s="30">
        <v>45840.39166666667</v>
      </c>
      <c r="AC2781" s="30">
        <v>45834.39166666667</v>
      </c>
      <c r="AD2781" s="30">
        <v>45840.39166666667</v>
      </c>
      <c r="AE2781" s="30">
        <v>46055.416666666664</v>
      </c>
      <c r="AF2781" s="30">
        <v>46059.416666666664</v>
      </c>
      <c r="AG2781" t="s">
        <v>1266</v>
      </c>
      <c r="AK2781" t="s">
        <v>1265</v>
      </c>
      <c r="AL2781" t="s">
        <v>1885</v>
      </c>
      <c r="AM2781" t="s">
        <v>1263</v>
      </c>
      <c r="AN2781" t="s">
        <v>1262</v>
      </c>
      <c r="AO2781">
        <v>0</v>
      </c>
      <c r="AQ2781" t="s">
        <v>1261</v>
      </c>
      <c r="AR2781" t="s">
        <v>1260</v>
      </c>
      <c r="AS2781" t="s">
        <v>1259</v>
      </c>
      <c r="AT2781" s="30">
        <v>46072.692361111112</v>
      </c>
    </row>
    <row r="2782" spans="1:46" x14ac:dyDescent="0.25">
      <c r="A2782" t="s">
        <v>1248</v>
      </c>
      <c r="B2782">
        <v>253217</v>
      </c>
      <c r="C2782">
        <v>352343</v>
      </c>
      <c r="D2782">
        <v>405</v>
      </c>
      <c r="E2782" t="s">
        <v>1266</v>
      </c>
      <c r="G2782">
        <v>745</v>
      </c>
      <c r="H2782">
        <v>1832</v>
      </c>
      <c r="K2782" t="s">
        <v>1881</v>
      </c>
      <c r="L2782" t="s">
        <v>1881</v>
      </c>
      <c r="M2782" s="29">
        <v>323878125</v>
      </c>
      <c r="N2782">
        <v>0</v>
      </c>
      <c r="O2782" s="29">
        <v>323878125</v>
      </c>
      <c r="P2782">
        <v>0</v>
      </c>
      <c r="Q2782">
        <v>0</v>
      </c>
      <c r="R2782">
        <v>0</v>
      </c>
      <c r="T2782" s="29">
        <v>11200</v>
      </c>
      <c r="U2782" s="29">
        <v>11607792</v>
      </c>
      <c r="V2782" t="s">
        <v>1262</v>
      </c>
      <c r="W2782" t="s">
        <v>1262</v>
      </c>
      <c r="X2782" s="29">
        <v>11607792</v>
      </c>
      <c r="AA2782" s="30">
        <v>45832.433333333334</v>
      </c>
      <c r="AB2782" s="30">
        <v>45838.433333333334</v>
      </c>
      <c r="AC2782" s="30">
        <v>45832.433333333334</v>
      </c>
      <c r="AD2782" s="30">
        <v>45838.433333333334</v>
      </c>
      <c r="AE2782" s="30">
        <v>46037.375</v>
      </c>
      <c r="AF2782" s="30">
        <v>46043.375</v>
      </c>
      <c r="AG2782" t="s">
        <v>1266</v>
      </c>
      <c r="AK2782" t="s">
        <v>1265</v>
      </c>
      <c r="AL2782" t="s">
        <v>1884</v>
      </c>
      <c r="AM2782" t="s">
        <v>1263</v>
      </c>
      <c r="AN2782" t="s">
        <v>1262</v>
      </c>
      <c r="AO2782">
        <v>0</v>
      </c>
      <c r="AQ2782" t="s">
        <v>1261</v>
      </c>
      <c r="AR2782" t="s">
        <v>1260</v>
      </c>
      <c r="AS2782" t="s">
        <v>1259</v>
      </c>
      <c r="AT2782" s="30">
        <v>46072.692361111112</v>
      </c>
    </row>
    <row r="2783" spans="1:46" x14ac:dyDescent="0.25">
      <c r="A2783" t="s">
        <v>1248</v>
      </c>
      <c r="B2783">
        <v>253218</v>
      </c>
      <c r="C2783">
        <v>352350</v>
      </c>
      <c r="D2783">
        <v>405</v>
      </c>
      <c r="E2783" t="s">
        <v>1266</v>
      </c>
      <c r="G2783">
        <v>745</v>
      </c>
      <c r="H2783">
        <v>1832</v>
      </c>
      <c r="K2783" t="s">
        <v>1881</v>
      </c>
      <c r="L2783" t="s">
        <v>1881</v>
      </c>
      <c r="M2783" s="29">
        <v>323878125</v>
      </c>
      <c r="N2783">
        <v>0</v>
      </c>
      <c r="O2783" s="29">
        <v>323878125</v>
      </c>
      <c r="P2783">
        <v>0</v>
      </c>
      <c r="Q2783">
        <v>0</v>
      </c>
      <c r="R2783">
        <v>0</v>
      </c>
      <c r="T2783" s="29">
        <v>11200</v>
      </c>
      <c r="U2783" s="29">
        <v>11607792</v>
      </c>
      <c r="V2783" t="s">
        <v>1262</v>
      </c>
      <c r="W2783" t="s">
        <v>1262</v>
      </c>
      <c r="X2783" s="29">
        <v>11607792</v>
      </c>
      <c r="AA2783" s="30">
        <v>45824.39166666667</v>
      </c>
      <c r="AB2783" s="30">
        <v>45828.39166666667</v>
      </c>
      <c r="AC2783" s="30">
        <v>45824.39166666667</v>
      </c>
      <c r="AD2783" s="30">
        <v>45828.39166666667</v>
      </c>
      <c r="AE2783" s="30">
        <v>46016.333333333336</v>
      </c>
      <c r="AF2783" s="30">
        <v>46021.708333333336</v>
      </c>
      <c r="AG2783" t="s">
        <v>1266</v>
      </c>
      <c r="AK2783" t="s">
        <v>1265</v>
      </c>
      <c r="AL2783" t="s">
        <v>1883</v>
      </c>
      <c r="AM2783" t="s">
        <v>1263</v>
      </c>
      <c r="AN2783" t="s">
        <v>1262</v>
      </c>
      <c r="AO2783">
        <v>0</v>
      </c>
      <c r="AQ2783" t="s">
        <v>1261</v>
      </c>
      <c r="AR2783" t="s">
        <v>1260</v>
      </c>
      <c r="AS2783" t="s">
        <v>1259</v>
      </c>
      <c r="AT2783" s="30">
        <v>46072.692361111112</v>
      </c>
    </row>
    <row r="2784" spans="1:46" x14ac:dyDescent="0.25">
      <c r="A2784" t="s">
        <v>1248</v>
      </c>
      <c r="B2784">
        <v>253219</v>
      </c>
      <c r="C2784">
        <v>352357</v>
      </c>
      <c r="D2784">
        <v>405</v>
      </c>
      <c r="E2784" t="s">
        <v>1266</v>
      </c>
      <c r="G2784">
        <v>745</v>
      </c>
      <c r="H2784">
        <v>1832</v>
      </c>
      <c r="K2784" t="s">
        <v>1881</v>
      </c>
      <c r="L2784" t="s">
        <v>1881</v>
      </c>
      <c r="M2784" s="29">
        <v>323878125</v>
      </c>
      <c r="N2784">
        <v>0</v>
      </c>
      <c r="O2784" s="29">
        <v>323878125</v>
      </c>
      <c r="P2784">
        <v>0</v>
      </c>
      <c r="Q2784">
        <v>0</v>
      </c>
      <c r="R2784">
        <v>0</v>
      </c>
      <c r="T2784" s="29">
        <v>11200</v>
      </c>
      <c r="U2784" s="29">
        <v>11607792</v>
      </c>
      <c r="V2784" t="s">
        <v>1262</v>
      </c>
      <c r="W2784" t="s">
        <v>1262</v>
      </c>
      <c r="X2784" s="29">
        <v>11607792</v>
      </c>
      <c r="AA2784" s="30">
        <v>45821.433333333334</v>
      </c>
      <c r="AB2784" s="30">
        <v>45827.433333333334</v>
      </c>
      <c r="AC2784" s="30">
        <v>45821.433333333334</v>
      </c>
      <c r="AD2784" s="30">
        <v>45827.433333333334</v>
      </c>
      <c r="AE2784" s="30">
        <v>46010.333333333336</v>
      </c>
      <c r="AF2784" s="30">
        <v>46015.708333333336</v>
      </c>
      <c r="AG2784" t="s">
        <v>1266</v>
      </c>
      <c r="AK2784" t="s">
        <v>1265</v>
      </c>
      <c r="AL2784" t="s">
        <v>1882</v>
      </c>
      <c r="AM2784" t="s">
        <v>1263</v>
      </c>
      <c r="AN2784" t="s">
        <v>1262</v>
      </c>
      <c r="AO2784">
        <v>0</v>
      </c>
      <c r="AQ2784" t="s">
        <v>1261</v>
      </c>
      <c r="AR2784" t="s">
        <v>1260</v>
      </c>
      <c r="AS2784" t="s">
        <v>1259</v>
      </c>
      <c r="AT2784" s="30">
        <v>46072.692361111112</v>
      </c>
    </row>
    <row r="2785" spans="1:46" x14ac:dyDescent="0.25">
      <c r="A2785" t="s">
        <v>1248</v>
      </c>
      <c r="B2785">
        <v>253220</v>
      </c>
      <c r="C2785">
        <v>352364</v>
      </c>
      <c r="D2785">
        <v>405</v>
      </c>
      <c r="E2785" t="s">
        <v>1266</v>
      </c>
      <c r="G2785">
        <v>745</v>
      </c>
      <c r="H2785">
        <v>1832</v>
      </c>
      <c r="K2785" t="s">
        <v>1881</v>
      </c>
      <c r="L2785" t="s">
        <v>1881</v>
      </c>
      <c r="M2785" s="29">
        <v>323878125</v>
      </c>
      <c r="N2785">
        <v>0</v>
      </c>
      <c r="O2785" s="29">
        <v>323878125</v>
      </c>
      <c r="P2785">
        <v>0</v>
      </c>
      <c r="Q2785">
        <v>0</v>
      </c>
      <c r="R2785">
        <v>0</v>
      </c>
      <c r="T2785" s="29">
        <v>11200</v>
      </c>
      <c r="U2785" s="29">
        <v>11607792</v>
      </c>
      <c r="V2785" t="s">
        <v>1262</v>
      </c>
      <c r="W2785" t="s">
        <v>1262</v>
      </c>
      <c r="X2785" s="29">
        <v>11607792</v>
      </c>
      <c r="AA2785" s="30">
        <v>45820.474999999999</v>
      </c>
      <c r="AB2785" s="30">
        <v>45826.474999999999</v>
      </c>
      <c r="AC2785" s="30">
        <v>45820.474999999999</v>
      </c>
      <c r="AD2785" s="30">
        <v>45826.474999999999</v>
      </c>
      <c r="AE2785" s="30">
        <v>45877.375</v>
      </c>
      <c r="AF2785" s="30">
        <v>45883.375</v>
      </c>
      <c r="AG2785" t="s">
        <v>1266</v>
      </c>
      <c r="AK2785" t="s">
        <v>1265</v>
      </c>
      <c r="AL2785" t="s">
        <v>1880</v>
      </c>
      <c r="AM2785" t="s">
        <v>1263</v>
      </c>
      <c r="AN2785" t="s">
        <v>1262</v>
      </c>
      <c r="AO2785">
        <v>0</v>
      </c>
      <c r="AQ2785" t="s">
        <v>1261</v>
      </c>
      <c r="AR2785" t="s">
        <v>1260</v>
      </c>
      <c r="AS2785" t="s">
        <v>1259</v>
      </c>
      <c r="AT2785" s="30">
        <v>46072.692361111112</v>
      </c>
    </row>
    <row r="2786" spans="1:46" x14ac:dyDescent="0.25">
      <c r="A2786" t="s">
        <v>1248</v>
      </c>
      <c r="B2786">
        <v>253221</v>
      </c>
      <c r="C2786">
        <v>352049</v>
      </c>
      <c r="D2786">
        <v>405</v>
      </c>
      <c r="E2786" t="s">
        <v>1266</v>
      </c>
      <c r="G2786">
        <v>745</v>
      </c>
      <c r="H2786">
        <v>1827</v>
      </c>
      <c r="K2786" s="29">
        <v>14307096</v>
      </c>
      <c r="L2786" s="29">
        <v>14307096</v>
      </c>
      <c r="M2786" t="s">
        <v>1859</v>
      </c>
      <c r="N2786">
        <v>0</v>
      </c>
      <c r="O2786" t="s">
        <v>1859</v>
      </c>
      <c r="P2786">
        <v>0</v>
      </c>
      <c r="Q2786">
        <v>0</v>
      </c>
      <c r="R2786">
        <v>0</v>
      </c>
      <c r="T2786" s="29">
        <v>207200</v>
      </c>
      <c r="U2786" s="29">
        <v>2964430</v>
      </c>
      <c r="V2786" t="s">
        <v>1262</v>
      </c>
      <c r="W2786" t="s">
        <v>1262</v>
      </c>
      <c r="X2786" s="29">
        <v>2964430</v>
      </c>
      <c r="AA2786" s="30">
        <v>45805.625</v>
      </c>
      <c r="AB2786" s="30">
        <v>45811.625</v>
      </c>
      <c r="AC2786" s="30">
        <v>45805.625</v>
      </c>
      <c r="AD2786" s="30">
        <v>45811.625</v>
      </c>
      <c r="AE2786" s="30">
        <v>45873.333333333336</v>
      </c>
      <c r="AF2786" s="30">
        <v>45876.708333333336</v>
      </c>
      <c r="AG2786" t="s">
        <v>1266</v>
      </c>
      <c r="AK2786" t="s">
        <v>1265</v>
      </c>
      <c r="AL2786" t="s">
        <v>1879</v>
      </c>
      <c r="AM2786" t="s">
        <v>1263</v>
      </c>
      <c r="AN2786" t="s">
        <v>1262</v>
      </c>
      <c r="AO2786">
        <v>0</v>
      </c>
      <c r="AQ2786" t="s">
        <v>1261</v>
      </c>
      <c r="AR2786" t="s">
        <v>1260</v>
      </c>
      <c r="AS2786" t="s">
        <v>1259</v>
      </c>
      <c r="AT2786" s="30">
        <v>46072.702777777777</v>
      </c>
    </row>
    <row r="2787" spans="1:46" x14ac:dyDescent="0.25">
      <c r="A2787" t="s">
        <v>1248</v>
      </c>
      <c r="B2787">
        <v>253222</v>
      </c>
      <c r="C2787">
        <v>352056</v>
      </c>
      <c r="D2787">
        <v>405</v>
      </c>
      <c r="E2787" t="s">
        <v>1266</v>
      </c>
      <c r="G2787">
        <v>745</v>
      </c>
      <c r="H2787">
        <v>1827</v>
      </c>
      <c r="K2787" t="s">
        <v>1835</v>
      </c>
      <c r="L2787" t="s">
        <v>1835</v>
      </c>
      <c r="M2787" t="s">
        <v>1859</v>
      </c>
      <c r="N2787">
        <v>0</v>
      </c>
      <c r="O2787" t="s">
        <v>1859</v>
      </c>
      <c r="P2787">
        <v>0</v>
      </c>
      <c r="Q2787">
        <v>0</v>
      </c>
      <c r="R2787">
        <v>0</v>
      </c>
      <c r="T2787" s="29">
        <v>207200</v>
      </c>
      <c r="U2787" s="29">
        <v>2871792</v>
      </c>
      <c r="V2787" t="s">
        <v>1262</v>
      </c>
      <c r="W2787" t="s">
        <v>1262</v>
      </c>
      <c r="X2787" s="29">
        <v>2871792</v>
      </c>
      <c r="AA2787" s="30">
        <v>45803.458333333336</v>
      </c>
      <c r="AB2787" s="30">
        <v>45807.416666666664</v>
      </c>
      <c r="AC2787" s="30">
        <v>45803.458333333336</v>
      </c>
      <c r="AD2787" s="30">
        <v>45807.416666666664</v>
      </c>
      <c r="AE2787" s="30">
        <v>45867.458333333336</v>
      </c>
      <c r="AF2787" s="30">
        <v>45873.416666666664</v>
      </c>
      <c r="AG2787" t="s">
        <v>1266</v>
      </c>
      <c r="AK2787" t="s">
        <v>1265</v>
      </c>
      <c r="AL2787" t="s">
        <v>1878</v>
      </c>
      <c r="AM2787" t="s">
        <v>1263</v>
      </c>
      <c r="AN2787" t="s">
        <v>1262</v>
      </c>
      <c r="AO2787">
        <v>0</v>
      </c>
      <c r="AQ2787" t="s">
        <v>1261</v>
      </c>
      <c r="AR2787" t="s">
        <v>1260</v>
      </c>
      <c r="AS2787" t="s">
        <v>1259</v>
      </c>
      <c r="AT2787" s="30">
        <v>46072.702777777777</v>
      </c>
    </row>
    <row r="2788" spans="1:46" x14ac:dyDescent="0.25">
      <c r="A2788" t="s">
        <v>1248</v>
      </c>
      <c r="B2788">
        <v>253223</v>
      </c>
      <c r="C2788">
        <v>352063</v>
      </c>
      <c r="D2788">
        <v>405</v>
      </c>
      <c r="E2788" t="s">
        <v>1266</v>
      </c>
      <c r="G2788">
        <v>745</v>
      </c>
      <c r="H2788">
        <v>1827</v>
      </c>
      <c r="K2788" t="s">
        <v>1835</v>
      </c>
      <c r="L2788" t="s">
        <v>1835</v>
      </c>
      <c r="M2788" t="s">
        <v>1859</v>
      </c>
      <c r="N2788">
        <v>0</v>
      </c>
      <c r="O2788" t="s">
        <v>1859</v>
      </c>
      <c r="P2788">
        <v>0</v>
      </c>
      <c r="Q2788">
        <v>0</v>
      </c>
      <c r="R2788">
        <v>0</v>
      </c>
      <c r="T2788" s="29">
        <v>207200</v>
      </c>
      <c r="U2788" s="29">
        <v>2871792</v>
      </c>
      <c r="V2788" t="s">
        <v>1262</v>
      </c>
      <c r="W2788" t="s">
        <v>1262</v>
      </c>
      <c r="X2788" s="29">
        <v>2871792</v>
      </c>
      <c r="AA2788" s="30">
        <v>45799.541666666664</v>
      </c>
      <c r="AB2788" s="30">
        <v>45805.458333333336</v>
      </c>
      <c r="AC2788" s="30">
        <v>45799.541666666664</v>
      </c>
      <c r="AD2788" s="30">
        <v>45805.458333333336</v>
      </c>
      <c r="AE2788" s="30">
        <v>45861.458333333336</v>
      </c>
      <c r="AF2788" s="30">
        <v>45867.416666666664</v>
      </c>
      <c r="AG2788" t="s">
        <v>1266</v>
      </c>
      <c r="AK2788" t="s">
        <v>1265</v>
      </c>
      <c r="AL2788" t="s">
        <v>1877</v>
      </c>
      <c r="AM2788" t="s">
        <v>1263</v>
      </c>
      <c r="AN2788" t="s">
        <v>1262</v>
      </c>
      <c r="AO2788">
        <v>0</v>
      </c>
      <c r="AQ2788" t="s">
        <v>1261</v>
      </c>
      <c r="AR2788" t="s">
        <v>1260</v>
      </c>
      <c r="AS2788" t="s">
        <v>1259</v>
      </c>
      <c r="AT2788" s="30">
        <v>46072.702777777777</v>
      </c>
    </row>
    <row r="2789" spans="1:46" x14ac:dyDescent="0.25">
      <c r="A2789" t="s">
        <v>1248</v>
      </c>
      <c r="B2789">
        <v>253224</v>
      </c>
      <c r="C2789">
        <v>352070</v>
      </c>
      <c r="D2789">
        <v>405</v>
      </c>
      <c r="E2789" t="s">
        <v>1266</v>
      </c>
      <c r="G2789">
        <v>745</v>
      </c>
      <c r="H2789">
        <v>1827</v>
      </c>
      <c r="K2789" s="29">
        <v>14307096</v>
      </c>
      <c r="L2789" s="29">
        <v>14307096</v>
      </c>
      <c r="M2789" t="s">
        <v>1859</v>
      </c>
      <c r="N2789">
        <v>0</v>
      </c>
      <c r="O2789" t="s">
        <v>1859</v>
      </c>
      <c r="P2789">
        <v>0</v>
      </c>
      <c r="Q2789">
        <v>0</v>
      </c>
      <c r="R2789">
        <v>0</v>
      </c>
      <c r="T2789" s="29">
        <v>207200</v>
      </c>
      <c r="U2789" s="29">
        <v>2964430</v>
      </c>
      <c r="V2789" t="s">
        <v>1262</v>
      </c>
      <c r="W2789" t="s">
        <v>1262</v>
      </c>
      <c r="X2789" s="29">
        <v>2964430</v>
      </c>
      <c r="AA2789" s="30">
        <v>45789.458333333336</v>
      </c>
      <c r="AB2789" s="30">
        <v>45793.458333333336</v>
      </c>
      <c r="AC2789" s="30">
        <v>45789.458333333336</v>
      </c>
      <c r="AD2789" s="30">
        <v>45793.458333333336</v>
      </c>
      <c r="AE2789" s="30">
        <v>45856.333333333336</v>
      </c>
      <c r="AF2789" s="30">
        <v>45861.708333333336</v>
      </c>
      <c r="AG2789" t="s">
        <v>1266</v>
      </c>
      <c r="AK2789" t="s">
        <v>1265</v>
      </c>
      <c r="AL2789" t="s">
        <v>1876</v>
      </c>
      <c r="AM2789" t="s">
        <v>1263</v>
      </c>
      <c r="AN2789" t="s">
        <v>1262</v>
      </c>
      <c r="AO2789">
        <v>0</v>
      </c>
      <c r="AQ2789" t="s">
        <v>1261</v>
      </c>
      <c r="AR2789" t="s">
        <v>1260</v>
      </c>
      <c r="AS2789" t="s">
        <v>1259</v>
      </c>
      <c r="AT2789" s="30">
        <v>46072.702777777777</v>
      </c>
    </row>
    <row r="2790" spans="1:46" x14ac:dyDescent="0.25">
      <c r="A2790" t="s">
        <v>1248</v>
      </c>
      <c r="B2790">
        <v>253225</v>
      </c>
      <c r="C2790">
        <v>352077</v>
      </c>
      <c r="D2790">
        <v>405</v>
      </c>
      <c r="E2790" t="s">
        <v>1266</v>
      </c>
      <c r="G2790">
        <v>745</v>
      </c>
      <c r="H2790">
        <v>1827</v>
      </c>
      <c r="K2790" t="s">
        <v>1835</v>
      </c>
      <c r="L2790" t="s">
        <v>1835</v>
      </c>
      <c r="M2790" t="s">
        <v>1859</v>
      </c>
      <c r="N2790">
        <v>0</v>
      </c>
      <c r="O2790" t="s">
        <v>1859</v>
      </c>
      <c r="P2790">
        <v>0</v>
      </c>
      <c r="Q2790">
        <v>0</v>
      </c>
      <c r="R2790">
        <v>0</v>
      </c>
      <c r="T2790" s="29">
        <v>207200</v>
      </c>
      <c r="U2790" s="29">
        <v>2871792</v>
      </c>
      <c r="V2790" t="s">
        <v>1262</v>
      </c>
      <c r="W2790" t="s">
        <v>1262</v>
      </c>
      <c r="X2790" s="29">
        <v>2871792</v>
      </c>
      <c r="AA2790" s="30">
        <v>45785.333333333336</v>
      </c>
      <c r="AB2790" s="30">
        <v>45790.666666666664</v>
      </c>
      <c r="AC2790" s="30">
        <v>45785.333333333336</v>
      </c>
      <c r="AD2790" s="30">
        <v>45790.666666666664</v>
      </c>
      <c r="AE2790" s="30">
        <v>45845.416666666664</v>
      </c>
      <c r="AF2790" s="30">
        <v>45849.375</v>
      </c>
      <c r="AG2790" t="s">
        <v>1266</v>
      </c>
      <c r="AK2790" t="s">
        <v>1265</v>
      </c>
      <c r="AL2790" t="s">
        <v>1875</v>
      </c>
      <c r="AM2790" t="s">
        <v>1263</v>
      </c>
      <c r="AN2790" t="s">
        <v>1262</v>
      </c>
      <c r="AO2790">
        <v>0</v>
      </c>
      <c r="AQ2790" t="s">
        <v>1261</v>
      </c>
      <c r="AR2790" t="s">
        <v>1260</v>
      </c>
      <c r="AS2790" t="s">
        <v>1259</v>
      </c>
      <c r="AT2790" s="30">
        <v>46072.702777777777</v>
      </c>
    </row>
    <row r="2791" spans="1:46" x14ac:dyDescent="0.25">
      <c r="A2791" t="s">
        <v>1248</v>
      </c>
      <c r="B2791">
        <v>253226</v>
      </c>
      <c r="C2791">
        <v>352084</v>
      </c>
      <c r="D2791">
        <v>405</v>
      </c>
      <c r="E2791" t="s">
        <v>1266</v>
      </c>
      <c r="G2791">
        <v>745</v>
      </c>
      <c r="H2791">
        <v>1827</v>
      </c>
      <c r="K2791" t="s">
        <v>1835</v>
      </c>
      <c r="L2791" t="s">
        <v>1835</v>
      </c>
      <c r="M2791" t="s">
        <v>1859</v>
      </c>
      <c r="N2791">
        <v>0</v>
      </c>
      <c r="O2791" t="s">
        <v>1859</v>
      </c>
      <c r="P2791">
        <v>0</v>
      </c>
      <c r="Q2791">
        <v>0</v>
      </c>
      <c r="R2791">
        <v>0</v>
      </c>
      <c r="T2791" s="29">
        <v>207200</v>
      </c>
      <c r="U2791" s="29">
        <v>2871792</v>
      </c>
      <c r="V2791" t="s">
        <v>1262</v>
      </c>
      <c r="W2791" t="s">
        <v>1262</v>
      </c>
      <c r="X2791" s="29">
        <v>2871792</v>
      </c>
      <c r="AA2791" s="30">
        <v>45783.375</v>
      </c>
      <c r="AB2791" s="30">
        <v>45786.708333333336</v>
      </c>
      <c r="AC2791" s="30">
        <v>45783.375</v>
      </c>
      <c r="AD2791" s="30">
        <v>45786.708333333336</v>
      </c>
      <c r="AE2791" s="30">
        <v>45839.416666666664</v>
      </c>
      <c r="AF2791" s="30">
        <v>45845.375</v>
      </c>
      <c r="AG2791" t="s">
        <v>1266</v>
      </c>
      <c r="AK2791" t="s">
        <v>1265</v>
      </c>
      <c r="AL2791" t="s">
        <v>1874</v>
      </c>
      <c r="AM2791" t="s">
        <v>1263</v>
      </c>
      <c r="AN2791" t="s">
        <v>1262</v>
      </c>
      <c r="AO2791">
        <v>0</v>
      </c>
      <c r="AQ2791" t="s">
        <v>1261</v>
      </c>
      <c r="AR2791" t="s">
        <v>1260</v>
      </c>
      <c r="AS2791" t="s">
        <v>1259</v>
      </c>
      <c r="AT2791" s="30">
        <v>46072.702777777777</v>
      </c>
    </row>
    <row r="2792" spans="1:46" x14ac:dyDescent="0.25">
      <c r="A2792" t="s">
        <v>1248</v>
      </c>
      <c r="B2792">
        <v>253227</v>
      </c>
      <c r="C2792">
        <v>352091</v>
      </c>
      <c r="D2792">
        <v>405</v>
      </c>
      <c r="E2792" t="s">
        <v>1266</v>
      </c>
      <c r="G2792">
        <v>745</v>
      </c>
      <c r="H2792">
        <v>1827</v>
      </c>
      <c r="K2792" t="s">
        <v>1835</v>
      </c>
      <c r="L2792" t="s">
        <v>1835</v>
      </c>
      <c r="M2792" t="s">
        <v>1859</v>
      </c>
      <c r="N2792">
        <v>0</v>
      </c>
      <c r="O2792" t="s">
        <v>1859</v>
      </c>
      <c r="P2792">
        <v>0</v>
      </c>
      <c r="Q2792">
        <v>0</v>
      </c>
      <c r="R2792">
        <v>0</v>
      </c>
      <c r="T2792" s="29">
        <v>207200</v>
      </c>
      <c r="U2792" s="29">
        <v>2871792</v>
      </c>
      <c r="V2792" t="s">
        <v>1262</v>
      </c>
      <c r="W2792" t="s">
        <v>1262</v>
      </c>
      <c r="X2792" s="29">
        <v>2871792</v>
      </c>
      <c r="AA2792" s="30">
        <v>45779.416666666664</v>
      </c>
      <c r="AB2792" s="30">
        <v>45785.375</v>
      </c>
      <c r="AC2792" s="30">
        <v>45779.416666666664</v>
      </c>
      <c r="AD2792" s="30">
        <v>45785.375</v>
      </c>
      <c r="AE2792" s="30">
        <v>45833.416666666664</v>
      </c>
      <c r="AF2792" s="30">
        <v>45839.375</v>
      </c>
      <c r="AG2792" t="s">
        <v>1266</v>
      </c>
      <c r="AK2792" t="s">
        <v>1265</v>
      </c>
      <c r="AL2792" t="s">
        <v>1873</v>
      </c>
      <c r="AM2792" t="s">
        <v>1263</v>
      </c>
      <c r="AN2792" t="s">
        <v>1262</v>
      </c>
      <c r="AO2792">
        <v>0</v>
      </c>
      <c r="AQ2792" t="s">
        <v>1261</v>
      </c>
      <c r="AR2792" t="s">
        <v>1260</v>
      </c>
      <c r="AS2792" t="s">
        <v>1259</v>
      </c>
      <c r="AT2792" s="30">
        <v>46072.702777777777</v>
      </c>
    </row>
    <row r="2793" spans="1:46" x14ac:dyDescent="0.25">
      <c r="A2793" t="s">
        <v>1248</v>
      </c>
      <c r="B2793">
        <v>253228</v>
      </c>
      <c r="C2793">
        <v>352098</v>
      </c>
      <c r="D2793">
        <v>405</v>
      </c>
      <c r="E2793" t="s">
        <v>1266</v>
      </c>
      <c r="G2793">
        <v>745</v>
      </c>
      <c r="H2793">
        <v>1827</v>
      </c>
      <c r="K2793" t="s">
        <v>1835</v>
      </c>
      <c r="L2793" t="s">
        <v>1835</v>
      </c>
      <c r="M2793" t="s">
        <v>1859</v>
      </c>
      <c r="N2793">
        <v>0</v>
      </c>
      <c r="O2793" t="s">
        <v>1859</v>
      </c>
      <c r="P2793">
        <v>0</v>
      </c>
      <c r="Q2793">
        <v>0</v>
      </c>
      <c r="R2793">
        <v>0</v>
      </c>
      <c r="T2793" s="29">
        <v>207200</v>
      </c>
      <c r="U2793" s="29">
        <v>2871792</v>
      </c>
      <c r="V2793" t="s">
        <v>1262</v>
      </c>
      <c r="W2793" t="s">
        <v>1262</v>
      </c>
      <c r="X2793" s="29">
        <v>2871792</v>
      </c>
      <c r="AA2793" s="30">
        <v>45777.458333333336</v>
      </c>
      <c r="AB2793" s="30">
        <v>45783.416666666664</v>
      </c>
      <c r="AC2793" s="30">
        <v>45777.458333333336</v>
      </c>
      <c r="AD2793" s="30">
        <v>45783.416666666664</v>
      </c>
      <c r="AE2793" s="30">
        <v>45827.416666666664</v>
      </c>
      <c r="AF2793" s="30">
        <v>45833.375</v>
      </c>
      <c r="AG2793" t="s">
        <v>1266</v>
      </c>
      <c r="AK2793" t="s">
        <v>1265</v>
      </c>
      <c r="AL2793" t="s">
        <v>1872</v>
      </c>
      <c r="AM2793" t="s">
        <v>1263</v>
      </c>
      <c r="AN2793" t="s">
        <v>1262</v>
      </c>
      <c r="AO2793">
        <v>0</v>
      </c>
      <c r="AQ2793" t="s">
        <v>1261</v>
      </c>
      <c r="AR2793" t="s">
        <v>1260</v>
      </c>
      <c r="AS2793" t="s">
        <v>1259</v>
      </c>
      <c r="AT2793" s="30">
        <v>46072.702777777777</v>
      </c>
    </row>
    <row r="2794" spans="1:46" x14ac:dyDescent="0.25">
      <c r="A2794" t="s">
        <v>1248</v>
      </c>
      <c r="B2794">
        <v>253229</v>
      </c>
      <c r="C2794">
        <v>352105</v>
      </c>
      <c r="D2794">
        <v>405</v>
      </c>
      <c r="E2794" t="s">
        <v>1266</v>
      </c>
      <c r="G2794">
        <v>745</v>
      </c>
      <c r="H2794">
        <v>1827</v>
      </c>
      <c r="K2794" t="s">
        <v>1835</v>
      </c>
      <c r="L2794" t="s">
        <v>1835</v>
      </c>
      <c r="M2794" t="s">
        <v>1859</v>
      </c>
      <c r="N2794">
        <v>0</v>
      </c>
      <c r="O2794" t="s">
        <v>1859</v>
      </c>
      <c r="P2794">
        <v>0</v>
      </c>
      <c r="Q2794">
        <v>0</v>
      </c>
      <c r="R2794">
        <v>0</v>
      </c>
      <c r="T2794" s="29">
        <v>207200</v>
      </c>
      <c r="U2794" s="29">
        <v>2871792</v>
      </c>
      <c r="V2794" t="s">
        <v>1262</v>
      </c>
      <c r="W2794" t="s">
        <v>1262</v>
      </c>
      <c r="X2794" s="29">
        <v>2871792</v>
      </c>
      <c r="AA2794" s="30">
        <v>45775.541666666664</v>
      </c>
      <c r="AB2794" s="30">
        <v>45779.458333333336</v>
      </c>
      <c r="AC2794" s="30">
        <v>45775.541666666664</v>
      </c>
      <c r="AD2794" s="30">
        <v>45779.458333333336</v>
      </c>
      <c r="AE2794" s="30">
        <v>45821.416666666664</v>
      </c>
      <c r="AF2794" s="30">
        <v>45827.375</v>
      </c>
      <c r="AG2794" t="s">
        <v>1266</v>
      </c>
      <c r="AK2794" t="s">
        <v>1265</v>
      </c>
      <c r="AL2794" t="s">
        <v>1871</v>
      </c>
      <c r="AM2794" t="s">
        <v>1263</v>
      </c>
      <c r="AN2794" t="s">
        <v>1262</v>
      </c>
      <c r="AO2794">
        <v>0</v>
      </c>
      <c r="AQ2794" t="s">
        <v>1261</v>
      </c>
      <c r="AR2794" t="s">
        <v>1260</v>
      </c>
      <c r="AS2794" t="s">
        <v>1259</v>
      </c>
      <c r="AT2794" s="30">
        <v>46072.702777777777</v>
      </c>
    </row>
    <row r="2795" spans="1:46" x14ac:dyDescent="0.25">
      <c r="A2795" t="s">
        <v>1248</v>
      </c>
      <c r="B2795">
        <v>253230</v>
      </c>
      <c r="C2795">
        <v>352112</v>
      </c>
      <c r="D2795">
        <v>405</v>
      </c>
      <c r="E2795" t="s">
        <v>1266</v>
      </c>
      <c r="G2795">
        <v>745</v>
      </c>
      <c r="H2795">
        <v>1827</v>
      </c>
      <c r="K2795" t="s">
        <v>1835</v>
      </c>
      <c r="L2795" t="s">
        <v>1835</v>
      </c>
      <c r="M2795" t="s">
        <v>1859</v>
      </c>
      <c r="N2795">
        <v>0</v>
      </c>
      <c r="O2795" t="s">
        <v>1859</v>
      </c>
      <c r="P2795">
        <v>0</v>
      </c>
      <c r="Q2795">
        <v>0</v>
      </c>
      <c r="R2795">
        <v>0</v>
      </c>
      <c r="T2795" s="29">
        <v>207200</v>
      </c>
      <c r="U2795" s="29">
        <v>2871792</v>
      </c>
      <c r="V2795" t="s">
        <v>1262</v>
      </c>
      <c r="W2795" t="s">
        <v>1262</v>
      </c>
      <c r="X2795" s="29">
        <v>2871792</v>
      </c>
      <c r="AA2795" s="30">
        <v>45763.583333333336</v>
      </c>
      <c r="AB2795" s="30">
        <v>45769.5</v>
      </c>
      <c r="AC2795" s="30">
        <v>45763.583333333336</v>
      </c>
      <c r="AD2795" s="30">
        <v>45769.5</v>
      </c>
      <c r="AE2795" s="30">
        <v>45817.416666666664</v>
      </c>
      <c r="AF2795" s="30">
        <v>45821.375</v>
      </c>
      <c r="AG2795" t="s">
        <v>1266</v>
      </c>
      <c r="AK2795" t="s">
        <v>1265</v>
      </c>
      <c r="AL2795" t="s">
        <v>1870</v>
      </c>
      <c r="AM2795" t="s">
        <v>1263</v>
      </c>
      <c r="AN2795" t="s">
        <v>1262</v>
      </c>
      <c r="AO2795">
        <v>0</v>
      </c>
      <c r="AQ2795" t="s">
        <v>1261</v>
      </c>
      <c r="AR2795" t="s">
        <v>1260</v>
      </c>
      <c r="AS2795" t="s">
        <v>1259</v>
      </c>
      <c r="AT2795" s="30">
        <v>46072.702777777777</v>
      </c>
    </row>
    <row r="2796" spans="1:46" x14ac:dyDescent="0.25">
      <c r="A2796" t="s">
        <v>1248</v>
      </c>
      <c r="B2796">
        <v>253231</v>
      </c>
      <c r="C2796">
        <v>352119</v>
      </c>
      <c r="D2796">
        <v>405</v>
      </c>
      <c r="E2796" t="s">
        <v>1266</v>
      </c>
      <c r="G2796">
        <v>745</v>
      </c>
      <c r="H2796">
        <v>1827</v>
      </c>
      <c r="K2796" t="s">
        <v>1835</v>
      </c>
      <c r="L2796" t="s">
        <v>1835</v>
      </c>
      <c r="M2796" t="s">
        <v>1859</v>
      </c>
      <c r="N2796">
        <v>0</v>
      </c>
      <c r="O2796" t="s">
        <v>1859</v>
      </c>
      <c r="P2796">
        <v>0</v>
      </c>
      <c r="Q2796">
        <v>0</v>
      </c>
      <c r="R2796">
        <v>0</v>
      </c>
      <c r="T2796" s="29">
        <v>207200</v>
      </c>
      <c r="U2796" s="29">
        <v>2871792</v>
      </c>
      <c r="V2796" t="s">
        <v>1262</v>
      </c>
      <c r="W2796" t="s">
        <v>1262</v>
      </c>
      <c r="X2796" s="29">
        <v>2871792</v>
      </c>
      <c r="AA2796" s="30">
        <v>45761.625</v>
      </c>
      <c r="AB2796" s="30">
        <v>45765.583333333336</v>
      </c>
      <c r="AC2796" s="30">
        <v>45761.625</v>
      </c>
      <c r="AD2796" s="30">
        <v>45765.583333333336</v>
      </c>
      <c r="AE2796" s="30">
        <v>45811.416666666664</v>
      </c>
      <c r="AF2796" s="30">
        <v>45817.375</v>
      </c>
      <c r="AG2796" t="s">
        <v>1266</v>
      </c>
      <c r="AK2796" t="s">
        <v>1265</v>
      </c>
      <c r="AL2796" t="s">
        <v>1869</v>
      </c>
      <c r="AM2796" t="s">
        <v>1263</v>
      </c>
      <c r="AN2796" t="s">
        <v>1262</v>
      </c>
      <c r="AO2796">
        <v>0</v>
      </c>
      <c r="AQ2796" t="s">
        <v>1261</v>
      </c>
      <c r="AR2796" t="s">
        <v>1260</v>
      </c>
      <c r="AS2796" t="s">
        <v>1259</v>
      </c>
      <c r="AT2796" s="30">
        <v>46072.702777777777</v>
      </c>
    </row>
    <row r="2797" spans="1:46" x14ac:dyDescent="0.25">
      <c r="A2797" t="s">
        <v>1248</v>
      </c>
      <c r="B2797">
        <v>253232</v>
      </c>
      <c r="C2797">
        <v>352126</v>
      </c>
      <c r="D2797">
        <v>405</v>
      </c>
      <c r="E2797" t="s">
        <v>1266</v>
      </c>
      <c r="G2797">
        <v>745</v>
      </c>
      <c r="H2797">
        <v>1827</v>
      </c>
      <c r="K2797" t="s">
        <v>1835</v>
      </c>
      <c r="L2797" t="s">
        <v>1835</v>
      </c>
      <c r="M2797" t="s">
        <v>1859</v>
      </c>
      <c r="N2797">
        <v>0</v>
      </c>
      <c r="O2797" t="s">
        <v>1859</v>
      </c>
      <c r="P2797">
        <v>0</v>
      </c>
      <c r="Q2797">
        <v>0</v>
      </c>
      <c r="R2797">
        <v>0</v>
      </c>
      <c r="T2797" s="29">
        <v>207200</v>
      </c>
      <c r="U2797" s="29">
        <v>2871792</v>
      </c>
      <c r="V2797" t="s">
        <v>1262</v>
      </c>
      <c r="W2797" t="s">
        <v>1262</v>
      </c>
      <c r="X2797" s="29">
        <v>2871792</v>
      </c>
      <c r="AA2797" s="30">
        <v>45757.666666666664</v>
      </c>
      <c r="AB2797" s="30">
        <v>45763.625</v>
      </c>
      <c r="AC2797" s="30">
        <v>45757.666666666664</v>
      </c>
      <c r="AD2797" s="30">
        <v>45763.625</v>
      </c>
      <c r="AE2797" s="30">
        <v>45805.416666666664</v>
      </c>
      <c r="AF2797" s="30">
        <v>45811.375</v>
      </c>
      <c r="AG2797" t="s">
        <v>1266</v>
      </c>
      <c r="AK2797" t="s">
        <v>1265</v>
      </c>
      <c r="AL2797" t="s">
        <v>1868</v>
      </c>
      <c r="AM2797" t="s">
        <v>1263</v>
      </c>
      <c r="AN2797" t="s">
        <v>1262</v>
      </c>
      <c r="AO2797">
        <v>0</v>
      </c>
      <c r="AQ2797" t="s">
        <v>1261</v>
      </c>
      <c r="AR2797" t="s">
        <v>1260</v>
      </c>
      <c r="AS2797" t="s">
        <v>1259</v>
      </c>
      <c r="AT2797" s="30">
        <v>46072.702777777777</v>
      </c>
    </row>
    <row r="2798" spans="1:46" x14ac:dyDescent="0.25">
      <c r="A2798" t="s">
        <v>1248</v>
      </c>
      <c r="B2798">
        <v>253233</v>
      </c>
      <c r="C2798">
        <v>352133</v>
      </c>
      <c r="D2798">
        <v>405</v>
      </c>
      <c r="E2798" t="s">
        <v>1266</v>
      </c>
      <c r="G2798">
        <v>745</v>
      </c>
      <c r="H2798">
        <v>1827</v>
      </c>
      <c r="K2798" t="s">
        <v>1835</v>
      </c>
      <c r="L2798" t="s">
        <v>1835</v>
      </c>
      <c r="M2798" t="s">
        <v>1859</v>
      </c>
      <c r="N2798">
        <v>0</v>
      </c>
      <c r="O2798" t="s">
        <v>1859</v>
      </c>
      <c r="P2798">
        <v>0</v>
      </c>
      <c r="Q2798">
        <v>0</v>
      </c>
      <c r="R2798">
        <v>0</v>
      </c>
      <c r="T2798" s="29">
        <v>207200</v>
      </c>
      <c r="U2798" s="29">
        <v>2871792</v>
      </c>
      <c r="V2798" t="s">
        <v>1262</v>
      </c>
      <c r="W2798" t="s">
        <v>1262</v>
      </c>
      <c r="X2798" s="29">
        <v>2871792</v>
      </c>
      <c r="AA2798" s="30">
        <v>45756.333333333336</v>
      </c>
      <c r="AB2798" s="30">
        <v>45761.666666666664</v>
      </c>
      <c r="AC2798" s="30">
        <v>45756.333333333336</v>
      </c>
      <c r="AD2798" s="30">
        <v>45761.666666666664</v>
      </c>
      <c r="AE2798" s="30">
        <v>45799.416666666664</v>
      </c>
      <c r="AF2798" s="30">
        <v>45805.375</v>
      </c>
      <c r="AG2798" t="s">
        <v>1266</v>
      </c>
      <c r="AK2798" t="s">
        <v>1265</v>
      </c>
      <c r="AL2798" t="s">
        <v>1867</v>
      </c>
      <c r="AM2798" t="s">
        <v>1263</v>
      </c>
      <c r="AN2798" t="s">
        <v>1262</v>
      </c>
      <c r="AO2798">
        <v>0</v>
      </c>
      <c r="AQ2798" t="s">
        <v>1261</v>
      </c>
      <c r="AR2798" t="s">
        <v>1260</v>
      </c>
      <c r="AS2798" t="s">
        <v>1259</v>
      </c>
      <c r="AT2798" s="30">
        <v>46072.702777777777</v>
      </c>
    </row>
    <row r="2799" spans="1:46" x14ac:dyDescent="0.25">
      <c r="A2799" t="s">
        <v>1248</v>
      </c>
      <c r="B2799">
        <v>253234</v>
      </c>
      <c r="C2799">
        <v>352140</v>
      </c>
      <c r="D2799">
        <v>405</v>
      </c>
      <c r="E2799" t="s">
        <v>1266</v>
      </c>
      <c r="G2799">
        <v>745</v>
      </c>
      <c r="H2799">
        <v>1827</v>
      </c>
      <c r="K2799" t="s">
        <v>1835</v>
      </c>
      <c r="L2799" t="s">
        <v>1835</v>
      </c>
      <c r="M2799" t="s">
        <v>1859</v>
      </c>
      <c r="N2799">
        <v>0</v>
      </c>
      <c r="O2799" t="s">
        <v>1859</v>
      </c>
      <c r="P2799">
        <v>0</v>
      </c>
      <c r="Q2799">
        <v>0</v>
      </c>
      <c r="R2799">
        <v>0</v>
      </c>
      <c r="T2799" s="29">
        <v>207200</v>
      </c>
      <c r="U2799" s="29">
        <v>2871792</v>
      </c>
      <c r="V2799" t="s">
        <v>1262</v>
      </c>
      <c r="W2799" t="s">
        <v>1262</v>
      </c>
      <c r="X2799" s="29">
        <v>2871792</v>
      </c>
      <c r="AA2799" s="30">
        <v>45754.375</v>
      </c>
      <c r="AB2799" s="30">
        <v>45757.708333333336</v>
      </c>
      <c r="AC2799" s="30">
        <v>45754.375</v>
      </c>
      <c r="AD2799" s="30">
        <v>45757.708333333336</v>
      </c>
      <c r="AE2799" s="30">
        <v>45793.416666666664</v>
      </c>
      <c r="AF2799" s="30">
        <v>45799.375</v>
      </c>
      <c r="AG2799" t="s">
        <v>1266</v>
      </c>
      <c r="AK2799" t="s">
        <v>1265</v>
      </c>
      <c r="AL2799" t="s">
        <v>1866</v>
      </c>
      <c r="AM2799" t="s">
        <v>1263</v>
      </c>
      <c r="AN2799" t="s">
        <v>1262</v>
      </c>
      <c r="AO2799">
        <v>0</v>
      </c>
      <c r="AQ2799" t="s">
        <v>1261</v>
      </c>
      <c r="AR2799" t="s">
        <v>1260</v>
      </c>
      <c r="AS2799" t="s">
        <v>1259</v>
      </c>
      <c r="AT2799" s="30">
        <v>46072.702777777777</v>
      </c>
    </row>
    <row r="2800" spans="1:46" x14ac:dyDescent="0.25">
      <c r="A2800" t="s">
        <v>1248</v>
      </c>
      <c r="B2800">
        <v>253235</v>
      </c>
      <c r="C2800">
        <v>352147</v>
      </c>
      <c r="D2800">
        <v>405</v>
      </c>
      <c r="E2800" t="s">
        <v>1266</v>
      </c>
      <c r="G2800">
        <v>745</v>
      </c>
      <c r="H2800">
        <v>1827</v>
      </c>
      <c r="K2800" t="s">
        <v>1835</v>
      </c>
      <c r="L2800" t="s">
        <v>1835</v>
      </c>
      <c r="M2800" t="s">
        <v>1859</v>
      </c>
      <c r="N2800">
        <v>0</v>
      </c>
      <c r="O2800" t="s">
        <v>1859</v>
      </c>
      <c r="P2800">
        <v>0</v>
      </c>
      <c r="Q2800">
        <v>0</v>
      </c>
      <c r="R2800">
        <v>0</v>
      </c>
      <c r="T2800" s="29">
        <v>207200</v>
      </c>
      <c r="U2800" s="29">
        <v>2871792</v>
      </c>
      <c r="V2800" t="s">
        <v>1262</v>
      </c>
      <c r="W2800" t="s">
        <v>1262</v>
      </c>
      <c r="X2800" s="29">
        <v>2871792</v>
      </c>
      <c r="AA2800" s="30">
        <v>45750.416666666664</v>
      </c>
      <c r="AB2800" s="30">
        <v>45756.375</v>
      </c>
      <c r="AC2800" s="30">
        <v>45750.416666666664</v>
      </c>
      <c r="AD2800" s="30">
        <v>45756.375</v>
      </c>
      <c r="AE2800" s="30">
        <v>45789.416666666664</v>
      </c>
      <c r="AF2800" s="30">
        <v>45793.375</v>
      </c>
      <c r="AG2800" t="s">
        <v>1266</v>
      </c>
      <c r="AK2800" t="s">
        <v>1265</v>
      </c>
      <c r="AL2800" t="s">
        <v>1865</v>
      </c>
      <c r="AM2800" t="s">
        <v>1263</v>
      </c>
      <c r="AN2800" t="s">
        <v>1262</v>
      </c>
      <c r="AO2800">
        <v>0</v>
      </c>
      <c r="AQ2800" t="s">
        <v>1261</v>
      </c>
      <c r="AR2800" t="s">
        <v>1260</v>
      </c>
      <c r="AS2800" t="s">
        <v>1259</v>
      </c>
      <c r="AT2800" s="30">
        <v>46072.702777777777</v>
      </c>
    </row>
    <row r="2801" spans="1:46" x14ac:dyDescent="0.25">
      <c r="A2801" t="s">
        <v>1248</v>
      </c>
      <c r="B2801">
        <v>253236</v>
      </c>
      <c r="C2801">
        <v>352154</v>
      </c>
      <c r="D2801">
        <v>405</v>
      </c>
      <c r="E2801" t="s">
        <v>1266</v>
      </c>
      <c r="G2801">
        <v>745</v>
      </c>
      <c r="H2801">
        <v>1827</v>
      </c>
      <c r="K2801" t="s">
        <v>1835</v>
      </c>
      <c r="L2801" t="s">
        <v>1835</v>
      </c>
      <c r="M2801" t="s">
        <v>1859</v>
      </c>
      <c r="N2801">
        <v>0</v>
      </c>
      <c r="O2801" t="s">
        <v>1859</v>
      </c>
      <c r="P2801">
        <v>0</v>
      </c>
      <c r="Q2801">
        <v>0</v>
      </c>
      <c r="R2801">
        <v>0</v>
      </c>
      <c r="T2801" s="29">
        <v>207200</v>
      </c>
      <c r="U2801" s="29">
        <v>2871792</v>
      </c>
      <c r="V2801" t="s">
        <v>1262</v>
      </c>
      <c r="W2801" t="s">
        <v>1262</v>
      </c>
      <c r="X2801" s="29">
        <v>2871792</v>
      </c>
      <c r="AA2801" s="30">
        <v>45748.458333333336</v>
      </c>
      <c r="AB2801" s="30">
        <v>45754.416666666664</v>
      </c>
      <c r="AC2801" s="30">
        <v>45748.458333333336</v>
      </c>
      <c r="AD2801" s="30">
        <v>45754.416666666664</v>
      </c>
      <c r="AE2801" s="30">
        <v>45783.416666666664</v>
      </c>
      <c r="AF2801" s="30">
        <v>45789.375</v>
      </c>
      <c r="AG2801" t="s">
        <v>1266</v>
      </c>
      <c r="AK2801" t="s">
        <v>1265</v>
      </c>
      <c r="AL2801" t="s">
        <v>1864</v>
      </c>
      <c r="AM2801" t="s">
        <v>1263</v>
      </c>
      <c r="AN2801" t="s">
        <v>1262</v>
      </c>
      <c r="AO2801">
        <v>0</v>
      </c>
      <c r="AQ2801" t="s">
        <v>1261</v>
      </c>
      <c r="AR2801" t="s">
        <v>1260</v>
      </c>
      <c r="AS2801" t="s">
        <v>1259</v>
      </c>
      <c r="AT2801" s="30">
        <v>46072.702777777777</v>
      </c>
    </row>
    <row r="2802" spans="1:46" x14ac:dyDescent="0.25">
      <c r="A2802" t="s">
        <v>1248</v>
      </c>
      <c r="B2802">
        <v>253237</v>
      </c>
      <c r="C2802">
        <v>352161</v>
      </c>
      <c r="D2802">
        <v>405</v>
      </c>
      <c r="E2802" t="s">
        <v>1266</v>
      </c>
      <c r="G2802">
        <v>745</v>
      </c>
      <c r="H2802">
        <v>1827</v>
      </c>
      <c r="K2802" t="s">
        <v>1835</v>
      </c>
      <c r="L2802" t="s">
        <v>1835</v>
      </c>
      <c r="M2802" t="s">
        <v>1859</v>
      </c>
      <c r="N2802">
        <v>0</v>
      </c>
      <c r="O2802" t="s">
        <v>1859</v>
      </c>
      <c r="P2802">
        <v>0</v>
      </c>
      <c r="Q2802">
        <v>0</v>
      </c>
      <c r="R2802">
        <v>0</v>
      </c>
      <c r="T2802" s="29">
        <v>207200</v>
      </c>
      <c r="U2802" s="29">
        <v>2871792</v>
      </c>
      <c r="V2802" t="s">
        <v>1262</v>
      </c>
      <c r="W2802" t="s">
        <v>1262</v>
      </c>
      <c r="X2802" s="29">
        <v>2871792</v>
      </c>
      <c r="AA2802" s="30">
        <v>45744.541666666664</v>
      </c>
      <c r="AB2802" s="30">
        <v>45750.458333333336</v>
      </c>
      <c r="AC2802" s="30">
        <v>45744.541666666664</v>
      </c>
      <c r="AD2802" s="30">
        <v>45750.458333333336</v>
      </c>
      <c r="AE2802" s="30">
        <v>45777.416666666664</v>
      </c>
      <c r="AF2802" s="30">
        <v>45783.375</v>
      </c>
      <c r="AG2802" t="s">
        <v>1266</v>
      </c>
      <c r="AK2802" t="s">
        <v>1265</v>
      </c>
      <c r="AL2802" t="s">
        <v>1863</v>
      </c>
      <c r="AM2802" t="s">
        <v>1263</v>
      </c>
      <c r="AN2802" t="s">
        <v>1262</v>
      </c>
      <c r="AO2802">
        <v>0</v>
      </c>
      <c r="AQ2802" t="s">
        <v>1261</v>
      </c>
      <c r="AR2802" t="s">
        <v>1260</v>
      </c>
      <c r="AS2802" t="s">
        <v>1259</v>
      </c>
      <c r="AT2802" s="30">
        <v>46072.702777777777</v>
      </c>
    </row>
    <row r="2803" spans="1:46" x14ac:dyDescent="0.25">
      <c r="A2803" t="s">
        <v>1248</v>
      </c>
      <c r="B2803">
        <v>253238</v>
      </c>
      <c r="C2803">
        <v>352168</v>
      </c>
      <c r="D2803">
        <v>405</v>
      </c>
      <c r="E2803" t="s">
        <v>1266</v>
      </c>
      <c r="G2803">
        <v>745</v>
      </c>
      <c r="H2803">
        <v>1827</v>
      </c>
      <c r="K2803" t="s">
        <v>1835</v>
      </c>
      <c r="L2803" t="s">
        <v>1835</v>
      </c>
      <c r="M2803" t="s">
        <v>1859</v>
      </c>
      <c r="N2803">
        <v>0</v>
      </c>
      <c r="O2803" t="s">
        <v>1859</v>
      </c>
      <c r="P2803">
        <v>0</v>
      </c>
      <c r="Q2803">
        <v>0</v>
      </c>
      <c r="R2803">
        <v>0</v>
      </c>
      <c r="T2803" s="29">
        <v>207200</v>
      </c>
      <c r="U2803" s="29">
        <v>2871792</v>
      </c>
      <c r="V2803" t="s">
        <v>1262</v>
      </c>
      <c r="W2803" t="s">
        <v>1262</v>
      </c>
      <c r="X2803" s="29">
        <v>2871792</v>
      </c>
      <c r="AA2803" s="30">
        <v>45733.458333333336</v>
      </c>
      <c r="AB2803" s="30">
        <v>45737.416666666664</v>
      </c>
      <c r="AC2803" s="30">
        <v>45733.458333333336</v>
      </c>
      <c r="AD2803" s="30">
        <v>45737.416666666664</v>
      </c>
      <c r="AE2803" s="30">
        <v>45771.416666666664</v>
      </c>
      <c r="AF2803" s="30">
        <v>45777.375</v>
      </c>
      <c r="AG2803" t="s">
        <v>1266</v>
      </c>
      <c r="AK2803" t="s">
        <v>1265</v>
      </c>
      <c r="AL2803" t="s">
        <v>1862</v>
      </c>
      <c r="AM2803" t="s">
        <v>1263</v>
      </c>
      <c r="AN2803" t="s">
        <v>1262</v>
      </c>
      <c r="AO2803">
        <v>0</v>
      </c>
      <c r="AQ2803" t="s">
        <v>1261</v>
      </c>
      <c r="AR2803" t="s">
        <v>1260</v>
      </c>
      <c r="AS2803" t="s">
        <v>1259</v>
      </c>
      <c r="AT2803" s="30">
        <v>46072.702777777777</v>
      </c>
    </row>
    <row r="2804" spans="1:46" x14ac:dyDescent="0.25">
      <c r="A2804" t="s">
        <v>1248</v>
      </c>
      <c r="B2804">
        <v>253239</v>
      </c>
      <c r="C2804">
        <v>352175</v>
      </c>
      <c r="D2804">
        <v>405</v>
      </c>
      <c r="E2804" t="s">
        <v>1266</v>
      </c>
      <c r="G2804">
        <v>745</v>
      </c>
      <c r="H2804">
        <v>1827</v>
      </c>
      <c r="K2804" t="s">
        <v>1835</v>
      </c>
      <c r="L2804" t="s">
        <v>1835</v>
      </c>
      <c r="M2804" t="s">
        <v>1859</v>
      </c>
      <c r="N2804">
        <v>0</v>
      </c>
      <c r="O2804" t="s">
        <v>1859</v>
      </c>
      <c r="P2804">
        <v>0</v>
      </c>
      <c r="Q2804">
        <v>0</v>
      </c>
      <c r="R2804">
        <v>0</v>
      </c>
      <c r="T2804" s="29">
        <v>207200</v>
      </c>
      <c r="U2804" s="29">
        <v>2871792</v>
      </c>
      <c r="V2804" t="s">
        <v>1262</v>
      </c>
      <c r="W2804" t="s">
        <v>1262</v>
      </c>
      <c r="X2804" s="29">
        <v>2871792</v>
      </c>
      <c r="AA2804" s="30">
        <v>45728.541666666664</v>
      </c>
      <c r="AB2804" s="30">
        <v>45734.458333333336</v>
      </c>
      <c r="AC2804" s="30">
        <v>45728.541666666664</v>
      </c>
      <c r="AD2804" s="30">
        <v>45734.458333333336</v>
      </c>
      <c r="AE2804" s="30">
        <v>45765.416666666664</v>
      </c>
      <c r="AF2804" s="30">
        <v>45771.375</v>
      </c>
      <c r="AG2804" t="s">
        <v>1266</v>
      </c>
      <c r="AK2804" t="s">
        <v>1265</v>
      </c>
      <c r="AL2804" t="s">
        <v>1861</v>
      </c>
      <c r="AM2804" t="s">
        <v>1263</v>
      </c>
      <c r="AN2804" t="s">
        <v>1262</v>
      </c>
      <c r="AO2804">
        <v>0</v>
      </c>
      <c r="AQ2804" t="s">
        <v>1261</v>
      </c>
      <c r="AR2804" t="s">
        <v>1260</v>
      </c>
      <c r="AS2804" t="s">
        <v>1259</v>
      </c>
      <c r="AT2804" s="30">
        <v>46072.702777777777</v>
      </c>
    </row>
    <row r="2805" spans="1:46" x14ac:dyDescent="0.25">
      <c r="A2805" t="s">
        <v>1248</v>
      </c>
      <c r="B2805">
        <v>253240</v>
      </c>
      <c r="C2805">
        <v>352182</v>
      </c>
      <c r="D2805">
        <v>405</v>
      </c>
      <c r="E2805" t="s">
        <v>1266</v>
      </c>
      <c r="G2805">
        <v>745</v>
      </c>
      <c r="H2805">
        <v>1827</v>
      </c>
      <c r="K2805" t="s">
        <v>1835</v>
      </c>
      <c r="L2805" t="s">
        <v>1835</v>
      </c>
      <c r="M2805" t="s">
        <v>1859</v>
      </c>
      <c r="N2805">
        <v>0</v>
      </c>
      <c r="O2805" t="s">
        <v>1859</v>
      </c>
      <c r="P2805">
        <v>0</v>
      </c>
      <c r="Q2805">
        <v>0</v>
      </c>
      <c r="R2805">
        <v>0</v>
      </c>
      <c r="T2805" s="29">
        <v>207200</v>
      </c>
      <c r="U2805" s="29">
        <v>2871792</v>
      </c>
      <c r="V2805" t="s">
        <v>1262</v>
      </c>
      <c r="W2805" t="s">
        <v>1262</v>
      </c>
      <c r="X2805" s="29">
        <v>2871792</v>
      </c>
      <c r="AA2805" s="30">
        <v>45733.583333333336</v>
      </c>
      <c r="AB2805" s="30">
        <v>45737.5</v>
      </c>
      <c r="AC2805" s="30">
        <v>45733.583333333336</v>
      </c>
      <c r="AD2805" s="30">
        <v>45737.5</v>
      </c>
      <c r="AE2805" s="30">
        <v>45761.416666666664</v>
      </c>
      <c r="AF2805" s="30">
        <v>45765.375</v>
      </c>
      <c r="AG2805" t="s">
        <v>1266</v>
      </c>
      <c r="AK2805" t="s">
        <v>1265</v>
      </c>
      <c r="AL2805" t="s">
        <v>1860</v>
      </c>
      <c r="AM2805" t="s">
        <v>1263</v>
      </c>
      <c r="AN2805" t="s">
        <v>1262</v>
      </c>
      <c r="AO2805">
        <v>0</v>
      </c>
      <c r="AQ2805" t="s">
        <v>1261</v>
      </c>
      <c r="AR2805" t="s">
        <v>1260</v>
      </c>
      <c r="AS2805" t="s">
        <v>1259</v>
      </c>
      <c r="AT2805" s="30">
        <v>46072.702777777777</v>
      </c>
    </row>
    <row r="2806" spans="1:46" x14ac:dyDescent="0.25">
      <c r="A2806" t="s">
        <v>1248</v>
      </c>
      <c r="B2806">
        <v>253241</v>
      </c>
      <c r="C2806">
        <v>352189</v>
      </c>
      <c r="D2806">
        <v>405</v>
      </c>
      <c r="E2806" t="s">
        <v>1266</v>
      </c>
      <c r="G2806">
        <v>745</v>
      </c>
      <c r="H2806">
        <v>1827</v>
      </c>
      <c r="K2806" s="29">
        <v>14307096</v>
      </c>
      <c r="L2806" s="29">
        <v>14307096</v>
      </c>
      <c r="M2806" t="s">
        <v>1859</v>
      </c>
      <c r="N2806">
        <v>0</v>
      </c>
      <c r="O2806" t="s">
        <v>1859</v>
      </c>
      <c r="P2806">
        <v>0</v>
      </c>
      <c r="Q2806">
        <v>0</v>
      </c>
      <c r="R2806">
        <v>0</v>
      </c>
      <c r="T2806" s="29">
        <v>207200</v>
      </c>
      <c r="U2806" s="29">
        <v>2964430</v>
      </c>
      <c r="V2806" t="s">
        <v>1262</v>
      </c>
      <c r="W2806" t="s">
        <v>1262</v>
      </c>
      <c r="X2806" s="29">
        <v>2964430</v>
      </c>
      <c r="AA2806" s="30">
        <v>45729.333333333336</v>
      </c>
      <c r="AB2806" s="30">
        <v>45734.708333333336</v>
      </c>
      <c r="AC2806" s="30">
        <v>45729.333333333336</v>
      </c>
      <c r="AD2806" s="30">
        <v>45734.708333333336</v>
      </c>
      <c r="AE2806" s="30">
        <v>45755.333333333336</v>
      </c>
      <c r="AF2806" s="30">
        <v>45758.708333333336</v>
      </c>
      <c r="AG2806" t="s">
        <v>1266</v>
      </c>
      <c r="AK2806" t="s">
        <v>1265</v>
      </c>
      <c r="AL2806" t="s">
        <v>1858</v>
      </c>
      <c r="AM2806" t="s">
        <v>1263</v>
      </c>
      <c r="AN2806" t="s">
        <v>1262</v>
      </c>
      <c r="AO2806">
        <v>0</v>
      </c>
      <c r="AQ2806" t="s">
        <v>1261</v>
      </c>
      <c r="AR2806" t="s">
        <v>1260</v>
      </c>
      <c r="AS2806" t="s">
        <v>1259</v>
      </c>
      <c r="AT2806" s="30">
        <v>46072.702777777777</v>
      </c>
    </row>
    <row r="2807" spans="1:46" x14ac:dyDescent="0.25">
      <c r="A2807" t="s">
        <v>1248</v>
      </c>
      <c r="B2807">
        <v>253242</v>
      </c>
      <c r="C2807">
        <v>352196</v>
      </c>
      <c r="D2807">
        <v>405</v>
      </c>
      <c r="E2807" t="s">
        <v>1266</v>
      </c>
      <c r="G2807">
        <v>745</v>
      </c>
      <c r="H2807">
        <v>1827</v>
      </c>
      <c r="K2807" t="s">
        <v>1835</v>
      </c>
      <c r="L2807" t="s">
        <v>1835</v>
      </c>
      <c r="M2807" t="s">
        <v>1834</v>
      </c>
      <c r="N2807">
        <v>0</v>
      </c>
      <c r="O2807" t="s">
        <v>1834</v>
      </c>
      <c r="P2807">
        <v>0</v>
      </c>
      <c r="Q2807">
        <v>0</v>
      </c>
      <c r="R2807">
        <v>0</v>
      </c>
      <c r="T2807" s="29">
        <v>234300</v>
      </c>
      <c r="U2807" s="29">
        <v>3247398</v>
      </c>
      <c r="V2807" t="s">
        <v>1262</v>
      </c>
      <c r="W2807" t="s">
        <v>1262</v>
      </c>
      <c r="X2807" s="29">
        <v>3247398</v>
      </c>
      <c r="AA2807" s="30">
        <v>45909.380555555559</v>
      </c>
      <c r="AB2807" s="30">
        <v>45915.380555555559</v>
      </c>
      <c r="AC2807" s="30">
        <v>45909.380555555559</v>
      </c>
      <c r="AD2807" s="30">
        <v>45915.380555555559</v>
      </c>
      <c r="AE2807" s="30">
        <v>46400.416666666664</v>
      </c>
      <c r="AF2807" s="30">
        <v>46406.416666666664</v>
      </c>
      <c r="AG2807" t="s">
        <v>1266</v>
      </c>
      <c r="AK2807" t="s">
        <v>1265</v>
      </c>
      <c r="AL2807" t="s">
        <v>1857</v>
      </c>
      <c r="AM2807" t="s">
        <v>1263</v>
      </c>
      <c r="AN2807" t="s">
        <v>1262</v>
      </c>
      <c r="AO2807">
        <v>0</v>
      </c>
      <c r="AQ2807" t="s">
        <v>1261</v>
      </c>
      <c r="AR2807" t="s">
        <v>1260</v>
      </c>
      <c r="AS2807" t="s">
        <v>1259</v>
      </c>
      <c r="AT2807" s="30">
        <v>46072.702777777777</v>
      </c>
    </row>
    <row r="2808" spans="1:46" x14ac:dyDescent="0.25">
      <c r="A2808" t="s">
        <v>1248</v>
      </c>
      <c r="B2808">
        <v>253244</v>
      </c>
      <c r="C2808">
        <v>352210</v>
      </c>
      <c r="D2808">
        <v>405</v>
      </c>
      <c r="E2808" t="s">
        <v>1266</v>
      </c>
      <c r="G2808">
        <v>745</v>
      </c>
      <c r="H2808">
        <v>1827</v>
      </c>
      <c r="K2808" t="s">
        <v>1835</v>
      </c>
      <c r="L2808" t="s">
        <v>1835</v>
      </c>
      <c r="M2808" t="s">
        <v>1834</v>
      </c>
      <c r="N2808">
        <v>0</v>
      </c>
      <c r="O2808" t="s">
        <v>1834</v>
      </c>
      <c r="P2808">
        <v>0</v>
      </c>
      <c r="Q2808">
        <v>0</v>
      </c>
      <c r="R2808">
        <v>0</v>
      </c>
      <c r="T2808" s="29">
        <v>234300</v>
      </c>
      <c r="U2808" s="29">
        <v>3247398</v>
      </c>
      <c r="V2808" t="s">
        <v>1262</v>
      </c>
      <c r="W2808" t="s">
        <v>1262</v>
      </c>
      <c r="X2808" s="29">
        <v>3247398</v>
      </c>
      <c r="AA2808" s="30">
        <v>45901.380555555559</v>
      </c>
      <c r="AB2808" s="30">
        <v>45905.380555555559</v>
      </c>
      <c r="AC2808" s="30">
        <v>45901.380555555559</v>
      </c>
      <c r="AD2808" s="30">
        <v>45905.380555555559</v>
      </c>
      <c r="AE2808" s="30">
        <v>46360.416666666664</v>
      </c>
      <c r="AF2808" s="30">
        <v>46367.416666666664</v>
      </c>
      <c r="AG2808" t="s">
        <v>1266</v>
      </c>
      <c r="AK2808" t="s">
        <v>1265</v>
      </c>
      <c r="AL2808" t="s">
        <v>1856</v>
      </c>
      <c r="AM2808" t="s">
        <v>1263</v>
      </c>
      <c r="AN2808" t="s">
        <v>1262</v>
      </c>
      <c r="AO2808">
        <v>0</v>
      </c>
      <c r="AQ2808" t="s">
        <v>1261</v>
      </c>
      <c r="AR2808" t="s">
        <v>1260</v>
      </c>
      <c r="AS2808" t="s">
        <v>1259</v>
      </c>
      <c r="AT2808" s="30">
        <v>46072.702777777777</v>
      </c>
    </row>
    <row r="2809" spans="1:46" x14ac:dyDescent="0.25">
      <c r="A2809" t="s">
        <v>1248</v>
      </c>
      <c r="B2809">
        <v>253246</v>
      </c>
      <c r="C2809">
        <v>352224</v>
      </c>
      <c r="D2809">
        <v>405</v>
      </c>
      <c r="E2809" t="s">
        <v>1266</v>
      </c>
      <c r="G2809">
        <v>745</v>
      </c>
      <c r="H2809">
        <v>1827</v>
      </c>
      <c r="K2809" t="s">
        <v>1835</v>
      </c>
      <c r="L2809" t="s">
        <v>1835</v>
      </c>
      <c r="M2809" t="s">
        <v>1834</v>
      </c>
      <c r="N2809">
        <v>0</v>
      </c>
      <c r="O2809" t="s">
        <v>1834</v>
      </c>
      <c r="P2809">
        <v>0</v>
      </c>
      <c r="Q2809">
        <v>0</v>
      </c>
      <c r="R2809">
        <v>0</v>
      </c>
      <c r="T2809" s="29">
        <v>234300</v>
      </c>
      <c r="U2809" s="29">
        <v>3247398</v>
      </c>
      <c r="V2809" t="s">
        <v>1262</v>
      </c>
      <c r="W2809" t="s">
        <v>1262</v>
      </c>
      <c r="X2809" s="29">
        <v>3247398</v>
      </c>
      <c r="AA2809" s="30">
        <v>45891.547222222223</v>
      </c>
      <c r="AB2809" s="30">
        <v>45897.547222222223</v>
      </c>
      <c r="AC2809" s="30">
        <v>45891.547222222223</v>
      </c>
      <c r="AD2809" s="30">
        <v>45897.547222222223</v>
      </c>
      <c r="AE2809" s="30">
        <v>46328.416666666664</v>
      </c>
      <c r="AF2809" s="30">
        <v>46332.416666666664</v>
      </c>
      <c r="AG2809" t="s">
        <v>1266</v>
      </c>
      <c r="AK2809" t="s">
        <v>1265</v>
      </c>
      <c r="AL2809" t="s">
        <v>1855</v>
      </c>
      <c r="AM2809" t="s">
        <v>1263</v>
      </c>
      <c r="AN2809" t="s">
        <v>1262</v>
      </c>
      <c r="AO2809">
        <v>0</v>
      </c>
      <c r="AQ2809" t="s">
        <v>1261</v>
      </c>
      <c r="AR2809" t="s">
        <v>1260</v>
      </c>
      <c r="AS2809" t="s">
        <v>1259</v>
      </c>
      <c r="AT2809" s="30">
        <v>46072.702777777777</v>
      </c>
    </row>
    <row r="2810" spans="1:46" x14ac:dyDescent="0.25">
      <c r="A2810" t="s">
        <v>1248</v>
      </c>
      <c r="B2810">
        <v>253247</v>
      </c>
      <c r="C2810">
        <v>352231</v>
      </c>
      <c r="D2810">
        <v>405</v>
      </c>
      <c r="E2810" t="s">
        <v>1266</v>
      </c>
      <c r="G2810">
        <v>745</v>
      </c>
      <c r="H2810">
        <v>1827</v>
      </c>
      <c r="K2810" t="s">
        <v>1835</v>
      </c>
      <c r="L2810" t="s">
        <v>1835</v>
      </c>
      <c r="M2810" t="s">
        <v>1834</v>
      </c>
      <c r="N2810">
        <v>0</v>
      </c>
      <c r="O2810" t="s">
        <v>1834</v>
      </c>
      <c r="P2810">
        <v>0</v>
      </c>
      <c r="Q2810">
        <v>0</v>
      </c>
      <c r="R2810">
        <v>0</v>
      </c>
      <c r="T2810" s="29">
        <v>234300</v>
      </c>
      <c r="U2810" s="29">
        <v>3247398</v>
      </c>
      <c r="V2810" t="s">
        <v>1262</v>
      </c>
      <c r="W2810" t="s">
        <v>1262</v>
      </c>
      <c r="X2810" s="29">
        <v>3247398</v>
      </c>
      <c r="AA2810" s="30">
        <v>45889.588888888888</v>
      </c>
      <c r="AB2810" s="30">
        <v>45895.588888888888</v>
      </c>
      <c r="AC2810" s="30">
        <v>45889.588888888888</v>
      </c>
      <c r="AD2810" s="30">
        <v>45895.588888888888</v>
      </c>
      <c r="AE2810" s="30">
        <v>46310.416666666664</v>
      </c>
      <c r="AF2810" s="30">
        <v>46316.416666666664</v>
      </c>
      <c r="AG2810" t="s">
        <v>1266</v>
      </c>
      <c r="AK2810" t="s">
        <v>1265</v>
      </c>
      <c r="AL2810" t="s">
        <v>1854</v>
      </c>
      <c r="AM2810" t="s">
        <v>1263</v>
      </c>
      <c r="AN2810" t="s">
        <v>1262</v>
      </c>
      <c r="AO2810">
        <v>0</v>
      </c>
      <c r="AQ2810" t="s">
        <v>1261</v>
      </c>
      <c r="AR2810" t="s">
        <v>1260</v>
      </c>
      <c r="AS2810" t="s">
        <v>1259</v>
      </c>
      <c r="AT2810" s="30">
        <v>46072.702777777777</v>
      </c>
    </row>
    <row r="2811" spans="1:46" x14ac:dyDescent="0.25">
      <c r="A2811" t="s">
        <v>1248</v>
      </c>
      <c r="B2811">
        <v>253248</v>
      </c>
      <c r="C2811">
        <v>352238</v>
      </c>
      <c r="D2811">
        <v>405</v>
      </c>
      <c r="E2811" t="s">
        <v>1266</v>
      </c>
      <c r="G2811">
        <v>745</v>
      </c>
      <c r="H2811">
        <v>1827</v>
      </c>
      <c r="K2811" t="s">
        <v>1835</v>
      </c>
      <c r="L2811" t="s">
        <v>1835</v>
      </c>
      <c r="M2811" t="s">
        <v>1834</v>
      </c>
      <c r="N2811">
        <v>0</v>
      </c>
      <c r="O2811" t="s">
        <v>1834</v>
      </c>
      <c r="P2811">
        <v>0</v>
      </c>
      <c r="Q2811">
        <v>0</v>
      </c>
      <c r="R2811">
        <v>0</v>
      </c>
      <c r="T2811" s="29">
        <v>234300</v>
      </c>
      <c r="U2811" s="29">
        <v>3247398</v>
      </c>
      <c r="V2811" t="s">
        <v>1262</v>
      </c>
      <c r="W2811" t="s">
        <v>1262</v>
      </c>
      <c r="X2811" s="29">
        <v>3247398</v>
      </c>
      <c r="AA2811" s="30">
        <v>45887.630555555559</v>
      </c>
      <c r="AB2811" s="30">
        <v>45891.630555555559</v>
      </c>
      <c r="AC2811" s="30">
        <v>45887.630555555559</v>
      </c>
      <c r="AD2811" s="30">
        <v>45891.630555555559</v>
      </c>
      <c r="AE2811" s="30">
        <v>46294.416666666664</v>
      </c>
      <c r="AF2811" s="30">
        <v>46300.416666666664</v>
      </c>
      <c r="AG2811" t="s">
        <v>1266</v>
      </c>
      <c r="AK2811" t="s">
        <v>1265</v>
      </c>
      <c r="AL2811" t="s">
        <v>1853</v>
      </c>
      <c r="AM2811" t="s">
        <v>1263</v>
      </c>
      <c r="AN2811" t="s">
        <v>1262</v>
      </c>
      <c r="AO2811">
        <v>0</v>
      </c>
      <c r="AQ2811" t="s">
        <v>1261</v>
      </c>
      <c r="AR2811" t="s">
        <v>1260</v>
      </c>
      <c r="AS2811" t="s">
        <v>1259</v>
      </c>
      <c r="AT2811" s="30">
        <v>46072.702777777777</v>
      </c>
    </row>
    <row r="2812" spans="1:46" x14ac:dyDescent="0.25">
      <c r="A2812" t="s">
        <v>1248</v>
      </c>
      <c r="B2812">
        <v>253249</v>
      </c>
      <c r="C2812">
        <v>352245</v>
      </c>
      <c r="D2812">
        <v>405</v>
      </c>
      <c r="E2812" t="s">
        <v>1266</v>
      </c>
      <c r="G2812">
        <v>745</v>
      </c>
      <c r="H2812">
        <v>1827</v>
      </c>
      <c r="K2812" t="s">
        <v>1835</v>
      </c>
      <c r="L2812" t="s">
        <v>1835</v>
      </c>
      <c r="M2812" t="s">
        <v>1834</v>
      </c>
      <c r="N2812">
        <v>0</v>
      </c>
      <c r="O2812" t="s">
        <v>1834</v>
      </c>
      <c r="P2812">
        <v>0</v>
      </c>
      <c r="Q2812">
        <v>0</v>
      </c>
      <c r="R2812">
        <v>0</v>
      </c>
      <c r="T2812" s="29">
        <v>234300</v>
      </c>
      <c r="U2812" s="29">
        <v>3247398</v>
      </c>
      <c r="V2812" t="s">
        <v>1262</v>
      </c>
      <c r="W2812" t="s">
        <v>1262</v>
      </c>
      <c r="X2812" s="29">
        <v>3247398</v>
      </c>
      <c r="AA2812" s="30">
        <v>45889.35</v>
      </c>
      <c r="AB2812" s="30">
        <v>45895.35</v>
      </c>
      <c r="AC2812" s="30">
        <v>45889.35</v>
      </c>
      <c r="AD2812" s="30">
        <v>45895.35</v>
      </c>
      <c r="AE2812" s="30">
        <v>46276.416666666664</v>
      </c>
      <c r="AF2812" s="30">
        <v>46282.416666666664</v>
      </c>
      <c r="AG2812" t="s">
        <v>1266</v>
      </c>
      <c r="AK2812" t="s">
        <v>1265</v>
      </c>
      <c r="AL2812" t="s">
        <v>1852</v>
      </c>
      <c r="AM2812" t="s">
        <v>1263</v>
      </c>
      <c r="AN2812" t="s">
        <v>1262</v>
      </c>
      <c r="AO2812">
        <v>0</v>
      </c>
      <c r="AQ2812" t="s">
        <v>1261</v>
      </c>
      <c r="AR2812" t="s">
        <v>1260</v>
      </c>
      <c r="AS2812" t="s">
        <v>1259</v>
      </c>
      <c r="AT2812" s="30">
        <v>46072.702777777777</v>
      </c>
    </row>
    <row r="2813" spans="1:46" x14ac:dyDescent="0.25">
      <c r="A2813" t="s">
        <v>1248</v>
      </c>
      <c r="B2813">
        <v>253250</v>
      </c>
      <c r="C2813">
        <v>352252</v>
      </c>
      <c r="D2813">
        <v>405</v>
      </c>
      <c r="E2813" t="s">
        <v>1266</v>
      </c>
      <c r="G2813">
        <v>745</v>
      </c>
      <c r="H2813">
        <v>1827</v>
      </c>
      <c r="K2813" t="s">
        <v>1835</v>
      </c>
      <c r="L2813" t="s">
        <v>1835</v>
      </c>
      <c r="M2813" t="s">
        <v>1834</v>
      </c>
      <c r="N2813">
        <v>0</v>
      </c>
      <c r="O2813" t="s">
        <v>1834</v>
      </c>
      <c r="P2813">
        <v>0</v>
      </c>
      <c r="Q2813">
        <v>0</v>
      </c>
      <c r="R2813">
        <v>0</v>
      </c>
      <c r="T2813" s="29">
        <v>234300</v>
      </c>
      <c r="U2813" s="29">
        <v>3247398</v>
      </c>
      <c r="V2813" t="s">
        <v>1262</v>
      </c>
      <c r="W2813" t="s">
        <v>1262</v>
      </c>
      <c r="X2813" s="29">
        <v>3247398</v>
      </c>
      <c r="AA2813" s="30">
        <v>45887.39166666667</v>
      </c>
      <c r="AB2813" s="30">
        <v>45891.39166666667</v>
      </c>
      <c r="AC2813" s="30">
        <v>45887.39166666667</v>
      </c>
      <c r="AD2813" s="30">
        <v>45891.39166666667</v>
      </c>
      <c r="AE2813" s="30">
        <v>46260.416666666664</v>
      </c>
      <c r="AF2813" s="30">
        <v>46266.416666666664</v>
      </c>
      <c r="AG2813" t="s">
        <v>1266</v>
      </c>
      <c r="AK2813" t="s">
        <v>1265</v>
      </c>
      <c r="AL2813" t="s">
        <v>1851</v>
      </c>
      <c r="AM2813" t="s">
        <v>1263</v>
      </c>
      <c r="AN2813" t="s">
        <v>1262</v>
      </c>
      <c r="AO2813">
        <v>0</v>
      </c>
      <c r="AQ2813" t="s">
        <v>1261</v>
      </c>
      <c r="AR2813" t="s">
        <v>1260</v>
      </c>
      <c r="AS2813" t="s">
        <v>1259</v>
      </c>
      <c r="AT2813" s="30">
        <v>46072.702777777777</v>
      </c>
    </row>
    <row r="2814" spans="1:46" x14ac:dyDescent="0.25">
      <c r="A2814" t="s">
        <v>1248</v>
      </c>
      <c r="B2814">
        <v>253251</v>
      </c>
      <c r="C2814">
        <v>352259</v>
      </c>
      <c r="D2814">
        <v>405</v>
      </c>
      <c r="E2814" t="s">
        <v>1266</v>
      </c>
      <c r="G2814">
        <v>745</v>
      </c>
      <c r="H2814">
        <v>1827</v>
      </c>
      <c r="K2814" t="s">
        <v>1835</v>
      </c>
      <c r="L2814" t="s">
        <v>1835</v>
      </c>
      <c r="M2814" t="s">
        <v>1834</v>
      </c>
      <c r="N2814">
        <v>0</v>
      </c>
      <c r="O2814" t="s">
        <v>1834</v>
      </c>
      <c r="P2814">
        <v>0</v>
      </c>
      <c r="Q2814">
        <v>0</v>
      </c>
      <c r="R2814">
        <v>0</v>
      </c>
      <c r="T2814" s="29">
        <v>234300</v>
      </c>
      <c r="U2814" s="29">
        <v>3247398</v>
      </c>
      <c r="V2814" t="s">
        <v>1262</v>
      </c>
      <c r="W2814" t="s">
        <v>1262</v>
      </c>
      <c r="X2814" s="29">
        <v>3247398</v>
      </c>
      <c r="AA2814" s="30">
        <v>45883.433333333334</v>
      </c>
      <c r="AB2814" s="30">
        <v>45889.433333333334</v>
      </c>
      <c r="AC2814" s="30">
        <v>45883.433333333334</v>
      </c>
      <c r="AD2814" s="30">
        <v>45889.433333333334</v>
      </c>
      <c r="AE2814" s="30">
        <v>46244.416666666664</v>
      </c>
      <c r="AF2814" s="30">
        <v>46248.416666666664</v>
      </c>
      <c r="AG2814" t="s">
        <v>1266</v>
      </c>
      <c r="AK2814" t="s">
        <v>1265</v>
      </c>
      <c r="AL2814" t="s">
        <v>1850</v>
      </c>
      <c r="AM2814" t="s">
        <v>1263</v>
      </c>
      <c r="AN2814" t="s">
        <v>1262</v>
      </c>
      <c r="AO2814">
        <v>0</v>
      </c>
      <c r="AQ2814" t="s">
        <v>1261</v>
      </c>
      <c r="AR2814" t="s">
        <v>1260</v>
      </c>
      <c r="AS2814" t="s">
        <v>1259</v>
      </c>
      <c r="AT2814" s="30">
        <v>46072.702777777777</v>
      </c>
    </row>
    <row r="2815" spans="1:46" x14ac:dyDescent="0.25">
      <c r="A2815" t="s">
        <v>1248</v>
      </c>
      <c r="B2815">
        <v>253252</v>
      </c>
      <c r="C2815">
        <v>352266</v>
      </c>
      <c r="D2815">
        <v>405</v>
      </c>
      <c r="E2815" t="s">
        <v>1266</v>
      </c>
      <c r="G2815">
        <v>745</v>
      </c>
      <c r="H2815">
        <v>1827</v>
      </c>
      <c r="K2815" t="s">
        <v>1835</v>
      </c>
      <c r="L2815" t="s">
        <v>1835</v>
      </c>
      <c r="M2815" t="s">
        <v>1834</v>
      </c>
      <c r="N2815">
        <v>0</v>
      </c>
      <c r="O2815" t="s">
        <v>1834</v>
      </c>
      <c r="P2815">
        <v>0</v>
      </c>
      <c r="Q2815">
        <v>0</v>
      </c>
      <c r="R2815">
        <v>0</v>
      </c>
      <c r="T2815" s="29">
        <v>207200</v>
      </c>
      <c r="U2815" s="29">
        <v>2871792</v>
      </c>
      <c r="V2815" t="s">
        <v>1262</v>
      </c>
      <c r="W2815" t="s">
        <v>1262</v>
      </c>
      <c r="X2815" s="29">
        <v>2871792</v>
      </c>
      <c r="AA2815" s="30">
        <v>45873.7</v>
      </c>
      <c r="AB2815" s="30">
        <v>45877.7</v>
      </c>
      <c r="AC2815" s="30">
        <v>45873.7</v>
      </c>
      <c r="AD2815" s="30">
        <v>45877.7</v>
      </c>
      <c r="AE2815" s="30">
        <v>46226.416666666664</v>
      </c>
      <c r="AF2815" s="30">
        <v>46232.416666666664</v>
      </c>
      <c r="AG2815" t="s">
        <v>1266</v>
      </c>
      <c r="AK2815" t="s">
        <v>1265</v>
      </c>
      <c r="AL2815" t="s">
        <v>1849</v>
      </c>
      <c r="AM2815" t="s">
        <v>1263</v>
      </c>
      <c r="AN2815" t="s">
        <v>1262</v>
      </c>
      <c r="AO2815">
        <v>0</v>
      </c>
      <c r="AQ2815" t="s">
        <v>1261</v>
      </c>
      <c r="AR2815" t="s">
        <v>1260</v>
      </c>
      <c r="AS2815" t="s">
        <v>1259</v>
      </c>
      <c r="AT2815" s="30">
        <v>46072.702777777777</v>
      </c>
    </row>
    <row r="2816" spans="1:46" x14ac:dyDescent="0.25">
      <c r="A2816" t="s">
        <v>1248</v>
      </c>
      <c r="B2816">
        <v>253253</v>
      </c>
      <c r="C2816">
        <v>352273</v>
      </c>
      <c r="D2816">
        <v>405</v>
      </c>
      <c r="E2816" t="s">
        <v>1266</v>
      </c>
      <c r="G2816">
        <v>745</v>
      </c>
      <c r="H2816">
        <v>1827</v>
      </c>
      <c r="K2816" t="s">
        <v>1835</v>
      </c>
      <c r="L2816" t="s">
        <v>1835</v>
      </c>
      <c r="M2816" t="s">
        <v>1834</v>
      </c>
      <c r="N2816">
        <v>0</v>
      </c>
      <c r="O2816" t="s">
        <v>1834</v>
      </c>
      <c r="P2816">
        <v>0</v>
      </c>
      <c r="Q2816">
        <v>0</v>
      </c>
      <c r="R2816">
        <v>0</v>
      </c>
      <c r="T2816" s="29">
        <v>207200</v>
      </c>
      <c r="U2816" s="29">
        <v>2871792</v>
      </c>
      <c r="V2816" t="s">
        <v>1262</v>
      </c>
      <c r="W2816" t="s">
        <v>1262</v>
      </c>
      <c r="X2816" s="29">
        <v>2871792</v>
      </c>
      <c r="AA2816" s="30">
        <v>45870.366666666669</v>
      </c>
      <c r="AB2816" s="30">
        <v>45876.366666666669</v>
      </c>
      <c r="AC2816" s="30">
        <v>45870.366666666669</v>
      </c>
      <c r="AD2816" s="30">
        <v>45876.366666666669</v>
      </c>
      <c r="AE2816" s="30">
        <v>46210.416666666664</v>
      </c>
      <c r="AF2816" s="30">
        <v>46216.416666666664</v>
      </c>
      <c r="AG2816" t="s">
        <v>1266</v>
      </c>
      <c r="AK2816" t="s">
        <v>1265</v>
      </c>
      <c r="AL2816" t="s">
        <v>1848</v>
      </c>
      <c r="AM2816" t="s">
        <v>1263</v>
      </c>
      <c r="AN2816" t="s">
        <v>1262</v>
      </c>
      <c r="AO2816">
        <v>0</v>
      </c>
      <c r="AQ2816" t="s">
        <v>1261</v>
      </c>
      <c r="AR2816" t="s">
        <v>1260</v>
      </c>
      <c r="AS2816" t="s">
        <v>1259</v>
      </c>
      <c r="AT2816" s="30">
        <v>46072.702777777777</v>
      </c>
    </row>
    <row r="2817" spans="1:46" x14ac:dyDescent="0.25">
      <c r="A2817" t="s">
        <v>1248</v>
      </c>
      <c r="B2817">
        <v>253254</v>
      </c>
      <c r="C2817">
        <v>352280</v>
      </c>
      <c r="D2817">
        <v>405</v>
      </c>
      <c r="E2817" t="s">
        <v>1266</v>
      </c>
      <c r="G2817">
        <v>745</v>
      </c>
      <c r="H2817">
        <v>1827</v>
      </c>
      <c r="K2817" t="s">
        <v>1835</v>
      </c>
      <c r="L2817" t="s">
        <v>1835</v>
      </c>
      <c r="M2817" t="s">
        <v>1834</v>
      </c>
      <c r="N2817">
        <v>0</v>
      </c>
      <c r="O2817" t="s">
        <v>1834</v>
      </c>
      <c r="P2817">
        <v>0</v>
      </c>
      <c r="Q2817">
        <v>0</v>
      </c>
      <c r="R2817">
        <v>0</v>
      </c>
      <c r="T2817" s="29">
        <v>207200</v>
      </c>
      <c r="U2817" s="29">
        <v>2871792</v>
      </c>
      <c r="V2817" t="s">
        <v>1262</v>
      </c>
      <c r="W2817" t="s">
        <v>1262</v>
      </c>
      <c r="X2817" s="29">
        <v>2871792</v>
      </c>
      <c r="AA2817" s="30">
        <v>45868.408333333333</v>
      </c>
      <c r="AB2817" s="30">
        <v>45874.408333333333</v>
      </c>
      <c r="AC2817" s="30">
        <v>45868.408333333333</v>
      </c>
      <c r="AD2817" s="30">
        <v>45874.408333333333</v>
      </c>
      <c r="AE2817" s="30">
        <v>46192.416666666664</v>
      </c>
      <c r="AF2817" s="30">
        <v>46198.416666666664</v>
      </c>
      <c r="AG2817" t="s">
        <v>1266</v>
      </c>
      <c r="AK2817" t="s">
        <v>1265</v>
      </c>
      <c r="AL2817" t="s">
        <v>1847</v>
      </c>
      <c r="AM2817" t="s">
        <v>1263</v>
      </c>
      <c r="AN2817" t="s">
        <v>1262</v>
      </c>
      <c r="AO2817">
        <v>0</v>
      </c>
      <c r="AQ2817" t="s">
        <v>1261</v>
      </c>
      <c r="AR2817" t="s">
        <v>1260</v>
      </c>
      <c r="AS2817" t="s">
        <v>1259</v>
      </c>
      <c r="AT2817" s="30">
        <v>46072.702777777777</v>
      </c>
    </row>
    <row r="2818" spans="1:46" x14ac:dyDescent="0.25">
      <c r="A2818" t="s">
        <v>1248</v>
      </c>
      <c r="B2818">
        <v>253255</v>
      </c>
      <c r="C2818">
        <v>352287</v>
      </c>
      <c r="D2818">
        <v>405</v>
      </c>
      <c r="E2818" t="s">
        <v>1266</v>
      </c>
      <c r="G2818">
        <v>745</v>
      </c>
      <c r="H2818">
        <v>1827</v>
      </c>
      <c r="K2818" t="s">
        <v>1835</v>
      </c>
      <c r="L2818" t="s">
        <v>1835</v>
      </c>
      <c r="M2818" t="s">
        <v>1834</v>
      </c>
      <c r="N2818">
        <v>0</v>
      </c>
      <c r="O2818" t="s">
        <v>1834</v>
      </c>
      <c r="P2818">
        <v>0</v>
      </c>
      <c r="Q2818">
        <v>0</v>
      </c>
      <c r="R2818">
        <v>0</v>
      </c>
      <c r="T2818" s="29">
        <v>207200</v>
      </c>
      <c r="U2818" s="29">
        <v>2871792</v>
      </c>
      <c r="V2818" t="s">
        <v>1262</v>
      </c>
      <c r="W2818" t="s">
        <v>1262</v>
      </c>
      <c r="X2818" s="29">
        <v>2871792</v>
      </c>
      <c r="AA2818" s="30">
        <v>45866.45</v>
      </c>
      <c r="AB2818" s="30">
        <v>45870.45</v>
      </c>
      <c r="AC2818" s="30">
        <v>45866.45</v>
      </c>
      <c r="AD2818" s="30">
        <v>45870.45</v>
      </c>
      <c r="AE2818" s="30">
        <v>46176.416666666664</v>
      </c>
      <c r="AF2818" s="30">
        <v>46182.416666666664</v>
      </c>
      <c r="AG2818" t="s">
        <v>1266</v>
      </c>
      <c r="AK2818" t="s">
        <v>1265</v>
      </c>
      <c r="AL2818" t="s">
        <v>1846</v>
      </c>
      <c r="AM2818" t="s">
        <v>1263</v>
      </c>
      <c r="AN2818" t="s">
        <v>1262</v>
      </c>
      <c r="AO2818">
        <v>0</v>
      </c>
      <c r="AQ2818" t="s">
        <v>1261</v>
      </c>
      <c r="AR2818" t="s">
        <v>1260</v>
      </c>
      <c r="AS2818" t="s">
        <v>1259</v>
      </c>
      <c r="AT2818" s="30">
        <v>46072.702777777777</v>
      </c>
    </row>
    <row r="2819" spans="1:46" x14ac:dyDescent="0.25">
      <c r="A2819" t="s">
        <v>1248</v>
      </c>
      <c r="B2819">
        <v>253256</v>
      </c>
      <c r="C2819">
        <v>352294</v>
      </c>
      <c r="D2819">
        <v>405</v>
      </c>
      <c r="E2819" t="s">
        <v>1266</v>
      </c>
      <c r="G2819">
        <v>745</v>
      </c>
      <c r="H2819">
        <v>1827</v>
      </c>
      <c r="K2819" t="s">
        <v>1835</v>
      </c>
      <c r="L2819" t="s">
        <v>1835</v>
      </c>
      <c r="M2819" t="s">
        <v>1834</v>
      </c>
      <c r="N2819">
        <v>0</v>
      </c>
      <c r="O2819" t="s">
        <v>1834</v>
      </c>
      <c r="P2819">
        <v>0</v>
      </c>
      <c r="Q2819">
        <v>0</v>
      </c>
      <c r="R2819">
        <v>0</v>
      </c>
      <c r="T2819" s="29">
        <v>207200</v>
      </c>
      <c r="U2819" s="29">
        <v>2871792</v>
      </c>
      <c r="V2819" t="s">
        <v>1262</v>
      </c>
      <c r="W2819" t="s">
        <v>1262</v>
      </c>
      <c r="X2819" s="29">
        <v>2871792</v>
      </c>
      <c r="AA2819" s="30">
        <v>45862.491666666669</v>
      </c>
      <c r="AB2819" s="30">
        <v>45868.491666666669</v>
      </c>
      <c r="AC2819" s="30">
        <v>45862.491666666669</v>
      </c>
      <c r="AD2819" s="30">
        <v>45868.491666666669</v>
      </c>
      <c r="AE2819" s="30">
        <v>46157.416666666664</v>
      </c>
      <c r="AF2819" s="30">
        <v>46163.416666666664</v>
      </c>
      <c r="AG2819" t="s">
        <v>1266</v>
      </c>
      <c r="AK2819" t="s">
        <v>1265</v>
      </c>
      <c r="AL2819" t="s">
        <v>1845</v>
      </c>
      <c r="AM2819" t="s">
        <v>1263</v>
      </c>
      <c r="AN2819" t="s">
        <v>1262</v>
      </c>
      <c r="AO2819">
        <v>0</v>
      </c>
      <c r="AQ2819" t="s">
        <v>1261</v>
      </c>
      <c r="AR2819" t="s">
        <v>1260</v>
      </c>
      <c r="AS2819" t="s">
        <v>1259</v>
      </c>
      <c r="AT2819" s="30">
        <v>46072.702777777777</v>
      </c>
    </row>
    <row r="2820" spans="1:46" x14ac:dyDescent="0.25">
      <c r="A2820" t="s">
        <v>1248</v>
      </c>
      <c r="B2820">
        <v>253257</v>
      </c>
      <c r="C2820">
        <v>352301</v>
      </c>
      <c r="D2820">
        <v>405</v>
      </c>
      <c r="E2820" t="s">
        <v>1266</v>
      </c>
      <c r="G2820">
        <v>745</v>
      </c>
      <c r="H2820">
        <v>1827</v>
      </c>
      <c r="K2820" t="s">
        <v>1835</v>
      </c>
      <c r="L2820" t="s">
        <v>1835</v>
      </c>
      <c r="M2820" t="s">
        <v>1834</v>
      </c>
      <c r="N2820">
        <v>0</v>
      </c>
      <c r="O2820" t="s">
        <v>1834</v>
      </c>
      <c r="P2820">
        <v>0</v>
      </c>
      <c r="Q2820">
        <v>0</v>
      </c>
      <c r="R2820">
        <v>0</v>
      </c>
      <c r="T2820" s="29">
        <v>207200</v>
      </c>
      <c r="U2820" s="29">
        <v>2871792</v>
      </c>
      <c r="V2820" t="s">
        <v>1262</v>
      </c>
      <c r="W2820" t="s">
        <v>1262</v>
      </c>
      <c r="X2820" s="29">
        <v>2871792</v>
      </c>
      <c r="AA2820" s="30">
        <v>45860.574999999997</v>
      </c>
      <c r="AB2820" s="30">
        <v>45866.574999999997</v>
      </c>
      <c r="AC2820" s="30">
        <v>45860.574999999997</v>
      </c>
      <c r="AD2820" s="30">
        <v>45866.574999999997</v>
      </c>
      <c r="AE2820" s="30">
        <v>46140.416666666664</v>
      </c>
      <c r="AF2820" s="30">
        <v>46147.416666666664</v>
      </c>
      <c r="AG2820" t="s">
        <v>1266</v>
      </c>
      <c r="AK2820" t="s">
        <v>1265</v>
      </c>
      <c r="AL2820" t="s">
        <v>1844</v>
      </c>
      <c r="AM2820" t="s">
        <v>1263</v>
      </c>
      <c r="AN2820" t="s">
        <v>1262</v>
      </c>
      <c r="AO2820">
        <v>0</v>
      </c>
      <c r="AQ2820" t="s">
        <v>1261</v>
      </c>
      <c r="AR2820" t="s">
        <v>1260</v>
      </c>
      <c r="AS2820" t="s">
        <v>1259</v>
      </c>
      <c r="AT2820" s="30">
        <v>46072.702777777777</v>
      </c>
    </row>
    <row r="2821" spans="1:46" x14ac:dyDescent="0.25">
      <c r="A2821" t="s">
        <v>1248</v>
      </c>
      <c r="B2821">
        <v>253258</v>
      </c>
      <c r="C2821">
        <v>352308</v>
      </c>
      <c r="D2821">
        <v>405</v>
      </c>
      <c r="E2821" t="s">
        <v>1266</v>
      </c>
      <c r="G2821">
        <v>745</v>
      </c>
      <c r="H2821">
        <v>1827</v>
      </c>
      <c r="K2821" t="s">
        <v>1835</v>
      </c>
      <c r="L2821" t="s">
        <v>1835</v>
      </c>
      <c r="M2821" t="s">
        <v>1834</v>
      </c>
      <c r="N2821">
        <v>0</v>
      </c>
      <c r="O2821" t="s">
        <v>1834</v>
      </c>
      <c r="P2821">
        <v>0</v>
      </c>
      <c r="Q2821">
        <v>0</v>
      </c>
      <c r="R2821">
        <v>0</v>
      </c>
      <c r="T2821" s="29">
        <v>207200</v>
      </c>
      <c r="U2821" s="29">
        <v>2871792</v>
      </c>
      <c r="V2821" t="s">
        <v>1262</v>
      </c>
      <c r="W2821" t="s">
        <v>1262</v>
      </c>
      <c r="X2821" s="29">
        <v>2871792</v>
      </c>
      <c r="AA2821" s="30">
        <v>45846.433333333334</v>
      </c>
      <c r="AB2821" s="30">
        <v>45852.433333333334</v>
      </c>
      <c r="AC2821" s="30">
        <v>45846.433333333334</v>
      </c>
      <c r="AD2821" s="30">
        <v>45852.433333333334</v>
      </c>
      <c r="AE2821" s="30">
        <v>46122.416666666664</v>
      </c>
      <c r="AF2821" s="30">
        <v>46128.416666666664</v>
      </c>
      <c r="AG2821" t="s">
        <v>1266</v>
      </c>
      <c r="AK2821" t="s">
        <v>1265</v>
      </c>
      <c r="AL2821" t="s">
        <v>1843</v>
      </c>
      <c r="AM2821" t="s">
        <v>1263</v>
      </c>
      <c r="AN2821" t="s">
        <v>1262</v>
      </c>
      <c r="AO2821">
        <v>0</v>
      </c>
      <c r="AQ2821" t="s">
        <v>1261</v>
      </c>
      <c r="AR2821" t="s">
        <v>1260</v>
      </c>
      <c r="AS2821" t="s">
        <v>1259</v>
      </c>
      <c r="AT2821" s="30">
        <v>46072.702777777777</v>
      </c>
    </row>
    <row r="2822" spans="1:46" x14ac:dyDescent="0.25">
      <c r="A2822" t="s">
        <v>1248</v>
      </c>
      <c r="B2822">
        <v>253259</v>
      </c>
      <c r="C2822">
        <v>352315</v>
      </c>
      <c r="D2822">
        <v>405</v>
      </c>
      <c r="E2822" t="s">
        <v>1266</v>
      </c>
      <c r="G2822">
        <v>745</v>
      </c>
      <c r="H2822">
        <v>1827</v>
      </c>
      <c r="K2822" t="s">
        <v>1835</v>
      </c>
      <c r="L2822" t="s">
        <v>1835</v>
      </c>
      <c r="M2822" t="s">
        <v>1834</v>
      </c>
      <c r="N2822">
        <v>0</v>
      </c>
      <c r="O2822" t="s">
        <v>1834</v>
      </c>
      <c r="P2822">
        <v>0</v>
      </c>
      <c r="Q2822">
        <v>0</v>
      </c>
      <c r="R2822">
        <v>0</v>
      </c>
      <c r="T2822" s="29">
        <v>207200</v>
      </c>
      <c r="U2822" s="29">
        <v>2871792</v>
      </c>
      <c r="V2822" t="s">
        <v>1262</v>
      </c>
      <c r="W2822" t="s">
        <v>1262</v>
      </c>
      <c r="X2822" s="29">
        <v>2871792</v>
      </c>
      <c r="AA2822" s="30">
        <v>45841.64166666667</v>
      </c>
      <c r="AB2822" s="30">
        <v>45847.64166666667</v>
      </c>
      <c r="AC2822" s="30">
        <v>45841.64166666667</v>
      </c>
      <c r="AD2822" s="30">
        <v>45847.64166666667</v>
      </c>
      <c r="AE2822" s="30">
        <v>46105.416666666664</v>
      </c>
      <c r="AF2822" s="30">
        <v>46111.416666666664</v>
      </c>
      <c r="AG2822" t="s">
        <v>1266</v>
      </c>
      <c r="AK2822" t="s">
        <v>1265</v>
      </c>
      <c r="AL2822" t="s">
        <v>1842</v>
      </c>
      <c r="AM2822" t="s">
        <v>1263</v>
      </c>
      <c r="AN2822" t="s">
        <v>1262</v>
      </c>
      <c r="AO2822">
        <v>0</v>
      </c>
      <c r="AQ2822" t="s">
        <v>1261</v>
      </c>
      <c r="AR2822" t="s">
        <v>1260</v>
      </c>
      <c r="AS2822" t="s">
        <v>1259</v>
      </c>
      <c r="AT2822" s="30">
        <v>46072.702777777777</v>
      </c>
    </row>
    <row r="2823" spans="1:46" x14ac:dyDescent="0.25">
      <c r="A2823" t="s">
        <v>1248</v>
      </c>
      <c r="B2823">
        <v>253260</v>
      </c>
      <c r="C2823">
        <v>352322</v>
      </c>
      <c r="D2823">
        <v>405</v>
      </c>
      <c r="E2823" t="s">
        <v>1266</v>
      </c>
      <c r="G2823">
        <v>745</v>
      </c>
      <c r="H2823">
        <v>1827</v>
      </c>
      <c r="K2823" t="s">
        <v>1835</v>
      </c>
      <c r="L2823" t="s">
        <v>1835</v>
      </c>
      <c r="M2823" t="s">
        <v>1834</v>
      </c>
      <c r="N2823">
        <v>0</v>
      </c>
      <c r="O2823" t="s">
        <v>1834</v>
      </c>
      <c r="P2823">
        <v>0</v>
      </c>
      <c r="Q2823">
        <v>0</v>
      </c>
      <c r="R2823">
        <v>0</v>
      </c>
      <c r="T2823" s="29">
        <v>207200</v>
      </c>
      <c r="U2823" s="29">
        <v>2871792</v>
      </c>
      <c r="V2823" t="s">
        <v>1262</v>
      </c>
      <c r="W2823" t="s">
        <v>1262</v>
      </c>
      <c r="X2823" s="29">
        <v>2871792</v>
      </c>
      <c r="AA2823" s="30">
        <v>45839.683333333334</v>
      </c>
      <c r="AB2823" s="30">
        <v>45845.683333333334</v>
      </c>
      <c r="AC2823" s="30">
        <v>45839.683333333334</v>
      </c>
      <c r="AD2823" s="30">
        <v>45845.683333333334</v>
      </c>
      <c r="AE2823" s="30">
        <v>46087.416666666664</v>
      </c>
      <c r="AF2823" s="30">
        <v>46093.416666666664</v>
      </c>
      <c r="AG2823" t="s">
        <v>1266</v>
      </c>
      <c r="AK2823" t="s">
        <v>1265</v>
      </c>
      <c r="AL2823" t="s">
        <v>1841</v>
      </c>
      <c r="AM2823" t="s">
        <v>1263</v>
      </c>
      <c r="AN2823" t="s">
        <v>1262</v>
      </c>
      <c r="AO2823">
        <v>0</v>
      </c>
      <c r="AQ2823" t="s">
        <v>1261</v>
      </c>
      <c r="AR2823" t="s">
        <v>1260</v>
      </c>
      <c r="AS2823" t="s">
        <v>1259</v>
      </c>
      <c r="AT2823" s="30">
        <v>46072.702777777777</v>
      </c>
    </row>
    <row r="2824" spans="1:46" x14ac:dyDescent="0.25">
      <c r="A2824" t="s">
        <v>1248</v>
      </c>
      <c r="B2824">
        <v>253261</v>
      </c>
      <c r="C2824">
        <v>352329</v>
      </c>
      <c r="D2824">
        <v>405</v>
      </c>
      <c r="E2824" t="s">
        <v>1266</v>
      </c>
      <c r="G2824">
        <v>745</v>
      </c>
      <c r="H2824">
        <v>1827</v>
      </c>
      <c r="K2824" t="s">
        <v>1835</v>
      </c>
      <c r="L2824" t="s">
        <v>1835</v>
      </c>
      <c r="M2824" t="s">
        <v>1834</v>
      </c>
      <c r="N2824">
        <v>0</v>
      </c>
      <c r="O2824" t="s">
        <v>1834</v>
      </c>
      <c r="P2824">
        <v>0</v>
      </c>
      <c r="Q2824">
        <v>0</v>
      </c>
      <c r="R2824">
        <v>0</v>
      </c>
      <c r="T2824" s="29">
        <v>207200</v>
      </c>
      <c r="U2824" s="29">
        <v>2871792</v>
      </c>
      <c r="V2824" t="s">
        <v>1262</v>
      </c>
      <c r="W2824" t="s">
        <v>1262</v>
      </c>
      <c r="X2824" s="29">
        <v>2871792</v>
      </c>
      <c r="AA2824" s="30">
        <v>45838.35</v>
      </c>
      <c r="AB2824" s="30">
        <v>45842.35</v>
      </c>
      <c r="AC2824" s="30">
        <v>45838.35</v>
      </c>
      <c r="AD2824" s="30">
        <v>45842.35</v>
      </c>
      <c r="AE2824" s="30">
        <v>46071.416666666664</v>
      </c>
      <c r="AF2824" s="30">
        <v>46077.416666666664</v>
      </c>
      <c r="AG2824" t="s">
        <v>1266</v>
      </c>
      <c r="AK2824" t="s">
        <v>1265</v>
      </c>
      <c r="AL2824" t="s">
        <v>1840</v>
      </c>
      <c r="AM2824" t="s">
        <v>1263</v>
      </c>
      <c r="AN2824" t="s">
        <v>1262</v>
      </c>
      <c r="AO2824">
        <v>0</v>
      </c>
      <c r="AQ2824" t="s">
        <v>1261</v>
      </c>
      <c r="AR2824" t="s">
        <v>1260</v>
      </c>
      <c r="AS2824" t="s">
        <v>1259</v>
      </c>
      <c r="AT2824" s="30">
        <v>46072.702777777777</v>
      </c>
    </row>
    <row r="2825" spans="1:46" x14ac:dyDescent="0.25">
      <c r="A2825" t="s">
        <v>1248</v>
      </c>
      <c r="B2825">
        <v>253262</v>
      </c>
      <c r="C2825">
        <v>352336</v>
      </c>
      <c r="D2825">
        <v>405</v>
      </c>
      <c r="E2825" t="s">
        <v>1266</v>
      </c>
      <c r="G2825">
        <v>745</v>
      </c>
      <c r="H2825">
        <v>1827</v>
      </c>
      <c r="K2825" t="s">
        <v>1835</v>
      </c>
      <c r="L2825" t="s">
        <v>1835</v>
      </c>
      <c r="M2825" t="s">
        <v>1834</v>
      </c>
      <c r="N2825">
        <v>0</v>
      </c>
      <c r="O2825" t="s">
        <v>1834</v>
      </c>
      <c r="P2825">
        <v>0</v>
      </c>
      <c r="Q2825">
        <v>0</v>
      </c>
      <c r="R2825">
        <v>0</v>
      </c>
      <c r="T2825" s="29">
        <v>207200</v>
      </c>
      <c r="U2825" s="29">
        <v>2871792</v>
      </c>
      <c r="V2825" t="s">
        <v>1262</v>
      </c>
      <c r="W2825" t="s">
        <v>1262</v>
      </c>
      <c r="X2825" s="29">
        <v>2871792</v>
      </c>
      <c r="AA2825" s="30">
        <v>45834.39166666667</v>
      </c>
      <c r="AB2825" s="30">
        <v>45840.39166666667</v>
      </c>
      <c r="AC2825" s="30">
        <v>45834.39166666667</v>
      </c>
      <c r="AD2825" s="30">
        <v>45840.39166666667</v>
      </c>
      <c r="AE2825" s="30">
        <v>46055.416666666664</v>
      </c>
      <c r="AF2825" s="30">
        <v>46059.416666666664</v>
      </c>
      <c r="AG2825" t="s">
        <v>1266</v>
      </c>
      <c r="AK2825" t="s">
        <v>1265</v>
      </c>
      <c r="AL2825" t="s">
        <v>1839</v>
      </c>
      <c r="AM2825" t="s">
        <v>1263</v>
      </c>
      <c r="AN2825" t="s">
        <v>1262</v>
      </c>
      <c r="AO2825">
        <v>0</v>
      </c>
      <c r="AQ2825" t="s">
        <v>1261</v>
      </c>
      <c r="AR2825" t="s">
        <v>1260</v>
      </c>
      <c r="AS2825" t="s">
        <v>1259</v>
      </c>
      <c r="AT2825" s="30">
        <v>46072.702777777777</v>
      </c>
    </row>
    <row r="2826" spans="1:46" x14ac:dyDescent="0.25">
      <c r="A2826" t="s">
        <v>1248</v>
      </c>
      <c r="B2826">
        <v>253263</v>
      </c>
      <c r="C2826">
        <v>352343</v>
      </c>
      <c r="D2826">
        <v>405</v>
      </c>
      <c r="E2826" t="s">
        <v>1266</v>
      </c>
      <c r="G2826">
        <v>745</v>
      </c>
      <c r="H2826">
        <v>1827</v>
      </c>
      <c r="K2826" t="s">
        <v>1835</v>
      </c>
      <c r="L2826" t="s">
        <v>1835</v>
      </c>
      <c r="M2826" t="s">
        <v>1834</v>
      </c>
      <c r="N2826">
        <v>0</v>
      </c>
      <c r="O2826" t="s">
        <v>1834</v>
      </c>
      <c r="P2826">
        <v>0</v>
      </c>
      <c r="Q2826">
        <v>0</v>
      </c>
      <c r="R2826">
        <v>0</v>
      </c>
      <c r="T2826" s="29">
        <v>207200</v>
      </c>
      <c r="U2826" s="29">
        <v>2871792</v>
      </c>
      <c r="V2826" t="s">
        <v>1262</v>
      </c>
      <c r="W2826" t="s">
        <v>1262</v>
      </c>
      <c r="X2826" s="29">
        <v>2871792</v>
      </c>
      <c r="AA2826" s="30">
        <v>45832.433333333334</v>
      </c>
      <c r="AB2826" s="30">
        <v>45838.433333333334</v>
      </c>
      <c r="AC2826" s="30">
        <v>45832.433333333334</v>
      </c>
      <c r="AD2826" s="30">
        <v>45838.433333333334</v>
      </c>
      <c r="AE2826" s="30">
        <v>46037.375</v>
      </c>
      <c r="AF2826" s="30">
        <v>46043.375</v>
      </c>
      <c r="AG2826" t="s">
        <v>1266</v>
      </c>
      <c r="AK2826" t="s">
        <v>1265</v>
      </c>
      <c r="AL2826" t="s">
        <v>1838</v>
      </c>
      <c r="AM2826" t="s">
        <v>1263</v>
      </c>
      <c r="AN2826" t="s">
        <v>1262</v>
      </c>
      <c r="AO2826">
        <v>0</v>
      </c>
      <c r="AQ2826" t="s">
        <v>1261</v>
      </c>
      <c r="AR2826" t="s">
        <v>1260</v>
      </c>
      <c r="AS2826" t="s">
        <v>1259</v>
      </c>
      <c r="AT2826" s="30">
        <v>46072.702777777777</v>
      </c>
    </row>
    <row r="2827" spans="1:46" x14ac:dyDescent="0.25">
      <c r="A2827" t="s">
        <v>1248</v>
      </c>
      <c r="B2827">
        <v>253264</v>
      </c>
      <c r="C2827">
        <v>352350</v>
      </c>
      <c r="D2827">
        <v>405</v>
      </c>
      <c r="E2827" t="s">
        <v>1266</v>
      </c>
      <c r="G2827">
        <v>745</v>
      </c>
      <c r="H2827">
        <v>1827</v>
      </c>
      <c r="K2827" t="s">
        <v>1835</v>
      </c>
      <c r="L2827" t="s">
        <v>1835</v>
      </c>
      <c r="M2827" t="s">
        <v>1834</v>
      </c>
      <c r="N2827">
        <v>0</v>
      </c>
      <c r="O2827" t="s">
        <v>1834</v>
      </c>
      <c r="P2827">
        <v>0</v>
      </c>
      <c r="Q2827">
        <v>0</v>
      </c>
      <c r="R2827">
        <v>0</v>
      </c>
      <c r="T2827" s="29">
        <v>207200</v>
      </c>
      <c r="U2827" s="29">
        <v>2871792</v>
      </c>
      <c r="V2827" t="s">
        <v>1262</v>
      </c>
      <c r="W2827" t="s">
        <v>1262</v>
      </c>
      <c r="X2827" s="29">
        <v>2871792</v>
      </c>
      <c r="AA2827" s="30">
        <v>45824.39166666667</v>
      </c>
      <c r="AB2827" s="30">
        <v>45828.39166666667</v>
      </c>
      <c r="AC2827" s="30">
        <v>45824.39166666667</v>
      </c>
      <c r="AD2827" s="30">
        <v>45828.39166666667</v>
      </c>
      <c r="AE2827" s="30">
        <v>46016.333333333336</v>
      </c>
      <c r="AF2827" s="30">
        <v>46021.708333333336</v>
      </c>
      <c r="AG2827" t="s">
        <v>1266</v>
      </c>
      <c r="AK2827" t="s">
        <v>1265</v>
      </c>
      <c r="AL2827" t="s">
        <v>1837</v>
      </c>
      <c r="AM2827" t="s">
        <v>1263</v>
      </c>
      <c r="AN2827" t="s">
        <v>1262</v>
      </c>
      <c r="AO2827">
        <v>0</v>
      </c>
      <c r="AQ2827" t="s">
        <v>1261</v>
      </c>
      <c r="AR2827" t="s">
        <v>1260</v>
      </c>
      <c r="AS2827" t="s">
        <v>1259</v>
      </c>
      <c r="AT2827" s="30">
        <v>46072.702777777777</v>
      </c>
    </row>
    <row r="2828" spans="1:46" x14ac:dyDescent="0.25">
      <c r="A2828" t="s">
        <v>1248</v>
      </c>
      <c r="B2828">
        <v>253265</v>
      </c>
      <c r="C2828">
        <v>352357</v>
      </c>
      <c r="D2828">
        <v>405</v>
      </c>
      <c r="E2828" t="s">
        <v>1266</v>
      </c>
      <c r="G2828">
        <v>745</v>
      </c>
      <c r="H2828">
        <v>1827</v>
      </c>
      <c r="K2828" t="s">
        <v>1835</v>
      </c>
      <c r="L2828" t="s">
        <v>1835</v>
      </c>
      <c r="M2828" t="s">
        <v>1834</v>
      </c>
      <c r="N2828">
        <v>0</v>
      </c>
      <c r="O2828" t="s">
        <v>1834</v>
      </c>
      <c r="P2828">
        <v>0</v>
      </c>
      <c r="Q2828">
        <v>0</v>
      </c>
      <c r="R2828">
        <v>0</v>
      </c>
      <c r="T2828" s="29">
        <v>207200</v>
      </c>
      <c r="U2828" s="29">
        <v>2871792</v>
      </c>
      <c r="V2828" t="s">
        <v>1262</v>
      </c>
      <c r="W2828" t="s">
        <v>1262</v>
      </c>
      <c r="X2828" s="29">
        <v>2871792</v>
      </c>
      <c r="AA2828" s="30">
        <v>45821.433333333334</v>
      </c>
      <c r="AB2828" s="30">
        <v>45827.433333333334</v>
      </c>
      <c r="AC2828" s="30">
        <v>45821.433333333334</v>
      </c>
      <c r="AD2828" s="30">
        <v>45827.433333333334</v>
      </c>
      <c r="AE2828" s="30">
        <v>46010.333333333336</v>
      </c>
      <c r="AF2828" s="30">
        <v>46015.708333333336</v>
      </c>
      <c r="AG2828" t="s">
        <v>1266</v>
      </c>
      <c r="AK2828" t="s">
        <v>1265</v>
      </c>
      <c r="AL2828" t="s">
        <v>1836</v>
      </c>
      <c r="AM2828" t="s">
        <v>1263</v>
      </c>
      <c r="AN2828" t="s">
        <v>1262</v>
      </c>
      <c r="AO2828">
        <v>0</v>
      </c>
      <c r="AQ2828" t="s">
        <v>1261</v>
      </c>
      <c r="AR2828" t="s">
        <v>1260</v>
      </c>
      <c r="AS2828" t="s">
        <v>1259</v>
      </c>
      <c r="AT2828" s="30">
        <v>46072.702777777777</v>
      </c>
    </row>
    <row r="2829" spans="1:46" x14ac:dyDescent="0.25">
      <c r="A2829" t="s">
        <v>1248</v>
      </c>
      <c r="B2829">
        <v>253266</v>
      </c>
      <c r="C2829">
        <v>352364</v>
      </c>
      <c r="D2829">
        <v>405</v>
      </c>
      <c r="E2829" t="s">
        <v>1266</v>
      </c>
      <c r="G2829">
        <v>745</v>
      </c>
      <c r="H2829">
        <v>1827</v>
      </c>
      <c r="K2829" t="s">
        <v>1835</v>
      </c>
      <c r="L2829" t="s">
        <v>1835</v>
      </c>
      <c r="M2829" t="s">
        <v>1834</v>
      </c>
      <c r="N2829">
        <v>0</v>
      </c>
      <c r="O2829" t="s">
        <v>1834</v>
      </c>
      <c r="P2829">
        <v>0</v>
      </c>
      <c r="Q2829">
        <v>0</v>
      </c>
      <c r="R2829">
        <v>0</v>
      </c>
      <c r="T2829" s="29">
        <v>207200</v>
      </c>
      <c r="U2829" s="29">
        <v>2871792</v>
      </c>
      <c r="V2829" t="s">
        <v>1262</v>
      </c>
      <c r="W2829" t="s">
        <v>1262</v>
      </c>
      <c r="X2829" s="29">
        <v>2871792</v>
      </c>
      <c r="AA2829" s="30">
        <v>45820.474999999999</v>
      </c>
      <c r="AB2829" s="30">
        <v>45826.474999999999</v>
      </c>
      <c r="AC2829" s="30">
        <v>45820.474999999999</v>
      </c>
      <c r="AD2829" s="30">
        <v>45826.474999999999</v>
      </c>
      <c r="AE2829" s="30">
        <v>45877.375</v>
      </c>
      <c r="AF2829" s="30">
        <v>45883.375</v>
      </c>
      <c r="AG2829" t="s">
        <v>1266</v>
      </c>
      <c r="AK2829" t="s">
        <v>1265</v>
      </c>
      <c r="AL2829" t="s">
        <v>1833</v>
      </c>
      <c r="AM2829" t="s">
        <v>1263</v>
      </c>
      <c r="AN2829" t="s">
        <v>1262</v>
      </c>
      <c r="AO2829">
        <v>0</v>
      </c>
      <c r="AQ2829" t="s">
        <v>1261</v>
      </c>
      <c r="AR2829" t="s">
        <v>1260</v>
      </c>
      <c r="AS2829" t="s">
        <v>1259</v>
      </c>
      <c r="AT2829" s="30">
        <v>46072.702777777777</v>
      </c>
    </row>
    <row r="2830" spans="1:46" x14ac:dyDescent="0.25">
      <c r="A2830" t="s">
        <v>1248</v>
      </c>
      <c r="B2830">
        <v>253267</v>
      </c>
      <c r="C2830">
        <v>119873</v>
      </c>
      <c r="D2830">
        <v>405</v>
      </c>
      <c r="E2830" t="s">
        <v>1266</v>
      </c>
      <c r="G2830">
        <v>745</v>
      </c>
      <c r="H2830">
        <v>1831</v>
      </c>
      <c r="K2830">
        <v>114816</v>
      </c>
      <c r="L2830">
        <v>114816</v>
      </c>
      <c r="M2830">
        <v>3588</v>
      </c>
      <c r="N2830">
        <v>0</v>
      </c>
      <c r="O2830">
        <v>3588</v>
      </c>
      <c r="P2830">
        <v>0</v>
      </c>
      <c r="Q2830">
        <v>0</v>
      </c>
      <c r="R2830">
        <v>0</v>
      </c>
      <c r="T2830" s="29">
        <v>27700</v>
      </c>
      <c r="U2830" s="29">
        <v>3180403200</v>
      </c>
      <c r="V2830" t="s">
        <v>1262</v>
      </c>
      <c r="W2830" t="s">
        <v>1262</v>
      </c>
      <c r="X2830" s="29">
        <v>3180403200</v>
      </c>
      <c r="AA2830" s="30">
        <v>45894.333333333336</v>
      </c>
      <c r="AB2830" s="30">
        <v>45897.708333333336</v>
      </c>
      <c r="AC2830" s="30">
        <v>45894.333333333336</v>
      </c>
      <c r="AD2830" s="30">
        <v>45897.708333333336</v>
      </c>
      <c r="AE2830" s="30">
        <v>45894.333333333336</v>
      </c>
      <c r="AF2830" s="30">
        <v>45897.708333333336</v>
      </c>
      <c r="AG2830" t="s">
        <v>1266</v>
      </c>
      <c r="AK2830" t="s">
        <v>1265</v>
      </c>
      <c r="AL2830" t="s">
        <v>1832</v>
      </c>
      <c r="AM2830" t="s">
        <v>1263</v>
      </c>
      <c r="AN2830" t="s">
        <v>1262</v>
      </c>
      <c r="AO2830">
        <v>0</v>
      </c>
      <c r="AQ2830" t="s">
        <v>1261</v>
      </c>
      <c r="AR2830" t="s">
        <v>1260</v>
      </c>
      <c r="AS2830" t="s">
        <v>1259</v>
      </c>
      <c r="AT2830" s="30">
        <v>46072.751388888886</v>
      </c>
    </row>
    <row r="2831" spans="1:46" x14ac:dyDescent="0.25">
      <c r="A2831" t="s">
        <v>1248</v>
      </c>
      <c r="B2831">
        <v>253268</v>
      </c>
      <c r="C2831">
        <v>119874</v>
      </c>
      <c r="D2831">
        <v>405</v>
      </c>
      <c r="E2831" t="s">
        <v>1266</v>
      </c>
      <c r="G2831">
        <v>745</v>
      </c>
      <c r="H2831">
        <v>1831</v>
      </c>
      <c r="K2831">
        <v>114816</v>
      </c>
      <c r="L2831">
        <v>114816</v>
      </c>
      <c r="M2831">
        <v>3588</v>
      </c>
      <c r="N2831">
        <v>0</v>
      </c>
      <c r="O2831">
        <v>3588</v>
      </c>
      <c r="P2831">
        <v>0</v>
      </c>
      <c r="Q2831">
        <v>0</v>
      </c>
      <c r="R2831">
        <v>0</v>
      </c>
      <c r="T2831" s="29">
        <v>27700</v>
      </c>
      <c r="U2831" s="29">
        <v>3180403200</v>
      </c>
      <c r="V2831" t="s">
        <v>1262</v>
      </c>
      <c r="W2831" t="s">
        <v>1262</v>
      </c>
      <c r="X2831" s="29">
        <v>3180403200</v>
      </c>
      <c r="AA2831" s="30">
        <v>45898.333333333336</v>
      </c>
      <c r="AB2831" s="30">
        <v>45903.708333333336</v>
      </c>
      <c r="AC2831" s="30">
        <v>45898.333333333336</v>
      </c>
      <c r="AD2831" s="30">
        <v>45903.708333333336</v>
      </c>
      <c r="AE2831" s="30">
        <v>46030.333333333336</v>
      </c>
      <c r="AF2831" s="30">
        <v>46035.708333333336</v>
      </c>
      <c r="AG2831" t="s">
        <v>1266</v>
      </c>
      <c r="AK2831" t="s">
        <v>1265</v>
      </c>
      <c r="AL2831" t="s">
        <v>1831</v>
      </c>
      <c r="AM2831" t="s">
        <v>1263</v>
      </c>
      <c r="AN2831" t="s">
        <v>1262</v>
      </c>
      <c r="AO2831">
        <v>0</v>
      </c>
      <c r="AQ2831" t="s">
        <v>1261</v>
      </c>
      <c r="AR2831" t="s">
        <v>1260</v>
      </c>
      <c r="AS2831" t="s">
        <v>1259</v>
      </c>
      <c r="AT2831" s="30">
        <v>46072.751388888886</v>
      </c>
    </row>
    <row r="2832" spans="1:46" x14ac:dyDescent="0.25">
      <c r="A2832" t="s">
        <v>1248</v>
      </c>
      <c r="B2832">
        <v>253269</v>
      </c>
      <c r="C2832">
        <v>119875</v>
      </c>
      <c r="D2832">
        <v>405</v>
      </c>
      <c r="E2832" t="s">
        <v>1266</v>
      </c>
      <c r="G2832">
        <v>745</v>
      </c>
      <c r="H2832">
        <v>1831</v>
      </c>
      <c r="K2832">
        <v>114816</v>
      </c>
      <c r="L2832">
        <v>114816</v>
      </c>
      <c r="M2832">
        <v>3588</v>
      </c>
      <c r="N2832">
        <v>0</v>
      </c>
      <c r="O2832">
        <v>3588</v>
      </c>
      <c r="P2832">
        <v>0</v>
      </c>
      <c r="Q2832">
        <v>0</v>
      </c>
      <c r="R2832">
        <v>0</v>
      </c>
      <c r="T2832" s="29">
        <v>27700</v>
      </c>
      <c r="U2832" s="29">
        <v>3180403200</v>
      </c>
      <c r="V2832" t="s">
        <v>1262</v>
      </c>
      <c r="W2832" t="s">
        <v>1262</v>
      </c>
      <c r="X2832" s="29">
        <v>3180403200</v>
      </c>
      <c r="AA2832" s="30">
        <v>45904.333333333336</v>
      </c>
      <c r="AB2832" s="30">
        <v>45909.708333333336</v>
      </c>
      <c r="AC2832" s="30">
        <v>45904.333333333336</v>
      </c>
      <c r="AD2832" s="30">
        <v>45909.708333333336</v>
      </c>
      <c r="AE2832" s="30">
        <v>46036.333333333336</v>
      </c>
      <c r="AF2832" s="30">
        <v>46041.708333333336</v>
      </c>
      <c r="AG2832" t="s">
        <v>1266</v>
      </c>
      <c r="AK2832" t="s">
        <v>1265</v>
      </c>
      <c r="AL2832" t="s">
        <v>1830</v>
      </c>
      <c r="AM2832" t="s">
        <v>1263</v>
      </c>
      <c r="AN2832" t="s">
        <v>1262</v>
      </c>
      <c r="AO2832">
        <v>0</v>
      </c>
      <c r="AQ2832" t="s">
        <v>1261</v>
      </c>
      <c r="AR2832" t="s">
        <v>1260</v>
      </c>
      <c r="AS2832" t="s">
        <v>1259</v>
      </c>
      <c r="AT2832" s="30">
        <v>46072.751388888886</v>
      </c>
    </row>
    <row r="2833" spans="1:46" x14ac:dyDescent="0.25">
      <c r="A2833" t="s">
        <v>1248</v>
      </c>
      <c r="B2833">
        <v>253270</v>
      </c>
      <c r="C2833">
        <v>119876</v>
      </c>
      <c r="D2833">
        <v>405</v>
      </c>
      <c r="E2833" t="s">
        <v>1266</v>
      </c>
      <c r="G2833">
        <v>745</v>
      </c>
      <c r="H2833">
        <v>1831</v>
      </c>
      <c r="K2833">
        <v>114816</v>
      </c>
      <c r="L2833">
        <v>114816</v>
      </c>
      <c r="M2833">
        <v>3588</v>
      </c>
      <c r="N2833">
        <v>0</v>
      </c>
      <c r="O2833">
        <v>3588</v>
      </c>
      <c r="P2833">
        <v>0</v>
      </c>
      <c r="Q2833">
        <v>0</v>
      </c>
      <c r="R2833">
        <v>0</v>
      </c>
      <c r="T2833" s="29">
        <v>27700</v>
      </c>
      <c r="U2833" s="29">
        <v>3180403200</v>
      </c>
      <c r="V2833" t="s">
        <v>1262</v>
      </c>
      <c r="W2833" t="s">
        <v>1262</v>
      </c>
      <c r="X2833" s="29">
        <v>3180403200</v>
      </c>
      <c r="AA2833" s="30">
        <v>45910.333333333336</v>
      </c>
      <c r="AB2833" s="30">
        <v>45915.708333333336</v>
      </c>
      <c r="AC2833" s="30">
        <v>45910.333333333336</v>
      </c>
      <c r="AD2833" s="30">
        <v>45915.708333333336</v>
      </c>
      <c r="AE2833" s="30">
        <v>46052.333333333336</v>
      </c>
      <c r="AF2833" s="30">
        <v>46057.708333333336</v>
      </c>
      <c r="AG2833" t="s">
        <v>1266</v>
      </c>
      <c r="AK2833" t="s">
        <v>1265</v>
      </c>
      <c r="AL2833" t="s">
        <v>1829</v>
      </c>
      <c r="AM2833" t="s">
        <v>1263</v>
      </c>
      <c r="AN2833" t="s">
        <v>1262</v>
      </c>
      <c r="AO2833">
        <v>0</v>
      </c>
      <c r="AQ2833" t="s">
        <v>1261</v>
      </c>
      <c r="AR2833" t="s">
        <v>1260</v>
      </c>
      <c r="AS2833" t="s">
        <v>1259</v>
      </c>
      <c r="AT2833" s="30">
        <v>46072.751388888886</v>
      </c>
    </row>
    <row r="2834" spans="1:46" x14ac:dyDescent="0.25">
      <c r="A2834" t="s">
        <v>1248</v>
      </c>
      <c r="B2834">
        <v>253271</v>
      </c>
      <c r="C2834">
        <v>119877</v>
      </c>
      <c r="D2834">
        <v>405</v>
      </c>
      <c r="E2834" t="s">
        <v>1266</v>
      </c>
      <c r="G2834">
        <v>745</v>
      </c>
      <c r="H2834">
        <v>1831</v>
      </c>
      <c r="K2834">
        <v>114816</v>
      </c>
      <c r="L2834">
        <v>114816</v>
      </c>
      <c r="M2834">
        <v>3588</v>
      </c>
      <c r="N2834">
        <v>0</v>
      </c>
      <c r="O2834">
        <v>3588</v>
      </c>
      <c r="P2834">
        <v>0</v>
      </c>
      <c r="Q2834">
        <v>0</v>
      </c>
      <c r="R2834">
        <v>0</v>
      </c>
      <c r="T2834" s="29">
        <v>27700</v>
      </c>
      <c r="U2834" s="29">
        <v>3180403200</v>
      </c>
      <c r="V2834" t="s">
        <v>1262</v>
      </c>
      <c r="W2834" t="s">
        <v>1262</v>
      </c>
      <c r="X2834" s="29">
        <v>3180403200</v>
      </c>
      <c r="AA2834" s="30">
        <v>45916.333333333336</v>
      </c>
      <c r="AB2834" s="30">
        <v>45919.708333333336</v>
      </c>
      <c r="AC2834" s="30">
        <v>45916.333333333336</v>
      </c>
      <c r="AD2834" s="30">
        <v>45919.708333333336</v>
      </c>
      <c r="AE2834" s="30">
        <v>46070.333333333336</v>
      </c>
      <c r="AF2834" s="30">
        <v>46073.708333333336</v>
      </c>
      <c r="AG2834" t="s">
        <v>1266</v>
      </c>
      <c r="AK2834" t="s">
        <v>1265</v>
      </c>
      <c r="AL2834" t="s">
        <v>1828</v>
      </c>
      <c r="AM2834" t="s">
        <v>1263</v>
      </c>
      <c r="AN2834" t="s">
        <v>1262</v>
      </c>
      <c r="AO2834">
        <v>0</v>
      </c>
      <c r="AQ2834" t="s">
        <v>1261</v>
      </c>
      <c r="AR2834" t="s">
        <v>1260</v>
      </c>
      <c r="AS2834" t="s">
        <v>1259</v>
      </c>
      <c r="AT2834" s="30">
        <v>46072.751388888886</v>
      </c>
    </row>
    <row r="2835" spans="1:46" x14ac:dyDescent="0.25">
      <c r="A2835" t="s">
        <v>1248</v>
      </c>
      <c r="B2835">
        <v>253272</v>
      </c>
      <c r="C2835">
        <v>119878</v>
      </c>
      <c r="D2835">
        <v>405</v>
      </c>
      <c r="E2835" t="s">
        <v>1266</v>
      </c>
      <c r="G2835">
        <v>745</v>
      </c>
      <c r="H2835">
        <v>1831</v>
      </c>
      <c r="K2835">
        <v>114816</v>
      </c>
      <c r="L2835">
        <v>114816</v>
      </c>
      <c r="M2835">
        <v>3588</v>
      </c>
      <c r="N2835">
        <v>0</v>
      </c>
      <c r="O2835">
        <v>3588</v>
      </c>
      <c r="P2835">
        <v>0</v>
      </c>
      <c r="Q2835">
        <v>0</v>
      </c>
      <c r="R2835">
        <v>0</v>
      </c>
      <c r="T2835" s="29">
        <v>27700</v>
      </c>
      <c r="U2835" s="29">
        <v>3180403200</v>
      </c>
      <c r="V2835" t="s">
        <v>1262</v>
      </c>
      <c r="W2835" t="s">
        <v>1262</v>
      </c>
      <c r="X2835" s="29">
        <v>3180403200</v>
      </c>
      <c r="AA2835" s="30">
        <v>45922.333333333336</v>
      </c>
      <c r="AB2835" s="30">
        <v>45925.708333333336</v>
      </c>
      <c r="AC2835" s="30">
        <v>45922.333333333336</v>
      </c>
      <c r="AD2835" s="30">
        <v>45925.708333333336</v>
      </c>
      <c r="AE2835" s="30">
        <v>46086.333333333336</v>
      </c>
      <c r="AF2835" s="30">
        <v>46091.708333333336</v>
      </c>
      <c r="AG2835" t="s">
        <v>1266</v>
      </c>
      <c r="AK2835" t="s">
        <v>1265</v>
      </c>
      <c r="AL2835" t="s">
        <v>1827</v>
      </c>
      <c r="AM2835" t="s">
        <v>1263</v>
      </c>
      <c r="AN2835" t="s">
        <v>1262</v>
      </c>
      <c r="AO2835">
        <v>0</v>
      </c>
      <c r="AQ2835" t="s">
        <v>1261</v>
      </c>
      <c r="AR2835" t="s">
        <v>1260</v>
      </c>
      <c r="AS2835" t="s">
        <v>1259</v>
      </c>
      <c r="AT2835" s="30">
        <v>46072.751388888886</v>
      </c>
    </row>
    <row r="2836" spans="1:46" x14ac:dyDescent="0.25">
      <c r="A2836" t="s">
        <v>1248</v>
      </c>
      <c r="B2836">
        <v>253273</v>
      </c>
      <c r="C2836">
        <v>119879</v>
      </c>
      <c r="D2836">
        <v>405</v>
      </c>
      <c r="E2836" t="s">
        <v>1266</v>
      </c>
      <c r="G2836">
        <v>745</v>
      </c>
      <c r="H2836">
        <v>1831</v>
      </c>
      <c r="K2836">
        <v>114816</v>
      </c>
      <c r="L2836">
        <v>114816</v>
      </c>
      <c r="M2836">
        <v>3588</v>
      </c>
      <c r="N2836">
        <v>0</v>
      </c>
      <c r="O2836">
        <v>3588</v>
      </c>
      <c r="P2836">
        <v>0</v>
      </c>
      <c r="Q2836">
        <v>0</v>
      </c>
      <c r="R2836">
        <v>0</v>
      </c>
      <c r="T2836" s="29">
        <v>27700</v>
      </c>
      <c r="U2836" s="29">
        <v>3180403200</v>
      </c>
      <c r="V2836" t="s">
        <v>1262</v>
      </c>
      <c r="W2836" t="s">
        <v>1262</v>
      </c>
      <c r="X2836" s="29">
        <v>3180403200</v>
      </c>
      <c r="AA2836" s="30">
        <v>45926.333333333336</v>
      </c>
      <c r="AB2836" s="30">
        <v>45931.708333333336</v>
      </c>
      <c r="AC2836" s="30">
        <v>45926.333333333336</v>
      </c>
      <c r="AD2836" s="30">
        <v>45931.708333333336</v>
      </c>
      <c r="AE2836" s="30">
        <v>46104.333333333336</v>
      </c>
      <c r="AF2836" s="30">
        <v>46107.708333333336</v>
      </c>
      <c r="AG2836" t="s">
        <v>1266</v>
      </c>
      <c r="AK2836" t="s">
        <v>1265</v>
      </c>
      <c r="AL2836" t="s">
        <v>1826</v>
      </c>
      <c r="AM2836" t="s">
        <v>1263</v>
      </c>
      <c r="AN2836" t="s">
        <v>1262</v>
      </c>
      <c r="AO2836">
        <v>0</v>
      </c>
      <c r="AQ2836" t="s">
        <v>1261</v>
      </c>
      <c r="AR2836" t="s">
        <v>1260</v>
      </c>
      <c r="AS2836" t="s">
        <v>1259</v>
      </c>
      <c r="AT2836" s="30">
        <v>46072.751388888886</v>
      </c>
    </row>
    <row r="2837" spans="1:46" x14ac:dyDescent="0.25">
      <c r="A2837" t="s">
        <v>1248</v>
      </c>
      <c r="B2837">
        <v>253274</v>
      </c>
      <c r="C2837">
        <v>119880</v>
      </c>
      <c r="D2837">
        <v>405</v>
      </c>
      <c r="E2837" t="s">
        <v>1266</v>
      </c>
      <c r="G2837">
        <v>745</v>
      </c>
      <c r="H2837">
        <v>1831</v>
      </c>
      <c r="K2837">
        <v>114816</v>
      </c>
      <c r="L2837">
        <v>114816</v>
      </c>
      <c r="M2837">
        <v>3588</v>
      </c>
      <c r="N2837">
        <v>0</v>
      </c>
      <c r="O2837">
        <v>3588</v>
      </c>
      <c r="P2837">
        <v>0</v>
      </c>
      <c r="Q2837">
        <v>0</v>
      </c>
      <c r="R2837">
        <v>0</v>
      </c>
      <c r="T2837" s="29">
        <v>27700</v>
      </c>
      <c r="U2837" s="29">
        <v>3180403200</v>
      </c>
      <c r="V2837" t="s">
        <v>1262</v>
      </c>
      <c r="W2837" t="s">
        <v>1262</v>
      </c>
      <c r="X2837" s="29">
        <v>3180403200</v>
      </c>
      <c r="AA2837" s="30">
        <v>45932.333333333336</v>
      </c>
      <c r="AB2837" s="30">
        <v>45937.708333333336</v>
      </c>
      <c r="AC2837" s="30">
        <v>45932.333333333336</v>
      </c>
      <c r="AD2837" s="30">
        <v>45937.708333333336</v>
      </c>
      <c r="AE2837" s="30">
        <v>46121.333333333336</v>
      </c>
      <c r="AF2837" s="30">
        <v>46126.708333333336</v>
      </c>
      <c r="AG2837" t="s">
        <v>1266</v>
      </c>
      <c r="AK2837" t="s">
        <v>1265</v>
      </c>
      <c r="AL2837" t="s">
        <v>1825</v>
      </c>
      <c r="AM2837" t="s">
        <v>1263</v>
      </c>
      <c r="AN2837" t="s">
        <v>1262</v>
      </c>
      <c r="AO2837">
        <v>0</v>
      </c>
      <c r="AQ2837" t="s">
        <v>1261</v>
      </c>
      <c r="AR2837" t="s">
        <v>1260</v>
      </c>
      <c r="AS2837" t="s">
        <v>1259</v>
      </c>
      <c r="AT2837" s="30">
        <v>46072.751388888886</v>
      </c>
    </row>
    <row r="2838" spans="1:46" x14ac:dyDescent="0.25">
      <c r="A2838" t="s">
        <v>1248</v>
      </c>
      <c r="B2838">
        <v>253275</v>
      </c>
      <c r="C2838">
        <v>119881</v>
      </c>
      <c r="D2838">
        <v>405</v>
      </c>
      <c r="E2838" t="s">
        <v>1266</v>
      </c>
      <c r="G2838">
        <v>745</v>
      </c>
      <c r="H2838">
        <v>1831</v>
      </c>
      <c r="K2838">
        <v>114816</v>
      </c>
      <c r="L2838">
        <v>114816</v>
      </c>
      <c r="M2838">
        <v>3588</v>
      </c>
      <c r="N2838">
        <v>0</v>
      </c>
      <c r="O2838">
        <v>3588</v>
      </c>
      <c r="P2838">
        <v>0</v>
      </c>
      <c r="Q2838">
        <v>0</v>
      </c>
      <c r="R2838">
        <v>0</v>
      </c>
      <c r="T2838" s="29">
        <v>27700</v>
      </c>
      <c r="U2838" s="29">
        <v>3180403200</v>
      </c>
      <c r="V2838" t="s">
        <v>1262</v>
      </c>
      <c r="W2838" t="s">
        <v>1262</v>
      </c>
      <c r="X2838" s="29">
        <v>3180403200</v>
      </c>
      <c r="AA2838" s="30">
        <v>45938.333333333336</v>
      </c>
      <c r="AB2838" s="30">
        <v>45943.708333333336</v>
      </c>
      <c r="AC2838" s="30">
        <v>45938.333333333336</v>
      </c>
      <c r="AD2838" s="30">
        <v>45943.708333333336</v>
      </c>
      <c r="AE2838" s="30">
        <v>46139.333333333336</v>
      </c>
      <c r="AF2838" s="30">
        <v>46142.708333333336</v>
      </c>
      <c r="AG2838" t="s">
        <v>1266</v>
      </c>
      <c r="AK2838" t="s">
        <v>1265</v>
      </c>
      <c r="AL2838" t="s">
        <v>1824</v>
      </c>
      <c r="AM2838" t="s">
        <v>1263</v>
      </c>
      <c r="AN2838" t="s">
        <v>1262</v>
      </c>
      <c r="AO2838">
        <v>0</v>
      </c>
      <c r="AQ2838" t="s">
        <v>1261</v>
      </c>
      <c r="AR2838" t="s">
        <v>1260</v>
      </c>
      <c r="AS2838" t="s">
        <v>1259</v>
      </c>
      <c r="AT2838" s="30">
        <v>46072.751388888886</v>
      </c>
    </row>
    <row r="2839" spans="1:46" x14ac:dyDescent="0.25">
      <c r="A2839" t="s">
        <v>1248</v>
      </c>
      <c r="B2839">
        <v>253276</v>
      </c>
      <c r="C2839">
        <v>119882</v>
      </c>
      <c r="D2839">
        <v>405</v>
      </c>
      <c r="E2839" t="s">
        <v>1266</v>
      </c>
      <c r="G2839">
        <v>745</v>
      </c>
      <c r="H2839">
        <v>1831</v>
      </c>
      <c r="K2839">
        <v>114816</v>
      </c>
      <c r="L2839">
        <v>114816</v>
      </c>
      <c r="M2839">
        <v>3588</v>
      </c>
      <c r="N2839">
        <v>0</v>
      </c>
      <c r="O2839">
        <v>3588</v>
      </c>
      <c r="P2839">
        <v>0</v>
      </c>
      <c r="Q2839">
        <v>0</v>
      </c>
      <c r="R2839">
        <v>0</v>
      </c>
      <c r="T2839" s="29">
        <v>27700</v>
      </c>
      <c r="U2839" s="29">
        <v>3180403200</v>
      </c>
      <c r="V2839" t="s">
        <v>1262</v>
      </c>
      <c r="W2839" t="s">
        <v>1262</v>
      </c>
      <c r="X2839" s="29">
        <v>3180403200</v>
      </c>
      <c r="AA2839" s="30">
        <v>45944.333333333336</v>
      </c>
      <c r="AB2839" s="30">
        <v>45947.708333333336</v>
      </c>
      <c r="AC2839" s="30">
        <v>45944.333333333336</v>
      </c>
      <c r="AD2839" s="30">
        <v>45947.708333333336</v>
      </c>
      <c r="AE2839" s="30">
        <v>46156.333333333336</v>
      </c>
      <c r="AF2839" s="30">
        <v>46161.708333333336</v>
      </c>
      <c r="AG2839" t="s">
        <v>1266</v>
      </c>
      <c r="AK2839" t="s">
        <v>1265</v>
      </c>
      <c r="AL2839" t="s">
        <v>1823</v>
      </c>
      <c r="AM2839" t="s">
        <v>1263</v>
      </c>
      <c r="AN2839" t="s">
        <v>1262</v>
      </c>
      <c r="AO2839">
        <v>0</v>
      </c>
      <c r="AQ2839" t="s">
        <v>1261</v>
      </c>
      <c r="AR2839" t="s">
        <v>1260</v>
      </c>
      <c r="AS2839" t="s">
        <v>1259</v>
      </c>
      <c r="AT2839" s="30">
        <v>46072.751388888886</v>
      </c>
    </row>
    <row r="2840" spans="1:46" x14ac:dyDescent="0.25">
      <c r="A2840" t="s">
        <v>1248</v>
      </c>
      <c r="B2840">
        <v>253277</v>
      </c>
      <c r="C2840">
        <v>119883</v>
      </c>
      <c r="D2840">
        <v>405</v>
      </c>
      <c r="E2840" t="s">
        <v>1266</v>
      </c>
      <c r="G2840">
        <v>745</v>
      </c>
      <c r="H2840">
        <v>1831</v>
      </c>
      <c r="K2840">
        <v>114816</v>
      </c>
      <c r="L2840">
        <v>114816</v>
      </c>
      <c r="M2840">
        <v>3588</v>
      </c>
      <c r="N2840">
        <v>0</v>
      </c>
      <c r="O2840">
        <v>3588</v>
      </c>
      <c r="P2840">
        <v>0</v>
      </c>
      <c r="Q2840">
        <v>0</v>
      </c>
      <c r="R2840">
        <v>0</v>
      </c>
      <c r="T2840" s="29">
        <v>27700</v>
      </c>
      <c r="U2840" s="29">
        <v>3180403200</v>
      </c>
      <c r="V2840" t="s">
        <v>1262</v>
      </c>
      <c r="W2840" t="s">
        <v>1262</v>
      </c>
      <c r="X2840" s="29">
        <v>3180403200</v>
      </c>
      <c r="AA2840" s="30">
        <v>45950.333333333336</v>
      </c>
      <c r="AB2840" s="30">
        <v>45953.708333333336</v>
      </c>
      <c r="AC2840" s="30">
        <v>45950.333333333336</v>
      </c>
      <c r="AD2840" s="30">
        <v>45953.708333333336</v>
      </c>
      <c r="AE2840" s="30">
        <v>46174.333333333336</v>
      </c>
      <c r="AF2840" s="30">
        <v>46178.708333333336</v>
      </c>
      <c r="AG2840" t="s">
        <v>1266</v>
      </c>
      <c r="AK2840" t="s">
        <v>1265</v>
      </c>
      <c r="AL2840" t="s">
        <v>1822</v>
      </c>
      <c r="AM2840" t="s">
        <v>1263</v>
      </c>
      <c r="AN2840" t="s">
        <v>1262</v>
      </c>
      <c r="AO2840">
        <v>0</v>
      </c>
      <c r="AQ2840" t="s">
        <v>1261</v>
      </c>
      <c r="AR2840" t="s">
        <v>1260</v>
      </c>
      <c r="AS2840" t="s">
        <v>1259</v>
      </c>
      <c r="AT2840" s="30">
        <v>46072.751388888886</v>
      </c>
    </row>
    <row r="2841" spans="1:46" x14ac:dyDescent="0.25">
      <c r="A2841" t="s">
        <v>1248</v>
      </c>
      <c r="B2841">
        <v>253278</v>
      </c>
      <c r="C2841">
        <v>119884</v>
      </c>
      <c r="D2841">
        <v>405</v>
      </c>
      <c r="E2841" t="s">
        <v>1266</v>
      </c>
      <c r="G2841">
        <v>745</v>
      </c>
      <c r="H2841">
        <v>1831</v>
      </c>
      <c r="K2841">
        <v>114816</v>
      </c>
      <c r="L2841">
        <v>114816</v>
      </c>
      <c r="M2841">
        <v>3588</v>
      </c>
      <c r="N2841">
        <v>0</v>
      </c>
      <c r="O2841">
        <v>3588</v>
      </c>
      <c r="P2841">
        <v>0</v>
      </c>
      <c r="Q2841">
        <v>0</v>
      </c>
      <c r="R2841">
        <v>0</v>
      </c>
      <c r="T2841" s="29">
        <v>27700</v>
      </c>
      <c r="U2841" s="29">
        <v>3180403200</v>
      </c>
      <c r="V2841" t="s">
        <v>1262</v>
      </c>
      <c r="W2841" t="s">
        <v>1262</v>
      </c>
      <c r="X2841" s="29">
        <v>3180403200</v>
      </c>
      <c r="AA2841" s="30">
        <v>45954.333333333336</v>
      </c>
      <c r="AB2841" s="30">
        <v>45959.708333333336</v>
      </c>
      <c r="AC2841" s="30">
        <v>45954.333333333336</v>
      </c>
      <c r="AD2841" s="30">
        <v>45959.708333333336</v>
      </c>
      <c r="AE2841" s="30">
        <v>46191.333333333336</v>
      </c>
      <c r="AF2841" s="30">
        <v>46196.708333333336</v>
      </c>
      <c r="AG2841" t="s">
        <v>1266</v>
      </c>
      <c r="AK2841" t="s">
        <v>1265</v>
      </c>
      <c r="AL2841" t="s">
        <v>1821</v>
      </c>
      <c r="AM2841" t="s">
        <v>1263</v>
      </c>
      <c r="AN2841" t="s">
        <v>1262</v>
      </c>
      <c r="AO2841">
        <v>0</v>
      </c>
      <c r="AQ2841" t="s">
        <v>1261</v>
      </c>
      <c r="AR2841" t="s">
        <v>1260</v>
      </c>
      <c r="AS2841" t="s">
        <v>1259</v>
      </c>
      <c r="AT2841" s="30">
        <v>46072.751388888886</v>
      </c>
    </row>
    <row r="2842" spans="1:46" x14ac:dyDescent="0.25">
      <c r="A2842" t="s">
        <v>1248</v>
      </c>
      <c r="B2842">
        <v>253279</v>
      </c>
      <c r="C2842">
        <v>119885</v>
      </c>
      <c r="D2842">
        <v>405</v>
      </c>
      <c r="E2842" t="s">
        <v>1266</v>
      </c>
      <c r="G2842">
        <v>745</v>
      </c>
      <c r="H2842">
        <v>1831</v>
      </c>
      <c r="K2842">
        <v>114816</v>
      </c>
      <c r="L2842">
        <v>114816</v>
      </c>
      <c r="M2842">
        <v>3588</v>
      </c>
      <c r="N2842">
        <v>0</v>
      </c>
      <c r="O2842">
        <v>3588</v>
      </c>
      <c r="P2842">
        <v>0</v>
      </c>
      <c r="Q2842">
        <v>0</v>
      </c>
      <c r="R2842">
        <v>0</v>
      </c>
      <c r="T2842" s="29">
        <v>27700</v>
      </c>
      <c r="U2842" s="29">
        <v>3180403200</v>
      </c>
      <c r="V2842" t="s">
        <v>1262</v>
      </c>
      <c r="W2842" t="s">
        <v>1262</v>
      </c>
      <c r="X2842" s="29">
        <v>3180403200</v>
      </c>
      <c r="AA2842" s="30">
        <v>45960.333333333336</v>
      </c>
      <c r="AB2842" s="30">
        <v>45965.708333333336</v>
      </c>
      <c r="AC2842" s="30">
        <v>45960.333333333336</v>
      </c>
      <c r="AD2842" s="30">
        <v>45965.708333333336</v>
      </c>
      <c r="AE2842" s="30">
        <v>46209.333333333336</v>
      </c>
      <c r="AF2842" s="30">
        <v>46212.708333333336</v>
      </c>
      <c r="AG2842" t="s">
        <v>1266</v>
      </c>
      <c r="AK2842" t="s">
        <v>1265</v>
      </c>
      <c r="AL2842" t="s">
        <v>1820</v>
      </c>
      <c r="AM2842" t="s">
        <v>1263</v>
      </c>
      <c r="AN2842" t="s">
        <v>1262</v>
      </c>
      <c r="AO2842">
        <v>0</v>
      </c>
      <c r="AQ2842" t="s">
        <v>1261</v>
      </c>
      <c r="AR2842" t="s">
        <v>1260</v>
      </c>
      <c r="AS2842" t="s">
        <v>1259</v>
      </c>
      <c r="AT2842" s="30">
        <v>46072.751388888886</v>
      </c>
    </row>
    <row r="2843" spans="1:46" x14ac:dyDescent="0.25">
      <c r="A2843" t="s">
        <v>1248</v>
      </c>
      <c r="B2843">
        <v>253280</v>
      </c>
      <c r="C2843">
        <v>119886</v>
      </c>
      <c r="D2843">
        <v>405</v>
      </c>
      <c r="E2843" t="s">
        <v>1266</v>
      </c>
      <c r="G2843">
        <v>745</v>
      </c>
      <c r="H2843">
        <v>1831</v>
      </c>
      <c r="K2843">
        <v>114816</v>
      </c>
      <c r="L2843">
        <v>114816</v>
      </c>
      <c r="M2843">
        <v>3588</v>
      </c>
      <c r="N2843">
        <v>0</v>
      </c>
      <c r="O2843">
        <v>3588</v>
      </c>
      <c r="P2843">
        <v>0</v>
      </c>
      <c r="Q2843">
        <v>0</v>
      </c>
      <c r="R2843">
        <v>0</v>
      </c>
      <c r="T2843" s="29">
        <v>27700</v>
      </c>
      <c r="U2843" s="29">
        <v>3180403200</v>
      </c>
      <c r="V2843" t="s">
        <v>1262</v>
      </c>
      <c r="W2843" t="s">
        <v>1262</v>
      </c>
      <c r="X2843" s="29">
        <v>3180403200</v>
      </c>
      <c r="AA2843" s="30">
        <v>45966.333333333336</v>
      </c>
      <c r="AB2843" s="30">
        <v>45971.708333333336</v>
      </c>
      <c r="AC2843" s="30">
        <v>45966.333333333336</v>
      </c>
      <c r="AD2843" s="30">
        <v>45971.708333333336</v>
      </c>
      <c r="AE2843" s="30">
        <v>46225.333333333336</v>
      </c>
      <c r="AF2843" s="30">
        <v>46230.708333333336</v>
      </c>
      <c r="AG2843" t="s">
        <v>1266</v>
      </c>
      <c r="AK2843" t="s">
        <v>1265</v>
      </c>
      <c r="AL2843" t="s">
        <v>1819</v>
      </c>
      <c r="AM2843" t="s">
        <v>1263</v>
      </c>
      <c r="AN2843" t="s">
        <v>1262</v>
      </c>
      <c r="AO2843">
        <v>0</v>
      </c>
      <c r="AQ2843" t="s">
        <v>1261</v>
      </c>
      <c r="AR2843" t="s">
        <v>1260</v>
      </c>
      <c r="AS2843" t="s">
        <v>1259</v>
      </c>
      <c r="AT2843" s="30">
        <v>46072.751388888886</v>
      </c>
    </row>
    <row r="2844" spans="1:46" x14ac:dyDescent="0.25">
      <c r="A2844" t="s">
        <v>1248</v>
      </c>
      <c r="B2844">
        <v>253281</v>
      </c>
      <c r="C2844">
        <v>119887</v>
      </c>
      <c r="D2844">
        <v>405</v>
      </c>
      <c r="E2844" t="s">
        <v>1266</v>
      </c>
      <c r="G2844">
        <v>745</v>
      </c>
      <c r="H2844">
        <v>1831</v>
      </c>
      <c r="K2844">
        <v>114816</v>
      </c>
      <c r="L2844">
        <v>114816</v>
      </c>
      <c r="M2844">
        <v>3588</v>
      </c>
      <c r="N2844">
        <v>0</v>
      </c>
      <c r="O2844">
        <v>3588</v>
      </c>
      <c r="P2844">
        <v>0</v>
      </c>
      <c r="Q2844">
        <v>0</v>
      </c>
      <c r="R2844">
        <v>0</v>
      </c>
      <c r="T2844" s="29">
        <v>27700</v>
      </c>
      <c r="U2844" s="29">
        <v>3180403200</v>
      </c>
      <c r="V2844" t="s">
        <v>1262</v>
      </c>
      <c r="W2844" t="s">
        <v>1262</v>
      </c>
      <c r="X2844" s="29">
        <v>3180403200</v>
      </c>
      <c r="AA2844" s="30">
        <v>45972.333333333336</v>
      </c>
      <c r="AB2844" s="30">
        <v>45975.708333333336</v>
      </c>
      <c r="AC2844" s="30">
        <v>45972.333333333336</v>
      </c>
      <c r="AD2844" s="30">
        <v>45975.708333333336</v>
      </c>
      <c r="AE2844" s="30">
        <v>46241.333333333336</v>
      </c>
      <c r="AF2844" s="30">
        <v>46246.708333333336</v>
      </c>
      <c r="AG2844" t="s">
        <v>1266</v>
      </c>
      <c r="AK2844" t="s">
        <v>1265</v>
      </c>
      <c r="AL2844" t="s">
        <v>1818</v>
      </c>
      <c r="AM2844" t="s">
        <v>1263</v>
      </c>
      <c r="AN2844" t="s">
        <v>1262</v>
      </c>
      <c r="AO2844">
        <v>0</v>
      </c>
      <c r="AQ2844" t="s">
        <v>1261</v>
      </c>
      <c r="AR2844" t="s">
        <v>1260</v>
      </c>
      <c r="AS2844" t="s">
        <v>1259</v>
      </c>
      <c r="AT2844" s="30">
        <v>46072.751388888886</v>
      </c>
    </row>
    <row r="2845" spans="1:46" x14ac:dyDescent="0.25">
      <c r="A2845" t="s">
        <v>1248</v>
      </c>
      <c r="B2845">
        <v>253282</v>
      </c>
      <c r="C2845">
        <v>119888</v>
      </c>
      <c r="D2845">
        <v>405</v>
      </c>
      <c r="E2845" t="s">
        <v>1266</v>
      </c>
      <c r="G2845">
        <v>745</v>
      </c>
      <c r="H2845">
        <v>1831</v>
      </c>
      <c r="K2845">
        <v>114816</v>
      </c>
      <c r="L2845">
        <v>114816</v>
      </c>
      <c r="M2845">
        <v>3588</v>
      </c>
      <c r="N2845">
        <v>0</v>
      </c>
      <c r="O2845">
        <v>3588</v>
      </c>
      <c r="P2845">
        <v>0</v>
      </c>
      <c r="Q2845">
        <v>0</v>
      </c>
      <c r="R2845">
        <v>0</v>
      </c>
      <c r="T2845" s="29">
        <v>27700</v>
      </c>
      <c r="U2845" s="29">
        <v>3180403200</v>
      </c>
      <c r="V2845" t="s">
        <v>1262</v>
      </c>
      <c r="W2845" t="s">
        <v>1262</v>
      </c>
      <c r="X2845" s="29">
        <v>3180403200</v>
      </c>
      <c r="AA2845" s="30">
        <v>45978.333333333336</v>
      </c>
      <c r="AB2845" s="30">
        <v>45981.708333333336</v>
      </c>
      <c r="AC2845" s="30">
        <v>45978.333333333336</v>
      </c>
      <c r="AD2845" s="30">
        <v>45981.708333333336</v>
      </c>
      <c r="AE2845" s="30">
        <v>46259.333333333336</v>
      </c>
      <c r="AF2845" s="30">
        <v>46262.708333333336</v>
      </c>
      <c r="AG2845" t="s">
        <v>1266</v>
      </c>
      <c r="AK2845" t="s">
        <v>1265</v>
      </c>
      <c r="AL2845" t="s">
        <v>1817</v>
      </c>
      <c r="AM2845" t="s">
        <v>1263</v>
      </c>
      <c r="AN2845" t="s">
        <v>1262</v>
      </c>
      <c r="AO2845">
        <v>0</v>
      </c>
      <c r="AQ2845" t="s">
        <v>1261</v>
      </c>
      <c r="AR2845" t="s">
        <v>1260</v>
      </c>
      <c r="AS2845" t="s">
        <v>1259</v>
      </c>
      <c r="AT2845" s="30">
        <v>46072.751388888886</v>
      </c>
    </row>
    <row r="2846" spans="1:46" x14ac:dyDescent="0.25">
      <c r="A2846" t="s">
        <v>1248</v>
      </c>
      <c r="B2846">
        <v>253283</v>
      </c>
      <c r="C2846">
        <v>119889</v>
      </c>
      <c r="D2846">
        <v>405</v>
      </c>
      <c r="E2846" t="s">
        <v>1266</v>
      </c>
      <c r="G2846">
        <v>745</v>
      </c>
      <c r="H2846">
        <v>1831</v>
      </c>
      <c r="K2846">
        <v>114816</v>
      </c>
      <c r="L2846">
        <v>114816</v>
      </c>
      <c r="M2846">
        <v>3588</v>
      </c>
      <c r="N2846">
        <v>0</v>
      </c>
      <c r="O2846">
        <v>3588</v>
      </c>
      <c r="P2846">
        <v>0</v>
      </c>
      <c r="Q2846">
        <v>0</v>
      </c>
      <c r="R2846">
        <v>0</v>
      </c>
      <c r="T2846" s="29">
        <v>27700</v>
      </c>
      <c r="U2846" s="29">
        <v>3180403200</v>
      </c>
      <c r="V2846" t="s">
        <v>1262</v>
      </c>
      <c r="W2846" t="s">
        <v>1262</v>
      </c>
      <c r="X2846" s="29">
        <v>3180403200</v>
      </c>
      <c r="AA2846" s="30">
        <v>45982.333333333336</v>
      </c>
      <c r="AB2846" s="30">
        <v>45987.708333333336</v>
      </c>
      <c r="AC2846" s="30">
        <v>45982.333333333336</v>
      </c>
      <c r="AD2846" s="30">
        <v>45987.708333333336</v>
      </c>
      <c r="AE2846" s="30">
        <v>46275.333333333336</v>
      </c>
      <c r="AF2846" s="30">
        <v>46280.708333333336</v>
      </c>
      <c r="AG2846" t="s">
        <v>1266</v>
      </c>
      <c r="AK2846" t="s">
        <v>1265</v>
      </c>
      <c r="AL2846" t="s">
        <v>1816</v>
      </c>
      <c r="AM2846" t="s">
        <v>1263</v>
      </c>
      <c r="AN2846" t="s">
        <v>1262</v>
      </c>
      <c r="AO2846">
        <v>0</v>
      </c>
      <c r="AQ2846" t="s">
        <v>1261</v>
      </c>
      <c r="AR2846" t="s">
        <v>1260</v>
      </c>
      <c r="AS2846" t="s">
        <v>1259</v>
      </c>
      <c r="AT2846" s="30">
        <v>46072.751388888886</v>
      </c>
    </row>
    <row r="2847" spans="1:46" x14ac:dyDescent="0.25">
      <c r="A2847" t="s">
        <v>1248</v>
      </c>
      <c r="B2847">
        <v>253284</v>
      </c>
      <c r="C2847">
        <v>119890</v>
      </c>
      <c r="D2847">
        <v>405</v>
      </c>
      <c r="E2847" t="s">
        <v>1266</v>
      </c>
      <c r="G2847">
        <v>745</v>
      </c>
      <c r="H2847">
        <v>1831</v>
      </c>
      <c r="K2847">
        <v>114816</v>
      </c>
      <c r="L2847">
        <v>114816</v>
      </c>
      <c r="M2847">
        <v>3588</v>
      </c>
      <c r="N2847">
        <v>0</v>
      </c>
      <c r="O2847">
        <v>3588</v>
      </c>
      <c r="P2847">
        <v>0</v>
      </c>
      <c r="Q2847">
        <v>0</v>
      </c>
      <c r="R2847">
        <v>0</v>
      </c>
      <c r="T2847" s="29">
        <v>27700</v>
      </c>
      <c r="U2847" s="29">
        <v>3180403200</v>
      </c>
      <c r="V2847" t="s">
        <v>1262</v>
      </c>
      <c r="W2847" t="s">
        <v>1262</v>
      </c>
      <c r="X2847" s="29">
        <v>3180403200</v>
      </c>
      <c r="AA2847" s="30">
        <v>45988.333333333336</v>
      </c>
      <c r="AB2847" s="30">
        <v>45993.708333333336</v>
      </c>
      <c r="AC2847" s="30">
        <v>45988.333333333336</v>
      </c>
      <c r="AD2847" s="30">
        <v>45993.708333333336</v>
      </c>
      <c r="AE2847" s="30">
        <v>46293.333333333336</v>
      </c>
      <c r="AF2847" s="30">
        <v>46296.708333333336</v>
      </c>
      <c r="AG2847" t="s">
        <v>1266</v>
      </c>
      <c r="AK2847" t="s">
        <v>1265</v>
      </c>
      <c r="AL2847" t="s">
        <v>1815</v>
      </c>
      <c r="AM2847" t="s">
        <v>1263</v>
      </c>
      <c r="AN2847" t="s">
        <v>1262</v>
      </c>
      <c r="AO2847">
        <v>0</v>
      </c>
      <c r="AQ2847" t="s">
        <v>1261</v>
      </c>
      <c r="AR2847" t="s">
        <v>1260</v>
      </c>
      <c r="AS2847" t="s">
        <v>1259</v>
      </c>
      <c r="AT2847" s="30">
        <v>46072.751388888886</v>
      </c>
    </row>
    <row r="2848" spans="1:46" x14ac:dyDescent="0.25">
      <c r="A2848" t="s">
        <v>1248</v>
      </c>
      <c r="B2848">
        <v>253285</v>
      </c>
      <c r="C2848">
        <v>119891</v>
      </c>
      <c r="D2848">
        <v>405</v>
      </c>
      <c r="E2848" t="s">
        <v>1266</v>
      </c>
      <c r="G2848">
        <v>745</v>
      </c>
      <c r="H2848">
        <v>1831</v>
      </c>
      <c r="K2848">
        <v>114816</v>
      </c>
      <c r="L2848">
        <v>114816</v>
      </c>
      <c r="M2848">
        <v>3588</v>
      </c>
      <c r="N2848">
        <v>0</v>
      </c>
      <c r="O2848">
        <v>3588</v>
      </c>
      <c r="P2848">
        <v>0</v>
      </c>
      <c r="Q2848">
        <v>0</v>
      </c>
      <c r="R2848">
        <v>0</v>
      </c>
      <c r="T2848" s="29">
        <v>27700</v>
      </c>
      <c r="U2848" s="29">
        <v>3180403200</v>
      </c>
      <c r="V2848" t="s">
        <v>1262</v>
      </c>
      <c r="W2848" t="s">
        <v>1262</v>
      </c>
      <c r="X2848" s="29">
        <v>3180403200</v>
      </c>
      <c r="AA2848" s="30">
        <v>45994.333333333336</v>
      </c>
      <c r="AB2848" s="30">
        <v>45999.708333333336</v>
      </c>
      <c r="AC2848" s="30">
        <v>45994.333333333336</v>
      </c>
      <c r="AD2848" s="30">
        <v>45999.708333333336</v>
      </c>
      <c r="AE2848" s="30">
        <v>46309.333333333336</v>
      </c>
      <c r="AF2848" s="30">
        <v>46314.708333333336</v>
      </c>
      <c r="AG2848" t="s">
        <v>1266</v>
      </c>
      <c r="AK2848" t="s">
        <v>1265</v>
      </c>
      <c r="AL2848" t="s">
        <v>1814</v>
      </c>
      <c r="AM2848" t="s">
        <v>1263</v>
      </c>
      <c r="AN2848" t="s">
        <v>1262</v>
      </c>
      <c r="AO2848">
        <v>0</v>
      </c>
      <c r="AQ2848" t="s">
        <v>1261</v>
      </c>
      <c r="AR2848" t="s">
        <v>1260</v>
      </c>
      <c r="AS2848" t="s">
        <v>1259</v>
      </c>
      <c r="AT2848" s="30">
        <v>46072.751388888886</v>
      </c>
    </row>
    <row r="2849" spans="1:46" x14ac:dyDescent="0.25">
      <c r="A2849" t="s">
        <v>1248</v>
      </c>
      <c r="B2849">
        <v>253286</v>
      </c>
      <c r="C2849">
        <v>119892</v>
      </c>
      <c r="D2849">
        <v>405</v>
      </c>
      <c r="E2849" t="s">
        <v>1266</v>
      </c>
      <c r="G2849">
        <v>745</v>
      </c>
      <c r="H2849">
        <v>1831</v>
      </c>
      <c r="K2849">
        <v>114816</v>
      </c>
      <c r="L2849">
        <v>114816</v>
      </c>
      <c r="M2849">
        <v>3588</v>
      </c>
      <c r="N2849">
        <v>0</v>
      </c>
      <c r="O2849">
        <v>3588</v>
      </c>
      <c r="P2849">
        <v>0</v>
      </c>
      <c r="Q2849">
        <v>0</v>
      </c>
      <c r="R2849">
        <v>0</v>
      </c>
      <c r="T2849" s="29">
        <v>27700</v>
      </c>
      <c r="U2849" s="29">
        <v>3180403200</v>
      </c>
      <c r="V2849" t="s">
        <v>1262</v>
      </c>
      <c r="W2849" t="s">
        <v>1262</v>
      </c>
      <c r="X2849" s="29">
        <v>3180403200</v>
      </c>
      <c r="AA2849" s="30">
        <v>46000.333333333336</v>
      </c>
      <c r="AB2849" s="30">
        <v>46003.708333333336</v>
      </c>
      <c r="AC2849" s="30">
        <v>46000.333333333336</v>
      </c>
      <c r="AD2849" s="30">
        <v>46003.708333333336</v>
      </c>
      <c r="AE2849" s="30">
        <v>46325.333333333336</v>
      </c>
      <c r="AF2849" s="30">
        <v>46330.708333333336</v>
      </c>
      <c r="AG2849" t="s">
        <v>1266</v>
      </c>
      <c r="AK2849" t="s">
        <v>1265</v>
      </c>
      <c r="AL2849" t="s">
        <v>1813</v>
      </c>
      <c r="AM2849" t="s">
        <v>1263</v>
      </c>
      <c r="AN2849" t="s">
        <v>1262</v>
      </c>
      <c r="AO2849">
        <v>0</v>
      </c>
      <c r="AQ2849" t="s">
        <v>1261</v>
      </c>
      <c r="AR2849" t="s">
        <v>1260</v>
      </c>
      <c r="AS2849" t="s">
        <v>1259</v>
      </c>
      <c r="AT2849" s="30">
        <v>46072.751388888886</v>
      </c>
    </row>
    <row r="2850" spans="1:46" x14ac:dyDescent="0.25">
      <c r="A2850" t="s">
        <v>1248</v>
      </c>
      <c r="B2850">
        <v>253287</v>
      </c>
      <c r="C2850">
        <v>119893</v>
      </c>
      <c r="D2850">
        <v>405</v>
      </c>
      <c r="E2850" t="s">
        <v>1266</v>
      </c>
      <c r="G2850">
        <v>745</v>
      </c>
      <c r="H2850">
        <v>1831</v>
      </c>
      <c r="K2850">
        <v>114816</v>
      </c>
      <c r="L2850">
        <v>114816</v>
      </c>
      <c r="M2850">
        <v>3588</v>
      </c>
      <c r="N2850">
        <v>0</v>
      </c>
      <c r="O2850">
        <v>3588</v>
      </c>
      <c r="P2850">
        <v>0</v>
      </c>
      <c r="Q2850">
        <v>0</v>
      </c>
      <c r="R2850">
        <v>0</v>
      </c>
      <c r="T2850" s="29">
        <v>27700</v>
      </c>
      <c r="U2850" s="29">
        <v>3180403200</v>
      </c>
      <c r="V2850" t="s">
        <v>1262</v>
      </c>
      <c r="W2850" t="s">
        <v>1262</v>
      </c>
      <c r="X2850" s="29">
        <v>3180403200</v>
      </c>
      <c r="AA2850" s="30">
        <v>46006.333333333336</v>
      </c>
      <c r="AB2850" s="30">
        <v>46009.708333333336</v>
      </c>
      <c r="AC2850" s="30">
        <v>46006.333333333336</v>
      </c>
      <c r="AD2850" s="30">
        <v>46009.708333333336</v>
      </c>
      <c r="AE2850" s="30">
        <v>46343.333333333336</v>
      </c>
      <c r="AF2850" s="30">
        <v>46346.708333333336</v>
      </c>
      <c r="AG2850" t="s">
        <v>1266</v>
      </c>
      <c r="AK2850" t="s">
        <v>1265</v>
      </c>
      <c r="AL2850" t="s">
        <v>1812</v>
      </c>
      <c r="AM2850" t="s">
        <v>1263</v>
      </c>
      <c r="AN2850" t="s">
        <v>1262</v>
      </c>
      <c r="AO2850">
        <v>0</v>
      </c>
      <c r="AQ2850" t="s">
        <v>1261</v>
      </c>
      <c r="AR2850" t="s">
        <v>1260</v>
      </c>
      <c r="AS2850" t="s">
        <v>1259</v>
      </c>
      <c r="AT2850" s="30">
        <v>46072.751388888886</v>
      </c>
    </row>
    <row r="2851" spans="1:46" x14ac:dyDescent="0.25">
      <c r="A2851" t="s">
        <v>1248</v>
      </c>
      <c r="B2851">
        <v>253288</v>
      </c>
      <c r="C2851">
        <v>119894</v>
      </c>
      <c r="D2851">
        <v>405</v>
      </c>
      <c r="E2851" t="s">
        <v>1266</v>
      </c>
      <c r="G2851">
        <v>745</v>
      </c>
      <c r="H2851">
        <v>1831</v>
      </c>
      <c r="K2851">
        <v>114816</v>
      </c>
      <c r="L2851">
        <v>114816</v>
      </c>
      <c r="M2851">
        <v>3588</v>
      </c>
      <c r="N2851">
        <v>0</v>
      </c>
      <c r="O2851">
        <v>3588</v>
      </c>
      <c r="P2851">
        <v>0</v>
      </c>
      <c r="Q2851">
        <v>0</v>
      </c>
      <c r="R2851">
        <v>0</v>
      </c>
      <c r="T2851" s="29">
        <v>27700</v>
      </c>
      <c r="U2851" s="29">
        <v>3180403200</v>
      </c>
      <c r="V2851" t="s">
        <v>1262</v>
      </c>
      <c r="W2851" t="s">
        <v>1262</v>
      </c>
      <c r="X2851" s="29">
        <v>3180403200</v>
      </c>
      <c r="AA2851" s="30">
        <v>46010.333333333336</v>
      </c>
      <c r="AB2851" s="30">
        <v>46015.708333333336</v>
      </c>
      <c r="AC2851" s="30">
        <v>46010.333333333336</v>
      </c>
      <c r="AD2851" s="30">
        <v>46015.708333333336</v>
      </c>
      <c r="AE2851" s="30">
        <v>46359.333333333336</v>
      </c>
      <c r="AF2851" s="30">
        <v>46365.708333333336</v>
      </c>
      <c r="AG2851" t="s">
        <v>1266</v>
      </c>
      <c r="AK2851" t="s">
        <v>1265</v>
      </c>
      <c r="AL2851" t="s">
        <v>1811</v>
      </c>
      <c r="AM2851" t="s">
        <v>1263</v>
      </c>
      <c r="AN2851" t="s">
        <v>1262</v>
      </c>
      <c r="AO2851">
        <v>0</v>
      </c>
      <c r="AQ2851" t="s">
        <v>1261</v>
      </c>
      <c r="AR2851" t="s">
        <v>1260</v>
      </c>
      <c r="AS2851" t="s">
        <v>1259</v>
      </c>
      <c r="AT2851" s="30">
        <v>46072.751388888886</v>
      </c>
    </row>
    <row r="2852" spans="1:46" x14ac:dyDescent="0.25">
      <c r="A2852" t="s">
        <v>1248</v>
      </c>
      <c r="B2852">
        <v>253289</v>
      </c>
      <c r="C2852">
        <v>119895</v>
      </c>
      <c r="D2852">
        <v>405</v>
      </c>
      <c r="E2852" t="s">
        <v>1266</v>
      </c>
      <c r="G2852">
        <v>745</v>
      </c>
      <c r="H2852">
        <v>1831</v>
      </c>
      <c r="K2852">
        <v>114816</v>
      </c>
      <c r="L2852">
        <v>114816</v>
      </c>
      <c r="M2852">
        <v>3588</v>
      </c>
      <c r="N2852">
        <v>0</v>
      </c>
      <c r="O2852">
        <v>3588</v>
      </c>
      <c r="P2852">
        <v>0</v>
      </c>
      <c r="Q2852">
        <v>0</v>
      </c>
      <c r="R2852">
        <v>0</v>
      </c>
      <c r="T2852" s="29">
        <v>27700</v>
      </c>
      <c r="U2852" s="29">
        <v>3180403200</v>
      </c>
      <c r="V2852" t="s">
        <v>1262</v>
      </c>
      <c r="W2852" t="s">
        <v>1262</v>
      </c>
      <c r="X2852" s="29">
        <v>3180403200</v>
      </c>
      <c r="AA2852" s="30">
        <v>46016.333333333336</v>
      </c>
      <c r="AB2852" s="30">
        <v>46021.708333333336</v>
      </c>
      <c r="AC2852" s="30">
        <v>46016.333333333336</v>
      </c>
      <c r="AD2852" s="30">
        <v>46021.708333333336</v>
      </c>
      <c r="AE2852" s="30">
        <v>46378.333333333336</v>
      </c>
      <c r="AF2852" s="30">
        <v>46384.708333333336</v>
      </c>
      <c r="AG2852" t="s">
        <v>1266</v>
      </c>
      <c r="AK2852" t="s">
        <v>1265</v>
      </c>
      <c r="AL2852" t="s">
        <v>1810</v>
      </c>
      <c r="AM2852" t="s">
        <v>1263</v>
      </c>
      <c r="AN2852" t="s">
        <v>1262</v>
      </c>
      <c r="AO2852">
        <v>0</v>
      </c>
      <c r="AQ2852" t="s">
        <v>1261</v>
      </c>
      <c r="AR2852" t="s">
        <v>1260</v>
      </c>
      <c r="AS2852" t="s">
        <v>1259</v>
      </c>
      <c r="AT2852" s="30">
        <v>46072.751388888886</v>
      </c>
    </row>
    <row r="2853" spans="1:46" x14ac:dyDescent="0.25">
      <c r="A2853" t="s">
        <v>1248</v>
      </c>
      <c r="B2853">
        <v>253290</v>
      </c>
      <c r="C2853">
        <v>119896</v>
      </c>
      <c r="D2853">
        <v>405</v>
      </c>
      <c r="E2853" t="s">
        <v>1266</v>
      </c>
      <c r="G2853">
        <v>745</v>
      </c>
      <c r="H2853">
        <v>1831</v>
      </c>
      <c r="K2853">
        <v>114816</v>
      </c>
      <c r="L2853">
        <v>114816</v>
      </c>
      <c r="M2853">
        <v>3588</v>
      </c>
      <c r="N2853">
        <v>0</v>
      </c>
      <c r="O2853">
        <v>3588</v>
      </c>
      <c r="P2853">
        <v>0</v>
      </c>
      <c r="Q2853">
        <v>0</v>
      </c>
      <c r="R2853">
        <v>0</v>
      </c>
      <c r="T2853" s="29">
        <v>27700</v>
      </c>
      <c r="U2853" s="29">
        <v>3180403200</v>
      </c>
      <c r="V2853" t="s">
        <v>1262</v>
      </c>
      <c r="W2853" t="s">
        <v>1262</v>
      </c>
      <c r="X2853" s="29">
        <v>3180403200</v>
      </c>
      <c r="AA2853" s="30">
        <v>46022.333333333336</v>
      </c>
      <c r="AB2853" s="30">
        <v>46029.708333333336</v>
      </c>
      <c r="AC2853" s="30">
        <v>46022.333333333336</v>
      </c>
      <c r="AD2853" s="30">
        <v>46029.708333333336</v>
      </c>
      <c r="AE2853" s="30">
        <v>46399.333333333336</v>
      </c>
      <c r="AF2853" s="30">
        <v>46402.708333333336</v>
      </c>
      <c r="AG2853" t="s">
        <v>1266</v>
      </c>
      <c r="AK2853" t="s">
        <v>1265</v>
      </c>
      <c r="AL2853" t="s">
        <v>1809</v>
      </c>
      <c r="AM2853" t="s">
        <v>1263</v>
      </c>
      <c r="AN2853" t="s">
        <v>1262</v>
      </c>
      <c r="AO2853">
        <v>0</v>
      </c>
      <c r="AQ2853" t="s">
        <v>1261</v>
      </c>
      <c r="AR2853" t="s">
        <v>1260</v>
      </c>
      <c r="AS2853" t="s">
        <v>1259</v>
      </c>
      <c r="AT2853" s="30">
        <v>46072.751388888886</v>
      </c>
    </row>
    <row r="2854" spans="1:46" x14ac:dyDescent="0.25">
      <c r="A2854" t="s">
        <v>1248</v>
      </c>
      <c r="B2854">
        <v>253291</v>
      </c>
      <c r="C2854">
        <v>119897</v>
      </c>
      <c r="D2854">
        <v>405</v>
      </c>
      <c r="E2854" t="s">
        <v>1266</v>
      </c>
      <c r="G2854">
        <v>745</v>
      </c>
      <c r="H2854">
        <v>1831</v>
      </c>
      <c r="K2854">
        <v>114816</v>
      </c>
      <c r="L2854">
        <v>114816</v>
      </c>
      <c r="M2854">
        <v>3588</v>
      </c>
      <c r="N2854">
        <v>0</v>
      </c>
      <c r="O2854">
        <v>3588</v>
      </c>
      <c r="P2854">
        <v>0</v>
      </c>
      <c r="Q2854">
        <v>0</v>
      </c>
      <c r="R2854">
        <v>0</v>
      </c>
      <c r="T2854" s="29">
        <v>27700</v>
      </c>
      <c r="U2854" s="29">
        <v>3180403200</v>
      </c>
      <c r="V2854" t="s">
        <v>1262</v>
      </c>
      <c r="W2854" t="s">
        <v>1262</v>
      </c>
      <c r="X2854" s="29">
        <v>3180403200</v>
      </c>
      <c r="AA2854" s="30">
        <v>46030.333333333336</v>
      </c>
      <c r="AB2854" s="30">
        <v>46035.708333333336</v>
      </c>
      <c r="AC2854" s="30">
        <v>46030.333333333336</v>
      </c>
      <c r="AD2854" s="30">
        <v>46035.708333333336</v>
      </c>
      <c r="AE2854" s="30">
        <v>46415.333333333336</v>
      </c>
      <c r="AF2854" s="30">
        <v>46420.708333333336</v>
      </c>
      <c r="AG2854" t="s">
        <v>1266</v>
      </c>
      <c r="AK2854" t="s">
        <v>1265</v>
      </c>
      <c r="AL2854" t="s">
        <v>1808</v>
      </c>
      <c r="AM2854" t="s">
        <v>1263</v>
      </c>
      <c r="AN2854" t="s">
        <v>1262</v>
      </c>
      <c r="AO2854">
        <v>0</v>
      </c>
      <c r="AQ2854" t="s">
        <v>1261</v>
      </c>
      <c r="AR2854" t="s">
        <v>1260</v>
      </c>
      <c r="AS2854" t="s">
        <v>1259</v>
      </c>
      <c r="AT2854" s="30">
        <v>46072.751388888886</v>
      </c>
    </row>
    <row r="2855" spans="1:46" x14ac:dyDescent="0.25">
      <c r="A2855" t="s">
        <v>1248</v>
      </c>
      <c r="B2855">
        <v>253292</v>
      </c>
      <c r="C2855">
        <v>119967</v>
      </c>
      <c r="D2855">
        <v>405</v>
      </c>
      <c r="E2855" t="s">
        <v>1266</v>
      </c>
      <c r="G2855">
        <v>745</v>
      </c>
      <c r="H2855">
        <v>1831</v>
      </c>
      <c r="K2855">
        <v>114816</v>
      </c>
      <c r="L2855">
        <v>114816</v>
      </c>
      <c r="M2855">
        <v>3588</v>
      </c>
      <c r="N2855">
        <v>0</v>
      </c>
      <c r="O2855">
        <v>3588</v>
      </c>
      <c r="P2855">
        <v>0</v>
      </c>
      <c r="Q2855">
        <v>0</v>
      </c>
      <c r="R2855">
        <v>0</v>
      </c>
      <c r="T2855" s="29">
        <v>27700</v>
      </c>
      <c r="U2855" s="29">
        <v>3180403200</v>
      </c>
      <c r="V2855" t="s">
        <v>1262</v>
      </c>
      <c r="W2855" t="s">
        <v>1262</v>
      </c>
      <c r="X2855" s="29">
        <v>3180403200</v>
      </c>
      <c r="AA2855" s="30">
        <v>45743.333333333336</v>
      </c>
      <c r="AB2855" s="30">
        <v>45748.708333333336</v>
      </c>
      <c r="AC2855" s="30">
        <v>45743.333333333336</v>
      </c>
      <c r="AD2855" s="30">
        <v>45748.708333333336</v>
      </c>
      <c r="AE2855" s="30">
        <v>45769.333333333336</v>
      </c>
      <c r="AF2855" s="30">
        <v>45772.708333333336</v>
      </c>
      <c r="AG2855" t="s">
        <v>1266</v>
      </c>
      <c r="AK2855" t="s">
        <v>1265</v>
      </c>
      <c r="AL2855" t="s">
        <v>1807</v>
      </c>
      <c r="AM2855" t="s">
        <v>1263</v>
      </c>
      <c r="AN2855" t="s">
        <v>1262</v>
      </c>
      <c r="AO2855">
        <v>0</v>
      </c>
      <c r="AQ2855" t="s">
        <v>1261</v>
      </c>
      <c r="AR2855" t="s">
        <v>1260</v>
      </c>
      <c r="AS2855" t="s">
        <v>1259</v>
      </c>
      <c r="AT2855" s="30">
        <v>46072.751388888886</v>
      </c>
    </row>
    <row r="2856" spans="1:46" x14ac:dyDescent="0.25">
      <c r="A2856" t="s">
        <v>1248</v>
      </c>
      <c r="B2856">
        <v>253293</v>
      </c>
      <c r="C2856">
        <v>119968</v>
      </c>
      <c r="D2856">
        <v>405</v>
      </c>
      <c r="E2856" t="s">
        <v>1266</v>
      </c>
      <c r="G2856">
        <v>745</v>
      </c>
      <c r="H2856">
        <v>1831</v>
      </c>
      <c r="K2856">
        <v>114816</v>
      </c>
      <c r="L2856">
        <v>114816</v>
      </c>
      <c r="M2856">
        <v>3588</v>
      </c>
      <c r="N2856">
        <v>0</v>
      </c>
      <c r="O2856">
        <v>3588</v>
      </c>
      <c r="P2856">
        <v>0</v>
      </c>
      <c r="Q2856">
        <v>0</v>
      </c>
      <c r="R2856">
        <v>0</v>
      </c>
      <c r="T2856" s="29">
        <v>27700</v>
      </c>
      <c r="U2856" s="29">
        <v>3180403200</v>
      </c>
      <c r="V2856" t="s">
        <v>1262</v>
      </c>
      <c r="W2856" t="s">
        <v>1262</v>
      </c>
      <c r="X2856" s="29">
        <v>3180403200</v>
      </c>
      <c r="AA2856" s="30">
        <v>45749.333333333336</v>
      </c>
      <c r="AB2856" s="30">
        <v>45754.708333333336</v>
      </c>
      <c r="AC2856" s="30">
        <v>45749.333333333336</v>
      </c>
      <c r="AD2856" s="30">
        <v>45754.708333333336</v>
      </c>
      <c r="AE2856" s="30">
        <v>45775.333333333336</v>
      </c>
      <c r="AF2856" s="30">
        <v>45778.708333333336</v>
      </c>
      <c r="AG2856" t="s">
        <v>1266</v>
      </c>
      <c r="AK2856" t="s">
        <v>1265</v>
      </c>
      <c r="AL2856" t="s">
        <v>1806</v>
      </c>
      <c r="AM2856" t="s">
        <v>1263</v>
      </c>
      <c r="AN2856" t="s">
        <v>1262</v>
      </c>
      <c r="AO2856">
        <v>0</v>
      </c>
      <c r="AQ2856" t="s">
        <v>1261</v>
      </c>
      <c r="AR2856" t="s">
        <v>1260</v>
      </c>
      <c r="AS2856" t="s">
        <v>1259</v>
      </c>
      <c r="AT2856" s="30">
        <v>46072.751388888886</v>
      </c>
    </row>
    <row r="2857" spans="1:46" x14ac:dyDescent="0.25">
      <c r="A2857" t="s">
        <v>1248</v>
      </c>
      <c r="B2857">
        <v>253294</v>
      </c>
      <c r="C2857">
        <v>119969</v>
      </c>
      <c r="D2857">
        <v>405</v>
      </c>
      <c r="E2857" t="s">
        <v>1266</v>
      </c>
      <c r="G2857">
        <v>745</v>
      </c>
      <c r="H2857">
        <v>1831</v>
      </c>
      <c r="K2857">
        <v>114816</v>
      </c>
      <c r="L2857">
        <v>114816</v>
      </c>
      <c r="M2857">
        <v>3588</v>
      </c>
      <c r="N2857">
        <v>0</v>
      </c>
      <c r="O2857">
        <v>3588</v>
      </c>
      <c r="P2857">
        <v>0</v>
      </c>
      <c r="Q2857">
        <v>0</v>
      </c>
      <c r="R2857">
        <v>0</v>
      </c>
      <c r="T2857" s="29">
        <v>27700</v>
      </c>
      <c r="U2857" s="29">
        <v>3180403200</v>
      </c>
      <c r="V2857" t="s">
        <v>1262</v>
      </c>
      <c r="W2857" t="s">
        <v>1262</v>
      </c>
      <c r="X2857" s="29">
        <v>3180403200</v>
      </c>
      <c r="AA2857" s="30">
        <v>45755.333333333336</v>
      </c>
      <c r="AB2857" s="30">
        <v>45758.708333333336</v>
      </c>
      <c r="AC2857" s="30">
        <v>45755.333333333336</v>
      </c>
      <c r="AD2857" s="30">
        <v>45758.708333333336</v>
      </c>
      <c r="AE2857" s="30">
        <v>45779.333333333336</v>
      </c>
      <c r="AF2857" s="30">
        <v>45784.708333333336</v>
      </c>
      <c r="AG2857" t="s">
        <v>1266</v>
      </c>
      <c r="AK2857" t="s">
        <v>1265</v>
      </c>
      <c r="AL2857" t="s">
        <v>1805</v>
      </c>
      <c r="AM2857" t="s">
        <v>1263</v>
      </c>
      <c r="AN2857" t="s">
        <v>1262</v>
      </c>
      <c r="AO2857">
        <v>0</v>
      </c>
      <c r="AQ2857" t="s">
        <v>1261</v>
      </c>
      <c r="AR2857" t="s">
        <v>1260</v>
      </c>
      <c r="AS2857" t="s">
        <v>1259</v>
      </c>
      <c r="AT2857" s="30">
        <v>46072.751388888886</v>
      </c>
    </row>
    <row r="2858" spans="1:46" x14ac:dyDescent="0.25">
      <c r="A2858" t="s">
        <v>1248</v>
      </c>
      <c r="B2858">
        <v>253295</v>
      </c>
      <c r="C2858">
        <v>119970</v>
      </c>
      <c r="D2858">
        <v>405</v>
      </c>
      <c r="E2858" t="s">
        <v>1266</v>
      </c>
      <c r="G2858">
        <v>745</v>
      </c>
      <c r="H2858">
        <v>1831</v>
      </c>
      <c r="K2858">
        <v>114816</v>
      </c>
      <c r="L2858">
        <v>114816</v>
      </c>
      <c r="M2858">
        <v>3588</v>
      </c>
      <c r="N2858">
        <v>0</v>
      </c>
      <c r="O2858">
        <v>3588</v>
      </c>
      <c r="P2858">
        <v>0</v>
      </c>
      <c r="Q2858">
        <v>0</v>
      </c>
      <c r="R2858">
        <v>0</v>
      </c>
      <c r="T2858" s="29">
        <v>27700</v>
      </c>
      <c r="U2858" s="29">
        <v>3180403200</v>
      </c>
      <c r="V2858" t="s">
        <v>1262</v>
      </c>
      <c r="W2858" t="s">
        <v>1262</v>
      </c>
      <c r="X2858" s="29">
        <v>3180403200</v>
      </c>
      <c r="AA2858" s="30">
        <v>45761.333333333336</v>
      </c>
      <c r="AB2858" s="30">
        <v>45764.708333333336</v>
      </c>
      <c r="AC2858" s="30">
        <v>45761.333333333336</v>
      </c>
      <c r="AD2858" s="30">
        <v>45764.708333333336</v>
      </c>
      <c r="AE2858" s="30">
        <v>45785.333333333336</v>
      </c>
      <c r="AF2858" s="30">
        <v>45790.708333333336</v>
      </c>
      <c r="AG2858" t="s">
        <v>1266</v>
      </c>
      <c r="AK2858" t="s">
        <v>1265</v>
      </c>
      <c r="AL2858" t="s">
        <v>1804</v>
      </c>
      <c r="AM2858" t="s">
        <v>1263</v>
      </c>
      <c r="AN2858" t="s">
        <v>1262</v>
      </c>
      <c r="AO2858">
        <v>0</v>
      </c>
      <c r="AQ2858" t="s">
        <v>1261</v>
      </c>
      <c r="AR2858" t="s">
        <v>1260</v>
      </c>
      <c r="AS2858" t="s">
        <v>1259</v>
      </c>
      <c r="AT2858" s="30">
        <v>46072.751388888886</v>
      </c>
    </row>
    <row r="2859" spans="1:46" x14ac:dyDescent="0.25">
      <c r="A2859" t="s">
        <v>1248</v>
      </c>
      <c r="B2859">
        <v>253296</v>
      </c>
      <c r="C2859">
        <v>119971</v>
      </c>
      <c r="D2859">
        <v>405</v>
      </c>
      <c r="E2859" t="s">
        <v>1266</v>
      </c>
      <c r="G2859">
        <v>745</v>
      </c>
      <c r="H2859">
        <v>1831</v>
      </c>
      <c r="K2859">
        <v>114816</v>
      </c>
      <c r="L2859">
        <v>114816</v>
      </c>
      <c r="M2859">
        <v>3588</v>
      </c>
      <c r="N2859">
        <v>0</v>
      </c>
      <c r="O2859">
        <v>3588</v>
      </c>
      <c r="P2859">
        <v>0</v>
      </c>
      <c r="Q2859">
        <v>0</v>
      </c>
      <c r="R2859">
        <v>0</v>
      </c>
      <c r="T2859" s="29">
        <v>27700</v>
      </c>
      <c r="U2859" s="29">
        <v>3180403200</v>
      </c>
      <c r="V2859" t="s">
        <v>1262</v>
      </c>
      <c r="W2859" t="s">
        <v>1262</v>
      </c>
      <c r="X2859" s="29">
        <v>3180403200</v>
      </c>
      <c r="AA2859" s="30">
        <v>45765.333333333336</v>
      </c>
      <c r="AB2859" s="30">
        <v>45770.708333333336</v>
      </c>
      <c r="AC2859" s="30">
        <v>45765.333333333336</v>
      </c>
      <c r="AD2859" s="30">
        <v>45770.708333333336</v>
      </c>
      <c r="AE2859" s="30">
        <v>45791.333333333336</v>
      </c>
      <c r="AF2859" s="30">
        <v>45796.708333333336</v>
      </c>
      <c r="AG2859" t="s">
        <v>1266</v>
      </c>
      <c r="AK2859" t="s">
        <v>1265</v>
      </c>
      <c r="AL2859" t="s">
        <v>1803</v>
      </c>
      <c r="AM2859" t="s">
        <v>1263</v>
      </c>
      <c r="AN2859" t="s">
        <v>1262</v>
      </c>
      <c r="AO2859">
        <v>0</v>
      </c>
      <c r="AQ2859" t="s">
        <v>1261</v>
      </c>
      <c r="AR2859" t="s">
        <v>1260</v>
      </c>
      <c r="AS2859" t="s">
        <v>1259</v>
      </c>
      <c r="AT2859" s="30">
        <v>46072.751388888886</v>
      </c>
    </row>
    <row r="2860" spans="1:46" x14ac:dyDescent="0.25">
      <c r="A2860" t="s">
        <v>1248</v>
      </c>
      <c r="B2860">
        <v>253297</v>
      </c>
      <c r="C2860">
        <v>119972</v>
      </c>
      <c r="D2860">
        <v>405</v>
      </c>
      <c r="E2860" t="s">
        <v>1266</v>
      </c>
      <c r="G2860">
        <v>745</v>
      </c>
      <c r="H2860">
        <v>1831</v>
      </c>
      <c r="K2860">
        <v>114816</v>
      </c>
      <c r="L2860">
        <v>114816</v>
      </c>
      <c r="M2860">
        <v>3588</v>
      </c>
      <c r="N2860">
        <v>0</v>
      </c>
      <c r="O2860">
        <v>3588</v>
      </c>
      <c r="P2860">
        <v>0</v>
      </c>
      <c r="Q2860">
        <v>0</v>
      </c>
      <c r="R2860">
        <v>0</v>
      </c>
      <c r="T2860" s="29">
        <v>27700</v>
      </c>
      <c r="U2860" s="29">
        <v>3180403200</v>
      </c>
      <c r="V2860" t="s">
        <v>1262</v>
      </c>
      <c r="W2860" t="s">
        <v>1262</v>
      </c>
      <c r="X2860" s="29">
        <v>3180403200</v>
      </c>
      <c r="AA2860" s="30">
        <v>45771.333333333336</v>
      </c>
      <c r="AB2860" s="30">
        <v>45776.708333333336</v>
      </c>
      <c r="AC2860" s="30">
        <v>45771.333333333336</v>
      </c>
      <c r="AD2860" s="30">
        <v>45776.708333333336</v>
      </c>
      <c r="AE2860" s="30">
        <v>45797.333333333336</v>
      </c>
      <c r="AF2860" s="30">
        <v>45800.708333333336</v>
      </c>
      <c r="AG2860" t="s">
        <v>1266</v>
      </c>
      <c r="AK2860" t="s">
        <v>1265</v>
      </c>
      <c r="AL2860" t="s">
        <v>1802</v>
      </c>
      <c r="AM2860" t="s">
        <v>1263</v>
      </c>
      <c r="AN2860" t="s">
        <v>1262</v>
      </c>
      <c r="AO2860">
        <v>0</v>
      </c>
      <c r="AQ2860" t="s">
        <v>1261</v>
      </c>
      <c r="AR2860" t="s">
        <v>1260</v>
      </c>
      <c r="AS2860" t="s">
        <v>1259</v>
      </c>
      <c r="AT2860" s="30">
        <v>46072.751388888886</v>
      </c>
    </row>
    <row r="2861" spans="1:46" x14ac:dyDescent="0.25">
      <c r="A2861" t="s">
        <v>1248</v>
      </c>
      <c r="B2861">
        <v>253298</v>
      </c>
      <c r="C2861">
        <v>119973</v>
      </c>
      <c r="D2861">
        <v>405</v>
      </c>
      <c r="E2861" t="s">
        <v>1266</v>
      </c>
      <c r="G2861">
        <v>745</v>
      </c>
      <c r="H2861">
        <v>1831</v>
      </c>
      <c r="K2861">
        <v>114816</v>
      </c>
      <c r="L2861">
        <v>114816</v>
      </c>
      <c r="M2861">
        <v>3588</v>
      </c>
      <c r="N2861">
        <v>0</v>
      </c>
      <c r="O2861">
        <v>3588</v>
      </c>
      <c r="P2861">
        <v>0</v>
      </c>
      <c r="Q2861">
        <v>0</v>
      </c>
      <c r="R2861">
        <v>0</v>
      </c>
      <c r="T2861" s="29">
        <v>27700</v>
      </c>
      <c r="U2861" s="29">
        <v>3180403200</v>
      </c>
      <c r="V2861" t="s">
        <v>1262</v>
      </c>
      <c r="W2861" t="s">
        <v>1262</v>
      </c>
      <c r="X2861" s="29">
        <v>3180403200</v>
      </c>
      <c r="AA2861" s="30">
        <v>45777.333333333336</v>
      </c>
      <c r="AB2861" s="30">
        <v>45782.708333333336</v>
      </c>
      <c r="AC2861" s="30">
        <v>45777.333333333336</v>
      </c>
      <c r="AD2861" s="30">
        <v>45782.708333333336</v>
      </c>
      <c r="AE2861" s="30">
        <v>45803.333333333336</v>
      </c>
      <c r="AF2861" s="30">
        <v>45806.708333333336</v>
      </c>
      <c r="AG2861" t="s">
        <v>1266</v>
      </c>
      <c r="AK2861" t="s">
        <v>1265</v>
      </c>
      <c r="AL2861" t="s">
        <v>1801</v>
      </c>
      <c r="AM2861" t="s">
        <v>1263</v>
      </c>
      <c r="AN2861" t="s">
        <v>1262</v>
      </c>
      <c r="AO2861">
        <v>0</v>
      </c>
      <c r="AQ2861" t="s">
        <v>1261</v>
      </c>
      <c r="AR2861" t="s">
        <v>1260</v>
      </c>
      <c r="AS2861" t="s">
        <v>1259</v>
      </c>
      <c r="AT2861" s="30">
        <v>46072.751388888886</v>
      </c>
    </row>
    <row r="2862" spans="1:46" x14ac:dyDescent="0.25">
      <c r="A2862" t="s">
        <v>1248</v>
      </c>
      <c r="B2862">
        <v>253299</v>
      </c>
      <c r="C2862">
        <v>119974</v>
      </c>
      <c r="D2862">
        <v>405</v>
      </c>
      <c r="E2862" t="s">
        <v>1266</v>
      </c>
      <c r="G2862">
        <v>745</v>
      </c>
      <c r="H2862">
        <v>1831</v>
      </c>
      <c r="K2862">
        <v>114816</v>
      </c>
      <c r="L2862">
        <v>114816</v>
      </c>
      <c r="M2862">
        <v>3588</v>
      </c>
      <c r="N2862">
        <v>0</v>
      </c>
      <c r="O2862">
        <v>3588</v>
      </c>
      <c r="P2862">
        <v>0</v>
      </c>
      <c r="Q2862">
        <v>0</v>
      </c>
      <c r="R2862">
        <v>0</v>
      </c>
      <c r="T2862" s="29">
        <v>27700</v>
      </c>
      <c r="U2862" s="29">
        <v>3180403200</v>
      </c>
      <c r="V2862" t="s">
        <v>1262</v>
      </c>
      <c r="W2862" t="s">
        <v>1262</v>
      </c>
      <c r="X2862" s="29">
        <v>3180403200</v>
      </c>
      <c r="AA2862" s="30">
        <v>45783.333333333336</v>
      </c>
      <c r="AB2862" s="30">
        <v>45786.708333333336</v>
      </c>
      <c r="AC2862" s="30">
        <v>45783.333333333336</v>
      </c>
      <c r="AD2862" s="30">
        <v>45786.708333333336</v>
      </c>
      <c r="AE2862" s="30">
        <v>45807.333333333336</v>
      </c>
      <c r="AF2862" s="30">
        <v>45812.708333333336</v>
      </c>
      <c r="AG2862" t="s">
        <v>1266</v>
      </c>
      <c r="AK2862" t="s">
        <v>1265</v>
      </c>
      <c r="AL2862" t="s">
        <v>1800</v>
      </c>
      <c r="AM2862" t="s">
        <v>1263</v>
      </c>
      <c r="AN2862" t="s">
        <v>1262</v>
      </c>
      <c r="AO2862">
        <v>0</v>
      </c>
      <c r="AQ2862" t="s">
        <v>1261</v>
      </c>
      <c r="AR2862" t="s">
        <v>1260</v>
      </c>
      <c r="AS2862" t="s">
        <v>1259</v>
      </c>
      <c r="AT2862" s="30">
        <v>46072.751388888886</v>
      </c>
    </row>
    <row r="2863" spans="1:46" x14ac:dyDescent="0.25">
      <c r="A2863" t="s">
        <v>1248</v>
      </c>
      <c r="B2863">
        <v>253300</v>
      </c>
      <c r="C2863">
        <v>119975</v>
      </c>
      <c r="D2863">
        <v>405</v>
      </c>
      <c r="E2863" t="s">
        <v>1266</v>
      </c>
      <c r="G2863">
        <v>745</v>
      </c>
      <c r="H2863">
        <v>1831</v>
      </c>
      <c r="K2863">
        <v>114816</v>
      </c>
      <c r="L2863">
        <v>114816</v>
      </c>
      <c r="M2863">
        <v>3588</v>
      </c>
      <c r="N2863">
        <v>0</v>
      </c>
      <c r="O2863">
        <v>3588</v>
      </c>
      <c r="P2863">
        <v>0</v>
      </c>
      <c r="Q2863">
        <v>0</v>
      </c>
      <c r="R2863">
        <v>0</v>
      </c>
      <c r="T2863" s="29">
        <v>27700</v>
      </c>
      <c r="U2863" s="29">
        <v>3180403200</v>
      </c>
      <c r="V2863" t="s">
        <v>1262</v>
      </c>
      <c r="W2863" t="s">
        <v>1262</v>
      </c>
      <c r="X2863" s="29">
        <v>3180403200</v>
      </c>
      <c r="AA2863" s="30">
        <v>45789.333333333336</v>
      </c>
      <c r="AB2863" s="30">
        <v>45792.708333333336</v>
      </c>
      <c r="AC2863" s="30">
        <v>45789.333333333336</v>
      </c>
      <c r="AD2863" s="30">
        <v>45792.708333333336</v>
      </c>
      <c r="AE2863" s="30">
        <v>45813.333333333336</v>
      </c>
      <c r="AF2863" s="30">
        <v>45818.708333333336</v>
      </c>
      <c r="AG2863" t="s">
        <v>1266</v>
      </c>
      <c r="AK2863" t="s">
        <v>1265</v>
      </c>
      <c r="AL2863" t="e">
        <f>+tuLHBivBk26/sLjHyXpLA</f>
        <v>#NAME?</v>
      </c>
      <c r="AM2863" t="s">
        <v>1263</v>
      </c>
      <c r="AN2863" t="s">
        <v>1262</v>
      </c>
      <c r="AO2863">
        <v>0</v>
      </c>
      <c r="AQ2863" t="s">
        <v>1261</v>
      </c>
      <c r="AR2863" t="s">
        <v>1260</v>
      </c>
      <c r="AS2863" t="s">
        <v>1259</v>
      </c>
      <c r="AT2863" s="30">
        <v>46072.751388888886</v>
      </c>
    </row>
    <row r="2864" spans="1:46" x14ac:dyDescent="0.25">
      <c r="A2864" t="s">
        <v>1248</v>
      </c>
      <c r="B2864">
        <v>253301</v>
      </c>
      <c r="C2864">
        <v>119976</v>
      </c>
      <c r="D2864">
        <v>405</v>
      </c>
      <c r="E2864" t="s">
        <v>1266</v>
      </c>
      <c r="G2864">
        <v>745</v>
      </c>
      <c r="H2864">
        <v>1831</v>
      </c>
      <c r="K2864">
        <v>114816</v>
      </c>
      <c r="L2864">
        <v>114816</v>
      </c>
      <c r="M2864">
        <v>3588</v>
      </c>
      <c r="N2864">
        <v>0</v>
      </c>
      <c r="O2864">
        <v>3588</v>
      </c>
      <c r="P2864">
        <v>0</v>
      </c>
      <c r="Q2864">
        <v>0</v>
      </c>
      <c r="R2864">
        <v>0</v>
      </c>
      <c r="T2864" s="29">
        <v>27700</v>
      </c>
      <c r="U2864" s="29">
        <v>3180403200</v>
      </c>
      <c r="V2864" t="s">
        <v>1262</v>
      </c>
      <c r="W2864" t="s">
        <v>1262</v>
      </c>
      <c r="X2864" s="29">
        <v>3180403200</v>
      </c>
      <c r="AA2864" s="30">
        <v>45793.333333333336</v>
      </c>
      <c r="AB2864" s="30">
        <v>45798.708333333336</v>
      </c>
      <c r="AC2864" s="30">
        <v>45793.333333333336</v>
      </c>
      <c r="AD2864" s="30">
        <v>45798.708333333336</v>
      </c>
      <c r="AE2864" s="30">
        <v>45819.333333333336</v>
      </c>
      <c r="AF2864" s="30">
        <v>45824.708333333336</v>
      </c>
      <c r="AG2864" t="s">
        <v>1266</v>
      </c>
      <c r="AK2864" t="s">
        <v>1265</v>
      </c>
      <c r="AL2864" t="s">
        <v>1799</v>
      </c>
      <c r="AM2864" t="s">
        <v>1263</v>
      </c>
      <c r="AN2864" t="s">
        <v>1262</v>
      </c>
      <c r="AO2864">
        <v>0</v>
      </c>
      <c r="AQ2864" t="s">
        <v>1261</v>
      </c>
      <c r="AR2864" t="s">
        <v>1260</v>
      </c>
      <c r="AS2864" t="s">
        <v>1259</v>
      </c>
      <c r="AT2864" s="30">
        <v>46072.751388888886</v>
      </c>
    </row>
    <row r="2865" spans="1:46" x14ac:dyDescent="0.25">
      <c r="A2865" t="s">
        <v>1248</v>
      </c>
      <c r="B2865">
        <v>253302</v>
      </c>
      <c r="C2865">
        <v>119977</v>
      </c>
      <c r="D2865">
        <v>405</v>
      </c>
      <c r="E2865" t="s">
        <v>1266</v>
      </c>
      <c r="G2865">
        <v>745</v>
      </c>
      <c r="H2865">
        <v>1831</v>
      </c>
      <c r="K2865">
        <v>114816</v>
      </c>
      <c r="L2865">
        <v>114816</v>
      </c>
      <c r="M2865">
        <v>3588</v>
      </c>
      <c r="N2865">
        <v>0</v>
      </c>
      <c r="O2865">
        <v>3588</v>
      </c>
      <c r="P2865">
        <v>0</v>
      </c>
      <c r="Q2865">
        <v>0</v>
      </c>
      <c r="R2865">
        <v>0</v>
      </c>
      <c r="T2865" s="29">
        <v>27700</v>
      </c>
      <c r="U2865" s="29">
        <v>3180403200</v>
      </c>
      <c r="V2865" t="s">
        <v>1262</v>
      </c>
      <c r="W2865" t="s">
        <v>1262</v>
      </c>
      <c r="X2865" s="29">
        <v>3180403200</v>
      </c>
      <c r="AA2865" s="30">
        <v>45799.333333333336</v>
      </c>
      <c r="AB2865" s="30">
        <v>45804.708333333336</v>
      </c>
      <c r="AC2865" s="30">
        <v>45799.333333333336</v>
      </c>
      <c r="AD2865" s="30">
        <v>45804.708333333336</v>
      </c>
      <c r="AE2865" s="30">
        <v>45825.333333333336</v>
      </c>
      <c r="AF2865" s="30">
        <v>45828.708333333336</v>
      </c>
      <c r="AG2865" t="s">
        <v>1266</v>
      </c>
      <c r="AK2865" t="s">
        <v>1265</v>
      </c>
      <c r="AL2865" t="s">
        <v>1798</v>
      </c>
      <c r="AM2865" t="s">
        <v>1263</v>
      </c>
      <c r="AN2865" t="s">
        <v>1262</v>
      </c>
      <c r="AO2865">
        <v>0</v>
      </c>
      <c r="AQ2865" t="s">
        <v>1261</v>
      </c>
      <c r="AR2865" t="s">
        <v>1260</v>
      </c>
      <c r="AS2865" t="s">
        <v>1259</v>
      </c>
      <c r="AT2865" s="30">
        <v>46072.751388888886</v>
      </c>
    </row>
    <row r="2866" spans="1:46" x14ac:dyDescent="0.25">
      <c r="A2866" t="s">
        <v>1248</v>
      </c>
      <c r="B2866">
        <v>253303</v>
      </c>
      <c r="C2866">
        <v>119978</v>
      </c>
      <c r="D2866">
        <v>405</v>
      </c>
      <c r="E2866" t="s">
        <v>1266</v>
      </c>
      <c r="G2866">
        <v>745</v>
      </c>
      <c r="H2866">
        <v>1831</v>
      </c>
      <c r="K2866">
        <v>114816</v>
      </c>
      <c r="L2866">
        <v>114816</v>
      </c>
      <c r="M2866">
        <v>3588</v>
      </c>
      <c r="N2866">
        <v>0</v>
      </c>
      <c r="O2866">
        <v>3588</v>
      </c>
      <c r="P2866">
        <v>0</v>
      </c>
      <c r="Q2866">
        <v>0</v>
      </c>
      <c r="R2866">
        <v>0</v>
      </c>
      <c r="T2866" s="29">
        <v>27700</v>
      </c>
      <c r="U2866" s="29">
        <v>3180403200</v>
      </c>
      <c r="V2866" t="s">
        <v>1262</v>
      </c>
      <c r="W2866" t="s">
        <v>1262</v>
      </c>
      <c r="X2866" s="29">
        <v>3180403200</v>
      </c>
      <c r="AA2866" s="30">
        <v>45805.333333333336</v>
      </c>
      <c r="AB2866" s="30">
        <v>45810.708333333336</v>
      </c>
      <c r="AC2866" s="30">
        <v>45805.333333333336</v>
      </c>
      <c r="AD2866" s="30">
        <v>45810.708333333336</v>
      </c>
      <c r="AE2866" s="30">
        <v>45831.333333333336</v>
      </c>
      <c r="AF2866" s="30">
        <v>45834.708333333336</v>
      </c>
      <c r="AG2866" t="s">
        <v>1266</v>
      </c>
      <c r="AK2866" t="s">
        <v>1265</v>
      </c>
      <c r="AL2866" t="s">
        <v>1797</v>
      </c>
      <c r="AM2866" t="s">
        <v>1263</v>
      </c>
      <c r="AN2866" t="s">
        <v>1262</v>
      </c>
      <c r="AO2866">
        <v>0</v>
      </c>
      <c r="AQ2866" t="s">
        <v>1261</v>
      </c>
      <c r="AR2866" t="s">
        <v>1260</v>
      </c>
      <c r="AS2866" t="s">
        <v>1259</v>
      </c>
      <c r="AT2866" s="30">
        <v>46072.751388888886</v>
      </c>
    </row>
    <row r="2867" spans="1:46" x14ac:dyDescent="0.25">
      <c r="A2867" t="s">
        <v>1248</v>
      </c>
      <c r="B2867">
        <v>253304</v>
      </c>
      <c r="C2867">
        <v>119979</v>
      </c>
      <c r="D2867">
        <v>405</v>
      </c>
      <c r="E2867" t="s">
        <v>1266</v>
      </c>
      <c r="G2867">
        <v>745</v>
      </c>
      <c r="H2867">
        <v>1831</v>
      </c>
      <c r="K2867">
        <v>114816</v>
      </c>
      <c r="L2867">
        <v>114816</v>
      </c>
      <c r="M2867">
        <v>3588</v>
      </c>
      <c r="N2867">
        <v>0</v>
      </c>
      <c r="O2867">
        <v>3588</v>
      </c>
      <c r="P2867">
        <v>0</v>
      </c>
      <c r="Q2867">
        <v>0</v>
      </c>
      <c r="R2867">
        <v>0</v>
      </c>
      <c r="T2867" s="29">
        <v>27700</v>
      </c>
      <c r="U2867" s="29">
        <v>3180403200</v>
      </c>
      <c r="V2867" t="s">
        <v>1262</v>
      </c>
      <c r="W2867" t="s">
        <v>1262</v>
      </c>
      <c r="X2867" s="29">
        <v>3180403200</v>
      </c>
      <c r="AA2867" s="30">
        <v>45811.333333333336</v>
      </c>
      <c r="AB2867" s="30">
        <v>45814.708333333336</v>
      </c>
      <c r="AC2867" s="30">
        <v>45811.333333333336</v>
      </c>
      <c r="AD2867" s="30">
        <v>45814.708333333336</v>
      </c>
      <c r="AE2867" s="30">
        <v>45835.333333333336</v>
      </c>
      <c r="AF2867" s="30">
        <v>45840.708333333336</v>
      </c>
      <c r="AG2867" t="s">
        <v>1266</v>
      </c>
      <c r="AK2867" t="s">
        <v>1265</v>
      </c>
      <c r="AL2867" t="s">
        <v>1796</v>
      </c>
      <c r="AM2867" t="s">
        <v>1263</v>
      </c>
      <c r="AN2867" t="s">
        <v>1262</v>
      </c>
      <c r="AO2867">
        <v>0</v>
      </c>
      <c r="AQ2867" t="s">
        <v>1261</v>
      </c>
      <c r="AR2867" t="s">
        <v>1260</v>
      </c>
      <c r="AS2867" t="s">
        <v>1259</v>
      </c>
      <c r="AT2867" s="30">
        <v>46072.751388888886</v>
      </c>
    </row>
    <row r="2868" spans="1:46" x14ac:dyDescent="0.25">
      <c r="A2868" t="s">
        <v>1248</v>
      </c>
      <c r="B2868">
        <v>253305</v>
      </c>
      <c r="C2868">
        <v>119980</v>
      </c>
      <c r="D2868">
        <v>405</v>
      </c>
      <c r="E2868" t="s">
        <v>1266</v>
      </c>
      <c r="G2868">
        <v>745</v>
      </c>
      <c r="H2868">
        <v>1831</v>
      </c>
      <c r="K2868">
        <v>114816</v>
      </c>
      <c r="L2868">
        <v>114816</v>
      </c>
      <c r="M2868">
        <v>3588</v>
      </c>
      <c r="N2868">
        <v>0</v>
      </c>
      <c r="O2868">
        <v>3588</v>
      </c>
      <c r="P2868">
        <v>0</v>
      </c>
      <c r="Q2868">
        <v>0</v>
      </c>
      <c r="R2868">
        <v>0</v>
      </c>
      <c r="T2868" s="29">
        <v>27700</v>
      </c>
      <c r="U2868" s="29">
        <v>3180403200</v>
      </c>
      <c r="V2868" t="s">
        <v>1262</v>
      </c>
      <c r="W2868" t="s">
        <v>1262</v>
      </c>
      <c r="X2868" s="29">
        <v>3180403200</v>
      </c>
      <c r="AA2868" s="30">
        <v>45817.333333333336</v>
      </c>
      <c r="AB2868" s="30">
        <v>45820.708333333336</v>
      </c>
      <c r="AC2868" s="30">
        <v>45817.333333333336</v>
      </c>
      <c r="AD2868" s="30">
        <v>45820.708333333336</v>
      </c>
      <c r="AE2868" s="30">
        <v>45841.333333333336</v>
      </c>
      <c r="AF2868" s="30">
        <v>45846.708333333336</v>
      </c>
      <c r="AG2868" t="s">
        <v>1266</v>
      </c>
      <c r="AK2868" t="s">
        <v>1265</v>
      </c>
      <c r="AL2868" t="s">
        <v>1795</v>
      </c>
      <c r="AM2868" t="s">
        <v>1263</v>
      </c>
      <c r="AN2868" t="s">
        <v>1262</v>
      </c>
      <c r="AO2868">
        <v>0</v>
      </c>
      <c r="AQ2868" t="s">
        <v>1261</v>
      </c>
      <c r="AR2868" t="s">
        <v>1260</v>
      </c>
      <c r="AS2868" t="s">
        <v>1259</v>
      </c>
      <c r="AT2868" s="30">
        <v>46072.751388888886</v>
      </c>
    </row>
    <row r="2869" spans="1:46" x14ac:dyDescent="0.25">
      <c r="A2869" t="s">
        <v>1248</v>
      </c>
      <c r="B2869">
        <v>253306</v>
      </c>
      <c r="C2869">
        <v>119981</v>
      </c>
      <c r="D2869">
        <v>405</v>
      </c>
      <c r="E2869" t="s">
        <v>1266</v>
      </c>
      <c r="G2869">
        <v>745</v>
      </c>
      <c r="H2869">
        <v>1831</v>
      </c>
      <c r="K2869">
        <v>114816</v>
      </c>
      <c r="L2869">
        <v>114816</v>
      </c>
      <c r="M2869">
        <v>3588</v>
      </c>
      <c r="N2869">
        <v>0</v>
      </c>
      <c r="O2869">
        <v>3588</v>
      </c>
      <c r="P2869">
        <v>0</v>
      </c>
      <c r="Q2869">
        <v>0</v>
      </c>
      <c r="R2869">
        <v>0</v>
      </c>
      <c r="T2869" s="29">
        <v>27700</v>
      </c>
      <c r="U2869" s="29">
        <v>3180403200</v>
      </c>
      <c r="V2869" t="s">
        <v>1262</v>
      </c>
      <c r="W2869" t="s">
        <v>1262</v>
      </c>
      <c r="X2869" s="29">
        <v>3180403200</v>
      </c>
      <c r="AA2869" s="30">
        <v>45821.333333333336</v>
      </c>
      <c r="AB2869" s="30">
        <v>45826.708333333336</v>
      </c>
      <c r="AC2869" s="30">
        <v>45821.333333333336</v>
      </c>
      <c r="AD2869" s="30">
        <v>45826.708333333336</v>
      </c>
      <c r="AE2869" s="30">
        <v>45847.333333333336</v>
      </c>
      <c r="AF2869" s="30">
        <v>45852.708333333336</v>
      </c>
      <c r="AG2869" t="s">
        <v>1266</v>
      </c>
      <c r="AK2869" t="s">
        <v>1265</v>
      </c>
      <c r="AL2869" t="s">
        <v>1794</v>
      </c>
      <c r="AM2869" t="s">
        <v>1263</v>
      </c>
      <c r="AN2869" t="s">
        <v>1262</v>
      </c>
      <c r="AO2869">
        <v>0</v>
      </c>
      <c r="AQ2869" t="s">
        <v>1261</v>
      </c>
      <c r="AR2869" t="s">
        <v>1260</v>
      </c>
      <c r="AS2869" t="s">
        <v>1259</v>
      </c>
      <c r="AT2869" s="30">
        <v>46072.751388888886</v>
      </c>
    </row>
    <row r="2870" spans="1:46" x14ac:dyDescent="0.25">
      <c r="A2870" t="s">
        <v>1248</v>
      </c>
      <c r="B2870">
        <v>253307</v>
      </c>
      <c r="C2870">
        <v>119982</v>
      </c>
      <c r="D2870">
        <v>405</v>
      </c>
      <c r="E2870" t="s">
        <v>1266</v>
      </c>
      <c r="G2870">
        <v>745</v>
      </c>
      <c r="H2870">
        <v>1831</v>
      </c>
      <c r="K2870">
        <v>114816</v>
      </c>
      <c r="L2870">
        <v>114816</v>
      </c>
      <c r="M2870">
        <v>3588</v>
      </c>
      <c r="N2870">
        <v>0</v>
      </c>
      <c r="O2870">
        <v>3588</v>
      </c>
      <c r="P2870">
        <v>0</v>
      </c>
      <c r="Q2870">
        <v>0</v>
      </c>
      <c r="R2870">
        <v>0</v>
      </c>
      <c r="T2870" s="29">
        <v>27700</v>
      </c>
      <c r="U2870" s="29">
        <v>3180403200</v>
      </c>
      <c r="V2870" t="s">
        <v>1262</v>
      </c>
      <c r="W2870" t="s">
        <v>1262</v>
      </c>
      <c r="X2870" s="29">
        <v>3180403200</v>
      </c>
      <c r="AA2870" s="30">
        <v>45827.333333333336</v>
      </c>
      <c r="AB2870" s="30">
        <v>45832.708333333336</v>
      </c>
      <c r="AC2870" s="30">
        <v>45827.333333333336</v>
      </c>
      <c r="AD2870" s="30">
        <v>45832.708333333336</v>
      </c>
      <c r="AE2870" s="30">
        <v>45853.333333333336</v>
      </c>
      <c r="AF2870" s="30">
        <v>45856.708333333336</v>
      </c>
      <c r="AG2870" t="s">
        <v>1266</v>
      </c>
      <c r="AK2870" t="s">
        <v>1265</v>
      </c>
      <c r="AL2870" t="s">
        <v>1793</v>
      </c>
      <c r="AM2870" t="s">
        <v>1263</v>
      </c>
      <c r="AN2870" t="s">
        <v>1262</v>
      </c>
      <c r="AO2870">
        <v>0</v>
      </c>
      <c r="AQ2870" t="s">
        <v>1261</v>
      </c>
      <c r="AR2870" t="s">
        <v>1260</v>
      </c>
      <c r="AS2870" t="s">
        <v>1259</v>
      </c>
      <c r="AT2870" s="30">
        <v>46072.751388888886</v>
      </c>
    </row>
    <row r="2871" spans="1:46" x14ac:dyDescent="0.25">
      <c r="A2871" t="s">
        <v>1248</v>
      </c>
      <c r="B2871">
        <v>253308</v>
      </c>
      <c r="C2871">
        <v>119983</v>
      </c>
      <c r="D2871">
        <v>405</v>
      </c>
      <c r="E2871" t="s">
        <v>1266</v>
      </c>
      <c r="G2871">
        <v>745</v>
      </c>
      <c r="H2871">
        <v>1831</v>
      </c>
      <c r="K2871">
        <v>114816</v>
      </c>
      <c r="L2871">
        <v>114816</v>
      </c>
      <c r="M2871">
        <v>3588</v>
      </c>
      <c r="N2871">
        <v>0</v>
      </c>
      <c r="O2871">
        <v>3588</v>
      </c>
      <c r="P2871">
        <v>0</v>
      </c>
      <c r="Q2871">
        <v>0</v>
      </c>
      <c r="R2871">
        <v>0</v>
      </c>
      <c r="T2871" s="29">
        <v>27700</v>
      </c>
      <c r="U2871" s="29">
        <v>3180403200</v>
      </c>
      <c r="V2871" t="s">
        <v>1262</v>
      </c>
      <c r="W2871" t="s">
        <v>1262</v>
      </c>
      <c r="X2871" s="29">
        <v>3180403200</v>
      </c>
      <c r="AA2871" s="30">
        <v>45833.333333333336</v>
      </c>
      <c r="AB2871" s="30">
        <v>45838.708333333336</v>
      </c>
      <c r="AC2871" s="30">
        <v>45833.333333333336</v>
      </c>
      <c r="AD2871" s="30">
        <v>45838.708333333336</v>
      </c>
      <c r="AE2871" s="30">
        <v>45859.333333333336</v>
      </c>
      <c r="AF2871" s="30">
        <v>45862.708333333336</v>
      </c>
      <c r="AG2871" t="s">
        <v>1266</v>
      </c>
      <c r="AK2871" t="s">
        <v>1265</v>
      </c>
      <c r="AL2871" t="s">
        <v>1792</v>
      </c>
      <c r="AM2871" t="s">
        <v>1263</v>
      </c>
      <c r="AN2871" t="s">
        <v>1262</v>
      </c>
      <c r="AO2871">
        <v>0</v>
      </c>
      <c r="AQ2871" t="s">
        <v>1261</v>
      </c>
      <c r="AR2871" t="s">
        <v>1260</v>
      </c>
      <c r="AS2871" t="s">
        <v>1259</v>
      </c>
      <c r="AT2871" s="30">
        <v>46072.751388888886</v>
      </c>
    </row>
    <row r="2872" spans="1:46" x14ac:dyDescent="0.25">
      <c r="A2872" t="s">
        <v>1248</v>
      </c>
      <c r="B2872">
        <v>253309</v>
      </c>
      <c r="C2872">
        <v>119984</v>
      </c>
      <c r="D2872">
        <v>405</v>
      </c>
      <c r="E2872" t="s">
        <v>1266</v>
      </c>
      <c r="G2872">
        <v>745</v>
      </c>
      <c r="H2872">
        <v>1831</v>
      </c>
      <c r="K2872">
        <v>114816</v>
      </c>
      <c r="L2872">
        <v>114816</v>
      </c>
      <c r="M2872">
        <v>3588</v>
      </c>
      <c r="N2872">
        <v>0</v>
      </c>
      <c r="O2872">
        <v>3588</v>
      </c>
      <c r="P2872">
        <v>0</v>
      </c>
      <c r="Q2872">
        <v>0</v>
      </c>
      <c r="R2872">
        <v>0</v>
      </c>
      <c r="T2872" s="29">
        <v>27700</v>
      </c>
      <c r="U2872" s="29">
        <v>3180403200</v>
      </c>
      <c r="V2872" t="s">
        <v>1262</v>
      </c>
      <c r="W2872" t="s">
        <v>1262</v>
      </c>
      <c r="X2872" s="29">
        <v>3180403200</v>
      </c>
      <c r="AA2872" s="30">
        <v>45839.333333333336</v>
      </c>
      <c r="AB2872" s="30">
        <v>45842.708333333336</v>
      </c>
      <c r="AC2872" s="30">
        <v>45839.333333333336</v>
      </c>
      <c r="AD2872" s="30">
        <v>45842.708333333336</v>
      </c>
      <c r="AE2872" s="30">
        <v>45870.333333333336</v>
      </c>
      <c r="AF2872" s="30">
        <v>45875.708333333336</v>
      </c>
      <c r="AG2872" t="s">
        <v>1266</v>
      </c>
      <c r="AK2872" t="s">
        <v>1265</v>
      </c>
      <c r="AL2872" t="s">
        <v>1791</v>
      </c>
      <c r="AM2872" t="s">
        <v>1263</v>
      </c>
      <c r="AN2872" t="s">
        <v>1262</v>
      </c>
      <c r="AO2872">
        <v>0</v>
      </c>
      <c r="AQ2872" t="s">
        <v>1261</v>
      </c>
      <c r="AR2872" t="s">
        <v>1260</v>
      </c>
      <c r="AS2872" t="s">
        <v>1259</v>
      </c>
      <c r="AT2872" s="30">
        <v>46072.751388888886</v>
      </c>
    </row>
    <row r="2873" spans="1:46" x14ac:dyDescent="0.25">
      <c r="A2873" t="s">
        <v>1248</v>
      </c>
      <c r="B2873">
        <v>253310</v>
      </c>
      <c r="C2873">
        <v>119985</v>
      </c>
      <c r="D2873">
        <v>405</v>
      </c>
      <c r="E2873" t="s">
        <v>1266</v>
      </c>
      <c r="G2873">
        <v>745</v>
      </c>
      <c r="H2873">
        <v>1831</v>
      </c>
      <c r="K2873">
        <v>114816</v>
      </c>
      <c r="L2873">
        <v>114816</v>
      </c>
      <c r="M2873">
        <v>3588</v>
      </c>
      <c r="N2873">
        <v>0</v>
      </c>
      <c r="O2873">
        <v>3588</v>
      </c>
      <c r="P2873">
        <v>0</v>
      </c>
      <c r="Q2873">
        <v>0</v>
      </c>
      <c r="R2873">
        <v>0</v>
      </c>
      <c r="T2873" s="29">
        <v>27700</v>
      </c>
      <c r="U2873" s="29">
        <v>3180403200</v>
      </c>
      <c r="V2873" t="s">
        <v>1262</v>
      </c>
      <c r="W2873" t="s">
        <v>1262</v>
      </c>
      <c r="X2873" s="29">
        <v>3180403200</v>
      </c>
      <c r="AA2873" s="30">
        <v>45876.333333333336</v>
      </c>
      <c r="AB2873" s="30">
        <v>45881.708333333336</v>
      </c>
      <c r="AC2873" s="30">
        <v>45876.333333333336</v>
      </c>
      <c r="AD2873" s="30">
        <v>45881.708333333336</v>
      </c>
      <c r="AE2873" s="30">
        <v>45876.333333333336</v>
      </c>
      <c r="AF2873" s="30">
        <v>45881.708333333336</v>
      </c>
      <c r="AG2873" t="s">
        <v>1266</v>
      </c>
      <c r="AK2873" t="s">
        <v>1265</v>
      </c>
      <c r="AL2873" t="s">
        <v>1790</v>
      </c>
      <c r="AM2873" t="s">
        <v>1263</v>
      </c>
      <c r="AN2873" t="s">
        <v>1262</v>
      </c>
      <c r="AO2873">
        <v>0</v>
      </c>
      <c r="AQ2873" t="s">
        <v>1261</v>
      </c>
      <c r="AR2873" t="s">
        <v>1260</v>
      </c>
      <c r="AS2873" t="s">
        <v>1259</v>
      </c>
      <c r="AT2873" s="30">
        <v>46072.751388888886</v>
      </c>
    </row>
    <row r="2874" spans="1:46" x14ac:dyDescent="0.25">
      <c r="A2874" t="s">
        <v>1248</v>
      </c>
      <c r="B2874">
        <v>253311</v>
      </c>
      <c r="C2874">
        <v>119986</v>
      </c>
      <c r="D2874">
        <v>405</v>
      </c>
      <c r="E2874" t="s">
        <v>1266</v>
      </c>
      <c r="G2874">
        <v>745</v>
      </c>
      <c r="H2874">
        <v>1831</v>
      </c>
      <c r="K2874">
        <v>114816</v>
      </c>
      <c r="L2874">
        <v>114816</v>
      </c>
      <c r="M2874">
        <v>3588</v>
      </c>
      <c r="N2874">
        <v>0</v>
      </c>
      <c r="O2874">
        <v>3588</v>
      </c>
      <c r="P2874">
        <v>0</v>
      </c>
      <c r="Q2874">
        <v>0</v>
      </c>
      <c r="R2874">
        <v>0</v>
      </c>
      <c r="T2874" s="29">
        <v>27700</v>
      </c>
      <c r="U2874" s="29">
        <v>3180403200</v>
      </c>
      <c r="V2874" t="s">
        <v>1262</v>
      </c>
      <c r="W2874" t="s">
        <v>1262</v>
      </c>
      <c r="X2874" s="29">
        <v>3180403200</v>
      </c>
      <c r="AA2874" s="30">
        <v>45882.333333333336</v>
      </c>
      <c r="AB2874" s="30">
        <v>45887.708333333336</v>
      </c>
      <c r="AC2874" s="30">
        <v>45882.333333333336</v>
      </c>
      <c r="AD2874" s="30">
        <v>45887.708333333336</v>
      </c>
      <c r="AE2874" s="30">
        <v>45882.333333333336</v>
      </c>
      <c r="AF2874" s="30">
        <v>45887.708333333336</v>
      </c>
      <c r="AG2874" t="s">
        <v>1266</v>
      </c>
      <c r="AK2874" t="s">
        <v>1265</v>
      </c>
      <c r="AL2874" t="s">
        <v>1789</v>
      </c>
      <c r="AM2874" t="s">
        <v>1263</v>
      </c>
      <c r="AN2874" t="s">
        <v>1262</v>
      </c>
      <c r="AO2874">
        <v>0</v>
      </c>
      <c r="AQ2874" t="s">
        <v>1261</v>
      </c>
      <c r="AR2874" t="s">
        <v>1260</v>
      </c>
      <c r="AS2874" t="s">
        <v>1259</v>
      </c>
      <c r="AT2874" s="30">
        <v>46072.751388888886</v>
      </c>
    </row>
    <row r="2875" spans="1:46" x14ac:dyDescent="0.25">
      <c r="A2875" t="s">
        <v>1248</v>
      </c>
      <c r="B2875">
        <v>253312</v>
      </c>
      <c r="C2875">
        <v>119987</v>
      </c>
      <c r="D2875">
        <v>405</v>
      </c>
      <c r="E2875" t="s">
        <v>1266</v>
      </c>
      <c r="G2875">
        <v>745</v>
      </c>
      <c r="H2875">
        <v>1831</v>
      </c>
      <c r="K2875">
        <v>114816</v>
      </c>
      <c r="L2875">
        <v>114816</v>
      </c>
      <c r="M2875">
        <v>3588</v>
      </c>
      <c r="N2875">
        <v>0</v>
      </c>
      <c r="O2875">
        <v>3588</v>
      </c>
      <c r="P2875">
        <v>0</v>
      </c>
      <c r="Q2875">
        <v>0</v>
      </c>
      <c r="R2875">
        <v>0</v>
      </c>
      <c r="T2875" s="29">
        <v>27700</v>
      </c>
      <c r="U2875" s="29">
        <v>3180403200</v>
      </c>
      <c r="V2875" t="s">
        <v>1262</v>
      </c>
      <c r="W2875" t="s">
        <v>1262</v>
      </c>
      <c r="X2875" s="29">
        <v>3180403200</v>
      </c>
      <c r="AA2875" s="30">
        <v>45888.333333333336</v>
      </c>
      <c r="AB2875" s="30">
        <v>45891.708333333336</v>
      </c>
      <c r="AC2875" s="30">
        <v>45888.333333333336</v>
      </c>
      <c r="AD2875" s="30">
        <v>45891.708333333336</v>
      </c>
      <c r="AE2875" s="30">
        <v>45888.333333333336</v>
      </c>
      <c r="AF2875" s="30">
        <v>45891.708333333336</v>
      </c>
      <c r="AG2875" t="s">
        <v>1266</v>
      </c>
      <c r="AK2875" t="s">
        <v>1265</v>
      </c>
      <c r="AL2875" t="s">
        <v>1788</v>
      </c>
      <c r="AM2875" t="s">
        <v>1263</v>
      </c>
      <c r="AN2875" t="s">
        <v>1262</v>
      </c>
      <c r="AO2875">
        <v>0</v>
      </c>
      <c r="AQ2875" t="s">
        <v>1261</v>
      </c>
      <c r="AR2875" t="s">
        <v>1260</v>
      </c>
      <c r="AS2875" t="s">
        <v>1259</v>
      </c>
      <c r="AT2875" s="30">
        <v>46072.751388888886</v>
      </c>
    </row>
    <row r="2876" spans="1:46" x14ac:dyDescent="0.25">
      <c r="A2876" t="s">
        <v>1248</v>
      </c>
      <c r="B2876">
        <v>253313</v>
      </c>
      <c r="C2876">
        <v>119898</v>
      </c>
      <c r="D2876">
        <v>405</v>
      </c>
      <c r="E2876" t="s">
        <v>1266</v>
      </c>
      <c r="G2876">
        <v>745</v>
      </c>
      <c r="H2876">
        <v>1830</v>
      </c>
      <c r="K2876" t="s">
        <v>1742</v>
      </c>
      <c r="L2876" t="s">
        <v>1742</v>
      </c>
      <c r="M2876" s="29">
        <v>498333333</v>
      </c>
      <c r="N2876">
        <v>0</v>
      </c>
      <c r="O2876" s="29">
        <v>498333333</v>
      </c>
      <c r="P2876">
        <v>0</v>
      </c>
      <c r="Q2876">
        <v>0</v>
      </c>
      <c r="R2876">
        <v>0</v>
      </c>
      <c r="T2876" s="29">
        <v>621500</v>
      </c>
      <c r="U2876" s="29">
        <v>297325600</v>
      </c>
      <c r="V2876" t="s">
        <v>1262</v>
      </c>
      <c r="W2876" t="s">
        <v>1262</v>
      </c>
      <c r="X2876" s="29">
        <v>297325600</v>
      </c>
      <c r="AA2876" s="30">
        <v>46006.333333333336</v>
      </c>
      <c r="AB2876" s="30">
        <v>46021.708333333336</v>
      </c>
      <c r="AC2876" s="30">
        <v>46006.333333333336</v>
      </c>
      <c r="AD2876" s="30">
        <v>46021.708333333336</v>
      </c>
      <c r="AE2876" s="30">
        <v>46006.333333333336</v>
      </c>
      <c r="AF2876" s="30">
        <v>46021.708333333336</v>
      </c>
      <c r="AG2876" t="s">
        <v>1266</v>
      </c>
      <c r="AK2876" t="s">
        <v>1265</v>
      </c>
      <c r="AL2876" t="s">
        <v>1787</v>
      </c>
      <c r="AM2876" t="s">
        <v>1263</v>
      </c>
      <c r="AN2876" t="s">
        <v>1262</v>
      </c>
      <c r="AO2876">
        <v>0</v>
      </c>
      <c r="AQ2876" t="s">
        <v>1261</v>
      </c>
      <c r="AR2876" t="s">
        <v>1260</v>
      </c>
      <c r="AS2876" t="s">
        <v>1259</v>
      </c>
      <c r="AT2876" s="30">
        <v>46073.384027777778</v>
      </c>
    </row>
    <row r="2877" spans="1:46" x14ac:dyDescent="0.25">
      <c r="A2877" t="s">
        <v>1248</v>
      </c>
      <c r="B2877">
        <v>253314</v>
      </c>
      <c r="C2877">
        <v>119899</v>
      </c>
      <c r="D2877">
        <v>405</v>
      </c>
      <c r="E2877" t="s">
        <v>1266</v>
      </c>
      <c r="G2877">
        <v>745</v>
      </c>
      <c r="H2877">
        <v>1830</v>
      </c>
      <c r="K2877" t="s">
        <v>1742</v>
      </c>
      <c r="L2877" t="s">
        <v>1742</v>
      </c>
      <c r="M2877" s="29">
        <v>498333333</v>
      </c>
      <c r="N2877">
        <v>0</v>
      </c>
      <c r="O2877" s="29">
        <v>498333333</v>
      </c>
      <c r="P2877">
        <v>0</v>
      </c>
      <c r="Q2877">
        <v>0</v>
      </c>
      <c r="R2877">
        <v>0</v>
      </c>
      <c r="T2877" s="29">
        <v>621500</v>
      </c>
      <c r="U2877" s="29">
        <v>297325600</v>
      </c>
      <c r="V2877" t="s">
        <v>1262</v>
      </c>
      <c r="W2877" t="s">
        <v>1262</v>
      </c>
      <c r="X2877" s="29">
        <v>297325600</v>
      </c>
      <c r="AA2877" s="30">
        <v>46022.333333333336</v>
      </c>
      <c r="AB2877" s="30">
        <v>46041.708333333336</v>
      </c>
      <c r="AC2877" s="30">
        <v>46022.333333333336</v>
      </c>
      <c r="AD2877" s="30">
        <v>46041.708333333336</v>
      </c>
      <c r="AE2877" s="30">
        <v>46022.333333333336</v>
      </c>
      <c r="AF2877" s="30">
        <v>46041.708333333336</v>
      </c>
      <c r="AG2877" t="s">
        <v>1266</v>
      </c>
      <c r="AK2877" t="s">
        <v>1265</v>
      </c>
      <c r="AL2877" t="s">
        <v>1786</v>
      </c>
      <c r="AM2877" t="s">
        <v>1263</v>
      </c>
      <c r="AN2877" t="s">
        <v>1262</v>
      </c>
      <c r="AO2877">
        <v>0</v>
      </c>
      <c r="AQ2877" t="s">
        <v>1261</v>
      </c>
      <c r="AR2877" t="s">
        <v>1260</v>
      </c>
      <c r="AS2877" t="s">
        <v>1259</v>
      </c>
      <c r="AT2877" s="30">
        <v>46073.384027777778</v>
      </c>
    </row>
    <row r="2878" spans="1:46" x14ac:dyDescent="0.25">
      <c r="A2878" t="s">
        <v>1248</v>
      </c>
      <c r="B2878">
        <v>253315</v>
      </c>
      <c r="C2878">
        <v>119900</v>
      </c>
      <c r="D2878">
        <v>405</v>
      </c>
      <c r="E2878" t="s">
        <v>1266</v>
      </c>
      <c r="G2878">
        <v>745</v>
      </c>
      <c r="H2878">
        <v>1830</v>
      </c>
      <c r="K2878" t="s">
        <v>1742</v>
      </c>
      <c r="L2878" t="s">
        <v>1742</v>
      </c>
      <c r="M2878" s="29">
        <v>498333333</v>
      </c>
      <c r="N2878">
        <v>0</v>
      </c>
      <c r="O2878" s="29">
        <v>498333333</v>
      </c>
      <c r="P2878">
        <v>0</v>
      </c>
      <c r="Q2878">
        <v>0</v>
      </c>
      <c r="R2878">
        <v>0</v>
      </c>
      <c r="T2878" s="29">
        <v>621500</v>
      </c>
      <c r="U2878" s="29">
        <v>297325600</v>
      </c>
      <c r="V2878" t="s">
        <v>1262</v>
      </c>
      <c r="W2878" t="s">
        <v>1262</v>
      </c>
      <c r="X2878" s="29">
        <v>297325600</v>
      </c>
      <c r="AA2878" s="30">
        <v>46042.333333333336</v>
      </c>
      <c r="AB2878" s="30">
        <v>46057.708333333336</v>
      </c>
      <c r="AC2878" s="30">
        <v>46042.333333333336</v>
      </c>
      <c r="AD2878" s="30">
        <v>46057.708333333336</v>
      </c>
      <c r="AE2878" s="30">
        <v>46042.333333333336</v>
      </c>
      <c r="AF2878" s="30">
        <v>46057.708333333336</v>
      </c>
      <c r="AG2878" t="s">
        <v>1266</v>
      </c>
      <c r="AK2878" t="s">
        <v>1265</v>
      </c>
      <c r="AL2878" t="s">
        <v>1785</v>
      </c>
      <c r="AM2878" t="s">
        <v>1263</v>
      </c>
      <c r="AN2878" t="s">
        <v>1262</v>
      </c>
      <c r="AO2878">
        <v>0</v>
      </c>
      <c r="AQ2878" t="s">
        <v>1261</v>
      </c>
      <c r="AR2878" t="s">
        <v>1260</v>
      </c>
      <c r="AS2878" t="s">
        <v>1259</v>
      </c>
      <c r="AT2878" s="30">
        <v>46073.384027777778</v>
      </c>
    </row>
    <row r="2879" spans="1:46" x14ac:dyDescent="0.25">
      <c r="A2879" t="s">
        <v>1248</v>
      </c>
      <c r="B2879">
        <v>253316</v>
      </c>
      <c r="C2879">
        <v>119901</v>
      </c>
      <c r="D2879">
        <v>405</v>
      </c>
      <c r="E2879" t="s">
        <v>1266</v>
      </c>
      <c r="G2879">
        <v>745</v>
      </c>
      <c r="H2879">
        <v>1830</v>
      </c>
      <c r="K2879" t="s">
        <v>1742</v>
      </c>
      <c r="L2879" t="s">
        <v>1742</v>
      </c>
      <c r="M2879" s="29">
        <v>498333333</v>
      </c>
      <c r="N2879">
        <v>0</v>
      </c>
      <c r="O2879" s="29">
        <v>498333333</v>
      </c>
      <c r="P2879">
        <v>0</v>
      </c>
      <c r="Q2879">
        <v>0</v>
      </c>
      <c r="R2879">
        <v>0</v>
      </c>
      <c r="T2879" s="29">
        <v>621500</v>
      </c>
      <c r="U2879" s="29">
        <v>297325600</v>
      </c>
      <c r="V2879" t="s">
        <v>1262</v>
      </c>
      <c r="W2879" t="s">
        <v>1262</v>
      </c>
      <c r="X2879" s="29">
        <v>297325600</v>
      </c>
      <c r="AA2879" s="30">
        <v>46058.333333333336</v>
      </c>
      <c r="AB2879" s="30">
        <v>46073.708333333336</v>
      </c>
      <c r="AC2879" s="30">
        <v>46058.333333333336</v>
      </c>
      <c r="AD2879" s="30">
        <v>46073.708333333336</v>
      </c>
      <c r="AE2879" s="30">
        <v>46058.333333333336</v>
      </c>
      <c r="AF2879" s="30">
        <v>46073.708333333336</v>
      </c>
      <c r="AG2879" t="s">
        <v>1266</v>
      </c>
      <c r="AK2879" t="s">
        <v>1265</v>
      </c>
      <c r="AL2879" t="s">
        <v>1784</v>
      </c>
      <c r="AM2879" t="s">
        <v>1263</v>
      </c>
      <c r="AN2879" t="s">
        <v>1262</v>
      </c>
      <c r="AO2879">
        <v>0</v>
      </c>
      <c r="AQ2879" t="s">
        <v>1261</v>
      </c>
      <c r="AR2879" t="s">
        <v>1260</v>
      </c>
      <c r="AS2879" t="s">
        <v>1259</v>
      </c>
      <c r="AT2879" s="30">
        <v>46073.384027777778</v>
      </c>
    </row>
    <row r="2880" spans="1:46" x14ac:dyDescent="0.25">
      <c r="A2880" t="s">
        <v>1248</v>
      </c>
      <c r="B2880">
        <v>253317</v>
      </c>
      <c r="C2880">
        <v>119902</v>
      </c>
      <c r="D2880">
        <v>405</v>
      </c>
      <c r="E2880" t="s">
        <v>1266</v>
      </c>
      <c r="G2880">
        <v>745</v>
      </c>
      <c r="H2880">
        <v>1830</v>
      </c>
      <c r="K2880" t="s">
        <v>1742</v>
      </c>
      <c r="L2880" t="s">
        <v>1742</v>
      </c>
      <c r="M2880" s="29">
        <v>498333333</v>
      </c>
      <c r="N2880">
        <v>0</v>
      </c>
      <c r="O2880" s="29">
        <v>498333333</v>
      </c>
      <c r="P2880">
        <v>0</v>
      </c>
      <c r="Q2880">
        <v>0</v>
      </c>
      <c r="R2880">
        <v>0</v>
      </c>
      <c r="T2880" s="29">
        <v>621500</v>
      </c>
      <c r="U2880" s="29">
        <v>297325600</v>
      </c>
      <c r="V2880" t="s">
        <v>1262</v>
      </c>
      <c r="W2880" t="s">
        <v>1262</v>
      </c>
      <c r="X2880" s="29">
        <v>297325600</v>
      </c>
      <c r="AA2880" s="30">
        <v>46076.333333333336</v>
      </c>
      <c r="AB2880" s="30">
        <v>46091.708333333336</v>
      </c>
      <c r="AC2880" s="30">
        <v>46076.333333333336</v>
      </c>
      <c r="AD2880" s="30">
        <v>46091.708333333336</v>
      </c>
      <c r="AE2880" s="30">
        <v>46076.333333333336</v>
      </c>
      <c r="AF2880" s="30">
        <v>46091.708333333336</v>
      </c>
      <c r="AG2880" t="s">
        <v>1266</v>
      </c>
      <c r="AK2880" t="s">
        <v>1265</v>
      </c>
      <c r="AL2880" t="s">
        <v>1783</v>
      </c>
      <c r="AM2880" t="s">
        <v>1263</v>
      </c>
      <c r="AN2880" t="s">
        <v>1262</v>
      </c>
      <c r="AO2880">
        <v>0</v>
      </c>
      <c r="AQ2880" t="s">
        <v>1261</v>
      </c>
      <c r="AR2880" t="s">
        <v>1260</v>
      </c>
      <c r="AS2880" t="s">
        <v>1259</v>
      </c>
      <c r="AT2880" s="30">
        <v>46073.384027777778</v>
      </c>
    </row>
    <row r="2881" spans="1:46" x14ac:dyDescent="0.25">
      <c r="A2881" t="s">
        <v>1248</v>
      </c>
      <c r="B2881">
        <v>253318</v>
      </c>
      <c r="C2881">
        <v>119903</v>
      </c>
      <c r="D2881">
        <v>405</v>
      </c>
      <c r="E2881" t="s">
        <v>1266</v>
      </c>
      <c r="G2881">
        <v>745</v>
      </c>
      <c r="H2881">
        <v>1830</v>
      </c>
      <c r="K2881" t="s">
        <v>1742</v>
      </c>
      <c r="L2881" t="s">
        <v>1742</v>
      </c>
      <c r="M2881" s="29">
        <v>498333333</v>
      </c>
      <c r="N2881">
        <v>0</v>
      </c>
      <c r="O2881" s="29">
        <v>498333333</v>
      </c>
      <c r="P2881">
        <v>0</v>
      </c>
      <c r="Q2881">
        <v>0</v>
      </c>
      <c r="R2881">
        <v>0</v>
      </c>
      <c r="T2881" s="29">
        <v>621500</v>
      </c>
      <c r="U2881" s="29">
        <v>297325600</v>
      </c>
      <c r="V2881" t="s">
        <v>1262</v>
      </c>
      <c r="W2881" t="s">
        <v>1262</v>
      </c>
      <c r="X2881" s="29">
        <v>297325600</v>
      </c>
      <c r="AA2881" s="30">
        <v>46092.333333333336</v>
      </c>
      <c r="AB2881" s="30">
        <v>46107.708333333336</v>
      </c>
      <c r="AC2881" s="30">
        <v>46092.333333333336</v>
      </c>
      <c r="AD2881" s="30">
        <v>46107.708333333336</v>
      </c>
      <c r="AE2881" s="30">
        <v>46092.333333333336</v>
      </c>
      <c r="AF2881" s="30">
        <v>46107.708333333336</v>
      </c>
      <c r="AG2881" t="s">
        <v>1266</v>
      </c>
      <c r="AK2881" t="s">
        <v>1265</v>
      </c>
      <c r="AL2881" t="s">
        <v>1782</v>
      </c>
      <c r="AM2881" t="s">
        <v>1263</v>
      </c>
      <c r="AN2881" t="s">
        <v>1262</v>
      </c>
      <c r="AO2881">
        <v>0</v>
      </c>
      <c r="AQ2881" t="s">
        <v>1261</v>
      </c>
      <c r="AR2881" t="s">
        <v>1260</v>
      </c>
      <c r="AS2881" t="s">
        <v>1259</v>
      </c>
      <c r="AT2881" s="30">
        <v>46073.384027777778</v>
      </c>
    </row>
    <row r="2882" spans="1:46" x14ac:dyDescent="0.25">
      <c r="A2882" t="s">
        <v>1248</v>
      </c>
      <c r="B2882">
        <v>253319</v>
      </c>
      <c r="C2882">
        <v>119904</v>
      </c>
      <c r="D2882">
        <v>405</v>
      </c>
      <c r="E2882" t="s">
        <v>1266</v>
      </c>
      <c r="G2882">
        <v>745</v>
      </c>
      <c r="H2882">
        <v>1830</v>
      </c>
      <c r="K2882" t="s">
        <v>1742</v>
      </c>
      <c r="L2882" t="s">
        <v>1742</v>
      </c>
      <c r="M2882" s="29">
        <v>498333333</v>
      </c>
      <c r="N2882">
        <v>0</v>
      </c>
      <c r="O2882" s="29">
        <v>498333333</v>
      </c>
      <c r="P2882">
        <v>0</v>
      </c>
      <c r="Q2882">
        <v>0</v>
      </c>
      <c r="R2882">
        <v>0</v>
      </c>
      <c r="T2882" s="29">
        <v>621500</v>
      </c>
      <c r="U2882" s="29">
        <v>297325600</v>
      </c>
      <c r="V2882" t="s">
        <v>1262</v>
      </c>
      <c r="W2882" t="s">
        <v>1262</v>
      </c>
      <c r="X2882" s="29">
        <v>297325600</v>
      </c>
      <c r="AA2882" s="30">
        <v>46108.333333333336</v>
      </c>
      <c r="AB2882" s="30">
        <v>46126.708333333336</v>
      </c>
      <c r="AC2882" s="30">
        <v>46108.333333333336</v>
      </c>
      <c r="AD2882" s="30">
        <v>46126.708333333336</v>
      </c>
      <c r="AE2882" s="30">
        <v>46108.333333333336</v>
      </c>
      <c r="AF2882" s="30">
        <v>46126.708333333336</v>
      </c>
      <c r="AG2882" t="s">
        <v>1266</v>
      </c>
      <c r="AK2882" t="s">
        <v>1265</v>
      </c>
      <c r="AL2882" t="s">
        <v>1781</v>
      </c>
      <c r="AM2882" t="s">
        <v>1263</v>
      </c>
      <c r="AN2882" t="s">
        <v>1262</v>
      </c>
      <c r="AO2882">
        <v>0</v>
      </c>
      <c r="AQ2882" t="s">
        <v>1261</v>
      </c>
      <c r="AR2882" t="s">
        <v>1260</v>
      </c>
      <c r="AS2882" t="s">
        <v>1259</v>
      </c>
      <c r="AT2882" s="30">
        <v>46073.384027777778</v>
      </c>
    </row>
    <row r="2883" spans="1:46" x14ac:dyDescent="0.25">
      <c r="A2883" t="s">
        <v>1248</v>
      </c>
      <c r="B2883">
        <v>253320</v>
      </c>
      <c r="C2883">
        <v>119905</v>
      </c>
      <c r="D2883">
        <v>405</v>
      </c>
      <c r="E2883" t="s">
        <v>1266</v>
      </c>
      <c r="G2883">
        <v>745</v>
      </c>
      <c r="H2883">
        <v>1830</v>
      </c>
      <c r="K2883" t="s">
        <v>1742</v>
      </c>
      <c r="L2883" t="s">
        <v>1742</v>
      </c>
      <c r="M2883" s="29">
        <v>498333333</v>
      </c>
      <c r="N2883">
        <v>0</v>
      </c>
      <c r="O2883" s="29">
        <v>498333333</v>
      </c>
      <c r="P2883">
        <v>0</v>
      </c>
      <c r="Q2883">
        <v>0</v>
      </c>
      <c r="R2883">
        <v>0</v>
      </c>
      <c r="T2883" s="29">
        <v>621500</v>
      </c>
      <c r="U2883" s="29">
        <v>297325600</v>
      </c>
      <c r="V2883" t="s">
        <v>1262</v>
      </c>
      <c r="W2883" t="s">
        <v>1262</v>
      </c>
      <c r="X2883" s="29">
        <v>297325600</v>
      </c>
      <c r="AA2883" s="30">
        <v>46127.333333333336</v>
      </c>
      <c r="AB2883" s="30">
        <v>46142.708333333336</v>
      </c>
      <c r="AC2883" s="30">
        <v>46127.333333333336</v>
      </c>
      <c r="AD2883" s="30">
        <v>46142.708333333336</v>
      </c>
      <c r="AE2883" s="30">
        <v>46127.333333333336</v>
      </c>
      <c r="AF2883" s="30">
        <v>46142.708333333336</v>
      </c>
      <c r="AG2883" t="s">
        <v>1266</v>
      </c>
      <c r="AK2883" t="s">
        <v>1265</v>
      </c>
      <c r="AL2883" t="s">
        <v>1780</v>
      </c>
      <c r="AM2883" t="s">
        <v>1263</v>
      </c>
      <c r="AN2883" t="s">
        <v>1262</v>
      </c>
      <c r="AO2883">
        <v>0</v>
      </c>
      <c r="AQ2883" t="s">
        <v>1261</v>
      </c>
      <c r="AR2883" t="s">
        <v>1260</v>
      </c>
      <c r="AS2883" t="s">
        <v>1259</v>
      </c>
      <c r="AT2883" s="30">
        <v>46073.384027777778</v>
      </c>
    </row>
    <row r="2884" spans="1:46" x14ac:dyDescent="0.25">
      <c r="A2884" t="s">
        <v>1248</v>
      </c>
      <c r="B2884">
        <v>253321</v>
      </c>
      <c r="C2884">
        <v>119906</v>
      </c>
      <c r="D2884">
        <v>405</v>
      </c>
      <c r="E2884" t="s">
        <v>1266</v>
      </c>
      <c r="G2884">
        <v>745</v>
      </c>
      <c r="H2884">
        <v>1830</v>
      </c>
      <c r="K2884" t="s">
        <v>1742</v>
      </c>
      <c r="L2884" t="s">
        <v>1742</v>
      </c>
      <c r="M2884" s="29">
        <v>498333333</v>
      </c>
      <c r="N2884">
        <v>0</v>
      </c>
      <c r="O2884" s="29">
        <v>498333333</v>
      </c>
      <c r="P2884">
        <v>0</v>
      </c>
      <c r="Q2884">
        <v>0</v>
      </c>
      <c r="R2884">
        <v>0</v>
      </c>
      <c r="T2884" s="29">
        <v>621500</v>
      </c>
      <c r="U2884" s="29">
        <v>297325600</v>
      </c>
      <c r="V2884" t="s">
        <v>1262</v>
      </c>
      <c r="W2884" t="s">
        <v>1262</v>
      </c>
      <c r="X2884" s="29">
        <v>297325600</v>
      </c>
      <c r="AA2884" s="30">
        <v>46146.333333333336</v>
      </c>
      <c r="AB2884" s="30">
        <v>46161.708333333336</v>
      </c>
      <c r="AC2884" s="30">
        <v>46146.333333333336</v>
      </c>
      <c r="AD2884" s="30">
        <v>46161.708333333336</v>
      </c>
      <c r="AE2884" s="30">
        <v>46146.333333333336</v>
      </c>
      <c r="AF2884" s="30">
        <v>46161.708333333336</v>
      </c>
      <c r="AG2884" t="s">
        <v>1266</v>
      </c>
      <c r="AK2884" t="s">
        <v>1265</v>
      </c>
      <c r="AL2884" t="s">
        <v>1779</v>
      </c>
      <c r="AM2884" t="s">
        <v>1263</v>
      </c>
      <c r="AN2884" t="s">
        <v>1262</v>
      </c>
      <c r="AO2884">
        <v>0</v>
      </c>
      <c r="AQ2884" t="s">
        <v>1261</v>
      </c>
      <c r="AR2884" t="s">
        <v>1260</v>
      </c>
      <c r="AS2884" t="s">
        <v>1259</v>
      </c>
      <c r="AT2884" s="30">
        <v>46073.384027777778</v>
      </c>
    </row>
    <row r="2885" spans="1:46" x14ac:dyDescent="0.25">
      <c r="A2885" t="s">
        <v>1248</v>
      </c>
      <c r="B2885">
        <v>253322</v>
      </c>
      <c r="C2885">
        <v>119907</v>
      </c>
      <c r="D2885">
        <v>405</v>
      </c>
      <c r="E2885" t="s">
        <v>1266</v>
      </c>
      <c r="G2885">
        <v>745</v>
      </c>
      <c r="H2885">
        <v>1830</v>
      </c>
      <c r="K2885" t="s">
        <v>1742</v>
      </c>
      <c r="L2885" t="s">
        <v>1742</v>
      </c>
      <c r="M2885" s="29">
        <v>498333333</v>
      </c>
      <c r="N2885">
        <v>0</v>
      </c>
      <c r="O2885" s="29">
        <v>498333333</v>
      </c>
      <c r="P2885">
        <v>0</v>
      </c>
      <c r="Q2885">
        <v>0</v>
      </c>
      <c r="R2885">
        <v>0</v>
      </c>
      <c r="T2885" s="29">
        <v>621500</v>
      </c>
      <c r="U2885" s="29">
        <v>297325600</v>
      </c>
      <c r="V2885" t="s">
        <v>1262</v>
      </c>
      <c r="W2885" t="s">
        <v>1262</v>
      </c>
      <c r="X2885" s="29">
        <v>297325600</v>
      </c>
      <c r="AA2885" s="30">
        <v>46162.333333333336</v>
      </c>
      <c r="AB2885" s="30">
        <v>46178.708333333336</v>
      </c>
      <c r="AC2885" s="30">
        <v>46162.333333333336</v>
      </c>
      <c r="AD2885" s="30">
        <v>46178.708333333336</v>
      </c>
      <c r="AE2885" s="30">
        <v>46162.333333333336</v>
      </c>
      <c r="AF2885" s="30">
        <v>46178.708333333336</v>
      </c>
      <c r="AG2885" t="s">
        <v>1266</v>
      </c>
      <c r="AK2885" t="s">
        <v>1265</v>
      </c>
      <c r="AL2885" t="s">
        <v>1778</v>
      </c>
      <c r="AM2885" t="s">
        <v>1263</v>
      </c>
      <c r="AN2885" t="s">
        <v>1262</v>
      </c>
      <c r="AO2885">
        <v>0</v>
      </c>
      <c r="AQ2885" t="s">
        <v>1261</v>
      </c>
      <c r="AR2885" t="s">
        <v>1260</v>
      </c>
      <c r="AS2885" t="s">
        <v>1259</v>
      </c>
      <c r="AT2885" s="30">
        <v>46073.384027777778</v>
      </c>
    </row>
    <row r="2886" spans="1:46" x14ac:dyDescent="0.25">
      <c r="A2886" t="s">
        <v>1248</v>
      </c>
      <c r="B2886">
        <v>253323</v>
      </c>
      <c r="C2886">
        <v>119908</v>
      </c>
      <c r="D2886">
        <v>405</v>
      </c>
      <c r="E2886" t="s">
        <v>1266</v>
      </c>
      <c r="G2886">
        <v>745</v>
      </c>
      <c r="H2886">
        <v>1830</v>
      </c>
      <c r="K2886" t="s">
        <v>1742</v>
      </c>
      <c r="L2886" t="s">
        <v>1742</v>
      </c>
      <c r="M2886" s="29">
        <v>498333333</v>
      </c>
      <c r="N2886">
        <v>0</v>
      </c>
      <c r="O2886" s="29">
        <v>498333333</v>
      </c>
      <c r="P2886">
        <v>0</v>
      </c>
      <c r="Q2886">
        <v>0</v>
      </c>
      <c r="R2886">
        <v>0</v>
      </c>
      <c r="T2886" s="29">
        <v>621500</v>
      </c>
      <c r="U2886" s="29">
        <v>297325600</v>
      </c>
      <c r="V2886" t="s">
        <v>1262</v>
      </c>
      <c r="W2886" t="s">
        <v>1262</v>
      </c>
      <c r="X2886" s="29">
        <v>297325600</v>
      </c>
      <c r="AA2886" s="30">
        <v>46181.333333333336</v>
      </c>
      <c r="AB2886" s="30">
        <v>46196.708333333336</v>
      </c>
      <c r="AC2886" s="30">
        <v>46181.333333333336</v>
      </c>
      <c r="AD2886" s="30">
        <v>46196.708333333336</v>
      </c>
      <c r="AE2886" s="30">
        <v>46181.333333333336</v>
      </c>
      <c r="AF2886" s="30">
        <v>46196.708333333336</v>
      </c>
      <c r="AG2886" t="s">
        <v>1266</v>
      </c>
      <c r="AK2886" t="s">
        <v>1265</v>
      </c>
      <c r="AL2886" t="s">
        <v>1777</v>
      </c>
      <c r="AM2886" t="s">
        <v>1263</v>
      </c>
      <c r="AN2886" t="s">
        <v>1262</v>
      </c>
      <c r="AO2886">
        <v>0</v>
      </c>
      <c r="AQ2886" t="s">
        <v>1261</v>
      </c>
      <c r="AR2886" t="s">
        <v>1260</v>
      </c>
      <c r="AS2886" t="s">
        <v>1259</v>
      </c>
      <c r="AT2886" s="30">
        <v>46073.384027777778</v>
      </c>
    </row>
    <row r="2887" spans="1:46" x14ac:dyDescent="0.25">
      <c r="A2887" t="s">
        <v>1248</v>
      </c>
      <c r="B2887">
        <v>253324</v>
      </c>
      <c r="C2887">
        <v>119909</v>
      </c>
      <c r="D2887">
        <v>405</v>
      </c>
      <c r="E2887" t="s">
        <v>1266</v>
      </c>
      <c r="G2887">
        <v>745</v>
      </c>
      <c r="H2887">
        <v>1830</v>
      </c>
      <c r="K2887" t="s">
        <v>1742</v>
      </c>
      <c r="L2887" t="s">
        <v>1742</v>
      </c>
      <c r="M2887" s="29">
        <v>498333333</v>
      </c>
      <c r="N2887">
        <v>0</v>
      </c>
      <c r="O2887" s="29">
        <v>498333333</v>
      </c>
      <c r="P2887">
        <v>0</v>
      </c>
      <c r="Q2887">
        <v>0</v>
      </c>
      <c r="R2887">
        <v>0</v>
      </c>
      <c r="T2887" s="29">
        <v>621500</v>
      </c>
      <c r="U2887" s="29">
        <v>297325600</v>
      </c>
      <c r="V2887" t="s">
        <v>1262</v>
      </c>
      <c r="W2887" t="s">
        <v>1262</v>
      </c>
      <c r="X2887" s="29">
        <v>297325600</v>
      </c>
      <c r="AA2887" s="30">
        <v>46197.333333333336</v>
      </c>
      <c r="AB2887" s="30">
        <v>46212.708333333336</v>
      </c>
      <c r="AC2887" s="30">
        <v>46197.333333333336</v>
      </c>
      <c r="AD2887" s="30">
        <v>46212.708333333336</v>
      </c>
      <c r="AE2887" s="30">
        <v>46197.333333333336</v>
      </c>
      <c r="AF2887" s="30">
        <v>46212.708333333336</v>
      </c>
      <c r="AG2887" t="s">
        <v>1266</v>
      </c>
      <c r="AK2887" t="s">
        <v>1265</v>
      </c>
      <c r="AL2887" t="s">
        <v>1776</v>
      </c>
      <c r="AM2887" t="s">
        <v>1263</v>
      </c>
      <c r="AN2887" t="s">
        <v>1262</v>
      </c>
      <c r="AO2887">
        <v>0</v>
      </c>
      <c r="AQ2887" t="s">
        <v>1261</v>
      </c>
      <c r="AR2887" t="s">
        <v>1260</v>
      </c>
      <c r="AS2887" t="s">
        <v>1259</v>
      </c>
      <c r="AT2887" s="30">
        <v>46073.384027777778</v>
      </c>
    </row>
    <row r="2888" spans="1:46" x14ac:dyDescent="0.25">
      <c r="A2888" t="s">
        <v>1248</v>
      </c>
      <c r="B2888">
        <v>253325</v>
      </c>
      <c r="C2888">
        <v>119910</v>
      </c>
      <c r="D2888">
        <v>405</v>
      </c>
      <c r="E2888" t="s">
        <v>1266</v>
      </c>
      <c r="G2888">
        <v>745</v>
      </c>
      <c r="H2888">
        <v>1830</v>
      </c>
      <c r="K2888" t="s">
        <v>1742</v>
      </c>
      <c r="L2888" t="s">
        <v>1742</v>
      </c>
      <c r="M2888" s="29">
        <v>498333333</v>
      </c>
      <c r="N2888">
        <v>0</v>
      </c>
      <c r="O2888" s="29">
        <v>498333333</v>
      </c>
      <c r="P2888">
        <v>0</v>
      </c>
      <c r="Q2888">
        <v>0</v>
      </c>
      <c r="R2888">
        <v>0</v>
      </c>
      <c r="T2888" s="29">
        <v>621500</v>
      </c>
      <c r="U2888" s="29">
        <v>297325600</v>
      </c>
      <c r="V2888" t="s">
        <v>1262</v>
      </c>
      <c r="W2888" t="s">
        <v>1262</v>
      </c>
      <c r="X2888" s="29">
        <v>297325600</v>
      </c>
      <c r="AA2888" s="30">
        <v>46213.333333333336</v>
      </c>
      <c r="AB2888" s="30">
        <v>46230.708333333336</v>
      </c>
      <c r="AC2888" s="30">
        <v>46213.333333333336</v>
      </c>
      <c r="AD2888" s="30">
        <v>46230.708333333336</v>
      </c>
      <c r="AE2888" s="30">
        <v>46213.333333333336</v>
      </c>
      <c r="AF2888" s="30">
        <v>46230.708333333336</v>
      </c>
      <c r="AG2888" t="s">
        <v>1266</v>
      </c>
      <c r="AK2888" t="s">
        <v>1265</v>
      </c>
      <c r="AL2888" t="s">
        <v>1775</v>
      </c>
      <c r="AM2888" t="s">
        <v>1263</v>
      </c>
      <c r="AN2888" t="s">
        <v>1262</v>
      </c>
      <c r="AO2888">
        <v>0</v>
      </c>
      <c r="AQ2888" t="s">
        <v>1261</v>
      </c>
      <c r="AR2888" t="s">
        <v>1260</v>
      </c>
      <c r="AS2888" t="s">
        <v>1259</v>
      </c>
      <c r="AT2888" s="30">
        <v>46073.384027777778</v>
      </c>
    </row>
    <row r="2889" spans="1:46" x14ac:dyDescent="0.25">
      <c r="A2889" t="s">
        <v>1248</v>
      </c>
      <c r="B2889">
        <v>253326</v>
      </c>
      <c r="C2889">
        <v>119911</v>
      </c>
      <c r="D2889">
        <v>405</v>
      </c>
      <c r="E2889" t="s">
        <v>1266</v>
      </c>
      <c r="G2889">
        <v>745</v>
      </c>
      <c r="H2889">
        <v>1830</v>
      </c>
      <c r="K2889" t="s">
        <v>1742</v>
      </c>
      <c r="L2889" t="s">
        <v>1742</v>
      </c>
      <c r="M2889" s="29">
        <v>498333333</v>
      </c>
      <c r="N2889">
        <v>0</v>
      </c>
      <c r="O2889" s="29">
        <v>498333333</v>
      </c>
      <c r="P2889">
        <v>0</v>
      </c>
      <c r="Q2889">
        <v>0</v>
      </c>
      <c r="R2889">
        <v>0</v>
      </c>
      <c r="T2889" s="29">
        <v>621500</v>
      </c>
      <c r="U2889" s="29">
        <v>297325600</v>
      </c>
      <c r="V2889" t="s">
        <v>1262</v>
      </c>
      <c r="W2889" t="s">
        <v>1262</v>
      </c>
      <c r="X2889" s="29">
        <v>297325600</v>
      </c>
      <c r="AA2889" s="30">
        <v>46231.333333333336</v>
      </c>
      <c r="AB2889" s="30">
        <v>46246.708333333336</v>
      </c>
      <c r="AC2889" s="30">
        <v>46231.333333333336</v>
      </c>
      <c r="AD2889" s="30">
        <v>46246.708333333336</v>
      </c>
      <c r="AE2889" s="30">
        <v>46231.333333333336</v>
      </c>
      <c r="AF2889" s="30">
        <v>46246.708333333336</v>
      </c>
      <c r="AG2889" t="s">
        <v>1266</v>
      </c>
      <c r="AK2889" t="s">
        <v>1265</v>
      </c>
      <c r="AL2889" t="s">
        <v>1774</v>
      </c>
      <c r="AM2889" t="s">
        <v>1263</v>
      </c>
      <c r="AN2889" t="s">
        <v>1262</v>
      </c>
      <c r="AO2889">
        <v>0</v>
      </c>
      <c r="AQ2889" t="s">
        <v>1261</v>
      </c>
      <c r="AR2889" t="s">
        <v>1260</v>
      </c>
      <c r="AS2889" t="s">
        <v>1259</v>
      </c>
      <c r="AT2889" s="30">
        <v>46073.384027777778</v>
      </c>
    </row>
    <row r="2890" spans="1:46" x14ac:dyDescent="0.25">
      <c r="A2890" t="s">
        <v>1248</v>
      </c>
      <c r="B2890">
        <v>253327</v>
      </c>
      <c r="C2890">
        <v>119912</v>
      </c>
      <c r="D2890">
        <v>405</v>
      </c>
      <c r="E2890" t="s">
        <v>1266</v>
      </c>
      <c r="G2890">
        <v>745</v>
      </c>
      <c r="H2890">
        <v>1830</v>
      </c>
      <c r="K2890" t="s">
        <v>1742</v>
      </c>
      <c r="L2890" t="s">
        <v>1742</v>
      </c>
      <c r="M2890" s="29">
        <v>498333333</v>
      </c>
      <c r="N2890">
        <v>0</v>
      </c>
      <c r="O2890" s="29">
        <v>498333333</v>
      </c>
      <c r="P2890">
        <v>0</v>
      </c>
      <c r="Q2890">
        <v>0</v>
      </c>
      <c r="R2890">
        <v>0</v>
      </c>
      <c r="T2890" s="29">
        <v>621500</v>
      </c>
      <c r="U2890" s="29">
        <v>297325600</v>
      </c>
      <c r="V2890" t="s">
        <v>1262</v>
      </c>
      <c r="W2890" t="s">
        <v>1262</v>
      </c>
      <c r="X2890" s="29">
        <v>297325600</v>
      </c>
      <c r="AA2890" s="30">
        <v>46247.333333333336</v>
      </c>
      <c r="AB2890" s="30">
        <v>46262.708333333336</v>
      </c>
      <c r="AC2890" s="30">
        <v>46247.333333333336</v>
      </c>
      <c r="AD2890" s="30">
        <v>46262.708333333336</v>
      </c>
      <c r="AE2890" s="30">
        <v>46247.333333333336</v>
      </c>
      <c r="AF2890" s="30">
        <v>46262.708333333336</v>
      </c>
      <c r="AG2890" t="s">
        <v>1266</v>
      </c>
      <c r="AK2890" t="s">
        <v>1265</v>
      </c>
      <c r="AL2890" t="s">
        <v>1773</v>
      </c>
      <c r="AM2890" t="s">
        <v>1263</v>
      </c>
      <c r="AN2890" t="s">
        <v>1262</v>
      </c>
      <c r="AO2890">
        <v>0</v>
      </c>
      <c r="AQ2890" t="s">
        <v>1261</v>
      </c>
      <c r="AR2890" t="s">
        <v>1260</v>
      </c>
      <c r="AS2890" t="s">
        <v>1259</v>
      </c>
      <c r="AT2890" s="30">
        <v>46073.384027777778</v>
      </c>
    </row>
    <row r="2891" spans="1:46" x14ac:dyDescent="0.25">
      <c r="A2891" t="s">
        <v>1248</v>
      </c>
      <c r="B2891">
        <v>253328</v>
      </c>
      <c r="C2891">
        <v>119913</v>
      </c>
      <c r="D2891">
        <v>405</v>
      </c>
      <c r="E2891" t="s">
        <v>1266</v>
      </c>
      <c r="G2891">
        <v>745</v>
      </c>
      <c r="H2891">
        <v>1830</v>
      </c>
      <c r="K2891" t="s">
        <v>1742</v>
      </c>
      <c r="L2891" t="s">
        <v>1742</v>
      </c>
      <c r="M2891" s="29">
        <v>498333333</v>
      </c>
      <c r="N2891">
        <v>0</v>
      </c>
      <c r="O2891" s="29">
        <v>498333333</v>
      </c>
      <c r="P2891">
        <v>0</v>
      </c>
      <c r="Q2891">
        <v>0</v>
      </c>
      <c r="R2891">
        <v>0</v>
      </c>
      <c r="T2891" s="29">
        <v>621500</v>
      </c>
      <c r="U2891" s="29">
        <v>297325600</v>
      </c>
      <c r="V2891" t="s">
        <v>1262</v>
      </c>
      <c r="W2891" t="s">
        <v>1262</v>
      </c>
      <c r="X2891" s="29">
        <v>297325600</v>
      </c>
      <c r="AA2891" s="30">
        <v>46265.333333333336</v>
      </c>
      <c r="AB2891" s="30">
        <v>46280.708333333336</v>
      </c>
      <c r="AC2891" s="30">
        <v>46265.333333333336</v>
      </c>
      <c r="AD2891" s="30">
        <v>46280.708333333336</v>
      </c>
      <c r="AE2891" s="30">
        <v>46265.333333333336</v>
      </c>
      <c r="AF2891" s="30">
        <v>46280.708333333336</v>
      </c>
      <c r="AG2891" t="s">
        <v>1266</v>
      </c>
      <c r="AK2891" t="s">
        <v>1265</v>
      </c>
      <c r="AL2891" t="s">
        <v>1772</v>
      </c>
      <c r="AM2891" t="s">
        <v>1263</v>
      </c>
      <c r="AN2891" t="s">
        <v>1262</v>
      </c>
      <c r="AO2891">
        <v>0</v>
      </c>
      <c r="AQ2891" t="s">
        <v>1261</v>
      </c>
      <c r="AR2891" t="s">
        <v>1260</v>
      </c>
      <c r="AS2891" t="s">
        <v>1259</v>
      </c>
      <c r="AT2891" s="30">
        <v>46073.384027777778</v>
      </c>
    </row>
    <row r="2892" spans="1:46" x14ac:dyDescent="0.25">
      <c r="A2892" t="s">
        <v>1248</v>
      </c>
      <c r="B2892">
        <v>253329</v>
      </c>
      <c r="C2892">
        <v>119914</v>
      </c>
      <c r="D2892">
        <v>405</v>
      </c>
      <c r="E2892" t="s">
        <v>1266</v>
      </c>
      <c r="G2892">
        <v>745</v>
      </c>
      <c r="H2892">
        <v>1830</v>
      </c>
      <c r="K2892" t="s">
        <v>1742</v>
      </c>
      <c r="L2892" t="s">
        <v>1742</v>
      </c>
      <c r="M2892" s="29">
        <v>498333333</v>
      </c>
      <c r="N2892">
        <v>0</v>
      </c>
      <c r="O2892" s="29">
        <v>498333333</v>
      </c>
      <c r="P2892">
        <v>0</v>
      </c>
      <c r="Q2892">
        <v>0</v>
      </c>
      <c r="R2892">
        <v>0</v>
      </c>
      <c r="T2892" s="29">
        <v>621500</v>
      </c>
      <c r="U2892" s="29">
        <v>297325600</v>
      </c>
      <c r="V2892" t="s">
        <v>1262</v>
      </c>
      <c r="W2892" t="s">
        <v>1262</v>
      </c>
      <c r="X2892" s="29">
        <v>297325600</v>
      </c>
      <c r="AA2892" s="30">
        <v>46281.333333333336</v>
      </c>
      <c r="AB2892" s="30">
        <v>46296.708333333336</v>
      </c>
      <c r="AC2892" s="30">
        <v>46281.333333333336</v>
      </c>
      <c r="AD2892" s="30">
        <v>46296.708333333336</v>
      </c>
      <c r="AE2892" s="30">
        <v>46281.333333333336</v>
      </c>
      <c r="AF2892" s="30">
        <v>46296.708333333336</v>
      </c>
      <c r="AG2892" t="s">
        <v>1266</v>
      </c>
      <c r="AK2892" t="s">
        <v>1265</v>
      </c>
      <c r="AL2892" t="s">
        <v>1771</v>
      </c>
      <c r="AM2892" t="s">
        <v>1263</v>
      </c>
      <c r="AN2892" t="s">
        <v>1262</v>
      </c>
      <c r="AO2892">
        <v>0</v>
      </c>
      <c r="AQ2892" t="s">
        <v>1261</v>
      </c>
      <c r="AR2892" t="s">
        <v>1260</v>
      </c>
      <c r="AS2892" t="s">
        <v>1259</v>
      </c>
      <c r="AT2892" s="30">
        <v>46073.384027777778</v>
      </c>
    </row>
    <row r="2893" spans="1:46" x14ac:dyDescent="0.25">
      <c r="A2893" t="s">
        <v>1248</v>
      </c>
      <c r="B2893">
        <v>253330</v>
      </c>
      <c r="C2893">
        <v>119915</v>
      </c>
      <c r="D2893">
        <v>405</v>
      </c>
      <c r="E2893" t="s">
        <v>1266</v>
      </c>
      <c r="G2893">
        <v>745</v>
      </c>
      <c r="H2893">
        <v>1830</v>
      </c>
      <c r="K2893" t="s">
        <v>1742</v>
      </c>
      <c r="L2893" t="s">
        <v>1742</v>
      </c>
      <c r="M2893" s="29">
        <v>498333333</v>
      </c>
      <c r="N2893">
        <v>0</v>
      </c>
      <c r="O2893" s="29">
        <v>498333333</v>
      </c>
      <c r="P2893">
        <v>0</v>
      </c>
      <c r="Q2893">
        <v>0</v>
      </c>
      <c r="R2893">
        <v>0</v>
      </c>
      <c r="T2893" s="29">
        <v>621500</v>
      </c>
      <c r="U2893" s="29">
        <v>297325600</v>
      </c>
      <c r="V2893" t="s">
        <v>1262</v>
      </c>
      <c r="W2893" t="s">
        <v>1262</v>
      </c>
      <c r="X2893" s="29">
        <v>297325600</v>
      </c>
      <c r="AA2893" s="30">
        <v>46297.333333333336</v>
      </c>
      <c r="AB2893" s="30">
        <v>46314.708333333336</v>
      </c>
      <c r="AC2893" s="30">
        <v>46297.333333333336</v>
      </c>
      <c r="AD2893" s="30">
        <v>46314.708333333336</v>
      </c>
      <c r="AE2893" s="30">
        <v>46297.333333333336</v>
      </c>
      <c r="AF2893" s="30">
        <v>46314.708333333336</v>
      </c>
      <c r="AG2893" t="s">
        <v>1266</v>
      </c>
      <c r="AK2893" t="s">
        <v>1265</v>
      </c>
      <c r="AL2893" t="s">
        <v>1770</v>
      </c>
      <c r="AM2893" t="s">
        <v>1263</v>
      </c>
      <c r="AN2893" t="s">
        <v>1262</v>
      </c>
      <c r="AO2893">
        <v>0</v>
      </c>
      <c r="AQ2893" t="s">
        <v>1261</v>
      </c>
      <c r="AR2893" t="s">
        <v>1260</v>
      </c>
      <c r="AS2893" t="s">
        <v>1259</v>
      </c>
      <c r="AT2893" s="30">
        <v>46073.384027777778</v>
      </c>
    </row>
    <row r="2894" spans="1:46" x14ac:dyDescent="0.25">
      <c r="A2894" t="s">
        <v>1248</v>
      </c>
      <c r="B2894">
        <v>253331</v>
      </c>
      <c r="C2894">
        <v>119916</v>
      </c>
      <c r="D2894">
        <v>405</v>
      </c>
      <c r="E2894" t="s">
        <v>1266</v>
      </c>
      <c r="G2894">
        <v>745</v>
      </c>
      <c r="H2894">
        <v>1830</v>
      </c>
      <c r="K2894" t="s">
        <v>1742</v>
      </c>
      <c r="L2894" t="s">
        <v>1742</v>
      </c>
      <c r="M2894" s="29">
        <v>498333333</v>
      </c>
      <c r="N2894">
        <v>0</v>
      </c>
      <c r="O2894" s="29">
        <v>498333333</v>
      </c>
      <c r="P2894">
        <v>0</v>
      </c>
      <c r="Q2894">
        <v>0</v>
      </c>
      <c r="R2894">
        <v>0</v>
      </c>
      <c r="T2894" s="29">
        <v>621500</v>
      </c>
      <c r="U2894" s="29">
        <v>297325600</v>
      </c>
      <c r="V2894" t="s">
        <v>1262</v>
      </c>
      <c r="W2894" t="s">
        <v>1262</v>
      </c>
      <c r="X2894" s="29">
        <v>297325600</v>
      </c>
      <c r="AA2894" s="30">
        <v>46315.333333333336</v>
      </c>
      <c r="AB2894" s="30">
        <v>46330.708333333336</v>
      </c>
      <c r="AC2894" s="30">
        <v>46315.333333333336</v>
      </c>
      <c r="AD2894" s="30">
        <v>46330.708333333336</v>
      </c>
      <c r="AE2894" s="30">
        <v>46315.333333333336</v>
      </c>
      <c r="AF2894" s="30">
        <v>46330.708333333336</v>
      </c>
      <c r="AG2894" t="s">
        <v>1266</v>
      </c>
      <c r="AK2894" t="s">
        <v>1265</v>
      </c>
      <c r="AL2894" t="s">
        <v>1769</v>
      </c>
      <c r="AM2894" t="s">
        <v>1263</v>
      </c>
      <c r="AN2894" t="s">
        <v>1262</v>
      </c>
      <c r="AO2894">
        <v>0</v>
      </c>
      <c r="AQ2894" t="s">
        <v>1261</v>
      </c>
      <c r="AR2894" t="s">
        <v>1260</v>
      </c>
      <c r="AS2894" t="s">
        <v>1259</v>
      </c>
      <c r="AT2894" s="30">
        <v>46073.384027777778</v>
      </c>
    </row>
    <row r="2895" spans="1:46" x14ac:dyDescent="0.25">
      <c r="A2895" t="s">
        <v>1248</v>
      </c>
      <c r="B2895">
        <v>253332</v>
      </c>
      <c r="C2895">
        <v>119917</v>
      </c>
      <c r="D2895">
        <v>405</v>
      </c>
      <c r="E2895" t="s">
        <v>1266</v>
      </c>
      <c r="G2895">
        <v>745</v>
      </c>
      <c r="H2895">
        <v>1830</v>
      </c>
      <c r="K2895" t="s">
        <v>1742</v>
      </c>
      <c r="L2895" t="s">
        <v>1742</v>
      </c>
      <c r="M2895" s="29">
        <v>498333333</v>
      </c>
      <c r="N2895">
        <v>0</v>
      </c>
      <c r="O2895" s="29">
        <v>498333333</v>
      </c>
      <c r="P2895">
        <v>0</v>
      </c>
      <c r="Q2895">
        <v>0</v>
      </c>
      <c r="R2895">
        <v>0</v>
      </c>
      <c r="T2895" s="29">
        <v>621500</v>
      </c>
      <c r="U2895" s="29">
        <v>297325600</v>
      </c>
      <c r="V2895" t="s">
        <v>1262</v>
      </c>
      <c r="W2895" t="s">
        <v>1262</v>
      </c>
      <c r="X2895" s="29">
        <v>297325600</v>
      </c>
      <c r="AA2895" s="30">
        <v>46331.333333333336</v>
      </c>
      <c r="AB2895" s="30">
        <v>46346.708333333336</v>
      </c>
      <c r="AC2895" s="30">
        <v>46331.333333333336</v>
      </c>
      <c r="AD2895" s="30">
        <v>46346.708333333336</v>
      </c>
      <c r="AE2895" s="30">
        <v>46331.333333333336</v>
      </c>
      <c r="AF2895" s="30">
        <v>46346.708333333336</v>
      </c>
      <c r="AG2895" t="s">
        <v>1266</v>
      </c>
      <c r="AK2895" t="s">
        <v>1265</v>
      </c>
      <c r="AL2895" t="s">
        <v>1768</v>
      </c>
      <c r="AM2895" t="s">
        <v>1263</v>
      </c>
      <c r="AN2895" t="s">
        <v>1262</v>
      </c>
      <c r="AO2895">
        <v>0</v>
      </c>
      <c r="AQ2895" t="s">
        <v>1261</v>
      </c>
      <c r="AR2895" t="s">
        <v>1260</v>
      </c>
      <c r="AS2895" t="s">
        <v>1259</v>
      </c>
      <c r="AT2895" s="30">
        <v>46073.384027777778</v>
      </c>
    </row>
    <row r="2896" spans="1:46" x14ac:dyDescent="0.25">
      <c r="A2896" t="s">
        <v>1248</v>
      </c>
      <c r="B2896">
        <v>253333</v>
      </c>
      <c r="C2896">
        <v>119918</v>
      </c>
      <c r="D2896">
        <v>405</v>
      </c>
      <c r="E2896" t="s">
        <v>1266</v>
      </c>
      <c r="G2896">
        <v>745</v>
      </c>
      <c r="H2896">
        <v>1830</v>
      </c>
      <c r="K2896" t="s">
        <v>1742</v>
      </c>
      <c r="L2896" t="s">
        <v>1742</v>
      </c>
      <c r="M2896" s="29">
        <v>498333333</v>
      </c>
      <c r="N2896">
        <v>0</v>
      </c>
      <c r="O2896" s="29">
        <v>498333333</v>
      </c>
      <c r="P2896">
        <v>0</v>
      </c>
      <c r="Q2896">
        <v>0</v>
      </c>
      <c r="R2896">
        <v>0</v>
      </c>
      <c r="T2896" s="29">
        <v>621500</v>
      </c>
      <c r="U2896" s="29">
        <v>297325600</v>
      </c>
      <c r="V2896" t="s">
        <v>1262</v>
      </c>
      <c r="W2896" t="s">
        <v>1262</v>
      </c>
      <c r="X2896" s="29">
        <v>297325600</v>
      </c>
      <c r="AA2896" s="30">
        <v>46349.333333333336</v>
      </c>
      <c r="AB2896" s="30">
        <v>46365.708333333336</v>
      </c>
      <c r="AC2896" s="30">
        <v>46349.333333333336</v>
      </c>
      <c r="AD2896" s="30">
        <v>46365.708333333336</v>
      </c>
      <c r="AE2896" s="30">
        <v>46349.333333333336</v>
      </c>
      <c r="AF2896" s="30">
        <v>46365.708333333336</v>
      </c>
      <c r="AG2896" t="s">
        <v>1266</v>
      </c>
      <c r="AK2896" t="s">
        <v>1265</v>
      </c>
      <c r="AL2896" t="s">
        <v>1767</v>
      </c>
      <c r="AM2896" t="s">
        <v>1263</v>
      </c>
      <c r="AN2896" t="s">
        <v>1262</v>
      </c>
      <c r="AO2896">
        <v>0</v>
      </c>
      <c r="AQ2896" t="s">
        <v>1261</v>
      </c>
      <c r="AR2896" t="s">
        <v>1260</v>
      </c>
      <c r="AS2896" t="s">
        <v>1259</v>
      </c>
      <c r="AT2896" s="30">
        <v>46073.384027777778</v>
      </c>
    </row>
    <row r="2897" spans="1:46" x14ac:dyDescent="0.25">
      <c r="A2897" t="s">
        <v>1248</v>
      </c>
      <c r="B2897">
        <v>253334</v>
      </c>
      <c r="C2897">
        <v>119919</v>
      </c>
      <c r="D2897">
        <v>405</v>
      </c>
      <c r="E2897" t="s">
        <v>1266</v>
      </c>
      <c r="G2897">
        <v>745</v>
      </c>
      <c r="H2897">
        <v>1830</v>
      </c>
      <c r="K2897" t="s">
        <v>1742</v>
      </c>
      <c r="L2897" t="s">
        <v>1742</v>
      </c>
      <c r="M2897" s="29">
        <v>498333333</v>
      </c>
      <c r="N2897">
        <v>0</v>
      </c>
      <c r="O2897" s="29">
        <v>498333333</v>
      </c>
      <c r="P2897">
        <v>0</v>
      </c>
      <c r="Q2897">
        <v>0</v>
      </c>
      <c r="R2897">
        <v>0</v>
      </c>
      <c r="T2897" s="29">
        <v>621500</v>
      </c>
      <c r="U2897" s="29">
        <v>297325600</v>
      </c>
      <c r="V2897" t="s">
        <v>1262</v>
      </c>
      <c r="W2897" t="s">
        <v>1262</v>
      </c>
      <c r="X2897" s="29">
        <v>297325600</v>
      </c>
      <c r="AA2897" s="30">
        <v>46366.333333333336</v>
      </c>
      <c r="AB2897" s="30">
        <v>46384.708333333336</v>
      </c>
      <c r="AC2897" s="30">
        <v>46366.333333333336</v>
      </c>
      <c r="AD2897" s="30">
        <v>46384.708333333336</v>
      </c>
      <c r="AE2897" s="30">
        <v>46366.333333333336</v>
      </c>
      <c r="AF2897" s="30">
        <v>46384.708333333336</v>
      </c>
      <c r="AG2897" t="s">
        <v>1266</v>
      </c>
      <c r="AK2897" t="s">
        <v>1265</v>
      </c>
      <c r="AL2897" t="s">
        <v>1766</v>
      </c>
      <c r="AM2897" t="s">
        <v>1263</v>
      </c>
      <c r="AN2897" t="s">
        <v>1262</v>
      </c>
      <c r="AO2897">
        <v>0</v>
      </c>
      <c r="AQ2897" t="s">
        <v>1261</v>
      </c>
      <c r="AR2897" t="s">
        <v>1260</v>
      </c>
      <c r="AS2897" t="s">
        <v>1259</v>
      </c>
      <c r="AT2897" s="30">
        <v>46073.384027777778</v>
      </c>
    </row>
    <row r="2898" spans="1:46" x14ac:dyDescent="0.25">
      <c r="A2898" t="s">
        <v>1248</v>
      </c>
      <c r="B2898">
        <v>253335</v>
      </c>
      <c r="C2898">
        <v>119920</v>
      </c>
      <c r="D2898">
        <v>405</v>
      </c>
      <c r="E2898" t="s">
        <v>1266</v>
      </c>
      <c r="G2898">
        <v>745</v>
      </c>
      <c r="H2898">
        <v>1830</v>
      </c>
      <c r="K2898" t="s">
        <v>1742</v>
      </c>
      <c r="L2898" t="s">
        <v>1742</v>
      </c>
      <c r="M2898" s="29">
        <v>498333333</v>
      </c>
      <c r="N2898">
        <v>0</v>
      </c>
      <c r="O2898" s="29">
        <v>498333333</v>
      </c>
      <c r="P2898">
        <v>0</v>
      </c>
      <c r="Q2898">
        <v>0</v>
      </c>
      <c r="R2898">
        <v>0</v>
      </c>
      <c r="T2898" s="29">
        <v>621500</v>
      </c>
      <c r="U2898" s="29">
        <v>297325600</v>
      </c>
      <c r="V2898" t="s">
        <v>1262</v>
      </c>
      <c r="W2898" t="s">
        <v>1262</v>
      </c>
      <c r="X2898" s="29">
        <v>297325600</v>
      </c>
      <c r="AA2898" s="30">
        <v>46385.333333333336</v>
      </c>
      <c r="AB2898" s="30">
        <v>46402.708333333336</v>
      </c>
      <c r="AC2898" s="30">
        <v>46385.333333333336</v>
      </c>
      <c r="AD2898" s="30">
        <v>46402.708333333336</v>
      </c>
      <c r="AE2898" s="30">
        <v>46385.333333333336</v>
      </c>
      <c r="AF2898" s="30">
        <v>46402.708333333336</v>
      </c>
      <c r="AG2898" t="s">
        <v>1266</v>
      </c>
      <c r="AK2898" t="s">
        <v>1265</v>
      </c>
      <c r="AL2898" t="s">
        <v>1765</v>
      </c>
      <c r="AM2898" t="s">
        <v>1263</v>
      </c>
      <c r="AN2898" t="s">
        <v>1262</v>
      </c>
      <c r="AO2898">
        <v>0</v>
      </c>
      <c r="AQ2898" t="s">
        <v>1261</v>
      </c>
      <c r="AR2898" t="s">
        <v>1260</v>
      </c>
      <c r="AS2898" t="s">
        <v>1259</v>
      </c>
      <c r="AT2898" s="30">
        <v>46073.384027777778</v>
      </c>
    </row>
    <row r="2899" spans="1:46" x14ac:dyDescent="0.25">
      <c r="A2899" t="s">
        <v>1248</v>
      </c>
      <c r="B2899">
        <v>253336</v>
      </c>
      <c r="C2899">
        <v>119921</v>
      </c>
      <c r="D2899">
        <v>405</v>
      </c>
      <c r="E2899" t="s">
        <v>1266</v>
      </c>
      <c r="G2899">
        <v>745</v>
      </c>
      <c r="H2899">
        <v>1830</v>
      </c>
      <c r="K2899" t="s">
        <v>1742</v>
      </c>
      <c r="L2899" t="s">
        <v>1742</v>
      </c>
      <c r="M2899" s="29">
        <v>498333333</v>
      </c>
      <c r="N2899">
        <v>0</v>
      </c>
      <c r="O2899" s="29">
        <v>498333333</v>
      </c>
      <c r="P2899">
        <v>0</v>
      </c>
      <c r="Q2899">
        <v>0</v>
      </c>
      <c r="R2899">
        <v>0</v>
      </c>
      <c r="T2899" s="29">
        <v>621500</v>
      </c>
      <c r="U2899" s="29">
        <v>297325600</v>
      </c>
      <c r="V2899" t="s">
        <v>1262</v>
      </c>
      <c r="W2899" t="s">
        <v>1262</v>
      </c>
      <c r="X2899" s="29">
        <v>297325600</v>
      </c>
      <c r="AA2899" s="30">
        <v>46405.333333333336</v>
      </c>
      <c r="AB2899" s="30">
        <v>46420.708333333336</v>
      </c>
      <c r="AC2899" s="30">
        <v>46405.333333333336</v>
      </c>
      <c r="AD2899" s="30">
        <v>46420.708333333336</v>
      </c>
      <c r="AE2899" s="30">
        <v>46405.333333333336</v>
      </c>
      <c r="AF2899" s="30">
        <v>46420.708333333336</v>
      </c>
      <c r="AG2899" t="s">
        <v>1266</v>
      </c>
      <c r="AK2899" t="s">
        <v>1265</v>
      </c>
      <c r="AL2899" t="s">
        <v>1764</v>
      </c>
      <c r="AM2899" t="s">
        <v>1263</v>
      </c>
      <c r="AN2899" t="s">
        <v>1262</v>
      </c>
      <c r="AO2899">
        <v>0</v>
      </c>
      <c r="AQ2899" t="s">
        <v>1261</v>
      </c>
      <c r="AR2899" t="s">
        <v>1260</v>
      </c>
      <c r="AS2899" t="s">
        <v>1259</v>
      </c>
      <c r="AT2899" s="30">
        <v>46073.384027777778</v>
      </c>
    </row>
    <row r="2900" spans="1:46" x14ac:dyDescent="0.25">
      <c r="A2900" t="s">
        <v>1248</v>
      </c>
      <c r="B2900">
        <v>253337</v>
      </c>
      <c r="C2900">
        <v>119922</v>
      </c>
      <c r="D2900">
        <v>405</v>
      </c>
      <c r="E2900" t="s">
        <v>1266</v>
      </c>
      <c r="G2900">
        <v>745</v>
      </c>
      <c r="H2900">
        <v>1830</v>
      </c>
      <c r="K2900" t="s">
        <v>1742</v>
      </c>
      <c r="L2900" t="s">
        <v>1742</v>
      </c>
      <c r="M2900" s="29">
        <v>498333333</v>
      </c>
      <c r="N2900">
        <v>0</v>
      </c>
      <c r="O2900" s="29">
        <v>498333333</v>
      </c>
      <c r="P2900">
        <v>0</v>
      </c>
      <c r="Q2900">
        <v>0</v>
      </c>
      <c r="R2900">
        <v>0</v>
      </c>
      <c r="T2900" s="29">
        <v>621500</v>
      </c>
      <c r="U2900" s="29">
        <v>297325600</v>
      </c>
      <c r="V2900" t="s">
        <v>1262</v>
      </c>
      <c r="W2900" t="s">
        <v>1262</v>
      </c>
      <c r="X2900" s="29">
        <v>297325600</v>
      </c>
      <c r="AA2900" s="30">
        <v>46421.333333333336</v>
      </c>
      <c r="AB2900" s="30">
        <v>46436.708333333336</v>
      </c>
      <c r="AC2900" s="30">
        <v>46421.333333333336</v>
      </c>
      <c r="AD2900" s="30">
        <v>46436.708333333336</v>
      </c>
      <c r="AE2900" s="30">
        <v>46421.333333333336</v>
      </c>
      <c r="AF2900" s="30">
        <v>46436.708333333336</v>
      </c>
      <c r="AG2900" t="s">
        <v>1266</v>
      </c>
      <c r="AK2900" t="s">
        <v>1265</v>
      </c>
      <c r="AL2900" t="s">
        <v>1763</v>
      </c>
      <c r="AM2900" t="s">
        <v>1263</v>
      </c>
      <c r="AN2900" t="s">
        <v>1262</v>
      </c>
      <c r="AO2900">
        <v>0</v>
      </c>
      <c r="AQ2900" t="s">
        <v>1261</v>
      </c>
      <c r="AR2900" t="s">
        <v>1260</v>
      </c>
      <c r="AS2900" t="s">
        <v>1259</v>
      </c>
      <c r="AT2900" s="30">
        <v>46073.384027777778</v>
      </c>
    </row>
    <row r="2901" spans="1:46" x14ac:dyDescent="0.25">
      <c r="A2901" t="s">
        <v>1248</v>
      </c>
      <c r="B2901">
        <v>253338</v>
      </c>
      <c r="C2901">
        <v>119988</v>
      </c>
      <c r="D2901">
        <v>405</v>
      </c>
      <c r="E2901" t="s">
        <v>1266</v>
      </c>
      <c r="G2901">
        <v>745</v>
      </c>
      <c r="H2901">
        <v>1830</v>
      </c>
      <c r="K2901" t="s">
        <v>1742</v>
      </c>
      <c r="L2901" t="s">
        <v>1742</v>
      </c>
      <c r="M2901" s="29">
        <v>398666666</v>
      </c>
      <c r="N2901">
        <v>0</v>
      </c>
      <c r="O2901" s="29">
        <v>398666666</v>
      </c>
      <c r="P2901">
        <v>0</v>
      </c>
      <c r="Q2901">
        <v>0</v>
      </c>
      <c r="R2901">
        <v>0</v>
      </c>
      <c r="T2901" s="29">
        <v>621500</v>
      </c>
      <c r="U2901" s="29">
        <v>297325600</v>
      </c>
      <c r="V2901" t="s">
        <v>1262</v>
      </c>
      <c r="W2901" t="s">
        <v>1262</v>
      </c>
      <c r="X2901" s="29">
        <v>297325600</v>
      </c>
      <c r="AA2901" s="30">
        <v>45827.333333333336</v>
      </c>
      <c r="AB2901" s="30">
        <v>45847.708333333336</v>
      </c>
      <c r="AC2901" s="30">
        <v>45827.333333333336</v>
      </c>
      <c r="AD2901" s="30">
        <v>45847.708333333336</v>
      </c>
      <c r="AE2901" s="30">
        <v>45974.333333333336</v>
      </c>
      <c r="AF2901" s="30">
        <v>45994.708333333336</v>
      </c>
      <c r="AG2901" t="s">
        <v>1266</v>
      </c>
      <c r="AK2901" t="s">
        <v>1265</v>
      </c>
      <c r="AL2901" t="s">
        <v>1762</v>
      </c>
      <c r="AM2901" t="s">
        <v>1263</v>
      </c>
      <c r="AN2901" t="s">
        <v>1262</v>
      </c>
      <c r="AO2901">
        <v>0</v>
      </c>
      <c r="AQ2901" t="s">
        <v>1261</v>
      </c>
      <c r="AR2901" t="s">
        <v>1260</v>
      </c>
      <c r="AS2901" t="s">
        <v>1259</v>
      </c>
      <c r="AT2901" s="30">
        <v>46073.384027777778</v>
      </c>
    </row>
    <row r="2902" spans="1:46" x14ac:dyDescent="0.25">
      <c r="A2902" t="s">
        <v>1248</v>
      </c>
      <c r="B2902">
        <v>253339</v>
      </c>
      <c r="C2902">
        <v>119989</v>
      </c>
      <c r="D2902">
        <v>405</v>
      </c>
      <c r="E2902" t="s">
        <v>1266</v>
      </c>
      <c r="G2902">
        <v>745</v>
      </c>
      <c r="H2902">
        <v>1830</v>
      </c>
      <c r="K2902" t="s">
        <v>1742</v>
      </c>
      <c r="L2902" t="s">
        <v>1742</v>
      </c>
      <c r="M2902" s="29">
        <v>427142857</v>
      </c>
      <c r="N2902">
        <v>0</v>
      </c>
      <c r="O2902" s="29">
        <v>427142857</v>
      </c>
      <c r="P2902">
        <v>0</v>
      </c>
      <c r="Q2902">
        <v>0</v>
      </c>
      <c r="R2902">
        <v>0</v>
      </c>
      <c r="T2902" s="29">
        <v>621500</v>
      </c>
      <c r="U2902" s="29">
        <v>297325600</v>
      </c>
      <c r="V2902" t="s">
        <v>1262</v>
      </c>
      <c r="W2902" t="s">
        <v>1262</v>
      </c>
      <c r="X2902" s="29">
        <v>297325600</v>
      </c>
      <c r="AA2902" s="30">
        <v>45848.333333333336</v>
      </c>
      <c r="AB2902" s="30">
        <v>45867.708333333336</v>
      </c>
      <c r="AC2902" s="30">
        <v>45848.333333333336</v>
      </c>
      <c r="AD2902" s="30">
        <v>45867.708333333336</v>
      </c>
      <c r="AE2902" s="30">
        <v>45995.333333333336</v>
      </c>
      <c r="AF2902" s="30">
        <v>46014.708333333336</v>
      </c>
      <c r="AG2902" t="s">
        <v>1266</v>
      </c>
      <c r="AK2902" t="s">
        <v>1265</v>
      </c>
      <c r="AL2902" t="s">
        <v>1761</v>
      </c>
      <c r="AM2902" t="s">
        <v>1263</v>
      </c>
      <c r="AN2902" t="s">
        <v>1262</v>
      </c>
      <c r="AO2902">
        <v>0</v>
      </c>
      <c r="AQ2902" t="s">
        <v>1261</v>
      </c>
      <c r="AR2902" t="s">
        <v>1260</v>
      </c>
      <c r="AS2902" t="s">
        <v>1259</v>
      </c>
      <c r="AT2902" s="30">
        <v>46073.384027777778</v>
      </c>
    </row>
    <row r="2903" spans="1:46" x14ac:dyDescent="0.25">
      <c r="A2903" t="s">
        <v>1248</v>
      </c>
      <c r="B2903">
        <v>253340</v>
      </c>
      <c r="C2903">
        <v>119990</v>
      </c>
      <c r="D2903">
        <v>405</v>
      </c>
      <c r="E2903" t="s">
        <v>1266</v>
      </c>
      <c r="G2903">
        <v>745</v>
      </c>
      <c r="H2903">
        <v>1830</v>
      </c>
      <c r="K2903" t="s">
        <v>1742</v>
      </c>
      <c r="L2903" t="s">
        <v>1742</v>
      </c>
      <c r="M2903" s="29">
        <v>427142857</v>
      </c>
      <c r="N2903">
        <v>0</v>
      </c>
      <c r="O2903" s="29">
        <v>427142857</v>
      </c>
      <c r="P2903">
        <v>0</v>
      </c>
      <c r="Q2903">
        <v>0</v>
      </c>
      <c r="R2903">
        <v>0</v>
      </c>
      <c r="T2903" s="29">
        <v>621500</v>
      </c>
      <c r="U2903" s="29">
        <v>297325600</v>
      </c>
      <c r="V2903" t="s">
        <v>1262</v>
      </c>
      <c r="W2903" t="s">
        <v>1262</v>
      </c>
      <c r="X2903" s="29">
        <v>297325600</v>
      </c>
      <c r="AA2903" s="30">
        <v>45868.333333333336</v>
      </c>
      <c r="AB2903" s="30">
        <v>45887.708333333336</v>
      </c>
      <c r="AC2903" s="30">
        <v>45868.333333333336</v>
      </c>
      <c r="AD2903" s="30">
        <v>45887.708333333336</v>
      </c>
      <c r="AE2903" s="30">
        <v>46015.333333333336</v>
      </c>
      <c r="AF2903" s="30">
        <v>46036.708333333336</v>
      </c>
      <c r="AG2903" t="s">
        <v>1266</v>
      </c>
      <c r="AK2903" t="s">
        <v>1265</v>
      </c>
      <c r="AL2903" t="s">
        <v>1760</v>
      </c>
      <c r="AM2903" t="s">
        <v>1263</v>
      </c>
      <c r="AN2903" t="s">
        <v>1262</v>
      </c>
      <c r="AO2903">
        <v>0</v>
      </c>
      <c r="AQ2903" t="s">
        <v>1261</v>
      </c>
      <c r="AR2903" t="s">
        <v>1260</v>
      </c>
      <c r="AS2903" t="s">
        <v>1259</v>
      </c>
      <c r="AT2903" s="30">
        <v>46073.384027777778</v>
      </c>
    </row>
    <row r="2904" spans="1:46" x14ac:dyDescent="0.25">
      <c r="A2904" t="s">
        <v>1248</v>
      </c>
      <c r="B2904">
        <v>253341</v>
      </c>
      <c r="C2904">
        <v>119991</v>
      </c>
      <c r="D2904">
        <v>405</v>
      </c>
      <c r="E2904" t="s">
        <v>1266</v>
      </c>
      <c r="G2904">
        <v>745</v>
      </c>
      <c r="H2904">
        <v>1830</v>
      </c>
      <c r="K2904" t="s">
        <v>1742</v>
      </c>
      <c r="L2904" t="s">
        <v>1742</v>
      </c>
      <c r="M2904" s="29">
        <v>427142857</v>
      </c>
      <c r="N2904">
        <v>0</v>
      </c>
      <c r="O2904" s="29">
        <v>427142857</v>
      </c>
      <c r="P2904">
        <v>0</v>
      </c>
      <c r="Q2904">
        <v>0</v>
      </c>
      <c r="R2904">
        <v>0</v>
      </c>
      <c r="T2904" s="29">
        <v>621500</v>
      </c>
      <c r="U2904" s="29">
        <v>297325600</v>
      </c>
      <c r="V2904" t="s">
        <v>1262</v>
      </c>
      <c r="W2904" t="s">
        <v>1262</v>
      </c>
      <c r="X2904" s="29">
        <v>297325600</v>
      </c>
      <c r="AA2904" s="30">
        <v>45888.333333333336</v>
      </c>
      <c r="AB2904" s="30">
        <v>45905.708333333336</v>
      </c>
      <c r="AC2904" s="30">
        <v>45888.333333333336</v>
      </c>
      <c r="AD2904" s="30">
        <v>45905.708333333336</v>
      </c>
      <c r="AE2904" s="30">
        <v>46037.333333333336</v>
      </c>
      <c r="AF2904" s="30">
        <v>46056.708333333336</v>
      </c>
      <c r="AG2904" t="s">
        <v>1266</v>
      </c>
      <c r="AK2904" t="s">
        <v>1265</v>
      </c>
      <c r="AL2904" t="s">
        <v>1759</v>
      </c>
      <c r="AM2904" t="s">
        <v>1263</v>
      </c>
      <c r="AN2904" t="s">
        <v>1262</v>
      </c>
      <c r="AO2904">
        <v>0</v>
      </c>
      <c r="AQ2904" t="s">
        <v>1261</v>
      </c>
      <c r="AR2904" t="s">
        <v>1260</v>
      </c>
      <c r="AS2904" t="s">
        <v>1259</v>
      </c>
      <c r="AT2904" s="30">
        <v>46073.384027777778</v>
      </c>
    </row>
    <row r="2905" spans="1:46" x14ac:dyDescent="0.25">
      <c r="A2905" t="s">
        <v>1248</v>
      </c>
      <c r="B2905">
        <v>253342</v>
      </c>
      <c r="C2905">
        <v>119992</v>
      </c>
      <c r="D2905">
        <v>405</v>
      </c>
      <c r="E2905" t="s">
        <v>1266</v>
      </c>
      <c r="G2905">
        <v>745</v>
      </c>
      <c r="H2905">
        <v>1830</v>
      </c>
      <c r="K2905" t="s">
        <v>1742</v>
      </c>
      <c r="L2905" t="s">
        <v>1742</v>
      </c>
      <c r="M2905" s="29">
        <v>427142857</v>
      </c>
      <c r="N2905">
        <v>0</v>
      </c>
      <c r="O2905" s="29">
        <v>427142857</v>
      </c>
      <c r="P2905">
        <v>0</v>
      </c>
      <c r="Q2905">
        <v>0</v>
      </c>
      <c r="R2905">
        <v>0</v>
      </c>
      <c r="T2905" s="29">
        <v>621500</v>
      </c>
      <c r="U2905" s="29">
        <v>297325600</v>
      </c>
      <c r="V2905" t="s">
        <v>1262</v>
      </c>
      <c r="W2905" t="s">
        <v>1262</v>
      </c>
      <c r="X2905" s="29">
        <v>297325600</v>
      </c>
      <c r="AA2905" s="30">
        <v>45908.333333333336</v>
      </c>
      <c r="AB2905" s="30">
        <v>45925.708333333336</v>
      </c>
      <c r="AC2905" s="30">
        <v>45908.333333333336</v>
      </c>
      <c r="AD2905" s="30">
        <v>45925.708333333336</v>
      </c>
      <c r="AE2905" s="30">
        <v>46057.333333333336</v>
      </c>
      <c r="AF2905" s="30">
        <v>46076.708333333336</v>
      </c>
      <c r="AG2905" t="s">
        <v>1266</v>
      </c>
      <c r="AK2905" t="s">
        <v>1265</v>
      </c>
      <c r="AL2905" t="s">
        <v>1758</v>
      </c>
      <c r="AM2905" t="s">
        <v>1263</v>
      </c>
      <c r="AN2905" t="s">
        <v>1262</v>
      </c>
      <c r="AO2905">
        <v>0</v>
      </c>
      <c r="AQ2905" t="s">
        <v>1261</v>
      </c>
      <c r="AR2905" t="s">
        <v>1260</v>
      </c>
      <c r="AS2905" t="s">
        <v>1259</v>
      </c>
      <c r="AT2905" s="30">
        <v>46073.384027777778</v>
      </c>
    </row>
    <row r="2906" spans="1:46" x14ac:dyDescent="0.25">
      <c r="A2906" t="s">
        <v>1248</v>
      </c>
      <c r="B2906">
        <v>253343</v>
      </c>
      <c r="C2906">
        <v>119993</v>
      </c>
      <c r="D2906">
        <v>405</v>
      </c>
      <c r="E2906" t="s">
        <v>1266</v>
      </c>
      <c r="G2906">
        <v>745</v>
      </c>
      <c r="H2906">
        <v>1830</v>
      </c>
      <c r="K2906" t="s">
        <v>1742</v>
      </c>
      <c r="L2906" t="s">
        <v>1742</v>
      </c>
      <c r="M2906" s="29">
        <v>427142857</v>
      </c>
      <c r="N2906">
        <v>0</v>
      </c>
      <c r="O2906" s="29">
        <v>427142857</v>
      </c>
      <c r="P2906">
        <v>0</v>
      </c>
      <c r="Q2906">
        <v>0</v>
      </c>
      <c r="R2906">
        <v>0</v>
      </c>
      <c r="T2906" s="29">
        <v>621500</v>
      </c>
      <c r="U2906" s="29">
        <v>297325600</v>
      </c>
      <c r="V2906" t="s">
        <v>1262</v>
      </c>
      <c r="W2906" t="s">
        <v>1262</v>
      </c>
      <c r="X2906" s="29">
        <v>297325600</v>
      </c>
      <c r="AA2906" s="30">
        <v>45926.333333333336</v>
      </c>
      <c r="AB2906" s="30">
        <v>45945.708333333336</v>
      </c>
      <c r="AC2906" s="30">
        <v>45926.333333333336</v>
      </c>
      <c r="AD2906" s="30">
        <v>45945.708333333336</v>
      </c>
      <c r="AE2906" s="30">
        <v>46077.333333333336</v>
      </c>
      <c r="AF2906" s="30">
        <v>46094.708333333336</v>
      </c>
      <c r="AG2906" t="s">
        <v>1266</v>
      </c>
      <c r="AK2906" t="s">
        <v>1265</v>
      </c>
      <c r="AL2906" t="s">
        <v>1757</v>
      </c>
      <c r="AM2906" t="s">
        <v>1263</v>
      </c>
      <c r="AN2906" t="s">
        <v>1262</v>
      </c>
      <c r="AO2906">
        <v>0</v>
      </c>
      <c r="AQ2906" t="s">
        <v>1261</v>
      </c>
      <c r="AR2906" t="s">
        <v>1260</v>
      </c>
      <c r="AS2906" t="s">
        <v>1259</v>
      </c>
      <c r="AT2906" s="30">
        <v>46073.384027777778</v>
      </c>
    </row>
    <row r="2907" spans="1:46" x14ac:dyDescent="0.25">
      <c r="A2907" t="s">
        <v>1248</v>
      </c>
      <c r="B2907">
        <v>253344</v>
      </c>
      <c r="C2907">
        <v>119994</v>
      </c>
      <c r="D2907">
        <v>405</v>
      </c>
      <c r="E2907" t="s">
        <v>1266</v>
      </c>
      <c r="G2907">
        <v>745</v>
      </c>
      <c r="H2907">
        <v>1830</v>
      </c>
      <c r="K2907" t="s">
        <v>1742</v>
      </c>
      <c r="L2907" t="s">
        <v>1742</v>
      </c>
      <c r="M2907" s="29">
        <v>427142857</v>
      </c>
      <c r="N2907">
        <v>0</v>
      </c>
      <c r="O2907" s="29">
        <v>427142857</v>
      </c>
      <c r="P2907">
        <v>0</v>
      </c>
      <c r="Q2907">
        <v>0</v>
      </c>
      <c r="R2907">
        <v>0</v>
      </c>
      <c r="T2907" s="29">
        <v>621500</v>
      </c>
      <c r="U2907" s="29">
        <v>297325600</v>
      </c>
      <c r="V2907" t="s">
        <v>1262</v>
      </c>
      <c r="W2907" t="s">
        <v>1262</v>
      </c>
      <c r="X2907" s="29">
        <v>297325600</v>
      </c>
      <c r="AA2907" s="30">
        <v>45946.333333333336</v>
      </c>
      <c r="AB2907" s="30">
        <v>45965.708333333336</v>
      </c>
      <c r="AC2907" s="30">
        <v>45946.333333333336</v>
      </c>
      <c r="AD2907" s="30">
        <v>45965.708333333336</v>
      </c>
      <c r="AE2907" s="30">
        <v>46097.333333333336</v>
      </c>
      <c r="AF2907" s="30">
        <v>46114.708333333336</v>
      </c>
      <c r="AG2907" t="s">
        <v>1266</v>
      </c>
      <c r="AK2907" t="s">
        <v>1265</v>
      </c>
      <c r="AL2907" t="s">
        <v>1756</v>
      </c>
      <c r="AM2907" t="s">
        <v>1263</v>
      </c>
      <c r="AN2907" t="s">
        <v>1262</v>
      </c>
      <c r="AO2907">
        <v>0</v>
      </c>
      <c r="AQ2907" t="s">
        <v>1261</v>
      </c>
      <c r="AR2907" t="s">
        <v>1260</v>
      </c>
      <c r="AS2907" t="s">
        <v>1259</v>
      </c>
      <c r="AT2907" s="30">
        <v>46073.384027777778</v>
      </c>
    </row>
    <row r="2908" spans="1:46" x14ac:dyDescent="0.25">
      <c r="A2908" t="s">
        <v>1248</v>
      </c>
      <c r="B2908">
        <v>253345</v>
      </c>
      <c r="C2908">
        <v>119995</v>
      </c>
      <c r="D2908">
        <v>405</v>
      </c>
      <c r="E2908" t="s">
        <v>1266</v>
      </c>
      <c r="G2908">
        <v>745</v>
      </c>
      <c r="H2908">
        <v>1830</v>
      </c>
      <c r="K2908" t="s">
        <v>1742</v>
      </c>
      <c r="L2908" t="s">
        <v>1742</v>
      </c>
      <c r="M2908" s="29">
        <v>427142857</v>
      </c>
      <c r="N2908">
        <v>0</v>
      </c>
      <c r="O2908" s="29">
        <v>427142857</v>
      </c>
      <c r="P2908">
        <v>0</v>
      </c>
      <c r="Q2908">
        <v>0</v>
      </c>
      <c r="R2908">
        <v>0</v>
      </c>
      <c r="T2908" s="29">
        <v>621500</v>
      </c>
      <c r="U2908" s="29">
        <v>297325600</v>
      </c>
      <c r="V2908" t="s">
        <v>1262</v>
      </c>
      <c r="W2908" t="s">
        <v>1262</v>
      </c>
      <c r="X2908" s="29">
        <v>297325600</v>
      </c>
      <c r="AA2908" s="30">
        <v>45966.333333333336</v>
      </c>
      <c r="AB2908" s="30">
        <v>45985.708333333336</v>
      </c>
      <c r="AC2908" s="30">
        <v>45966.333333333336</v>
      </c>
      <c r="AD2908" s="30">
        <v>45985.708333333336</v>
      </c>
      <c r="AE2908" s="30">
        <v>46115.333333333336</v>
      </c>
      <c r="AF2908" s="30">
        <v>46135.708333333336</v>
      </c>
      <c r="AG2908" t="s">
        <v>1266</v>
      </c>
      <c r="AK2908" t="s">
        <v>1265</v>
      </c>
      <c r="AL2908" t="s">
        <v>1755</v>
      </c>
      <c r="AM2908" t="s">
        <v>1263</v>
      </c>
      <c r="AN2908" t="s">
        <v>1262</v>
      </c>
      <c r="AO2908">
        <v>0</v>
      </c>
      <c r="AQ2908" t="s">
        <v>1261</v>
      </c>
      <c r="AR2908" t="s">
        <v>1260</v>
      </c>
      <c r="AS2908" t="s">
        <v>1259</v>
      </c>
      <c r="AT2908" s="30">
        <v>46073.384027777778</v>
      </c>
    </row>
    <row r="2909" spans="1:46" x14ac:dyDescent="0.25">
      <c r="A2909" t="s">
        <v>1248</v>
      </c>
      <c r="B2909">
        <v>253346</v>
      </c>
      <c r="C2909">
        <v>119996</v>
      </c>
      <c r="D2909">
        <v>405</v>
      </c>
      <c r="E2909" t="s">
        <v>1266</v>
      </c>
      <c r="G2909">
        <v>745</v>
      </c>
      <c r="H2909">
        <v>1830</v>
      </c>
      <c r="K2909" t="s">
        <v>1742</v>
      </c>
      <c r="L2909" t="s">
        <v>1742</v>
      </c>
      <c r="M2909" s="29">
        <v>427142857</v>
      </c>
      <c r="N2909">
        <v>0</v>
      </c>
      <c r="O2909" s="29">
        <v>427142857</v>
      </c>
      <c r="P2909">
        <v>0</v>
      </c>
      <c r="Q2909">
        <v>0</v>
      </c>
      <c r="R2909">
        <v>0</v>
      </c>
      <c r="T2909" s="29">
        <v>621500</v>
      </c>
      <c r="U2909" s="29">
        <v>297325600</v>
      </c>
      <c r="V2909" t="s">
        <v>1262</v>
      </c>
      <c r="W2909" t="s">
        <v>1262</v>
      </c>
      <c r="X2909" s="29">
        <v>297325600</v>
      </c>
      <c r="AA2909" s="30">
        <v>45986.333333333336</v>
      </c>
      <c r="AB2909" s="30">
        <v>46003.708333333336</v>
      </c>
      <c r="AC2909" s="30">
        <v>45986.333333333336</v>
      </c>
      <c r="AD2909" s="30">
        <v>46003.708333333336</v>
      </c>
      <c r="AE2909" s="30">
        <v>46136.333333333336</v>
      </c>
      <c r="AF2909" s="30">
        <v>46156.708333333336</v>
      </c>
      <c r="AG2909" t="s">
        <v>1266</v>
      </c>
      <c r="AK2909" t="s">
        <v>1265</v>
      </c>
      <c r="AL2909" t="s">
        <v>1754</v>
      </c>
      <c r="AM2909" t="s">
        <v>1263</v>
      </c>
      <c r="AN2909" t="s">
        <v>1262</v>
      </c>
      <c r="AO2909">
        <v>0</v>
      </c>
      <c r="AQ2909" t="s">
        <v>1261</v>
      </c>
      <c r="AR2909" t="s">
        <v>1260</v>
      </c>
      <c r="AS2909" t="s">
        <v>1259</v>
      </c>
      <c r="AT2909" s="30">
        <v>46073.384027777778</v>
      </c>
    </row>
    <row r="2910" spans="1:46" x14ac:dyDescent="0.25">
      <c r="A2910" t="s">
        <v>1248</v>
      </c>
      <c r="B2910">
        <v>253347</v>
      </c>
      <c r="C2910">
        <v>119997</v>
      </c>
      <c r="D2910">
        <v>405</v>
      </c>
      <c r="E2910" t="s">
        <v>1266</v>
      </c>
      <c r="G2910">
        <v>745</v>
      </c>
      <c r="H2910">
        <v>1830</v>
      </c>
      <c r="K2910" t="s">
        <v>1742</v>
      </c>
      <c r="L2910" t="s">
        <v>1742</v>
      </c>
      <c r="M2910" s="29">
        <v>427142857</v>
      </c>
      <c r="N2910">
        <v>0</v>
      </c>
      <c r="O2910" s="29">
        <v>427142857</v>
      </c>
      <c r="P2910">
        <v>0</v>
      </c>
      <c r="Q2910">
        <v>0</v>
      </c>
      <c r="R2910">
        <v>0</v>
      </c>
      <c r="T2910" s="29">
        <v>621500</v>
      </c>
      <c r="U2910" s="29">
        <v>297325600</v>
      </c>
      <c r="V2910" t="s">
        <v>1262</v>
      </c>
      <c r="W2910" t="s">
        <v>1262</v>
      </c>
      <c r="X2910" s="29">
        <v>297325600</v>
      </c>
      <c r="AA2910" s="30">
        <v>46006.333333333336</v>
      </c>
      <c r="AB2910" s="30">
        <v>46024.708333333336</v>
      </c>
      <c r="AC2910" s="30">
        <v>46006.333333333336</v>
      </c>
      <c r="AD2910" s="30">
        <v>46024.708333333336</v>
      </c>
      <c r="AE2910" s="30">
        <v>46157.333333333336</v>
      </c>
      <c r="AF2910" s="30">
        <v>46177.708333333336</v>
      </c>
      <c r="AG2910" t="s">
        <v>1266</v>
      </c>
      <c r="AK2910" t="s">
        <v>1265</v>
      </c>
      <c r="AL2910" t="s">
        <v>1753</v>
      </c>
      <c r="AM2910" t="s">
        <v>1263</v>
      </c>
      <c r="AN2910" t="s">
        <v>1262</v>
      </c>
      <c r="AO2910">
        <v>0</v>
      </c>
      <c r="AQ2910" t="s">
        <v>1261</v>
      </c>
      <c r="AR2910" t="s">
        <v>1260</v>
      </c>
      <c r="AS2910" t="s">
        <v>1259</v>
      </c>
      <c r="AT2910" s="30">
        <v>46073.384027777778</v>
      </c>
    </row>
    <row r="2911" spans="1:46" x14ac:dyDescent="0.25">
      <c r="A2911" t="s">
        <v>1248</v>
      </c>
      <c r="B2911">
        <v>253348</v>
      </c>
      <c r="C2911">
        <v>119998</v>
      </c>
      <c r="D2911">
        <v>405</v>
      </c>
      <c r="E2911" t="s">
        <v>1266</v>
      </c>
      <c r="G2911">
        <v>745</v>
      </c>
      <c r="H2911">
        <v>1830</v>
      </c>
      <c r="K2911" t="s">
        <v>1742</v>
      </c>
      <c r="L2911" t="s">
        <v>1742</v>
      </c>
      <c r="M2911" s="29">
        <v>427142857</v>
      </c>
      <c r="N2911">
        <v>0</v>
      </c>
      <c r="O2911" s="29">
        <v>427142857</v>
      </c>
      <c r="P2911">
        <v>0</v>
      </c>
      <c r="Q2911">
        <v>0</v>
      </c>
      <c r="R2911">
        <v>0</v>
      </c>
      <c r="T2911" s="29">
        <v>621500</v>
      </c>
      <c r="U2911" s="29">
        <v>297325600</v>
      </c>
      <c r="V2911" t="s">
        <v>1262</v>
      </c>
      <c r="W2911" t="s">
        <v>1262</v>
      </c>
      <c r="X2911" s="29">
        <v>297325600</v>
      </c>
      <c r="AA2911" s="30">
        <v>46027.333333333336</v>
      </c>
      <c r="AB2911" s="30">
        <v>46045.708333333336</v>
      </c>
      <c r="AC2911" s="30">
        <v>46027.333333333336</v>
      </c>
      <c r="AD2911" s="30">
        <v>46045.708333333336</v>
      </c>
      <c r="AE2911" s="30">
        <v>46178.333333333336</v>
      </c>
      <c r="AF2911" s="30">
        <v>46197.708333333336</v>
      </c>
      <c r="AG2911" t="s">
        <v>1266</v>
      </c>
      <c r="AK2911" t="s">
        <v>1265</v>
      </c>
      <c r="AL2911" t="s">
        <v>1752</v>
      </c>
      <c r="AM2911" t="s">
        <v>1263</v>
      </c>
      <c r="AN2911" t="s">
        <v>1262</v>
      </c>
      <c r="AO2911">
        <v>0</v>
      </c>
      <c r="AQ2911" t="s">
        <v>1261</v>
      </c>
      <c r="AR2911" t="s">
        <v>1260</v>
      </c>
      <c r="AS2911" t="s">
        <v>1259</v>
      </c>
      <c r="AT2911" s="30">
        <v>46073.384027777778</v>
      </c>
    </row>
    <row r="2912" spans="1:46" x14ac:dyDescent="0.25">
      <c r="A2912" t="s">
        <v>1248</v>
      </c>
      <c r="B2912">
        <v>253349</v>
      </c>
      <c r="C2912">
        <v>119999</v>
      </c>
      <c r="D2912">
        <v>405</v>
      </c>
      <c r="E2912" t="s">
        <v>1266</v>
      </c>
      <c r="G2912">
        <v>745</v>
      </c>
      <c r="H2912">
        <v>1830</v>
      </c>
      <c r="K2912" t="s">
        <v>1742</v>
      </c>
      <c r="L2912" t="s">
        <v>1742</v>
      </c>
      <c r="M2912" s="29">
        <v>427142857</v>
      </c>
      <c r="N2912">
        <v>0</v>
      </c>
      <c r="O2912" s="29">
        <v>427142857</v>
      </c>
      <c r="P2912">
        <v>0</v>
      </c>
      <c r="Q2912">
        <v>0</v>
      </c>
      <c r="R2912">
        <v>0</v>
      </c>
      <c r="T2912" s="29">
        <v>621500</v>
      </c>
      <c r="U2912" s="29">
        <v>297325600</v>
      </c>
      <c r="V2912" t="s">
        <v>1262</v>
      </c>
      <c r="W2912" t="s">
        <v>1262</v>
      </c>
      <c r="X2912" s="29">
        <v>297325600</v>
      </c>
      <c r="AA2912" s="30">
        <v>46048.333333333336</v>
      </c>
      <c r="AB2912" s="30">
        <v>46065.708333333336</v>
      </c>
      <c r="AC2912" s="30">
        <v>46048.333333333336</v>
      </c>
      <c r="AD2912" s="30">
        <v>46065.708333333336</v>
      </c>
      <c r="AE2912" s="30">
        <v>46198.333333333336</v>
      </c>
      <c r="AF2912" s="30">
        <v>46217.708333333336</v>
      </c>
      <c r="AG2912" t="s">
        <v>1266</v>
      </c>
      <c r="AK2912" t="s">
        <v>1265</v>
      </c>
      <c r="AL2912" t="s">
        <v>1751</v>
      </c>
      <c r="AM2912" t="s">
        <v>1263</v>
      </c>
      <c r="AN2912" t="s">
        <v>1262</v>
      </c>
      <c r="AO2912">
        <v>0</v>
      </c>
      <c r="AQ2912" t="s">
        <v>1261</v>
      </c>
      <c r="AR2912" t="s">
        <v>1260</v>
      </c>
      <c r="AS2912" t="s">
        <v>1259</v>
      </c>
      <c r="AT2912" s="30">
        <v>46073.384027777778</v>
      </c>
    </row>
    <row r="2913" spans="1:46" x14ac:dyDescent="0.25">
      <c r="A2913" t="s">
        <v>1248</v>
      </c>
      <c r="B2913">
        <v>253350</v>
      </c>
      <c r="C2913">
        <v>120000</v>
      </c>
      <c r="D2913">
        <v>405</v>
      </c>
      <c r="E2913" t="s">
        <v>1266</v>
      </c>
      <c r="G2913">
        <v>745</v>
      </c>
      <c r="H2913">
        <v>1830</v>
      </c>
      <c r="K2913" t="s">
        <v>1742</v>
      </c>
      <c r="L2913" t="s">
        <v>1742</v>
      </c>
      <c r="M2913" s="29">
        <v>427142857</v>
      </c>
      <c r="N2913">
        <v>0</v>
      </c>
      <c r="O2913" s="29">
        <v>427142857</v>
      </c>
      <c r="P2913">
        <v>0</v>
      </c>
      <c r="Q2913">
        <v>0</v>
      </c>
      <c r="R2913">
        <v>0</v>
      </c>
      <c r="T2913" s="29">
        <v>621500</v>
      </c>
      <c r="U2913" s="29">
        <v>297325600</v>
      </c>
      <c r="V2913" t="s">
        <v>1262</v>
      </c>
      <c r="W2913" t="s">
        <v>1262</v>
      </c>
      <c r="X2913" s="29">
        <v>297325600</v>
      </c>
      <c r="AA2913" s="30">
        <v>46066.333333333336</v>
      </c>
      <c r="AB2913" s="30">
        <v>46085.708333333336</v>
      </c>
      <c r="AC2913" s="30">
        <v>46066.333333333336</v>
      </c>
      <c r="AD2913" s="30">
        <v>46085.708333333336</v>
      </c>
      <c r="AE2913" s="30">
        <v>46218.333333333336</v>
      </c>
      <c r="AF2913" s="30">
        <v>46237.708333333336</v>
      </c>
      <c r="AG2913" t="s">
        <v>1266</v>
      </c>
      <c r="AK2913" t="s">
        <v>1265</v>
      </c>
      <c r="AL2913" t="s">
        <v>1750</v>
      </c>
      <c r="AM2913" t="s">
        <v>1263</v>
      </c>
      <c r="AN2913" t="s">
        <v>1262</v>
      </c>
      <c r="AO2913">
        <v>0</v>
      </c>
      <c r="AQ2913" t="s">
        <v>1261</v>
      </c>
      <c r="AR2913" t="s">
        <v>1260</v>
      </c>
      <c r="AS2913" t="s">
        <v>1259</v>
      </c>
      <c r="AT2913" s="30">
        <v>46073.384027777778</v>
      </c>
    </row>
    <row r="2914" spans="1:46" x14ac:dyDescent="0.25">
      <c r="A2914" t="s">
        <v>1248</v>
      </c>
      <c r="B2914">
        <v>253351</v>
      </c>
      <c r="C2914">
        <v>120001</v>
      </c>
      <c r="D2914">
        <v>405</v>
      </c>
      <c r="E2914" t="s">
        <v>1266</v>
      </c>
      <c r="G2914">
        <v>745</v>
      </c>
      <c r="H2914">
        <v>1830</v>
      </c>
      <c r="K2914" t="s">
        <v>1742</v>
      </c>
      <c r="L2914" t="s">
        <v>1742</v>
      </c>
      <c r="M2914" s="29">
        <v>427142857</v>
      </c>
      <c r="N2914">
        <v>0</v>
      </c>
      <c r="O2914" s="29">
        <v>427142857</v>
      </c>
      <c r="P2914">
        <v>0</v>
      </c>
      <c r="Q2914">
        <v>0</v>
      </c>
      <c r="R2914">
        <v>0</v>
      </c>
      <c r="T2914" s="29">
        <v>621500</v>
      </c>
      <c r="U2914" s="29">
        <v>297325600</v>
      </c>
      <c r="V2914" t="s">
        <v>1262</v>
      </c>
      <c r="W2914" t="s">
        <v>1262</v>
      </c>
      <c r="X2914" s="29">
        <v>297325600</v>
      </c>
      <c r="AA2914" s="30">
        <v>46086.333333333336</v>
      </c>
      <c r="AB2914" s="30">
        <v>46105.708333333336</v>
      </c>
      <c r="AC2914" s="30">
        <v>46086.333333333336</v>
      </c>
      <c r="AD2914" s="30">
        <v>46105.708333333336</v>
      </c>
      <c r="AE2914" s="30">
        <v>46238.333333333336</v>
      </c>
      <c r="AF2914" s="30">
        <v>46255.708333333336</v>
      </c>
      <c r="AG2914" t="s">
        <v>1266</v>
      </c>
      <c r="AK2914" t="s">
        <v>1265</v>
      </c>
      <c r="AL2914" t="s">
        <v>1749</v>
      </c>
      <c r="AM2914" t="s">
        <v>1263</v>
      </c>
      <c r="AN2914" t="s">
        <v>1262</v>
      </c>
      <c r="AO2914">
        <v>0</v>
      </c>
      <c r="AQ2914" t="s">
        <v>1261</v>
      </c>
      <c r="AR2914" t="s">
        <v>1260</v>
      </c>
      <c r="AS2914" t="s">
        <v>1259</v>
      </c>
      <c r="AT2914" s="30">
        <v>46073.384027777778</v>
      </c>
    </row>
    <row r="2915" spans="1:46" x14ac:dyDescent="0.25">
      <c r="A2915" t="s">
        <v>1248</v>
      </c>
      <c r="B2915">
        <v>253352</v>
      </c>
      <c r="C2915">
        <v>120002</v>
      </c>
      <c r="D2915">
        <v>405</v>
      </c>
      <c r="E2915" t="s">
        <v>1266</v>
      </c>
      <c r="G2915">
        <v>745</v>
      </c>
      <c r="H2915">
        <v>1830</v>
      </c>
      <c r="K2915" t="s">
        <v>1742</v>
      </c>
      <c r="L2915" t="s">
        <v>1742</v>
      </c>
      <c r="M2915" s="29">
        <v>427142857</v>
      </c>
      <c r="N2915">
        <v>0</v>
      </c>
      <c r="O2915" s="29">
        <v>427142857</v>
      </c>
      <c r="P2915">
        <v>0</v>
      </c>
      <c r="Q2915">
        <v>0</v>
      </c>
      <c r="R2915">
        <v>0</v>
      </c>
      <c r="T2915" s="29">
        <v>621500</v>
      </c>
      <c r="U2915" s="29">
        <v>297325600</v>
      </c>
      <c r="V2915" t="s">
        <v>1262</v>
      </c>
      <c r="W2915" t="s">
        <v>1262</v>
      </c>
      <c r="X2915" s="29">
        <v>297325600</v>
      </c>
      <c r="AA2915" s="30">
        <v>46106.333333333336</v>
      </c>
      <c r="AB2915" s="30">
        <v>46126.708333333336</v>
      </c>
      <c r="AC2915" s="30">
        <v>46106.333333333336</v>
      </c>
      <c r="AD2915" s="30">
        <v>46126.708333333336</v>
      </c>
      <c r="AE2915" s="30">
        <v>46258.333333333336</v>
      </c>
      <c r="AF2915" s="30">
        <v>46275.708333333336</v>
      </c>
      <c r="AG2915" t="s">
        <v>1266</v>
      </c>
      <c r="AK2915" t="s">
        <v>1265</v>
      </c>
      <c r="AL2915" t="s">
        <v>1748</v>
      </c>
      <c r="AM2915" t="s">
        <v>1263</v>
      </c>
      <c r="AN2915" t="s">
        <v>1262</v>
      </c>
      <c r="AO2915">
        <v>0</v>
      </c>
      <c r="AQ2915" t="s">
        <v>1261</v>
      </c>
      <c r="AR2915" t="s">
        <v>1260</v>
      </c>
      <c r="AS2915" t="s">
        <v>1259</v>
      </c>
      <c r="AT2915" s="30">
        <v>46073.384027777778</v>
      </c>
    </row>
    <row r="2916" spans="1:46" x14ac:dyDescent="0.25">
      <c r="A2916" t="s">
        <v>1248</v>
      </c>
      <c r="B2916">
        <v>253353</v>
      </c>
      <c r="C2916">
        <v>120003</v>
      </c>
      <c r="D2916">
        <v>405</v>
      </c>
      <c r="E2916" t="s">
        <v>1266</v>
      </c>
      <c r="G2916">
        <v>745</v>
      </c>
      <c r="H2916">
        <v>1830</v>
      </c>
      <c r="K2916" t="s">
        <v>1742</v>
      </c>
      <c r="L2916" t="s">
        <v>1742</v>
      </c>
      <c r="M2916" s="29">
        <v>427142857</v>
      </c>
      <c r="N2916">
        <v>0</v>
      </c>
      <c r="O2916" s="29">
        <v>427142857</v>
      </c>
      <c r="P2916">
        <v>0</v>
      </c>
      <c r="Q2916">
        <v>0</v>
      </c>
      <c r="R2916">
        <v>0</v>
      </c>
      <c r="T2916" s="29">
        <v>621500</v>
      </c>
      <c r="U2916" s="29">
        <v>297325600</v>
      </c>
      <c r="V2916" t="s">
        <v>1262</v>
      </c>
      <c r="W2916" t="s">
        <v>1262</v>
      </c>
      <c r="X2916" s="29">
        <v>297325600</v>
      </c>
      <c r="AA2916" s="30">
        <v>46127.333333333336</v>
      </c>
      <c r="AB2916" s="30">
        <v>46147.708333333336</v>
      </c>
      <c r="AC2916" s="30">
        <v>46127.333333333336</v>
      </c>
      <c r="AD2916" s="30">
        <v>46147.708333333336</v>
      </c>
      <c r="AE2916" s="30">
        <v>46276.333333333336</v>
      </c>
      <c r="AF2916" s="30">
        <v>46295.708333333336</v>
      </c>
      <c r="AG2916" t="s">
        <v>1266</v>
      </c>
      <c r="AK2916" t="s">
        <v>1265</v>
      </c>
      <c r="AL2916" t="s">
        <v>1747</v>
      </c>
      <c r="AM2916" t="s">
        <v>1263</v>
      </c>
      <c r="AN2916" t="s">
        <v>1262</v>
      </c>
      <c r="AO2916">
        <v>0</v>
      </c>
      <c r="AQ2916" t="s">
        <v>1261</v>
      </c>
      <c r="AR2916" t="s">
        <v>1260</v>
      </c>
      <c r="AS2916" t="s">
        <v>1259</v>
      </c>
      <c r="AT2916" s="30">
        <v>46073.384027777778</v>
      </c>
    </row>
    <row r="2917" spans="1:46" x14ac:dyDescent="0.25">
      <c r="A2917" t="s">
        <v>1248</v>
      </c>
      <c r="B2917">
        <v>253354</v>
      </c>
      <c r="C2917">
        <v>120004</v>
      </c>
      <c r="D2917">
        <v>405</v>
      </c>
      <c r="E2917" t="s">
        <v>1266</v>
      </c>
      <c r="G2917">
        <v>745</v>
      </c>
      <c r="H2917">
        <v>1830</v>
      </c>
      <c r="K2917" t="s">
        <v>1742</v>
      </c>
      <c r="L2917" t="s">
        <v>1742</v>
      </c>
      <c r="M2917" s="29">
        <v>427142857</v>
      </c>
      <c r="N2917">
        <v>0</v>
      </c>
      <c r="O2917" s="29">
        <v>427142857</v>
      </c>
      <c r="P2917">
        <v>0</v>
      </c>
      <c r="Q2917">
        <v>0</v>
      </c>
      <c r="R2917">
        <v>0</v>
      </c>
      <c r="T2917" s="29">
        <v>621500</v>
      </c>
      <c r="U2917" s="29">
        <v>297325600</v>
      </c>
      <c r="V2917" t="s">
        <v>1262</v>
      </c>
      <c r="W2917" t="s">
        <v>1262</v>
      </c>
      <c r="X2917" s="29">
        <v>297325600</v>
      </c>
      <c r="AA2917" s="30">
        <v>46148.333333333336</v>
      </c>
      <c r="AB2917" s="30">
        <v>46167.708333333336</v>
      </c>
      <c r="AC2917" s="30">
        <v>46148.333333333336</v>
      </c>
      <c r="AD2917" s="30">
        <v>46167.708333333336</v>
      </c>
      <c r="AE2917" s="30">
        <v>46296.333333333336</v>
      </c>
      <c r="AF2917" s="30">
        <v>46315.708333333336</v>
      </c>
      <c r="AG2917" t="s">
        <v>1266</v>
      </c>
      <c r="AK2917" t="s">
        <v>1265</v>
      </c>
      <c r="AL2917" t="s">
        <v>1746</v>
      </c>
      <c r="AM2917" t="s">
        <v>1263</v>
      </c>
      <c r="AN2917" t="s">
        <v>1262</v>
      </c>
      <c r="AO2917">
        <v>0</v>
      </c>
      <c r="AQ2917" t="s">
        <v>1261</v>
      </c>
      <c r="AR2917" t="s">
        <v>1260</v>
      </c>
      <c r="AS2917" t="s">
        <v>1259</v>
      </c>
      <c r="AT2917" s="30">
        <v>46073.384027777778</v>
      </c>
    </row>
    <row r="2918" spans="1:46" x14ac:dyDescent="0.25">
      <c r="A2918" t="s">
        <v>1248</v>
      </c>
      <c r="B2918">
        <v>253355</v>
      </c>
      <c r="C2918">
        <v>120005</v>
      </c>
      <c r="D2918">
        <v>405</v>
      </c>
      <c r="E2918" t="s">
        <v>1266</v>
      </c>
      <c r="G2918">
        <v>745</v>
      </c>
      <c r="H2918">
        <v>1830</v>
      </c>
      <c r="K2918" t="s">
        <v>1742</v>
      </c>
      <c r="L2918" t="s">
        <v>1742</v>
      </c>
      <c r="M2918" s="29">
        <v>427142857</v>
      </c>
      <c r="N2918">
        <v>0</v>
      </c>
      <c r="O2918" s="29">
        <v>427142857</v>
      </c>
      <c r="P2918">
        <v>0</v>
      </c>
      <c r="Q2918">
        <v>0</v>
      </c>
      <c r="R2918">
        <v>0</v>
      </c>
      <c r="T2918" s="29">
        <v>621500</v>
      </c>
      <c r="U2918" s="29">
        <v>297325600</v>
      </c>
      <c r="V2918" t="s">
        <v>1262</v>
      </c>
      <c r="W2918" t="s">
        <v>1262</v>
      </c>
      <c r="X2918" s="29">
        <v>297325600</v>
      </c>
      <c r="AA2918" s="30">
        <v>46168.333333333336</v>
      </c>
      <c r="AB2918" s="30">
        <v>46188.708333333336</v>
      </c>
      <c r="AC2918" s="30">
        <v>46168.333333333336</v>
      </c>
      <c r="AD2918" s="30">
        <v>46188.708333333336</v>
      </c>
      <c r="AE2918" s="30">
        <v>46316.333333333336</v>
      </c>
      <c r="AF2918" s="30">
        <v>46335.708333333336</v>
      </c>
      <c r="AG2918" t="s">
        <v>1266</v>
      </c>
      <c r="AK2918" t="s">
        <v>1265</v>
      </c>
      <c r="AL2918" t="s">
        <v>1745</v>
      </c>
      <c r="AM2918" t="s">
        <v>1263</v>
      </c>
      <c r="AN2918" t="s">
        <v>1262</v>
      </c>
      <c r="AO2918">
        <v>0</v>
      </c>
      <c r="AQ2918" t="s">
        <v>1261</v>
      </c>
      <c r="AR2918" t="s">
        <v>1260</v>
      </c>
      <c r="AS2918" t="s">
        <v>1259</v>
      </c>
      <c r="AT2918" s="30">
        <v>46073.384027777778</v>
      </c>
    </row>
    <row r="2919" spans="1:46" x14ac:dyDescent="0.25">
      <c r="A2919" t="s">
        <v>1248</v>
      </c>
      <c r="B2919">
        <v>253356</v>
      </c>
      <c r="C2919">
        <v>120006</v>
      </c>
      <c r="D2919">
        <v>405</v>
      </c>
      <c r="E2919" t="s">
        <v>1266</v>
      </c>
      <c r="G2919">
        <v>745</v>
      </c>
      <c r="H2919">
        <v>1830</v>
      </c>
      <c r="K2919" t="s">
        <v>1742</v>
      </c>
      <c r="L2919" t="s">
        <v>1742</v>
      </c>
      <c r="M2919" s="29">
        <v>427142857</v>
      </c>
      <c r="N2919">
        <v>0</v>
      </c>
      <c r="O2919" s="29">
        <v>427142857</v>
      </c>
      <c r="P2919">
        <v>0</v>
      </c>
      <c r="Q2919">
        <v>0</v>
      </c>
      <c r="R2919">
        <v>0</v>
      </c>
      <c r="T2919" s="29">
        <v>621500</v>
      </c>
      <c r="U2919" s="29">
        <v>297325600</v>
      </c>
      <c r="V2919" t="s">
        <v>1262</v>
      </c>
      <c r="W2919" t="s">
        <v>1262</v>
      </c>
      <c r="X2919" s="29">
        <v>297325600</v>
      </c>
      <c r="AA2919" s="30">
        <v>46189.333333333336</v>
      </c>
      <c r="AB2919" s="30">
        <v>46206.708333333336</v>
      </c>
      <c r="AC2919" s="30">
        <v>46189.333333333336</v>
      </c>
      <c r="AD2919" s="30">
        <v>46206.708333333336</v>
      </c>
      <c r="AE2919" s="30">
        <v>46336.333333333336</v>
      </c>
      <c r="AF2919" s="30">
        <v>46353.708333333336</v>
      </c>
      <c r="AG2919" t="s">
        <v>1266</v>
      </c>
      <c r="AK2919" t="s">
        <v>1265</v>
      </c>
      <c r="AL2919" t="s">
        <v>1744</v>
      </c>
      <c r="AM2919" t="s">
        <v>1263</v>
      </c>
      <c r="AN2919" t="s">
        <v>1262</v>
      </c>
      <c r="AO2919">
        <v>0</v>
      </c>
      <c r="AQ2919" t="s">
        <v>1261</v>
      </c>
      <c r="AR2919" t="s">
        <v>1260</v>
      </c>
      <c r="AS2919" t="s">
        <v>1259</v>
      </c>
      <c r="AT2919" s="30">
        <v>46073.384027777778</v>
      </c>
    </row>
    <row r="2920" spans="1:46" x14ac:dyDescent="0.25">
      <c r="A2920" t="s">
        <v>1248</v>
      </c>
      <c r="B2920">
        <v>253357</v>
      </c>
      <c r="C2920">
        <v>120007</v>
      </c>
      <c r="D2920">
        <v>405</v>
      </c>
      <c r="E2920" t="s">
        <v>1266</v>
      </c>
      <c r="G2920">
        <v>745</v>
      </c>
      <c r="H2920">
        <v>1830</v>
      </c>
      <c r="K2920" t="s">
        <v>1742</v>
      </c>
      <c r="L2920" t="s">
        <v>1742</v>
      </c>
      <c r="M2920" s="29">
        <v>427142857</v>
      </c>
      <c r="N2920">
        <v>0</v>
      </c>
      <c r="O2920" s="29">
        <v>427142857</v>
      </c>
      <c r="P2920">
        <v>0</v>
      </c>
      <c r="Q2920">
        <v>0</v>
      </c>
      <c r="R2920">
        <v>0</v>
      </c>
      <c r="T2920" s="29">
        <v>621500</v>
      </c>
      <c r="U2920" s="29">
        <v>297325600</v>
      </c>
      <c r="V2920" t="s">
        <v>1262</v>
      </c>
      <c r="W2920" t="s">
        <v>1262</v>
      </c>
      <c r="X2920" s="29">
        <v>297325600</v>
      </c>
      <c r="AA2920" s="30">
        <v>46209.333333333336</v>
      </c>
      <c r="AB2920" s="30">
        <v>46226.708333333336</v>
      </c>
      <c r="AC2920" s="30">
        <v>46209.333333333336</v>
      </c>
      <c r="AD2920" s="30">
        <v>46226.708333333336</v>
      </c>
      <c r="AE2920" s="30">
        <v>46356.333333333336</v>
      </c>
      <c r="AF2920" s="30">
        <v>46374.708333333336</v>
      </c>
      <c r="AG2920" t="s">
        <v>1266</v>
      </c>
      <c r="AK2920" t="s">
        <v>1265</v>
      </c>
      <c r="AL2920" t="s">
        <v>1743</v>
      </c>
      <c r="AM2920" t="s">
        <v>1263</v>
      </c>
      <c r="AN2920" t="s">
        <v>1262</v>
      </c>
      <c r="AO2920">
        <v>0</v>
      </c>
      <c r="AQ2920" t="s">
        <v>1261</v>
      </c>
      <c r="AR2920" t="s">
        <v>1260</v>
      </c>
      <c r="AS2920" t="s">
        <v>1259</v>
      </c>
      <c r="AT2920" s="30">
        <v>46073.384027777778</v>
      </c>
    </row>
    <row r="2921" spans="1:46" x14ac:dyDescent="0.25">
      <c r="A2921" t="s">
        <v>1248</v>
      </c>
      <c r="B2921">
        <v>253358</v>
      </c>
      <c r="C2921">
        <v>120008</v>
      </c>
      <c r="D2921">
        <v>405</v>
      </c>
      <c r="E2921" t="s">
        <v>1266</v>
      </c>
      <c r="G2921">
        <v>745</v>
      </c>
      <c r="H2921">
        <v>1830</v>
      </c>
      <c r="K2921" t="s">
        <v>1742</v>
      </c>
      <c r="L2921" t="s">
        <v>1742</v>
      </c>
      <c r="M2921" s="29">
        <v>427142857</v>
      </c>
      <c r="N2921">
        <v>0</v>
      </c>
      <c r="O2921" s="29">
        <v>427142857</v>
      </c>
      <c r="P2921">
        <v>0</v>
      </c>
      <c r="Q2921">
        <v>0</v>
      </c>
      <c r="R2921">
        <v>0</v>
      </c>
      <c r="T2921" s="29">
        <v>621500</v>
      </c>
      <c r="U2921" s="29">
        <v>297325600</v>
      </c>
      <c r="V2921" t="s">
        <v>1262</v>
      </c>
      <c r="W2921" t="s">
        <v>1262</v>
      </c>
      <c r="X2921" s="29">
        <v>297325600</v>
      </c>
      <c r="AA2921" s="30">
        <v>46227.333333333336</v>
      </c>
      <c r="AB2921" s="30">
        <v>46246.708333333336</v>
      </c>
      <c r="AC2921" s="30">
        <v>46227.333333333336</v>
      </c>
      <c r="AD2921" s="30">
        <v>46246.708333333336</v>
      </c>
      <c r="AE2921" s="30">
        <v>46377.333333333336</v>
      </c>
      <c r="AF2921" s="30">
        <v>46399.708333333336</v>
      </c>
      <c r="AG2921" t="s">
        <v>1266</v>
      </c>
      <c r="AK2921" t="s">
        <v>1265</v>
      </c>
      <c r="AL2921" t="s">
        <v>1741</v>
      </c>
      <c r="AM2921" t="s">
        <v>1263</v>
      </c>
      <c r="AN2921" t="s">
        <v>1262</v>
      </c>
      <c r="AO2921">
        <v>0</v>
      </c>
      <c r="AQ2921" t="s">
        <v>1261</v>
      </c>
      <c r="AR2921" t="s">
        <v>1260</v>
      </c>
      <c r="AS2921" t="s">
        <v>1259</v>
      </c>
      <c r="AT2921" s="30">
        <v>46073.384027777778</v>
      </c>
    </row>
    <row r="2922" spans="1:46" x14ac:dyDescent="0.25">
      <c r="A2922" t="s">
        <v>1248</v>
      </c>
      <c r="B2922">
        <v>253359</v>
      </c>
      <c r="C2922">
        <v>119898</v>
      </c>
      <c r="D2922">
        <v>405</v>
      </c>
      <c r="E2922" t="s">
        <v>1266</v>
      </c>
      <c r="G2922">
        <v>745</v>
      </c>
      <c r="H2922">
        <v>1828</v>
      </c>
      <c r="K2922" t="s">
        <v>1694</v>
      </c>
      <c r="L2922" t="s">
        <v>1694</v>
      </c>
      <c r="M2922" t="s">
        <v>1717</v>
      </c>
      <c r="N2922">
        <v>0</v>
      </c>
      <c r="O2922" t="s">
        <v>1717</v>
      </c>
      <c r="P2922">
        <v>0</v>
      </c>
      <c r="Q2922">
        <v>0</v>
      </c>
      <c r="R2922">
        <v>0</v>
      </c>
      <c r="T2922" s="29">
        <v>135235</v>
      </c>
      <c r="U2922" s="29">
        <v>2937304</v>
      </c>
      <c r="V2922" t="s">
        <v>1262</v>
      </c>
      <c r="W2922" t="s">
        <v>1262</v>
      </c>
      <c r="X2922" s="29">
        <v>2937304</v>
      </c>
      <c r="AA2922" s="30">
        <v>46006.333333333336</v>
      </c>
      <c r="AB2922" s="30">
        <v>46021.708333333336</v>
      </c>
      <c r="AC2922" s="30">
        <v>46006.333333333336</v>
      </c>
      <c r="AD2922" s="30">
        <v>46021.708333333336</v>
      </c>
      <c r="AE2922" s="30">
        <v>46006.333333333336</v>
      </c>
      <c r="AF2922" s="30">
        <v>46021.708333333336</v>
      </c>
      <c r="AG2922" t="s">
        <v>1266</v>
      </c>
      <c r="AK2922" t="s">
        <v>1265</v>
      </c>
      <c r="AL2922" t="s">
        <v>1740</v>
      </c>
      <c r="AM2922" t="s">
        <v>1263</v>
      </c>
      <c r="AN2922" t="s">
        <v>1262</v>
      </c>
      <c r="AO2922">
        <v>0</v>
      </c>
      <c r="AQ2922" t="s">
        <v>1261</v>
      </c>
      <c r="AR2922" t="s">
        <v>1260</v>
      </c>
      <c r="AS2922" t="s">
        <v>1259</v>
      </c>
      <c r="AT2922" s="30">
        <v>46073.384027777778</v>
      </c>
    </row>
    <row r="2923" spans="1:46" x14ac:dyDescent="0.25">
      <c r="A2923" t="s">
        <v>1248</v>
      </c>
      <c r="B2923">
        <v>253360</v>
      </c>
      <c r="C2923">
        <v>119899</v>
      </c>
      <c r="D2923">
        <v>405</v>
      </c>
      <c r="E2923" t="s">
        <v>1266</v>
      </c>
      <c r="G2923">
        <v>745</v>
      </c>
      <c r="H2923">
        <v>1828</v>
      </c>
      <c r="K2923" t="s">
        <v>1694</v>
      </c>
      <c r="L2923" t="s">
        <v>1694</v>
      </c>
      <c r="M2923" t="s">
        <v>1717</v>
      </c>
      <c r="N2923">
        <v>0</v>
      </c>
      <c r="O2923" t="s">
        <v>1717</v>
      </c>
      <c r="P2923">
        <v>0</v>
      </c>
      <c r="Q2923">
        <v>0</v>
      </c>
      <c r="R2923">
        <v>0</v>
      </c>
      <c r="T2923" s="29">
        <v>135235</v>
      </c>
      <c r="U2923" s="29">
        <v>2937304</v>
      </c>
      <c r="V2923" t="s">
        <v>1262</v>
      </c>
      <c r="W2923" t="s">
        <v>1262</v>
      </c>
      <c r="X2923" s="29">
        <v>2937304</v>
      </c>
      <c r="AA2923" s="30">
        <v>46022.333333333336</v>
      </c>
      <c r="AB2923" s="30">
        <v>46041.708333333336</v>
      </c>
      <c r="AC2923" s="30">
        <v>46022.333333333336</v>
      </c>
      <c r="AD2923" s="30">
        <v>46041.708333333336</v>
      </c>
      <c r="AE2923" s="30">
        <v>46022.333333333336</v>
      </c>
      <c r="AF2923" s="30">
        <v>46041.708333333336</v>
      </c>
      <c r="AG2923" t="s">
        <v>1266</v>
      </c>
      <c r="AK2923" t="s">
        <v>1265</v>
      </c>
      <c r="AL2923" t="s">
        <v>1739</v>
      </c>
      <c r="AM2923" t="s">
        <v>1263</v>
      </c>
      <c r="AN2923" t="s">
        <v>1262</v>
      </c>
      <c r="AO2923">
        <v>0</v>
      </c>
      <c r="AQ2923" t="s">
        <v>1261</v>
      </c>
      <c r="AR2923" t="s">
        <v>1260</v>
      </c>
      <c r="AS2923" t="s">
        <v>1259</v>
      </c>
      <c r="AT2923" s="30">
        <v>46073.384027777778</v>
      </c>
    </row>
    <row r="2924" spans="1:46" x14ac:dyDescent="0.25">
      <c r="A2924" t="s">
        <v>1248</v>
      </c>
      <c r="B2924">
        <v>253361</v>
      </c>
      <c r="C2924">
        <v>119900</v>
      </c>
      <c r="D2924">
        <v>405</v>
      </c>
      <c r="E2924" t="s">
        <v>1266</v>
      </c>
      <c r="G2924">
        <v>745</v>
      </c>
      <c r="H2924">
        <v>1828</v>
      </c>
      <c r="K2924" t="s">
        <v>1694</v>
      </c>
      <c r="L2924" t="s">
        <v>1694</v>
      </c>
      <c r="M2924" t="s">
        <v>1717</v>
      </c>
      <c r="N2924">
        <v>0</v>
      </c>
      <c r="O2924" t="s">
        <v>1717</v>
      </c>
      <c r="P2924">
        <v>0</v>
      </c>
      <c r="Q2924">
        <v>0</v>
      </c>
      <c r="R2924">
        <v>0</v>
      </c>
      <c r="T2924" s="29">
        <v>135235</v>
      </c>
      <c r="U2924" s="29">
        <v>2937304</v>
      </c>
      <c r="V2924" t="s">
        <v>1262</v>
      </c>
      <c r="W2924" t="s">
        <v>1262</v>
      </c>
      <c r="X2924" s="29">
        <v>2937304</v>
      </c>
      <c r="AA2924" s="30">
        <v>46042.333333333336</v>
      </c>
      <c r="AB2924" s="30">
        <v>46057.708333333336</v>
      </c>
      <c r="AC2924" s="30">
        <v>46042.333333333336</v>
      </c>
      <c r="AD2924" s="30">
        <v>46057.708333333336</v>
      </c>
      <c r="AE2924" s="30">
        <v>46042.333333333336</v>
      </c>
      <c r="AF2924" s="30">
        <v>46057.708333333336</v>
      </c>
      <c r="AG2924" t="s">
        <v>1266</v>
      </c>
      <c r="AK2924" t="s">
        <v>1265</v>
      </c>
      <c r="AL2924" t="s">
        <v>1738</v>
      </c>
      <c r="AM2924" t="s">
        <v>1263</v>
      </c>
      <c r="AN2924" t="s">
        <v>1262</v>
      </c>
      <c r="AO2924">
        <v>0</v>
      </c>
      <c r="AQ2924" t="s">
        <v>1261</v>
      </c>
      <c r="AR2924" t="s">
        <v>1260</v>
      </c>
      <c r="AS2924" t="s">
        <v>1259</v>
      </c>
      <c r="AT2924" s="30">
        <v>46073.384027777778</v>
      </c>
    </row>
    <row r="2925" spans="1:46" x14ac:dyDescent="0.25">
      <c r="A2925" t="s">
        <v>1248</v>
      </c>
      <c r="B2925">
        <v>253362</v>
      </c>
      <c r="C2925">
        <v>119901</v>
      </c>
      <c r="D2925">
        <v>405</v>
      </c>
      <c r="E2925" t="s">
        <v>1266</v>
      </c>
      <c r="G2925">
        <v>745</v>
      </c>
      <c r="H2925">
        <v>1828</v>
      </c>
      <c r="K2925" t="s">
        <v>1694</v>
      </c>
      <c r="L2925" t="s">
        <v>1694</v>
      </c>
      <c r="M2925" t="s">
        <v>1717</v>
      </c>
      <c r="N2925">
        <v>0</v>
      </c>
      <c r="O2925" t="s">
        <v>1717</v>
      </c>
      <c r="P2925">
        <v>0</v>
      </c>
      <c r="Q2925">
        <v>0</v>
      </c>
      <c r="R2925">
        <v>0</v>
      </c>
      <c r="T2925" s="29">
        <v>135235</v>
      </c>
      <c r="U2925" s="29">
        <v>2937304</v>
      </c>
      <c r="V2925" t="s">
        <v>1262</v>
      </c>
      <c r="W2925" t="s">
        <v>1262</v>
      </c>
      <c r="X2925" s="29">
        <v>2937304</v>
      </c>
      <c r="AA2925" s="30">
        <v>46058.333333333336</v>
      </c>
      <c r="AB2925" s="30">
        <v>46073.708333333336</v>
      </c>
      <c r="AC2925" s="30">
        <v>46058.333333333336</v>
      </c>
      <c r="AD2925" s="30">
        <v>46073.708333333336</v>
      </c>
      <c r="AE2925" s="30">
        <v>46058.333333333336</v>
      </c>
      <c r="AF2925" s="30">
        <v>46073.708333333336</v>
      </c>
      <c r="AG2925" t="s">
        <v>1266</v>
      </c>
      <c r="AK2925" t="s">
        <v>1265</v>
      </c>
      <c r="AL2925" t="s">
        <v>1737</v>
      </c>
      <c r="AM2925" t="s">
        <v>1263</v>
      </c>
      <c r="AN2925" t="s">
        <v>1262</v>
      </c>
      <c r="AO2925">
        <v>0</v>
      </c>
      <c r="AQ2925" t="s">
        <v>1261</v>
      </c>
      <c r="AR2925" t="s">
        <v>1260</v>
      </c>
      <c r="AS2925" t="s">
        <v>1259</v>
      </c>
      <c r="AT2925" s="30">
        <v>46073.384027777778</v>
      </c>
    </row>
    <row r="2926" spans="1:46" x14ac:dyDescent="0.25">
      <c r="A2926" t="s">
        <v>1248</v>
      </c>
      <c r="B2926">
        <v>253363</v>
      </c>
      <c r="C2926">
        <v>119902</v>
      </c>
      <c r="D2926">
        <v>405</v>
      </c>
      <c r="E2926" t="s">
        <v>1266</v>
      </c>
      <c r="G2926">
        <v>745</v>
      </c>
      <c r="H2926">
        <v>1828</v>
      </c>
      <c r="K2926" t="s">
        <v>1694</v>
      </c>
      <c r="L2926" t="s">
        <v>1694</v>
      </c>
      <c r="M2926" t="s">
        <v>1717</v>
      </c>
      <c r="N2926">
        <v>0</v>
      </c>
      <c r="O2926" t="s">
        <v>1717</v>
      </c>
      <c r="P2926">
        <v>0</v>
      </c>
      <c r="Q2926">
        <v>0</v>
      </c>
      <c r="R2926">
        <v>0</v>
      </c>
      <c r="T2926" s="29">
        <v>135235</v>
      </c>
      <c r="U2926" s="29">
        <v>2937304</v>
      </c>
      <c r="V2926" t="s">
        <v>1262</v>
      </c>
      <c r="W2926" t="s">
        <v>1262</v>
      </c>
      <c r="X2926" s="29">
        <v>2937304</v>
      </c>
      <c r="AA2926" s="30">
        <v>46076.333333333336</v>
      </c>
      <c r="AB2926" s="30">
        <v>46091.708333333336</v>
      </c>
      <c r="AC2926" s="30">
        <v>46076.333333333336</v>
      </c>
      <c r="AD2926" s="30">
        <v>46091.708333333336</v>
      </c>
      <c r="AE2926" s="30">
        <v>46076.333333333336</v>
      </c>
      <c r="AF2926" s="30">
        <v>46091.708333333336</v>
      </c>
      <c r="AG2926" t="s">
        <v>1266</v>
      </c>
      <c r="AK2926" t="s">
        <v>1265</v>
      </c>
      <c r="AL2926" t="s">
        <v>1736</v>
      </c>
      <c r="AM2926" t="s">
        <v>1263</v>
      </c>
      <c r="AN2926" t="s">
        <v>1262</v>
      </c>
      <c r="AO2926">
        <v>0</v>
      </c>
      <c r="AQ2926" t="s">
        <v>1261</v>
      </c>
      <c r="AR2926" t="s">
        <v>1260</v>
      </c>
      <c r="AS2926" t="s">
        <v>1259</v>
      </c>
      <c r="AT2926" s="30">
        <v>46073.384027777778</v>
      </c>
    </row>
    <row r="2927" spans="1:46" x14ac:dyDescent="0.25">
      <c r="A2927" t="s">
        <v>1248</v>
      </c>
      <c r="B2927">
        <v>253364</v>
      </c>
      <c r="C2927">
        <v>119903</v>
      </c>
      <c r="D2927">
        <v>405</v>
      </c>
      <c r="E2927" t="s">
        <v>1266</v>
      </c>
      <c r="G2927">
        <v>745</v>
      </c>
      <c r="H2927">
        <v>1828</v>
      </c>
      <c r="K2927" t="s">
        <v>1694</v>
      </c>
      <c r="L2927" t="s">
        <v>1694</v>
      </c>
      <c r="M2927" t="s">
        <v>1717</v>
      </c>
      <c r="N2927">
        <v>0</v>
      </c>
      <c r="O2927" t="s">
        <v>1717</v>
      </c>
      <c r="P2927">
        <v>0</v>
      </c>
      <c r="Q2927">
        <v>0</v>
      </c>
      <c r="R2927">
        <v>0</v>
      </c>
      <c r="T2927" s="29">
        <v>135235</v>
      </c>
      <c r="U2927" s="29">
        <v>2937304</v>
      </c>
      <c r="V2927" t="s">
        <v>1262</v>
      </c>
      <c r="W2927" t="s">
        <v>1262</v>
      </c>
      <c r="X2927" s="29">
        <v>2937304</v>
      </c>
      <c r="AA2927" s="30">
        <v>46092.333333333336</v>
      </c>
      <c r="AB2927" s="30">
        <v>46107.708333333336</v>
      </c>
      <c r="AC2927" s="30">
        <v>46092.333333333336</v>
      </c>
      <c r="AD2927" s="30">
        <v>46107.708333333336</v>
      </c>
      <c r="AE2927" s="30">
        <v>46092.333333333336</v>
      </c>
      <c r="AF2927" s="30">
        <v>46107.708333333336</v>
      </c>
      <c r="AG2927" t="s">
        <v>1266</v>
      </c>
      <c r="AK2927" t="s">
        <v>1265</v>
      </c>
      <c r="AL2927" t="s">
        <v>1735</v>
      </c>
      <c r="AM2927" t="s">
        <v>1263</v>
      </c>
      <c r="AN2927" t="s">
        <v>1262</v>
      </c>
      <c r="AO2927">
        <v>0</v>
      </c>
      <c r="AQ2927" t="s">
        <v>1261</v>
      </c>
      <c r="AR2927" t="s">
        <v>1260</v>
      </c>
      <c r="AS2927" t="s">
        <v>1259</v>
      </c>
      <c r="AT2927" s="30">
        <v>46073.384027777778</v>
      </c>
    </row>
    <row r="2928" spans="1:46" x14ac:dyDescent="0.25">
      <c r="A2928" t="s">
        <v>1248</v>
      </c>
      <c r="B2928">
        <v>253365</v>
      </c>
      <c r="C2928">
        <v>119904</v>
      </c>
      <c r="D2928">
        <v>405</v>
      </c>
      <c r="E2928" t="s">
        <v>1266</v>
      </c>
      <c r="G2928">
        <v>745</v>
      </c>
      <c r="H2928">
        <v>1828</v>
      </c>
      <c r="K2928" t="s">
        <v>1694</v>
      </c>
      <c r="L2928" t="s">
        <v>1694</v>
      </c>
      <c r="M2928" t="s">
        <v>1717</v>
      </c>
      <c r="N2928">
        <v>0</v>
      </c>
      <c r="O2928" t="s">
        <v>1717</v>
      </c>
      <c r="P2928">
        <v>0</v>
      </c>
      <c r="Q2928">
        <v>0</v>
      </c>
      <c r="R2928">
        <v>0</v>
      </c>
      <c r="T2928" s="29">
        <v>135235</v>
      </c>
      <c r="U2928" s="29">
        <v>2937304</v>
      </c>
      <c r="V2928" t="s">
        <v>1262</v>
      </c>
      <c r="W2928" t="s">
        <v>1262</v>
      </c>
      <c r="X2928" s="29">
        <v>2937304</v>
      </c>
      <c r="AA2928" s="30">
        <v>46108.333333333336</v>
      </c>
      <c r="AB2928" s="30">
        <v>46126.708333333336</v>
      </c>
      <c r="AC2928" s="30">
        <v>46108.333333333336</v>
      </c>
      <c r="AD2928" s="30">
        <v>46126.708333333336</v>
      </c>
      <c r="AE2928" s="30">
        <v>46108.333333333336</v>
      </c>
      <c r="AF2928" s="30">
        <v>46126.708333333336</v>
      </c>
      <c r="AG2928" t="s">
        <v>1266</v>
      </c>
      <c r="AK2928" t="s">
        <v>1265</v>
      </c>
      <c r="AL2928" t="s">
        <v>1734</v>
      </c>
      <c r="AM2928" t="s">
        <v>1263</v>
      </c>
      <c r="AN2928" t="s">
        <v>1262</v>
      </c>
      <c r="AO2928">
        <v>0</v>
      </c>
      <c r="AQ2928" t="s">
        <v>1261</v>
      </c>
      <c r="AR2928" t="s">
        <v>1260</v>
      </c>
      <c r="AS2928" t="s">
        <v>1259</v>
      </c>
      <c r="AT2928" s="30">
        <v>46073.384027777778</v>
      </c>
    </row>
    <row r="2929" spans="1:46" x14ac:dyDescent="0.25">
      <c r="A2929" t="s">
        <v>1248</v>
      </c>
      <c r="B2929">
        <v>253366</v>
      </c>
      <c r="C2929">
        <v>119905</v>
      </c>
      <c r="D2929">
        <v>405</v>
      </c>
      <c r="E2929" t="s">
        <v>1266</v>
      </c>
      <c r="G2929">
        <v>745</v>
      </c>
      <c r="H2929">
        <v>1828</v>
      </c>
      <c r="K2929" t="s">
        <v>1694</v>
      </c>
      <c r="L2929" t="s">
        <v>1694</v>
      </c>
      <c r="M2929" t="s">
        <v>1717</v>
      </c>
      <c r="N2929">
        <v>0</v>
      </c>
      <c r="O2929" t="s">
        <v>1717</v>
      </c>
      <c r="P2929">
        <v>0</v>
      </c>
      <c r="Q2929">
        <v>0</v>
      </c>
      <c r="R2929">
        <v>0</v>
      </c>
      <c r="T2929" s="29">
        <v>135235</v>
      </c>
      <c r="U2929" s="29">
        <v>2937304</v>
      </c>
      <c r="V2929" t="s">
        <v>1262</v>
      </c>
      <c r="W2929" t="s">
        <v>1262</v>
      </c>
      <c r="X2929" s="29">
        <v>2937304</v>
      </c>
      <c r="AA2929" s="30">
        <v>46127.333333333336</v>
      </c>
      <c r="AB2929" s="30">
        <v>46142.708333333336</v>
      </c>
      <c r="AC2929" s="30">
        <v>46127.333333333336</v>
      </c>
      <c r="AD2929" s="30">
        <v>46142.708333333336</v>
      </c>
      <c r="AE2929" s="30">
        <v>46127.333333333336</v>
      </c>
      <c r="AF2929" s="30">
        <v>46142.708333333336</v>
      </c>
      <c r="AG2929" t="s">
        <v>1266</v>
      </c>
      <c r="AK2929" t="s">
        <v>1265</v>
      </c>
      <c r="AL2929" t="s">
        <v>1733</v>
      </c>
      <c r="AM2929" t="s">
        <v>1263</v>
      </c>
      <c r="AN2929" t="s">
        <v>1262</v>
      </c>
      <c r="AO2929">
        <v>0</v>
      </c>
      <c r="AQ2929" t="s">
        <v>1261</v>
      </c>
      <c r="AR2929" t="s">
        <v>1260</v>
      </c>
      <c r="AS2929" t="s">
        <v>1259</v>
      </c>
      <c r="AT2929" s="30">
        <v>46073.384027777778</v>
      </c>
    </row>
    <row r="2930" spans="1:46" x14ac:dyDescent="0.25">
      <c r="A2930" t="s">
        <v>1248</v>
      </c>
      <c r="B2930">
        <v>253367</v>
      </c>
      <c r="C2930">
        <v>119906</v>
      </c>
      <c r="D2930">
        <v>405</v>
      </c>
      <c r="E2930" t="s">
        <v>1266</v>
      </c>
      <c r="G2930">
        <v>745</v>
      </c>
      <c r="H2930">
        <v>1828</v>
      </c>
      <c r="K2930" t="s">
        <v>1694</v>
      </c>
      <c r="L2930" t="s">
        <v>1694</v>
      </c>
      <c r="M2930" t="s">
        <v>1717</v>
      </c>
      <c r="N2930">
        <v>0</v>
      </c>
      <c r="O2930" t="s">
        <v>1717</v>
      </c>
      <c r="P2930">
        <v>0</v>
      </c>
      <c r="Q2930">
        <v>0</v>
      </c>
      <c r="R2930">
        <v>0</v>
      </c>
      <c r="T2930" s="29">
        <v>135235</v>
      </c>
      <c r="U2930" s="29">
        <v>2937304</v>
      </c>
      <c r="V2930" t="s">
        <v>1262</v>
      </c>
      <c r="W2930" t="s">
        <v>1262</v>
      </c>
      <c r="X2930" s="29">
        <v>2937304</v>
      </c>
      <c r="AA2930" s="30">
        <v>46146.333333333336</v>
      </c>
      <c r="AB2930" s="30">
        <v>46161.708333333336</v>
      </c>
      <c r="AC2930" s="30">
        <v>46146.333333333336</v>
      </c>
      <c r="AD2930" s="30">
        <v>46161.708333333336</v>
      </c>
      <c r="AE2930" s="30">
        <v>46146.333333333336</v>
      </c>
      <c r="AF2930" s="30">
        <v>46161.708333333336</v>
      </c>
      <c r="AG2930" t="s">
        <v>1266</v>
      </c>
      <c r="AK2930" t="s">
        <v>1265</v>
      </c>
      <c r="AL2930" t="s">
        <v>1732</v>
      </c>
      <c r="AM2930" t="s">
        <v>1263</v>
      </c>
      <c r="AN2930" t="s">
        <v>1262</v>
      </c>
      <c r="AO2930">
        <v>0</v>
      </c>
      <c r="AQ2930" t="s">
        <v>1261</v>
      </c>
      <c r="AR2930" t="s">
        <v>1260</v>
      </c>
      <c r="AS2930" t="s">
        <v>1259</v>
      </c>
      <c r="AT2930" s="30">
        <v>46073.384027777778</v>
      </c>
    </row>
    <row r="2931" spans="1:46" x14ac:dyDescent="0.25">
      <c r="A2931" t="s">
        <v>1248</v>
      </c>
      <c r="B2931">
        <v>253368</v>
      </c>
      <c r="C2931">
        <v>119907</v>
      </c>
      <c r="D2931">
        <v>405</v>
      </c>
      <c r="E2931" t="s">
        <v>1266</v>
      </c>
      <c r="G2931">
        <v>745</v>
      </c>
      <c r="H2931">
        <v>1828</v>
      </c>
      <c r="K2931" t="s">
        <v>1694</v>
      </c>
      <c r="L2931" t="s">
        <v>1694</v>
      </c>
      <c r="M2931" t="s">
        <v>1717</v>
      </c>
      <c r="N2931">
        <v>0</v>
      </c>
      <c r="O2931" t="s">
        <v>1717</v>
      </c>
      <c r="P2931">
        <v>0</v>
      </c>
      <c r="Q2931">
        <v>0</v>
      </c>
      <c r="R2931">
        <v>0</v>
      </c>
      <c r="T2931" s="29">
        <v>135235</v>
      </c>
      <c r="U2931" s="29">
        <v>2937304</v>
      </c>
      <c r="V2931" t="s">
        <v>1262</v>
      </c>
      <c r="W2931" t="s">
        <v>1262</v>
      </c>
      <c r="X2931" s="29">
        <v>2937304</v>
      </c>
      <c r="AA2931" s="30">
        <v>46162.333333333336</v>
      </c>
      <c r="AB2931" s="30">
        <v>46178.708333333336</v>
      </c>
      <c r="AC2931" s="30">
        <v>46162.333333333336</v>
      </c>
      <c r="AD2931" s="30">
        <v>46178.708333333336</v>
      </c>
      <c r="AE2931" s="30">
        <v>46162.333333333336</v>
      </c>
      <c r="AF2931" s="30">
        <v>46178.708333333336</v>
      </c>
      <c r="AG2931" t="s">
        <v>1266</v>
      </c>
      <c r="AK2931" t="s">
        <v>1265</v>
      </c>
      <c r="AL2931" t="s">
        <v>1731</v>
      </c>
      <c r="AM2931" t="s">
        <v>1263</v>
      </c>
      <c r="AN2931" t="s">
        <v>1262</v>
      </c>
      <c r="AO2931">
        <v>0</v>
      </c>
      <c r="AQ2931" t="s">
        <v>1261</v>
      </c>
      <c r="AR2931" t="s">
        <v>1260</v>
      </c>
      <c r="AS2931" t="s">
        <v>1259</v>
      </c>
      <c r="AT2931" s="30">
        <v>46073.384027777778</v>
      </c>
    </row>
    <row r="2932" spans="1:46" x14ac:dyDescent="0.25">
      <c r="A2932" t="s">
        <v>1248</v>
      </c>
      <c r="B2932">
        <v>253369</v>
      </c>
      <c r="C2932">
        <v>119908</v>
      </c>
      <c r="D2932">
        <v>405</v>
      </c>
      <c r="E2932" t="s">
        <v>1266</v>
      </c>
      <c r="G2932">
        <v>745</v>
      </c>
      <c r="H2932">
        <v>1828</v>
      </c>
      <c r="K2932" t="s">
        <v>1694</v>
      </c>
      <c r="L2932" t="s">
        <v>1694</v>
      </c>
      <c r="M2932" t="s">
        <v>1717</v>
      </c>
      <c r="N2932">
        <v>0</v>
      </c>
      <c r="O2932" t="s">
        <v>1717</v>
      </c>
      <c r="P2932">
        <v>0</v>
      </c>
      <c r="Q2932">
        <v>0</v>
      </c>
      <c r="R2932">
        <v>0</v>
      </c>
      <c r="T2932" s="29">
        <v>135235</v>
      </c>
      <c r="U2932" s="29">
        <v>2937304</v>
      </c>
      <c r="V2932" t="s">
        <v>1262</v>
      </c>
      <c r="W2932" t="s">
        <v>1262</v>
      </c>
      <c r="X2932" s="29">
        <v>2937304</v>
      </c>
      <c r="AA2932" s="30">
        <v>46181.333333333336</v>
      </c>
      <c r="AB2932" s="30">
        <v>46196.708333333336</v>
      </c>
      <c r="AC2932" s="30">
        <v>46181.333333333336</v>
      </c>
      <c r="AD2932" s="30">
        <v>46196.708333333336</v>
      </c>
      <c r="AE2932" s="30">
        <v>46181.333333333336</v>
      </c>
      <c r="AF2932" s="30">
        <v>46196.708333333336</v>
      </c>
      <c r="AG2932" t="s">
        <v>1266</v>
      </c>
      <c r="AK2932" t="s">
        <v>1265</v>
      </c>
      <c r="AL2932" t="s">
        <v>1730</v>
      </c>
      <c r="AM2932" t="s">
        <v>1263</v>
      </c>
      <c r="AN2932" t="s">
        <v>1262</v>
      </c>
      <c r="AO2932">
        <v>0</v>
      </c>
      <c r="AQ2932" t="s">
        <v>1261</v>
      </c>
      <c r="AR2932" t="s">
        <v>1260</v>
      </c>
      <c r="AS2932" t="s">
        <v>1259</v>
      </c>
      <c r="AT2932" s="30">
        <v>46073.384027777778</v>
      </c>
    </row>
    <row r="2933" spans="1:46" x14ac:dyDescent="0.25">
      <c r="A2933" t="s">
        <v>1248</v>
      </c>
      <c r="B2933">
        <v>253370</v>
      </c>
      <c r="C2933">
        <v>119909</v>
      </c>
      <c r="D2933">
        <v>405</v>
      </c>
      <c r="E2933" t="s">
        <v>1266</v>
      </c>
      <c r="G2933">
        <v>745</v>
      </c>
      <c r="H2933">
        <v>1828</v>
      </c>
      <c r="K2933" t="s">
        <v>1694</v>
      </c>
      <c r="L2933" t="s">
        <v>1694</v>
      </c>
      <c r="M2933" t="s">
        <v>1717</v>
      </c>
      <c r="N2933">
        <v>0</v>
      </c>
      <c r="O2933" t="s">
        <v>1717</v>
      </c>
      <c r="P2933">
        <v>0</v>
      </c>
      <c r="Q2933">
        <v>0</v>
      </c>
      <c r="R2933">
        <v>0</v>
      </c>
      <c r="T2933" s="29">
        <v>135235</v>
      </c>
      <c r="U2933" s="29">
        <v>2937304</v>
      </c>
      <c r="V2933" t="s">
        <v>1262</v>
      </c>
      <c r="W2933" t="s">
        <v>1262</v>
      </c>
      <c r="X2933" s="29">
        <v>2937304</v>
      </c>
      <c r="AA2933" s="30">
        <v>46197.333333333336</v>
      </c>
      <c r="AB2933" s="30">
        <v>46212.708333333336</v>
      </c>
      <c r="AC2933" s="30">
        <v>46197.333333333336</v>
      </c>
      <c r="AD2933" s="30">
        <v>46212.708333333336</v>
      </c>
      <c r="AE2933" s="30">
        <v>46197.333333333336</v>
      </c>
      <c r="AF2933" s="30">
        <v>46212.708333333336</v>
      </c>
      <c r="AG2933" t="s">
        <v>1266</v>
      </c>
      <c r="AK2933" t="s">
        <v>1265</v>
      </c>
      <c r="AL2933" t="s">
        <v>1729</v>
      </c>
      <c r="AM2933" t="s">
        <v>1263</v>
      </c>
      <c r="AN2933" t="s">
        <v>1262</v>
      </c>
      <c r="AO2933">
        <v>0</v>
      </c>
      <c r="AQ2933" t="s">
        <v>1261</v>
      </c>
      <c r="AR2933" t="s">
        <v>1260</v>
      </c>
      <c r="AS2933" t="s">
        <v>1259</v>
      </c>
      <c r="AT2933" s="30">
        <v>46073.384027777778</v>
      </c>
    </row>
    <row r="2934" spans="1:46" x14ac:dyDescent="0.25">
      <c r="A2934" t="s">
        <v>1248</v>
      </c>
      <c r="B2934">
        <v>253371</v>
      </c>
      <c r="C2934">
        <v>119910</v>
      </c>
      <c r="D2934">
        <v>405</v>
      </c>
      <c r="E2934" t="s">
        <v>1266</v>
      </c>
      <c r="G2934">
        <v>745</v>
      </c>
      <c r="H2934">
        <v>1828</v>
      </c>
      <c r="K2934" t="s">
        <v>1694</v>
      </c>
      <c r="L2934" t="s">
        <v>1694</v>
      </c>
      <c r="M2934" t="s">
        <v>1717</v>
      </c>
      <c r="N2934">
        <v>0</v>
      </c>
      <c r="O2934" t="s">
        <v>1717</v>
      </c>
      <c r="P2934">
        <v>0</v>
      </c>
      <c r="Q2934">
        <v>0</v>
      </c>
      <c r="R2934">
        <v>0</v>
      </c>
      <c r="T2934" s="29">
        <v>135235</v>
      </c>
      <c r="U2934" s="29">
        <v>2937304</v>
      </c>
      <c r="V2934" t="s">
        <v>1262</v>
      </c>
      <c r="W2934" t="s">
        <v>1262</v>
      </c>
      <c r="X2934" s="29">
        <v>2937304</v>
      </c>
      <c r="AA2934" s="30">
        <v>46213.333333333336</v>
      </c>
      <c r="AB2934" s="30">
        <v>46230.708333333336</v>
      </c>
      <c r="AC2934" s="30">
        <v>46213.333333333336</v>
      </c>
      <c r="AD2934" s="30">
        <v>46230.708333333336</v>
      </c>
      <c r="AE2934" s="30">
        <v>46213.333333333336</v>
      </c>
      <c r="AF2934" s="30">
        <v>46230.708333333336</v>
      </c>
      <c r="AG2934" t="s">
        <v>1266</v>
      </c>
      <c r="AK2934" t="s">
        <v>1265</v>
      </c>
      <c r="AL2934" t="s">
        <v>1728</v>
      </c>
      <c r="AM2934" t="s">
        <v>1263</v>
      </c>
      <c r="AN2934" t="s">
        <v>1262</v>
      </c>
      <c r="AO2934">
        <v>0</v>
      </c>
      <c r="AQ2934" t="s">
        <v>1261</v>
      </c>
      <c r="AR2934" t="s">
        <v>1260</v>
      </c>
      <c r="AS2934" t="s">
        <v>1259</v>
      </c>
      <c r="AT2934" s="30">
        <v>46073.384027777778</v>
      </c>
    </row>
    <row r="2935" spans="1:46" x14ac:dyDescent="0.25">
      <c r="A2935" t="s">
        <v>1248</v>
      </c>
      <c r="B2935">
        <v>253372</v>
      </c>
      <c r="C2935">
        <v>119911</v>
      </c>
      <c r="D2935">
        <v>405</v>
      </c>
      <c r="E2935" t="s">
        <v>1266</v>
      </c>
      <c r="G2935">
        <v>745</v>
      </c>
      <c r="H2935">
        <v>1828</v>
      </c>
      <c r="K2935" t="s">
        <v>1694</v>
      </c>
      <c r="L2935" t="s">
        <v>1694</v>
      </c>
      <c r="M2935" t="s">
        <v>1717</v>
      </c>
      <c r="N2935">
        <v>0</v>
      </c>
      <c r="O2935" t="s">
        <v>1717</v>
      </c>
      <c r="P2935">
        <v>0</v>
      </c>
      <c r="Q2935">
        <v>0</v>
      </c>
      <c r="R2935">
        <v>0</v>
      </c>
      <c r="T2935" s="29">
        <v>135235</v>
      </c>
      <c r="U2935" s="29">
        <v>2937304</v>
      </c>
      <c r="V2935" t="s">
        <v>1262</v>
      </c>
      <c r="W2935" t="s">
        <v>1262</v>
      </c>
      <c r="X2935" s="29">
        <v>2937304</v>
      </c>
      <c r="AA2935" s="30">
        <v>46231.333333333336</v>
      </c>
      <c r="AB2935" s="30">
        <v>46246.708333333336</v>
      </c>
      <c r="AC2935" s="30">
        <v>46231.333333333336</v>
      </c>
      <c r="AD2935" s="30">
        <v>46246.708333333336</v>
      </c>
      <c r="AE2935" s="30">
        <v>46231.333333333336</v>
      </c>
      <c r="AF2935" s="30">
        <v>46246.708333333336</v>
      </c>
      <c r="AG2935" t="s">
        <v>1266</v>
      </c>
      <c r="AK2935" t="s">
        <v>1265</v>
      </c>
      <c r="AL2935" t="s">
        <v>1727</v>
      </c>
      <c r="AM2935" t="s">
        <v>1263</v>
      </c>
      <c r="AN2935" t="s">
        <v>1262</v>
      </c>
      <c r="AO2935">
        <v>0</v>
      </c>
      <c r="AQ2935" t="s">
        <v>1261</v>
      </c>
      <c r="AR2935" t="s">
        <v>1260</v>
      </c>
      <c r="AS2935" t="s">
        <v>1259</v>
      </c>
      <c r="AT2935" s="30">
        <v>46073.384027777778</v>
      </c>
    </row>
    <row r="2936" spans="1:46" x14ac:dyDescent="0.25">
      <c r="A2936" t="s">
        <v>1248</v>
      </c>
      <c r="B2936">
        <v>253373</v>
      </c>
      <c r="C2936">
        <v>119912</v>
      </c>
      <c r="D2936">
        <v>405</v>
      </c>
      <c r="E2936" t="s">
        <v>1266</v>
      </c>
      <c r="G2936">
        <v>745</v>
      </c>
      <c r="H2936">
        <v>1828</v>
      </c>
      <c r="K2936" t="s">
        <v>1694</v>
      </c>
      <c r="L2936" t="s">
        <v>1694</v>
      </c>
      <c r="M2936" t="s">
        <v>1717</v>
      </c>
      <c r="N2936">
        <v>0</v>
      </c>
      <c r="O2936" t="s">
        <v>1717</v>
      </c>
      <c r="P2936">
        <v>0</v>
      </c>
      <c r="Q2936">
        <v>0</v>
      </c>
      <c r="R2936">
        <v>0</v>
      </c>
      <c r="T2936" s="29">
        <v>135235</v>
      </c>
      <c r="U2936" s="29">
        <v>2937304</v>
      </c>
      <c r="V2936" t="s">
        <v>1262</v>
      </c>
      <c r="W2936" t="s">
        <v>1262</v>
      </c>
      <c r="X2936" s="29">
        <v>2937304</v>
      </c>
      <c r="AA2936" s="30">
        <v>46247.333333333336</v>
      </c>
      <c r="AB2936" s="30">
        <v>46262.708333333336</v>
      </c>
      <c r="AC2936" s="30">
        <v>46247.333333333336</v>
      </c>
      <c r="AD2936" s="30">
        <v>46262.708333333336</v>
      </c>
      <c r="AE2936" s="30">
        <v>46247.333333333336</v>
      </c>
      <c r="AF2936" s="30">
        <v>46262.708333333336</v>
      </c>
      <c r="AG2936" t="s">
        <v>1266</v>
      </c>
      <c r="AK2936" t="s">
        <v>1265</v>
      </c>
      <c r="AL2936" t="s">
        <v>1726</v>
      </c>
      <c r="AM2936" t="s">
        <v>1263</v>
      </c>
      <c r="AN2936" t="s">
        <v>1262</v>
      </c>
      <c r="AO2936">
        <v>0</v>
      </c>
      <c r="AQ2936" t="s">
        <v>1261</v>
      </c>
      <c r="AR2936" t="s">
        <v>1260</v>
      </c>
      <c r="AS2936" t="s">
        <v>1259</v>
      </c>
      <c r="AT2936" s="30">
        <v>46073.384027777778</v>
      </c>
    </row>
    <row r="2937" spans="1:46" x14ac:dyDescent="0.25">
      <c r="A2937" t="s">
        <v>1248</v>
      </c>
      <c r="B2937">
        <v>253374</v>
      </c>
      <c r="C2937">
        <v>119913</v>
      </c>
      <c r="D2937">
        <v>405</v>
      </c>
      <c r="E2937" t="s">
        <v>1266</v>
      </c>
      <c r="G2937">
        <v>745</v>
      </c>
      <c r="H2937">
        <v>1828</v>
      </c>
      <c r="K2937" t="s">
        <v>1694</v>
      </c>
      <c r="L2937" t="s">
        <v>1694</v>
      </c>
      <c r="M2937" t="s">
        <v>1717</v>
      </c>
      <c r="N2937">
        <v>0</v>
      </c>
      <c r="O2937" t="s">
        <v>1717</v>
      </c>
      <c r="P2937">
        <v>0</v>
      </c>
      <c r="Q2937">
        <v>0</v>
      </c>
      <c r="R2937">
        <v>0</v>
      </c>
      <c r="T2937" s="29">
        <v>135235</v>
      </c>
      <c r="U2937" s="29">
        <v>2937304</v>
      </c>
      <c r="V2937" t="s">
        <v>1262</v>
      </c>
      <c r="W2937" t="s">
        <v>1262</v>
      </c>
      <c r="X2937" s="29">
        <v>2937304</v>
      </c>
      <c r="AA2937" s="30">
        <v>46265.333333333336</v>
      </c>
      <c r="AB2937" s="30">
        <v>46280.708333333336</v>
      </c>
      <c r="AC2937" s="30">
        <v>46265.333333333336</v>
      </c>
      <c r="AD2937" s="30">
        <v>46280.708333333336</v>
      </c>
      <c r="AE2937" s="30">
        <v>46265.333333333336</v>
      </c>
      <c r="AF2937" s="30">
        <v>46280.708333333336</v>
      </c>
      <c r="AG2937" t="s">
        <v>1266</v>
      </c>
      <c r="AK2937" t="s">
        <v>1265</v>
      </c>
      <c r="AL2937" t="e">
        <f>+lA/SuxhnU2/RjyJ0iAa7A</f>
        <v>#NAME?</v>
      </c>
      <c r="AM2937" t="s">
        <v>1263</v>
      </c>
      <c r="AN2937" t="s">
        <v>1262</v>
      </c>
      <c r="AO2937">
        <v>0</v>
      </c>
      <c r="AQ2937" t="s">
        <v>1261</v>
      </c>
      <c r="AR2937" t="s">
        <v>1260</v>
      </c>
      <c r="AS2937" t="s">
        <v>1259</v>
      </c>
      <c r="AT2937" s="30">
        <v>46073.384027777778</v>
      </c>
    </row>
    <row r="2938" spans="1:46" x14ac:dyDescent="0.25">
      <c r="A2938" t="s">
        <v>1248</v>
      </c>
      <c r="B2938">
        <v>253375</v>
      </c>
      <c r="C2938">
        <v>119914</v>
      </c>
      <c r="D2938">
        <v>405</v>
      </c>
      <c r="E2938" t="s">
        <v>1266</v>
      </c>
      <c r="G2938">
        <v>745</v>
      </c>
      <c r="H2938">
        <v>1828</v>
      </c>
      <c r="K2938" t="s">
        <v>1694</v>
      </c>
      <c r="L2938" t="s">
        <v>1694</v>
      </c>
      <c r="M2938" t="s">
        <v>1717</v>
      </c>
      <c r="N2938">
        <v>0</v>
      </c>
      <c r="O2938" t="s">
        <v>1717</v>
      </c>
      <c r="P2938">
        <v>0</v>
      </c>
      <c r="Q2938">
        <v>0</v>
      </c>
      <c r="R2938">
        <v>0</v>
      </c>
      <c r="T2938" s="29">
        <v>135235</v>
      </c>
      <c r="U2938" s="29">
        <v>2937304</v>
      </c>
      <c r="V2938" t="s">
        <v>1262</v>
      </c>
      <c r="W2938" t="s">
        <v>1262</v>
      </c>
      <c r="X2938" s="29">
        <v>2937304</v>
      </c>
      <c r="AA2938" s="30">
        <v>46281.333333333336</v>
      </c>
      <c r="AB2938" s="30">
        <v>46296.708333333336</v>
      </c>
      <c r="AC2938" s="30">
        <v>46281.333333333336</v>
      </c>
      <c r="AD2938" s="30">
        <v>46296.708333333336</v>
      </c>
      <c r="AE2938" s="30">
        <v>46281.333333333336</v>
      </c>
      <c r="AF2938" s="30">
        <v>46296.708333333336</v>
      </c>
      <c r="AG2938" t="s">
        <v>1266</v>
      </c>
      <c r="AK2938" t="s">
        <v>1265</v>
      </c>
      <c r="AL2938" t="s">
        <v>1725</v>
      </c>
      <c r="AM2938" t="s">
        <v>1263</v>
      </c>
      <c r="AN2938" t="s">
        <v>1262</v>
      </c>
      <c r="AO2938">
        <v>0</v>
      </c>
      <c r="AQ2938" t="s">
        <v>1261</v>
      </c>
      <c r="AR2938" t="s">
        <v>1260</v>
      </c>
      <c r="AS2938" t="s">
        <v>1259</v>
      </c>
      <c r="AT2938" s="30">
        <v>46073.384027777778</v>
      </c>
    </row>
    <row r="2939" spans="1:46" x14ac:dyDescent="0.25">
      <c r="A2939" t="s">
        <v>1248</v>
      </c>
      <c r="B2939">
        <v>253376</v>
      </c>
      <c r="C2939">
        <v>119915</v>
      </c>
      <c r="D2939">
        <v>405</v>
      </c>
      <c r="E2939" t="s">
        <v>1266</v>
      </c>
      <c r="G2939">
        <v>745</v>
      </c>
      <c r="H2939">
        <v>1828</v>
      </c>
      <c r="K2939" t="s">
        <v>1694</v>
      </c>
      <c r="L2939" t="s">
        <v>1694</v>
      </c>
      <c r="M2939" t="s">
        <v>1717</v>
      </c>
      <c r="N2939">
        <v>0</v>
      </c>
      <c r="O2939" t="s">
        <v>1717</v>
      </c>
      <c r="P2939">
        <v>0</v>
      </c>
      <c r="Q2939">
        <v>0</v>
      </c>
      <c r="R2939">
        <v>0</v>
      </c>
      <c r="T2939" s="29">
        <v>135235</v>
      </c>
      <c r="U2939" s="29">
        <v>2937304</v>
      </c>
      <c r="V2939" t="s">
        <v>1262</v>
      </c>
      <c r="W2939" t="s">
        <v>1262</v>
      </c>
      <c r="X2939" s="29">
        <v>2937304</v>
      </c>
      <c r="AA2939" s="30">
        <v>46297.333333333336</v>
      </c>
      <c r="AB2939" s="30">
        <v>46314.708333333336</v>
      </c>
      <c r="AC2939" s="30">
        <v>46297.333333333336</v>
      </c>
      <c r="AD2939" s="30">
        <v>46314.708333333336</v>
      </c>
      <c r="AE2939" s="30">
        <v>46297.333333333336</v>
      </c>
      <c r="AF2939" s="30">
        <v>46314.708333333336</v>
      </c>
      <c r="AG2939" t="s">
        <v>1266</v>
      </c>
      <c r="AK2939" t="s">
        <v>1265</v>
      </c>
      <c r="AL2939" t="s">
        <v>1724</v>
      </c>
      <c r="AM2939" t="s">
        <v>1263</v>
      </c>
      <c r="AN2939" t="s">
        <v>1262</v>
      </c>
      <c r="AO2939">
        <v>0</v>
      </c>
      <c r="AQ2939" t="s">
        <v>1261</v>
      </c>
      <c r="AR2939" t="s">
        <v>1260</v>
      </c>
      <c r="AS2939" t="s">
        <v>1259</v>
      </c>
      <c r="AT2939" s="30">
        <v>46073.384027777778</v>
      </c>
    </row>
    <row r="2940" spans="1:46" x14ac:dyDescent="0.25">
      <c r="A2940" t="s">
        <v>1248</v>
      </c>
      <c r="B2940">
        <v>253377</v>
      </c>
      <c r="C2940">
        <v>119916</v>
      </c>
      <c r="D2940">
        <v>405</v>
      </c>
      <c r="E2940" t="s">
        <v>1266</v>
      </c>
      <c r="G2940">
        <v>745</v>
      </c>
      <c r="H2940">
        <v>1828</v>
      </c>
      <c r="K2940" t="s">
        <v>1694</v>
      </c>
      <c r="L2940" t="s">
        <v>1694</v>
      </c>
      <c r="M2940" t="s">
        <v>1717</v>
      </c>
      <c r="N2940">
        <v>0</v>
      </c>
      <c r="O2940" t="s">
        <v>1717</v>
      </c>
      <c r="P2940">
        <v>0</v>
      </c>
      <c r="Q2940">
        <v>0</v>
      </c>
      <c r="R2940">
        <v>0</v>
      </c>
      <c r="T2940" s="29">
        <v>135235</v>
      </c>
      <c r="U2940" s="29">
        <v>2937304</v>
      </c>
      <c r="V2940" t="s">
        <v>1262</v>
      </c>
      <c r="W2940" t="s">
        <v>1262</v>
      </c>
      <c r="X2940" s="29">
        <v>2937304</v>
      </c>
      <c r="AA2940" s="30">
        <v>46315.333333333336</v>
      </c>
      <c r="AB2940" s="30">
        <v>46330.708333333336</v>
      </c>
      <c r="AC2940" s="30">
        <v>46315.333333333336</v>
      </c>
      <c r="AD2940" s="30">
        <v>46330.708333333336</v>
      </c>
      <c r="AE2940" s="30">
        <v>46315.333333333336</v>
      </c>
      <c r="AF2940" s="30">
        <v>46330.708333333336</v>
      </c>
      <c r="AG2940" t="s">
        <v>1266</v>
      </c>
      <c r="AK2940" t="s">
        <v>1265</v>
      </c>
      <c r="AL2940" t="s">
        <v>1723</v>
      </c>
      <c r="AM2940" t="s">
        <v>1263</v>
      </c>
      <c r="AN2940" t="s">
        <v>1262</v>
      </c>
      <c r="AO2940">
        <v>0</v>
      </c>
      <c r="AQ2940" t="s">
        <v>1261</v>
      </c>
      <c r="AR2940" t="s">
        <v>1260</v>
      </c>
      <c r="AS2940" t="s">
        <v>1259</v>
      </c>
      <c r="AT2940" s="30">
        <v>46073.384027777778</v>
      </c>
    </row>
    <row r="2941" spans="1:46" x14ac:dyDescent="0.25">
      <c r="A2941" t="s">
        <v>1248</v>
      </c>
      <c r="B2941">
        <v>253378</v>
      </c>
      <c r="C2941">
        <v>119917</v>
      </c>
      <c r="D2941">
        <v>405</v>
      </c>
      <c r="E2941" t="s">
        <v>1266</v>
      </c>
      <c r="G2941">
        <v>745</v>
      </c>
      <c r="H2941">
        <v>1828</v>
      </c>
      <c r="K2941" t="s">
        <v>1694</v>
      </c>
      <c r="L2941" t="s">
        <v>1694</v>
      </c>
      <c r="M2941" t="s">
        <v>1717</v>
      </c>
      <c r="N2941">
        <v>0</v>
      </c>
      <c r="O2941" t="s">
        <v>1717</v>
      </c>
      <c r="P2941">
        <v>0</v>
      </c>
      <c r="Q2941">
        <v>0</v>
      </c>
      <c r="R2941">
        <v>0</v>
      </c>
      <c r="T2941" s="29">
        <v>135235</v>
      </c>
      <c r="U2941" s="29">
        <v>2937304</v>
      </c>
      <c r="V2941" t="s">
        <v>1262</v>
      </c>
      <c r="W2941" t="s">
        <v>1262</v>
      </c>
      <c r="X2941" s="29">
        <v>2937304</v>
      </c>
      <c r="AA2941" s="30">
        <v>46331.333333333336</v>
      </c>
      <c r="AB2941" s="30">
        <v>46346.708333333336</v>
      </c>
      <c r="AC2941" s="30">
        <v>46331.333333333336</v>
      </c>
      <c r="AD2941" s="30">
        <v>46346.708333333336</v>
      </c>
      <c r="AE2941" s="30">
        <v>46331.333333333336</v>
      </c>
      <c r="AF2941" s="30">
        <v>46346.708333333336</v>
      </c>
      <c r="AG2941" t="s">
        <v>1266</v>
      </c>
      <c r="AK2941" t="s">
        <v>1265</v>
      </c>
      <c r="AL2941" t="s">
        <v>1722</v>
      </c>
      <c r="AM2941" t="s">
        <v>1263</v>
      </c>
      <c r="AN2941" t="s">
        <v>1262</v>
      </c>
      <c r="AO2941">
        <v>0</v>
      </c>
      <c r="AQ2941" t="s">
        <v>1261</v>
      </c>
      <c r="AR2941" t="s">
        <v>1260</v>
      </c>
      <c r="AS2941" t="s">
        <v>1259</v>
      </c>
      <c r="AT2941" s="30">
        <v>46073.384027777778</v>
      </c>
    </row>
    <row r="2942" spans="1:46" x14ac:dyDescent="0.25">
      <c r="A2942" t="s">
        <v>1248</v>
      </c>
      <c r="B2942">
        <v>253379</v>
      </c>
      <c r="C2942">
        <v>119918</v>
      </c>
      <c r="D2942">
        <v>405</v>
      </c>
      <c r="E2942" t="s">
        <v>1266</v>
      </c>
      <c r="G2942">
        <v>745</v>
      </c>
      <c r="H2942">
        <v>1828</v>
      </c>
      <c r="K2942" t="s">
        <v>1694</v>
      </c>
      <c r="L2942" t="s">
        <v>1694</v>
      </c>
      <c r="M2942" t="s">
        <v>1717</v>
      </c>
      <c r="N2942">
        <v>0</v>
      </c>
      <c r="O2942" t="s">
        <v>1717</v>
      </c>
      <c r="P2942">
        <v>0</v>
      </c>
      <c r="Q2942">
        <v>0</v>
      </c>
      <c r="R2942">
        <v>0</v>
      </c>
      <c r="T2942" s="29">
        <v>135235</v>
      </c>
      <c r="U2942" s="29">
        <v>2937304</v>
      </c>
      <c r="V2942" t="s">
        <v>1262</v>
      </c>
      <c r="W2942" t="s">
        <v>1262</v>
      </c>
      <c r="X2942" s="29">
        <v>2937304</v>
      </c>
      <c r="AA2942" s="30">
        <v>46349.333333333336</v>
      </c>
      <c r="AB2942" s="30">
        <v>46365.708333333336</v>
      </c>
      <c r="AC2942" s="30">
        <v>46349.333333333336</v>
      </c>
      <c r="AD2942" s="30">
        <v>46365.708333333336</v>
      </c>
      <c r="AE2942" s="30">
        <v>46349.333333333336</v>
      </c>
      <c r="AF2942" s="30">
        <v>46365.708333333336</v>
      </c>
      <c r="AG2942" t="s">
        <v>1266</v>
      </c>
      <c r="AK2942" t="s">
        <v>1265</v>
      </c>
      <c r="AL2942" t="s">
        <v>1721</v>
      </c>
      <c r="AM2942" t="s">
        <v>1263</v>
      </c>
      <c r="AN2942" t="s">
        <v>1262</v>
      </c>
      <c r="AO2942">
        <v>0</v>
      </c>
      <c r="AQ2942" t="s">
        <v>1261</v>
      </c>
      <c r="AR2942" t="s">
        <v>1260</v>
      </c>
      <c r="AS2942" t="s">
        <v>1259</v>
      </c>
      <c r="AT2942" s="30">
        <v>46073.384027777778</v>
      </c>
    </row>
    <row r="2943" spans="1:46" x14ac:dyDescent="0.25">
      <c r="A2943" t="s">
        <v>1248</v>
      </c>
      <c r="B2943">
        <v>253380</v>
      </c>
      <c r="C2943">
        <v>119919</v>
      </c>
      <c r="D2943">
        <v>405</v>
      </c>
      <c r="E2943" t="s">
        <v>1266</v>
      </c>
      <c r="G2943">
        <v>745</v>
      </c>
      <c r="H2943">
        <v>1828</v>
      </c>
      <c r="K2943" t="s">
        <v>1694</v>
      </c>
      <c r="L2943" t="s">
        <v>1694</v>
      </c>
      <c r="M2943" t="s">
        <v>1717</v>
      </c>
      <c r="N2943">
        <v>0</v>
      </c>
      <c r="O2943" t="s">
        <v>1717</v>
      </c>
      <c r="P2943">
        <v>0</v>
      </c>
      <c r="Q2943">
        <v>0</v>
      </c>
      <c r="R2943">
        <v>0</v>
      </c>
      <c r="T2943" s="29">
        <v>135235</v>
      </c>
      <c r="U2943" s="29">
        <v>2937304</v>
      </c>
      <c r="V2943" t="s">
        <v>1262</v>
      </c>
      <c r="W2943" t="s">
        <v>1262</v>
      </c>
      <c r="X2943" s="29">
        <v>2937304</v>
      </c>
      <c r="AA2943" s="30">
        <v>46366.333333333336</v>
      </c>
      <c r="AB2943" s="30">
        <v>46384.708333333336</v>
      </c>
      <c r="AC2943" s="30">
        <v>46366.333333333336</v>
      </c>
      <c r="AD2943" s="30">
        <v>46384.708333333336</v>
      </c>
      <c r="AE2943" s="30">
        <v>46366.333333333336</v>
      </c>
      <c r="AF2943" s="30">
        <v>46384.708333333336</v>
      </c>
      <c r="AG2943" t="s">
        <v>1266</v>
      </c>
      <c r="AK2943" t="s">
        <v>1265</v>
      </c>
      <c r="AL2943" t="s">
        <v>1720</v>
      </c>
      <c r="AM2943" t="s">
        <v>1263</v>
      </c>
      <c r="AN2943" t="s">
        <v>1262</v>
      </c>
      <c r="AO2943">
        <v>0</v>
      </c>
      <c r="AQ2943" t="s">
        <v>1261</v>
      </c>
      <c r="AR2943" t="s">
        <v>1260</v>
      </c>
      <c r="AS2943" t="s">
        <v>1259</v>
      </c>
      <c r="AT2943" s="30">
        <v>46073.384027777778</v>
      </c>
    </row>
    <row r="2944" spans="1:46" x14ac:dyDescent="0.25">
      <c r="A2944" t="s">
        <v>1248</v>
      </c>
      <c r="B2944">
        <v>253381</v>
      </c>
      <c r="C2944">
        <v>119920</v>
      </c>
      <c r="D2944">
        <v>405</v>
      </c>
      <c r="E2944" t="s">
        <v>1266</v>
      </c>
      <c r="G2944">
        <v>745</v>
      </c>
      <c r="H2944">
        <v>1828</v>
      </c>
      <c r="K2944" t="s">
        <v>1694</v>
      </c>
      <c r="L2944" t="s">
        <v>1694</v>
      </c>
      <c r="M2944" t="s">
        <v>1717</v>
      </c>
      <c r="N2944">
        <v>0</v>
      </c>
      <c r="O2944" t="s">
        <v>1717</v>
      </c>
      <c r="P2944">
        <v>0</v>
      </c>
      <c r="Q2944">
        <v>0</v>
      </c>
      <c r="R2944">
        <v>0</v>
      </c>
      <c r="T2944" s="29">
        <v>135235</v>
      </c>
      <c r="U2944" s="29">
        <v>2937304</v>
      </c>
      <c r="V2944" t="s">
        <v>1262</v>
      </c>
      <c r="W2944" t="s">
        <v>1262</v>
      </c>
      <c r="X2944" s="29">
        <v>2937304</v>
      </c>
      <c r="AA2944" s="30">
        <v>46385.333333333336</v>
      </c>
      <c r="AB2944" s="30">
        <v>46402.708333333336</v>
      </c>
      <c r="AC2944" s="30">
        <v>46385.333333333336</v>
      </c>
      <c r="AD2944" s="30">
        <v>46402.708333333336</v>
      </c>
      <c r="AE2944" s="30">
        <v>46385.333333333336</v>
      </c>
      <c r="AF2944" s="30">
        <v>46402.708333333336</v>
      </c>
      <c r="AG2944" t="s">
        <v>1266</v>
      </c>
      <c r="AK2944" t="s">
        <v>1265</v>
      </c>
      <c r="AL2944" t="s">
        <v>1719</v>
      </c>
      <c r="AM2944" t="s">
        <v>1263</v>
      </c>
      <c r="AN2944" t="s">
        <v>1262</v>
      </c>
      <c r="AO2944">
        <v>0</v>
      </c>
      <c r="AQ2944" t="s">
        <v>1261</v>
      </c>
      <c r="AR2944" t="s">
        <v>1260</v>
      </c>
      <c r="AS2944" t="s">
        <v>1259</v>
      </c>
      <c r="AT2944" s="30">
        <v>46073.384027777778</v>
      </c>
    </row>
    <row r="2945" spans="1:46" x14ac:dyDescent="0.25">
      <c r="A2945" t="s">
        <v>1248</v>
      </c>
      <c r="B2945">
        <v>253382</v>
      </c>
      <c r="C2945">
        <v>119921</v>
      </c>
      <c r="D2945">
        <v>405</v>
      </c>
      <c r="E2945" t="s">
        <v>1266</v>
      </c>
      <c r="G2945">
        <v>745</v>
      </c>
      <c r="H2945">
        <v>1828</v>
      </c>
      <c r="K2945" t="s">
        <v>1694</v>
      </c>
      <c r="L2945" t="s">
        <v>1694</v>
      </c>
      <c r="M2945" t="s">
        <v>1717</v>
      </c>
      <c r="N2945">
        <v>0</v>
      </c>
      <c r="O2945" t="s">
        <v>1717</v>
      </c>
      <c r="P2945">
        <v>0</v>
      </c>
      <c r="Q2945">
        <v>0</v>
      </c>
      <c r="R2945">
        <v>0</v>
      </c>
      <c r="T2945" s="29">
        <v>135235</v>
      </c>
      <c r="U2945" s="29">
        <v>2937304</v>
      </c>
      <c r="V2945" t="s">
        <v>1262</v>
      </c>
      <c r="W2945" t="s">
        <v>1262</v>
      </c>
      <c r="X2945" s="29">
        <v>2937304</v>
      </c>
      <c r="AA2945" s="30">
        <v>46405.333333333336</v>
      </c>
      <c r="AB2945" s="30">
        <v>46420.708333333336</v>
      </c>
      <c r="AC2945" s="30">
        <v>46405.333333333336</v>
      </c>
      <c r="AD2945" s="30">
        <v>46420.708333333336</v>
      </c>
      <c r="AE2945" s="30">
        <v>46405.333333333336</v>
      </c>
      <c r="AF2945" s="30">
        <v>46420.708333333336</v>
      </c>
      <c r="AG2945" t="s">
        <v>1266</v>
      </c>
      <c r="AK2945" t="s">
        <v>1265</v>
      </c>
      <c r="AL2945" t="s">
        <v>1718</v>
      </c>
      <c r="AM2945" t="s">
        <v>1263</v>
      </c>
      <c r="AN2945" t="s">
        <v>1262</v>
      </c>
      <c r="AO2945">
        <v>0</v>
      </c>
      <c r="AQ2945" t="s">
        <v>1261</v>
      </c>
      <c r="AR2945" t="s">
        <v>1260</v>
      </c>
      <c r="AS2945" t="s">
        <v>1259</v>
      </c>
      <c r="AT2945" s="30">
        <v>46073.384027777778</v>
      </c>
    </row>
    <row r="2946" spans="1:46" x14ac:dyDescent="0.25">
      <c r="A2946" t="s">
        <v>1248</v>
      </c>
      <c r="B2946">
        <v>253383</v>
      </c>
      <c r="C2946">
        <v>119922</v>
      </c>
      <c r="D2946">
        <v>405</v>
      </c>
      <c r="E2946" t="s">
        <v>1266</v>
      </c>
      <c r="G2946">
        <v>745</v>
      </c>
      <c r="H2946">
        <v>1828</v>
      </c>
      <c r="K2946" t="s">
        <v>1694</v>
      </c>
      <c r="L2946" t="s">
        <v>1694</v>
      </c>
      <c r="M2946" t="s">
        <v>1717</v>
      </c>
      <c r="N2946">
        <v>0</v>
      </c>
      <c r="O2946" t="s">
        <v>1717</v>
      </c>
      <c r="P2946">
        <v>0</v>
      </c>
      <c r="Q2946">
        <v>0</v>
      </c>
      <c r="R2946">
        <v>0</v>
      </c>
      <c r="T2946" s="29">
        <v>135235</v>
      </c>
      <c r="U2946" s="29">
        <v>2937304</v>
      </c>
      <c r="V2946" t="s">
        <v>1262</v>
      </c>
      <c r="W2946" t="s">
        <v>1262</v>
      </c>
      <c r="X2946" s="29">
        <v>2937304</v>
      </c>
      <c r="AA2946" s="30">
        <v>46421.333333333336</v>
      </c>
      <c r="AB2946" s="30">
        <v>46436.708333333336</v>
      </c>
      <c r="AC2946" s="30">
        <v>46421.333333333336</v>
      </c>
      <c r="AD2946" s="30">
        <v>46436.708333333336</v>
      </c>
      <c r="AE2946" s="30">
        <v>46421.333333333336</v>
      </c>
      <c r="AF2946" s="30">
        <v>46436.708333333336</v>
      </c>
      <c r="AG2946" t="s">
        <v>1266</v>
      </c>
      <c r="AK2946" t="s">
        <v>1265</v>
      </c>
      <c r="AL2946" t="s">
        <v>1716</v>
      </c>
      <c r="AM2946" t="s">
        <v>1263</v>
      </c>
      <c r="AN2946" t="s">
        <v>1262</v>
      </c>
      <c r="AO2946">
        <v>0</v>
      </c>
      <c r="AQ2946" t="s">
        <v>1261</v>
      </c>
      <c r="AR2946" t="s">
        <v>1260</v>
      </c>
      <c r="AS2946" t="s">
        <v>1259</v>
      </c>
      <c r="AT2946" s="30">
        <v>46073.384027777778</v>
      </c>
    </row>
    <row r="2947" spans="1:46" x14ac:dyDescent="0.25">
      <c r="A2947" t="s">
        <v>1248</v>
      </c>
      <c r="B2947">
        <v>253384</v>
      </c>
      <c r="C2947">
        <v>119988</v>
      </c>
      <c r="D2947">
        <v>405</v>
      </c>
      <c r="E2947" t="s">
        <v>1266</v>
      </c>
      <c r="G2947">
        <v>745</v>
      </c>
      <c r="H2947">
        <v>1828</v>
      </c>
      <c r="K2947" t="s">
        <v>1694</v>
      </c>
      <c r="L2947" t="s">
        <v>1694</v>
      </c>
      <c r="M2947" t="s">
        <v>1715</v>
      </c>
      <c r="N2947">
        <v>0</v>
      </c>
      <c r="O2947" t="s">
        <v>1715</v>
      </c>
      <c r="P2947">
        <v>0</v>
      </c>
      <c r="Q2947">
        <v>0</v>
      </c>
      <c r="R2947">
        <v>0</v>
      </c>
      <c r="T2947" s="29">
        <v>135235</v>
      </c>
      <c r="U2947" s="29">
        <v>2937304</v>
      </c>
      <c r="V2947" t="s">
        <v>1262</v>
      </c>
      <c r="W2947" t="s">
        <v>1262</v>
      </c>
      <c r="X2947" s="29">
        <v>2937304</v>
      </c>
      <c r="AA2947" s="30">
        <v>45827.333333333336</v>
      </c>
      <c r="AB2947" s="30">
        <v>45847.708333333336</v>
      </c>
      <c r="AC2947" s="30">
        <v>45827.333333333336</v>
      </c>
      <c r="AD2947" s="30">
        <v>45847.708333333336</v>
      </c>
      <c r="AE2947" s="30">
        <v>45974.333333333336</v>
      </c>
      <c r="AF2947" s="30">
        <v>45994.708333333336</v>
      </c>
      <c r="AG2947" t="s">
        <v>1266</v>
      </c>
      <c r="AK2947" t="s">
        <v>1265</v>
      </c>
      <c r="AL2947" t="s">
        <v>1714</v>
      </c>
      <c r="AM2947" t="s">
        <v>1263</v>
      </c>
      <c r="AN2947" t="s">
        <v>1262</v>
      </c>
      <c r="AO2947">
        <v>0</v>
      </c>
      <c r="AQ2947" t="s">
        <v>1261</v>
      </c>
      <c r="AR2947" t="s">
        <v>1260</v>
      </c>
      <c r="AS2947" t="s">
        <v>1259</v>
      </c>
      <c r="AT2947" s="30">
        <v>46073.384027777778</v>
      </c>
    </row>
    <row r="2948" spans="1:46" x14ac:dyDescent="0.25">
      <c r="A2948" t="s">
        <v>1248</v>
      </c>
      <c r="B2948">
        <v>253385</v>
      </c>
      <c r="C2948">
        <v>119989</v>
      </c>
      <c r="D2948">
        <v>405</v>
      </c>
      <c r="E2948" t="s">
        <v>1266</v>
      </c>
      <c r="G2948">
        <v>745</v>
      </c>
      <c r="H2948">
        <v>1828</v>
      </c>
      <c r="K2948" t="s">
        <v>1694</v>
      </c>
      <c r="L2948" t="s">
        <v>1694</v>
      </c>
      <c r="M2948" t="s">
        <v>1693</v>
      </c>
      <c r="N2948">
        <v>0</v>
      </c>
      <c r="O2948" t="s">
        <v>1693</v>
      </c>
      <c r="P2948">
        <v>0</v>
      </c>
      <c r="Q2948">
        <v>0</v>
      </c>
      <c r="R2948">
        <v>0</v>
      </c>
      <c r="T2948" s="29">
        <v>135235</v>
      </c>
      <c r="U2948" s="29">
        <v>2937304</v>
      </c>
      <c r="V2948" t="s">
        <v>1262</v>
      </c>
      <c r="W2948" t="s">
        <v>1262</v>
      </c>
      <c r="X2948" s="29">
        <v>2937304</v>
      </c>
      <c r="AA2948" s="30">
        <v>45848.333333333336</v>
      </c>
      <c r="AB2948" s="30">
        <v>45867.708333333336</v>
      </c>
      <c r="AC2948" s="30">
        <v>45848.333333333336</v>
      </c>
      <c r="AD2948" s="30">
        <v>45867.708333333336</v>
      </c>
      <c r="AE2948" s="30">
        <v>45995.333333333336</v>
      </c>
      <c r="AF2948" s="30">
        <v>46014.708333333336</v>
      </c>
      <c r="AG2948" t="s">
        <v>1266</v>
      </c>
      <c r="AK2948" t="s">
        <v>1265</v>
      </c>
      <c r="AL2948" t="s">
        <v>1713</v>
      </c>
      <c r="AM2948" t="s">
        <v>1263</v>
      </c>
      <c r="AN2948" t="s">
        <v>1262</v>
      </c>
      <c r="AO2948">
        <v>0</v>
      </c>
      <c r="AQ2948" t="s">
        <v>1261</v>
      </c>
      <c r="AR2948" t="s">
        <v>1260</v>
      </c>
      <c r="AS2948" t="s">
        <v>1259</v>
      </c>
      <c r="AT2948" s="30">
        <v>46073.384027777778</v>
      </c>
    </row>
    <row r="2949" spans="1:46" x14ac:dyDescent="0.25">
      <c r="A2949" t="s">
        <v>1248</v>
      </c>
      <c r="B2949">
        <v>253386</v>
      </c>
      <c r="C2949">
        <v>119990</v>
      </c>
      <c r="D2949">
        <v>405</v>
      </c>
      <c r="E2949" t="s">
        <v>1266</v>
      </c>
      <c r="G2949">
        <v>745</v>
      </c>
      <c r="H2949">
        <v>1828</v>
      </c>
      <c r="K2949" t="s">
        <v>1694</v>
      </c>
      <c r="L2949" t="s">
        <v>1694</v>
      </c>
      <c r="M2949" t="s">
        <v>1693</v>
      </c>
      <c r="N2949">
        <v>0</v>
      </c>
      <c r="O2949" t="s">
        <v>1693</v>
      </c>
      <c r="P2949">
        <v>0</v>
      </c>
      <c r="Q2949">
        <v>0</v>
      </c>
      <c r="R2949">
        <v>0</v>
      </c>
      <c r="T2949" s="29">
        <v>135235</v>
      </c>
      <c r="U2949" s="29">
        <v>2937304</v>
      </c>
      <c r="V2949" t="s">
        <v>1262</v>
      </c>
      <c r="W2949" t="s">
        <v>1262</v>
      </c>
      <c r="X2949" s="29">
        <v>2937304</v>
      </c>
      <c r="AA2949" s="30">
        <v>45868.333333333336</v>
      </c>
      <c r="AB2949" s="30">
        <v>45887.708333333336</v>
      </c>
      <c r="AC2949" s="30">
        <v>45868.333333333336</v>
      </c>
      <c r="AD2949" s="30">
        <v>45887.708333333336</v>
      </c>
      <c r="AE2949" s="30">
        <v>46015.333333333336</v>
      </c>
      <c r="AF2949" s="30">
        <v>46036.708333333336</v>
      </c>
      <c r="AG2949" t="s">
        <v>1266</v>
      </c>
      <c r="AK2949" t="s">
        <v>1265</v>
      </c>
      <c r="AL2949" t="s">
        <v>1712</v>
      </c>
      <c r="AM2949" t="s">
        <v>1263</v>
      </c>
      <c r="AN2949" t="s">
        <v>1262</v>
      </c>
      <c r="AO2949">
        <v>0</v>
      </c>
      <c r="AQ2949" t="s">
        <v>1261</v>
      </c>
      <c r="AR2949" t="s">
        <v>1260</v>
      </c>
      <c r="AS2949" t="s">
        <v>1259</v>
      </c>
      <c r="AT2949" s="30">
        <v>46073.384027777778</v>
      </c>
    </row>
    <row r="2950" spans="1:46" x14ac:dyDescent="0.25">
      <c r="A2950" t="s">
        <v>1248</v>
      </c>
      <c r="B2950">
        <v>253387</v>
      </c>
      <c r="C2950">
        <v>119991</v>
      </c>
      <c r="D2950">
        <v>405</v>
      </c>
      <c r="E2950" t="s">
        <v>1266</v>
      </c>
      <c r="G2950">
        <v>745</v>
      </c>
      <c r="H2950">
        <v>1828</v>
      </c>
      <c r="K2950" t="s">
        <v>1694</v>
      </c>
      <c r="L2950" t="s">
        <v>1694</v>
      </c>
      <c r="M2950" t="s">
        <v>1693</v>
      </c>
      <c r="N2950">
        <v>0</v>
      </c>
      <c r="O2950" t="s">
        <v>1693</v>
      </c>
      <c r="P2950">
        <v>0</v>
      </c>
      <c r="Q2950">
        <v>0</v>
      </c>
      <c r="R2950">
        <v>0</v>
      </c>
      <c r="T2950" s="29">
        <v>135235</v>
      </c>
      <c r="U2950" s="29">
        <v>2937304</v>
      </c>
      <c r="V2950" t="s">
        <v>1262</v>
      </c>
      <c r="W2950" t="s">
        <v>1262</v>
      </c>
      <c r="X2950" s="29">
        <v>2937304</v>
      </c>
      <c r="AA2950" s="30">
        <v>45888.333333333336</v>
      </c>
      <c r="AB2950" s="30">
        <v>45905.708333333336</v>
      </c>
      <c r="AC2950" s="30">
        <v>45888.333333333336</v>
      </c>
      <c r="AD2950" s="30">
        <v>45905.708333333336</v>
      </c>
      <c r="AE2950" s="30">
        <v>46037.333333333336</v>
      </c>
      <c r="AF2950" s="30">
        <v>46056.708333333336</v>
      </c>
      <c r="AG2950" t="s">
        <v>1266</v>
      </c>
      <c r="AK2950" t="s">
        <v>1265</v>
      </c>
      <c r="AL2950" t="s">
        <v>1711</v>
      </c>
      <c r="AM2950" t="s">
        <v>1263</v>
      </c>
      <c r="AN2950" t="s">
        <v>1262</v>
      </c>
      <c r="AO2950">
        <v>0</v>
      </c>
      <c r="AQ2950" t="s">
        <v>1261</v>
      </c>
      <c r="AR2950" t="s">
        <v>1260</v>
      </c>
      <c r="AS2950" t="s">
        <v>1259</v>
      </c>
      <c r="AT2950" s="30">
        <v>46073.384027777778</v>
      </c>
    </row>
    <row r="2951" spans="1:46" x14ac:dyDescent="0.25">
      <c r="A2951" t="s">
        <v>1248</v>
      </c>
      <c r="B2951">
        <v>253388</v>
      </c>
      <c r="C2951">
        <v>119992</v>
      </c>
      <c r="D2951">
        <v>405</v>
      </c>
      <c r="E2951" t="s">
        <v>1266</v>
      </c>
      <c r="G2951">
        <v>745</v>
      </c>
      <c r="H2951">
        <v>1828</v>
      </c>
      <c r="K2951" t="s">
        <v>1694</v>
      </c>
      <c r="L2951" t="s">
        <v>1694</v>
      </c>
      <c r="M2951" t="s">
        <v>1693</v>
      </c>
      <c r="N2951">
        <v>0</v>
      </c>
      <c r="O2951" t="s">
        <v>1693</v>
      </c>
      <c r="P2951">
        <v>0</v>
      </c>
      <c r="Q2951">
        <v>0</v>
      </c>
      <c r="R2951">
        <v>0</v>
      </c>
      <c r="T2951" s="29">
        <v>135235</v>
      </c>
      <c r="U2951" s="29">
        <v>2937304</v>
      </c>
      <c r="V2951" t="s">
        <v>1262</v>
      </c>
      <c r="W2951" t="s">
        <v>1262</v>
      </c>
      <c r="X2951" s="29">
        <v>2937304</v>
      </c>
      <c r="AA2951" s="30">
        <v>45908.333333333336</v>
      </c>
      <c r="AB2951" s="30">
        <v>45925.708333333336</v>
      </c>
      <c r="AC2951" s="30">
        <v>45908.333333333336</v>
      </c>
      <c r="AD2951" s="30">
        <v>45925.708333333336</v>
      </c>
      <c r="AE2951" s="30">
        <v>46057.333333333336</v>
      </c>
      <c r="AF2951" s="30">
        <v>46076.708333333336</v>
      </c>
      <c r="AG2951" t="s">
        <v>1266</v>
      </c>
      <c r="AK2951" t="s">
        <v>1265</v>
      </c>
      <c r="AL2951" t="s">
        <v>1710</v>
      </c>
      <c r="AM2951" t="s">
        <v>1263</v>
      </c>
      <c r="AN2951" t="s">
        <v>1262</v>
      </c>
      <c r="AO2951">
        <v>0</v>
      </c>
      <c r="AQ2951" t="s">
        <v>1261</v>
      </c>
      <c r="AR2951" t="s">
        <v>1260</v>
      </c>
      <c r="AS2951" t="s">
        <v>1259</v>
      </c>
      <c r="AT2951" s="30">
        <v>46073.384027777778</v>
      </c>
    </row>
    <row r="2952" spans="1:46" x14ac:dyDescent="0.25">
      <c r="A2952" t="s">
        <v>1248</v>
      </c>
      <c r="B2952">
        <v>253389</v>
      </c>
      <c r="C2952">
        <v>119993</v>
      </c>
      <c r="D2952">
        <v>405</v>
      </c>
      <c r="E2952" t="s">
        <v>1266</v>
      </c>
      <c r="G2952">
        <v>745</v>
      </c>
      <c r="H2952">
        <v>1828</v>
      </c>
      <c r="K2952" t="s">
        <v>1694</v>
      </c>
      <c r="L2952" t="s">
        <v>1694</v>
      </c>
      <c r="M2952" t="s">
        <v>1693</v>
      </c>
      <c r="N2952">
        <v>0</v>
      </c>
      <c r="O2952" t="s">
        <v>1693</v>
      </c>
      <c r="P2952">
        <v>0</v>
      </c>
      <c r="Q2952">
        <v>0</v>
      </c>
      <c r="R2952">
        <v>0</v>
      </c>
      <c r="T2952" s="29">
        <v>135235</v>
      </c>
      <c r="U2952" s="29">
        <v>2937304</v>
      </c>
      <c r="V2952" t="s">
        <v>1262</v>
      </c>
      <c r="W2952" t="s">
        <v>1262</v>
      </c>
      <c r="X2952" s="29">
        <v>2937304</v>
      </c>
      <c r="AA2952" s="30">
        <v>45926.333333333336</v>
      </c>
      <c r="AB2952" s="30">
        <v>45945.708333333336</v>
      </c>
      <c r="AC2952" s="30">
        <v>45926.333333333336</v>
      </c>
      <c r="AD2952" s="30">
        <v>45945.708333333336</v>
      </c>
      <c r="AE2952" s="30">
        <v>46077.333333333336</v>
      </c>
      <c r="AF2952" s="30">
        <v>46094.708333333336</v>
      </c>
      <c r="AG2952" t="s">
        <v>1266</v>
      </c>
      <c r="AK2952" t="s">
        <v>1265</v>
      </c>
      <c r="AL2952" t="s">
        <v>1709</v>
      </c>
      <c r="AM2952" t="s">
        <v>1263</v>
      </c>
      <c r="AN2952" t="s">
        <v>1262</v>
      </c>
      <c r="AO2952">
        <v>0</v>
      </c>
      <c r="AQ2952" t="s">
        <v>1261</v>
      </c>
      <c r="AR2952" t="s">
        <v>1260</v>
      </c>
      <c r="AS2952" t="s">
        <v>1259</v>
      </c>
      <c r="AT2952" s="30">
        <v>46073.384027777778</v>
      </c>
    </row>
    <row r="2953" spans="1:46" x14ac:dyDescent="0.25">
      <c r="A2953" t="s">
        <v>1248</v>
      </c>
      <c r="B2953">
        <v>253390</v>
      </c>
      <c r="C2953">
        <v>119994</v>
      </c>
      <c r="D2953">
        <v>405</v>
      </c>
      <c r="E2953" t="s">
        <v>1266</v>
      </c>
      <c r="G2953">
        <v>745</v>
      </c>
      <c r="H2953">
        <v>1828</v>
      </c>
      <c r="K2953" t="s">
        <v>1694</v>
      </c>
      <c r="L2953" t="s">
        <v>1694</v>
      </c>
      <c r="M2953" t="s">
        <v>1693</v>
      </c>
      <c r="N2953">
        <v>0</v>
      </c>
      <c r="O2953" t="s">
        <v>1693</v>
      </c>
      <c r="P2953">
        <v>0</v>
      </c>
      <c r="Q2953">
        <v>0</v>
      </c>
      <c r="R2953">
        <v>0</v>
      </c>
      <c r="T2953" s="29">
        <v>135235</v>
      </c>
      <c r="U2953" s="29">
        <v>2937304</v>
      </c>
      <c r="V2953" t="s">
        <v>1262</v>
      </c>
      <c r="W2953" t="s">
        <v>1262</v>
      </c>
      <c r="X2953" s="29">
        <v>2937304</v>
      </c>
      <c r="AA2953" s="30">
        <v>45946.333333333336</v>
      </c>
      <c r="AB2953" s="30">
        <v>45965.708333333336</v>
      </c>
      <c r="AC2953" s="30">
        <v>45946.333333333336</v>
      </c>
      <c r="AD2953" s="30">
        <v>45965.708333333336</v>
      </c>
      <c r="AE2953" s="30">
        <v>46097.333333333336</v>
      </c>
      <c r="AF2953" s="30">
        <v>46114.708333333336</v>
      </c>
      <c r="AG2953" t="s">
        <v>1266</v>
      </c>
      <c r="AK2953" t="s">
        <v>1265</v>
      </c>
      <c r="AL2953" t="s">
        <v>1708</v>
      </c>
      <c r="AM2953" t="s">
        <v>1263</v>
      </c>
      <c r="AN2953" t="s">
        <v>1262</v>
      </c>
      <c r="AO2953">
        <v>0</v>
      </c>
      <c r="AQ2953" t="s">
        <v>1261</v>
      </c>
      <c r="AR2953" t="s">
        <v>1260</v>
      </c>
      <c r="AS2953" t="s">
        <v>1259</v>
      </c>
      <c r="AT2953" s="30">
        <v>46073.384027777778</v>
      </c>
    </row>
    <row r="2954" spans="1:46" x14ac:dyDescent="0.25">
      <c r="A2954" t="s">
        <v>1248</v>
      </c>
      <c r="B2954">
        <v>253391</v>
      </c>
      <c r="C2954">
        <v>119995</v>
      </c>
      <c r="D2954">
        <v>405</v>
      </c>
      <c r="E2954" t="s">
        <v>1266</v>
      </c>
      <c r="G2954">
        <v>745</v>
      </c>
      <c r="H2954">
        <v>1828</v>
      </c>
      <c r="K2954" t="s">
        <v>1694</v>
      </c>
      <c r="L2954" t="s">
        <v>1694</v>
      </c>
      <c r="M2954" t="s">
        <v>1693</v>
      </c>
      <c r="N2954">
        <v>0</v>
      </c>
      <c r="O2954" t="s">
        <v>1693</v>
      </c>
      <c r="P2954">
        <v>0</v>
      </c>
      <c r="Q2954">
        <v>0</v>
      </c>
      <c r="R2954">
        <v>0</v>
      </c>
      <c r="T2954" s="29">
        <v>135235</v>
      </c>
      <c r="U2954" s="29">
        <v>2937304</v>
      </c>
      <c r="V2954" t="s">
        <v>1262</v>
      </c>
      <c r="W2954" t="s">
        <v>1262</v>
      </c>
      <c r="X2954" s="29">
        <v>2937304</v>
      </c>
      <c r="AA2954" s="30">
        <v>45966.333333333336</v>
      </c>
      <c r="AB2954" s="30">
        <v>45985.708333333336</v>
      </c>
      <c r="AC2954" s="30">
        <v>45966.333333333336</v>
      </c>
      <c r="AD2954" s="30">
        <v>45985.708333333336</v>
      </c>
      <c r="AE2954" s="30">
        <v>46115.333333333336</v>
      </c>
      <c r="AF2954" s="30">
        <v>46135.708333333336</v>
      </c>
      <c r="AG2954" t="s">
        <v>1266</v>
      </c>
      <c r="AK2954" t="s">
        <v>1265</v>
      </c>
      <c r="AL2954" t="s">
        <v>1707</v>
      </c>
      <c r="AM2954" t="s">
        <v>1263</v>
      </c>
      <c r="AN2954" t="s">
        <v>1262</v>
      </c>
      <c r="AO2954">
        <v>0</v>
      </c>
      <c r="AQ2954" t="s">
        <v>1261</v>
      </c>
      <c r="AR2954" t="s">
        <v>1260</v>
      </c>
      <c r="AS2954" t="s">
        <v>1259</v>
      </c>
      <c r="AT2954" s="30">
        <v>46073.384027777778</v>
      </c>
    </row>
    <row r="2955" spans="1:46" x14ac:dyDescent="0.25">
      <c r="A2955" t="s">
        <v>1248</v>
      </c>
      <c r="B2955">
        <v>253392</v>
      </c>
      <c r="C2955">
        <v>119996</v>
      </c>
      <c r="D2955">
        <v>405</v>
      </c>
      <c r="E2955" t="s">
        <v>1266</v>
      </c>
      <c r="G2955">
        <v>745</v>
      </c>
      <c r="H2955">
        <v>1828</v>
      </c>
      <c r="K2955" t="s">
        <v>1694</v>
      </c>
      <c r="L2955" t="s">
        <v>1694</v>
      </c>
      <c r="M2955" t="s">
        <v>1693</v>
      </c>
      <c r="N2955">
        <v>0</v>
      </c>
      <c r="O2955" t="s">
        <v>1693</v>
      </c>
      <c r="P2955">
        <v>0</v>
      </c>
      <c r="Q2955">
        <v>0</v>
      </c>
      <c r="R2955">
        <v>0</v>
      </c>
      <c r="T2955" s="29">
        <v>135235</v>
      </c>
      <c r="U2955" s="29">
        <v>2937304</v>
      </c>
      <c r="V2955" t="s">
        <v>1262</v>
      </c>
      <c r="W2955" t="s">
        <v>1262</v>
      </c>
      <c r="X2955" s="29">
        <v>2937304</v>
      </c>
      <c r="AA2955" s="30">
        <v>45986.333333333336</v>
      </c>
      <c r="AB2955" s="30">
        <v>46003.708333333336</v>
      </c>
      <c r="AC2955" s="30">
        <v>45986.333333333336</v>
      </c>
      <c r="AD2955" s="30">
        <v>46003.708333333336</v>
      </c>
      <c r="AE2955" s="30">
        <v>46136.333333333336</v>
      </c>
      <c r="AF2955" s="30">
        <v>46156.708333333336</v>
      </c>
      <c r="AG2955" t="s">
        <v>1266</v>
      </c>
      <c r="AK2955" t="s">
        <v>1265</v>
      </c>
      <c r="AL2955" t="s">
        <v>1706</v>
      </c>
      <c r="AM2955" t="s">
        <v>1263</v>
      </c>
      <c r="AN2955" t="s">
        <v>1262</v>
      </c>
      <c r="AO2955">
        <v>0</v>
      </c>
      <c r="AQ2955" t="s">
        <v>1261</v>
      </c>
      <c r="AR2955" t="s">
        <v>1260</v>
      </c>
      <c r="AS2955" t="s">
        <v>1259</v>
      </c>
      <c r="AT2955" s="30">
        <v>46073.384027777778</v>
      </c>
    </row>
    <row r="2956" spans="1:46" x14ac:dyDescent="0.25">
      <c r="A2956" t="s">
        <v>1248</v>
      </c>
      <c r="B2956">
        <v>253393</v>
      </c>
      <c r="C2956">
        <v>119997</v>
      </c>
      <c r="D2956">
        <v>405</v>
      </c>
      <c r="E2956" t="s">
        <v>1266</v>
      </c>
      <c r="G2956">
        <v>745</v>
      </c>
      <c r="H2956">
        <v>1828</v>
      </c>
      <c r="K2956" t="s">
        <v>1694</v>
      </c>
      <c r="L2956" t="s">
        <v>1694</v>
      </c>
      <c r="M2956" t="s">
        <v>1693</v>
      </c>
      <c r="N2956">
        <v>0</v>
      </c>
      <c r="O2956" t="s">
        <v>1693</v>
      </c>
      <c r="P2956">
        <v>0</v>
      </c>
      <c r="Q2956">
        <v>0</v>
      </c>
      <c r="R2956">
        <v>0</v>
      </c>
      <c r="T2956" s="29">
        <v>135235</v>
      </c>
      <c r="U2956" s="29">
        <v>2937304</v>
      </c>
      <c r="V2956" t="s">
        <v>1262</v>
      </c>
      <c r="W2956" t="s">
        <v>1262</v>
      </c>
      <c r="X2956" s="29">
        <v>2937304</v>
      </c>
      <c r="AA2956" s="30">
        <v>46006.333333333336</v>
      </c>
      <c r="AB2956" s="30">
        <v>46024.708333333336</v>
      </c>
      <c r="AC2956" s="30">
        <v>46006.333333333336</v>
      </c>
      <c r="AD2956" s="30">
        <v>46024.708333333336</v>
      </c>
      <c r="AE2956" s="30">
        <v>46157.333333333336</v>
      </c>
      <c r="AF2956" s="30">
        <v>46177.708333333336</v>
      </c>
      <c r="AG2956" t="s">
        <v>1266</v>
      </c>
      <c r="AK2956" t="s">
        <v>1265</v>
      </c>
      <c r="AL2956" t="s">
        <v>1705</v>
      </c>
      <c r="AM2956" t="s">
        <v>1263</v>
      </c>
      <c r="AN2956" t="s">
        <v>1262</v>
      </c>
      <c r="AO2956">
        <v>0</v>
      </c>
      <c r="AQ2956" t="s">
        <v>1261</v>
      </c>
      <c r="AR2956" t="s">
        <v>1260</v>
      </c>
      <c r="AS2956" t="s">
        <v>1259</v>
      </c>
      <c r="AT2956" s="30">
        <v>46073.384027777778</v>
      </c>
    </row>
    <row r="2957" spans="1:46" x14ac:dyDescent="0.25">
      <c r="A2957" t="s">
        <v>1248</v>
      </c>
      <c r="B2957">
        <v>253394</v>
      </c>
      <c r="C2957">
        <v>119998</v>
      </c>
      <c r="D2957">
        <v>405</v>
      </c>
      <c r="E2957" t="s">
        <v>1266</v>
      </c>
      <c r="G2957">
        <v>745</v>
      </c>
      <c r="H2957">
        <v>1828</v>
      </c>
      <c r="K2957" t="s">
        <v>1694</v>
      </c>
      <c r="L2957" t="s">
        <v>1694</v>
      </c>
      <c r="M2957" t="s">
        <v>1693</v>
      </c>
      <c r="N2957">
        <v>0</v>
      </c>
      <c r="O2957" t="s">
        <v>1693</v>
      </c>
      <c r="P2957">
        <v>0</v>
      </c>
      <c r="Q2957">
        <v>0</v>
      </c>
      <c r="R2957">
        <v>0</v>
      </c>
      <c r="T2957" s="29">
        <v>135235</v>
      </c>
      <c r="U2957" s="29">
        <v>2937304</v>
      </c>
      <c r="V2957" t="s">
        <v>1262</v>
      </c>
      <c r="W2957" t="s">
        <v>1262</v>
      </c>
      <c r="X2957" s="29">
        <v>2937304</v>
      </c>
      <c r="AA2957" s="30">
        <v>46027.333333333336</v>
      </c>
      <c r="AB2957" s="30">
        <v>46045.708333333336</v>
      </c>
      <c r="AC2957" s="30">
        <v>46027.333333333336</v>
      </c>
      <c r="AD2957" s="30">
        <v>46045.708333333336</v>
      </c>
      <c r="AE2957" s="30">
        <v>46178.333333333336</v>
      </c>
      <c r="AF2957" s="30">
        <v>46197.708333333336</v>
      </c>
      <c r="AG2957" t="s">
        <v>1266</v>
      </c>
      <c r="AK2957" t="s">
        <v>1265</v>
      </c>
      <c r="AL2957" t="s">
        <v>1704</v>
      </c>
      <c r="AM2957" t="s">
        <v>1263</v>
      </c>
      <c r="AN2957" t="s">
        <v>1262</v>
      </c>
      <c r="AO2957">
        <v>0</v>
      </c>
      <c r="AQ2957" t="s">
        <v>1261</v>
      </c>
      <c r="AR2957" t="s">
        <v>1260</v>
      </c>
      <c r="AS2957" t="s">
        <v>1259</v>
      </c>
      <c r="AT2957" s="30">
        <v>46073.384027777778</v>
      </c>
    </row>
    <row r="2958" spans="1:46" x14ac:dyDescent="0.25">
      <c r="A2958" t="s">
        <v>1248</v>
      </c>
      <c r="B2958">
        <v>253395</v>
      </c>
      <c r="C2958">
        <v>119999</v>
      </c>
      <c r="D2958">
        <v>405</v>
      </c>
      <c r="E2958" t="s">
        <v>1266</v>
      </c>
      <c r="G2958">
        <v>745</v>
      </c>
      <c r="H2958">
        <v>1828</v>
      </c>
      <c r="K2958" t="s">
        <v>1694</v>
      </c>
      <c r="L2958" t="s">
        <v>1694</v>
      </c>
      <c r="M2958" t="s">
        <v>1693</v>
      </c>
      <c r="N2958">
        <v>0</v>
      </c>
      <c r="O2958" t="s">
        <v>1693</v>
      </c>
      <c r="P2958">
        <v>0</v>
      </c>
      <c r="Q2958">
        <v>0</v>
      </c>
      <c r="R2958">
        <v>0</v>
      </c>
      <c r="T2958" s="29">
        <v>135235</v>
      </c>
      <c r="U2958" s="29">
        <v>2937304</v>
      </c>
      <c r="V2958" t="s">
        <v>1262</v>
      </c>
      <c r="W2958" t="s">
        <v>1262</v>
      </c>
      <c r="X2958" s="29">
        <v>2937304</v>
      </c>
      <c r="AA2958" s="30">
        <v>46048.333333333336</v>
      </c>
      <c r="AB2958" s="30">
        <v>46065.708333333336</v>
      </c>
      <c r="AC2958" s="30">
        <v>46048.333333333336</v>
      </c>
      <c r="AD2958" s="30">
        <v>46065.708333333336</v>
      </c>
      <c r="AE2958" s="30">
        <v>46198.333333333336</v>
      </c>
      <c r="AF2958" s="30">
        <v>46217.708333333336</v>
      </c>
      <c r="AG2958" t="s">
        <v>1266</v>
      </c>
      <c r="AK2958" t="s">
        <v>1265</v>
      </c>
      <c r="AL2958" t="s">
        <v>1703</v>
      </c>
      <c r="AM2958" t="s">
        <v>1263</v>
      </c>
      <c r="AN2958" t="s">
        <v>1262</v>
      </c>
      <c r="AO2958">
        <v>0</v>
      </c>
      <c r="AQ2958" t="s">
        <v>1261</v>
      </c>
      <c r="AR2958" t="s">
        <v>1260</v>
      </c>
      <c r="AS2958" t="s">
        <v>1259</v>
      </c>
      <c r="AT2958" s="30">
        <v>46073.384027777778</v>
      </c>
    </row>
    <row r="2959" spans="1:46" x14ac:dyDescent="0.25">
      <c r="A2959" t="s">
        <v>1248</v>
      </c>
      <c r="B2959">
        <v>253396</v>
      </c>
      <c r="C2959">
        <v>120000</v>
      </c>
      <c r="D2959">
        <v>405</v>
      </c>
      <c r="E2959" t="s">
        <v>1266</v>
      </c>
      <c r="G2959">
        <v>745</v>
      </c>
      <c r="H2959">
        <v>1828</v>
      </c>
      <c r="K2959" t="s">
        <v>1694</v>
      </c>
      <c r="L2959" t="s">
        <v>1694</v>
      </c>
      <c r="M2959" t="s">
        <v>1693</v>
      </c>
      <c r="N2959">
        <v>0</v>
      </c>
      <c r="O2959" t="s">
        <v>1693</v>
      </c>
      <c r="P2959">
        <v>0</v>
      </c>
      <c r="Q2959">
        <v>0</v>
      </c>
      <c r="R2959">
        <v>0</v>
      </c>
      <c r="T2959" s="29">
        <v>135235</v>
      </c>
      <c r="U2959" s="29">
        <v>2937304</v>
      </c>
      <c r="V2959" t="s">
        <v>1262</v>
      </c>
      <c r="W2959" t="s">
        <v>1262</v>
      </c>
      <c r="X2959" s="29">
        <v>2937304</v>
      </c>
      <c r="AA2959" s="30">
        <v>46066.333333333336</v>
      </c>
      <c r="AB2959" s="30">
        <v>46085.708333333336</v>
      </c>
      <c r="AC2959" s="30">
        <v>46066.333333333336</v>
      </c>
      <c r="AD2959" s="30">
        <v>46085.708333333336</v>
      </c>
      <c r="AE2959" s="30">
        <v>46218.333333333336</v>
      </c>
      <c r="AF2959" s="30">
        <v>46237.708333333336</v>
      </c>
      <c r="AG2959" t="s">
        <v>1266</v>
      </c>
      <c r="AK2959" t="s">
        <v>1265</v>
      </c>
      <c r="AL2959" t="s">
        <v>1702</v>
      </c>
      <c r="AM2959" t="s">
        <v>1263</v>
      </c>
      <c r="AN2959" t="s">
        <v>1262</v>
      </c>
      <c r="AO2959">
        <v>0</v>
      </c>
      <c r="AQ2959" t="s">
        <v>1261</v>
      </c>
      <c r="AR2959" t="s">
        <v>1260</v>
      </c>
      <c r="AS2959" t="s">
        <v>1259</v>
      </c>
      <c r="AT2959" s="30">
        <v>46073.384027777778</v>
      </c>
    </row>
    <row r="2960" spans="1:46" x14ac:dyDescent="0.25">
      <c r="A2960" t="s">
        <v>1248</v>
      </c>
      <c r="B2960">
        <v>253397</v>
      </c>
      <c r="C2960">
        <v>120001</v>
      </c>
      <c r="D2960">
        <v>405</v>
      </c>
      <c r="E2960" t="s">
        <v>1266</v>
      </c>
      <c r="G2960">
        <v>745</v>
      </c>
      <c r="H2960">
        <v>1828</v>
      </c>
      <c r="K2960" t="s">
        <v>1694</v>
      </c>
      <c r="L2960" t="s">
        <v>1694</v>
      </c>
      <c r="M2960" t="s">
        <v>1693</v>
      </c>
      <c r="N2960">
        <v>0</v>
      </c>
      <c r="O2960" t="s">
        <v>1693</v>
      </c>
      <c r="P2960">
        <v>0</v>
      </c>
      <c r="Q2960">
        <v>0</v>
      </c>
      <c r="R2960">
        <v>0</v>
      </c>
      <c r="T2960" s="29">
        <v>135235</v>
      </c>
      <c r="U2960" s="29">
        <v>2937304</v>
      </c>
      <c r="V2960" t="s">
        <v>1262</v>
      </c>
      <c r="W2960" t="s">
        <v>1262</v>
      </c>
      <c r="X2960" s="29">
        <v>2937304</v>
      </c>
      <c r="AA2960" s="30">
        <v>46086.333333333336</v>
      </c>
      <c r="AB2960" s="30">
        <v>46105.708333333336</v>
      </c>
      <c r="AC2960" s="30">
        <v>46086.333333333336</v>
      </c>
      <c r="AD2960" s="30">
        <v>46105.708333333336</v>
      </c>
      <c r="AE2960" s="30">
        <v>46238.333333333336</v>
      </c>
      <c r="AF2960" s="30">
        <v>46255.708333333336</v>
      </c>
      <c r="AG2960" t="s">
        <v>1266</v>
      </c>
      <c r="AK2960" t="s">
        <v>1265</v>
      </c>
      <c r="AL2960" t="s">
        <v>1701</v>
      </c>
      <c r="AM2960" t="s">
        <v>1263</v>
      </c>
      <c r="AN2960" t="s">
        <v>1262</v>
      </c>
      <c r="AO2960">
        <v>0</v>
      </c>
      <c r="AQ2960" t="s">
        <v>1261</v>
      </c>
      <c r="AR2960" t="s">
        <v>1260</v>
      </c>
      <c r="AS2960" t="s">
        <v>1259</v>
      </c>
      <c r="AT2960" s="30">
        <v>46073.384027777778</v>
      </c>
    </row>
    <row r="2961" spans="1:46" x14ac:dyDescent="0.25">
      <c r="A2961" t="s">
        <v>1248</v>
      </c>
      <c r="B2961">
        <v>253398</v>
      </c>
      <c r="C2961">
        <v>120002</v>
      </c>
      <c r="D2961">
        <v>405</v>
      </c>
      <c r="E2961" t="s">
        <v>1266</v>
      </c>
      <c r="G2961">
        <v>745</v>
      </c>
      <c r="H2961">
        <v>1828</v>
      </c>
      <c r="K2961" t="s">
        <v>1694</v>
      </c>
      <c r="L2961" t="s">
        <v>1694</v>
      </c>
      <c r="M2961" t="s">
        <v>1693</v>
      </c>
      <c r="N2961">
        <v>0</v>
      </c>
      <c r="O2961" t="s">
        <v>1693</v>
      </c>
      <c r="P2961">
        <v>0</v>
      </c>
      <c r="Q2961">
        <v>0</v>
      </c>
      <c r="R2961">
        <v>0</v>
      </c>
      <c r="T2961" s="29">
        <v>135235</v>
      </c>
      <c r="U2961" s="29">
        <v>2937304</v>
      </c>
      <c r="V2961" t="s">
        <v>1262</v>
      </c>
      <c r="W2961" t="s">
        <v>1262</v>
      </c>
      <c r="X2961" s="29">
        <v>2937304</v>
      </c>
      <c r="AA2961" s="30">
        <v>46106.333333333336</v>
      </c>
      <c r="AB2961" s="30">
        <v>46126.708333333336</v>
      </c>
      <c r="AC2961" s="30">
        <v>46106.333333333336</v>
      </c>
      <c r="AD2961" s="30">
        <v>46126.708333333336</v>
      </c>
      <c r="AE2961" s="30">
        <v>46258.333333333336</v>
      </c>
      <c r="AF2961" s="30">
        <v>46275.708333333336</v>
      </c>
      <c r="AG2961" t="s">
        <v>1266</v>
      </c>
      <c r="AK2961" t="s">
        <v>1265</v>
      </c>
      <c r="AL2961" t="s">
        <v>1700</v>
      </c>
      <c r="AM2961" t="s">
        <v>1263</v>
      </c>
      <c r="AN2961" t="s">
        <v>1262</v>
      </c>
      <c r="AO2961">
        <v>0</v>
      </c>
      <c r="AQ2961" t="s">
        <v>1261</v>
      </c>
      <c r="AR2961" t="s">
        <v>1260</v>
      </c>
      <c r="AS2961" t="s">
        <v>1259</v>
      </c>
      <c r="AT2961" s="30">
        <v>46073.384027777778</v>
      </c>
    </row>
    <row r="2962" spans="1:46" x14ac:dyDescent="0.25">
      <c r="A2962" t="s">
        <v>1248</v>
      </c>
      <c r="B2962">
        <v>253399</v>
      </c>
      <c r="C2962">
        <v>120003</v>
      </c>
      <c r="D2962">
        <v>405</v>
      </c>
      <c r="E2962" t="s">
        <v>1266</v>
      </c>
      <c r="G2962">
        <v>745</v>
      </c>
      <c r="H2962">
        <v>1828</v>
      </c>
      <c r="K2962" t="s">
        <v>1694</v>
      </c>
      <c r="L2962" t="s">
        <v>1694</v>
      </c>
      <c r="M2962" t="s">
        <v>1693</v>
      </c>
      <c r="N2962">
        <v>0</v>
      </c>
      <c r="O2962" t="s">
        <v>1693</v>
      </c>
      <c r="P2962">
        <v>0</v>
      </c>
      <c r="Q2962">
        <v>0</v>
      </c>
      <c r="R2962">
        <v>0</v>
      </c>
      <c r="T2962" s="29">
        <v>135235</v>
      </c>
      <c r="U2962" s="29">
        <v>2937304</v>
      </c>
      <c r="V2962" t="s">
        <v>1262</v>
      </c>
      <c r="W2962" t="s">
        <v>1262</v>
      </c>
      <c r="X2962" s="29">
        <v>2937304</v>
      </c>
      <c r="AA2962" s="30">
        <v>46127.333333333336</v>
      </c>
      <c r="AB2962" s="30">
        <v>46147.708333333336</v>
      </c>
      <c r="AC2962" s="30">
        <v>46127.333333333336</v>
      </c>
      <c r="AD2962" s="30">
        <v>46147.708333333336</v>
      </c>
      <c r="AE2962" s="30">
        <v>46276.333333333336</v>
      </c>
      <c r="AF2962" s="30">
        <v>46295.708333333336</v>
      </c>
      <c r="AG2962" t="s">
        <v>1266</v>
      </c>
      <c r="AK2962" t="s">
        <v>1265</v>
      </c>
      <c r="AL2962" t="s">
        <v>1699</v>
      </c>
      <c r="AM2962" t="s">
        <v>1263</v>
      </c>
      <c r="AN2962" t="s">
        <v>1262</v>
      </c>
      <c r="AO2962">
        <v>0</v>
      </c>
      <c r="AQ2962" t="s">
        <v>1261</v>
      </c>
      <c r="AR2962" t="s">
        <v>1260</v>
      </c>
      <c r="AS2962" t="s">
        <v>1259</v>
      </c>
      <c r="AT2962" s="30">
        <v>46073.384027777778</v>
      </c>
    </row>
    <row r="2963" spans="1:46" x14ac:dyDescent="0.25">
      <c r="A2963" t="s">
        <v>1248</v>
      </c>
      <c r="B2963">
        <v>253400</v>
      </c>
      <c r="C2963">
        <v>120004</v>
      </c>
      <c r="D2963">
        <v>405</v>
      </c>
      <c r="E2963" t="s">
        <v>1266</v>
      </c>
      <c r="G2963">
        <v>745</v>
      </c>
      <c r="H2963">
        <v>1828</v>
      </c>
      <c r="K2963" t="s">
        <v>1694</v>
      </c>
      <c r="L2963" t="s">
        <v>1694</v>
      </c>
      <c r="M2963" t="s">
        <v>1693</v>
      </c>
      <c r="N2963">
        <v>0</v>
      </c>
      <c r="O2963" t="s">
        <v>1693</v>
      </c>
      <c r="P2963">
        <v>0</v>
      </c>
      <c r="Q2963">
        <v>0</v>
      </c>
      <c r="R2963">
        <v>0</v>
      </c>
      <c r="T2963" s="29">
        <v>135235</v>
      </c>
      <c r="U2963" s="29">
        <v>2937304</v>
      </c>
      <c r="V2963" t="s">
        <v>1262</v>
      </c>
      <c r="W2963" t="s">
        <v>1262</v>
      </c>
      <c r="X2963" s="29">
        <v>2937304</v>
      </c>
      <c r="AA2963" s="30">
        <v>46148.333333333336</v>
      </c>
      <c r="AB2963" s="30">
        <v>46167.708333333336</v>
      </c>
      <c r="AC2963" s="30">
        <v>46148.333333333336</v>
      </c>
      <c r="AD2963" s="30">
        <v>46167.708333333336</v>
      </c>
      <c r="AE2963" s="30">
        <v>46296.333333333336</v>
      </c>
      <c r="AF2963" s="30">
        <v>46315.708333333336</v>
      </c>
      <c r="AG2963" t="s">
        <v>1266</v>
      </c>
      <c r="AK2963" t="s">
        <v>1265</v>
      </c>
      <c r="AL2963" t="s">
        <v>1698</v>
      </c>
      <c r="AM2963" t="s">
        <v>1263</v>
      </c>
      <c r="AN2963" t="s">
        <v>1262</v>
      </c>
      <c r="AO2963">
        <v>0</v>
      </c>
      <c r="AQ2963" t="s">
        <v>1261</v>
      </c>
      <c r="AR2963" t="s">
        <v>1260</v>
      </c>
      <c r="AS2963" t="s">
        <v>1259</v>
      </c>
      <c r="AT2963" s="30">
        <v>46073.384027777778</v>
      </c>
    </row>
    <row r="2964" spans="1:46" x14ac:dyDescent="0.25">
      <c r="A2964" t="s">
        <v>1248</v>
      </c>
      <c r="B2964">
        <v>253401</v>
      </c>
      <c r="C2964">
        <v>120005</v>
      </c>
      <c r="D2964">
        <v>405</v>
      </c>
      <c r="E2964" t="s">
        <v>1266</v>
      </c>
      <c r="G2964">
        <v>745</v>
      </c>
      <c r="H2964">
        <v>1828</v>
      </c>
      <c r="K2964" t="s">
        <v>1694</v>
      </c>
      <c r="L2964" t="s">
        <v>1694</v>
      </c>
      <c r="M2964" t="s">
        <v>1693</v>
      </c>
      <c r="N2964">
        <v>0</v>
      </c>
      <c r="O2964" t="s">
        <v>1693</v>
      </c>
      <c r="P2964">
        <v>0</v>
      </c>
      <c r="Q2964">
        <v>0</v>
      </c>
      <c r="R2964">
        <v>0</v>
      </c>
      <c r="T2964" s="29">
        <v>135235</v>
      </c>
      <c r="U2964" s="29">
        <v>2937304</v>
      </c>
      <c r="V2964" t="s">
        <v>1262</v>
      </c>
      <c r="W2964" t="s">
        <v>1262</v>
      </c>
      <c r="X2964" s="29">
        <v>2937304</v>
      </c>
      <c r="AA2964" s="30">
        <v>46168.333333333336</v>
      </c>
      <c r="AB2964" s="30">
        <v>46188.708333333336</v>
      </c>
      <c r="AC2964" s="30">
        <v>46168.333333333336</v>
      </c>
      <c r="AD2964" s="30">
        <v>46188.708333333336</v>
      </c>
      <c r="AE2964" s="30">
        <v>46316.333333333336</v>
      </c>
      <c r="AF2964" s="30">
        <v>46335.708333333336</v>
      </c>
      <c r="AG2964" t="s">
        <v>1266</v>
      </c>
      <c r="AK2964" t="s">
        <v>1265</v>
      </c>
      <c r="AL2964" t="s">
        <v>1697</v>
      </c>
      <c r="AM2964" t="s">
        <v>1263</v>
      </c>
      <c r="AN2964" t="s">
        <v>1262</v>
      </c>
      <c r="AO2964">
        <v>0</v>
      </c>
      <c r="AQ2964" t="s">
        <v>1261</v>
      </c>
      <c r="AR2964" t="s">
        <v>1260</v>
      </c>
      <c r="AS2964" t="s">
        <v>1259</v>
      </c>
      <c r="AT2964" s="30">
        <v>46073.384027777778</v>
      </c>
    </row>
    <row r="2965" spans="1:46" x14ac:dyDescent="0.25">
      <c r="A2965" t="s">
        <v>1248</v>
      </c>
      <c r="B2965">
        <v>253402</v>
      </c>
      <c r="C2965">
        <v>120006</v>
      </c>
      <c r="D2965">
        <v>405</v>
      </c>
      <c r="E2965" t="s">
        <v>1266</v>
      </c>
      <c r="G2965">
        <v>745</v>
      </c>
      <c r="H2965">
        <v>1828</v>
      </c>
      <c r="K2965" t="s">
        <v>1694</v>
      </c>
      <c r="L2965" t="s">
        <v>1694</v>
      </c>
      <c r="M2965" t="s">
        <v>1693</v>
      </c>
      <c r="N2965">
        <v>0</v>
      </c>
      <c r="O2965" t="s">
        <v>1693</v>
      </c>
      <c r="P2965">
        <v>0</v>
      </c>
      <c r="Q2965">
        <v>0</v>
      </c>
      <c r="R2965">
        <v>0</v>
      </c>
      <c r="T2965" s="29">
        <v>135235</v>
      </c>
      <c r="U2965" s="29">
        <v>2937304</v>
      </c>
      <c r="V2965" t="s">
        <v>1262</v>
      </c>
      <c r="W2965" t="s">
        <v>1262</v>
      </c>
      <c r="X2965" s="29">
        <v>2937304</v>
      </c>
      <c r="AA2965" s="30">
        <v>46189.333333333336</v>
      </c>
      <c r="AB2965" s="30">
        <v>46206.708333333336</v>
      </c>
      <c r="AC2965" s="30">
        <v>46189.333333333336</v>
      </c>
      <c r="AD2965" s="30">
        <v>46206.708333333336</v>
      </c>
      <c r="AE2965" s="30">
        <v>46336.333333333336</v>
      </c>
      <c r="AF2965" s="30">
        <v>46353.708333333336</v>
      </c>
      <c r="AG2965" t="s">
        <v>1266</v>
      </c>
      <c r="AK2965" t="s">
        <v>1265</v>
      </c>
      <c r="AL2965" t="s">
        <v>1696</v>
      </c>
      <c r="AM2965" t="s">
        <v>1263</v>
      </c>
      <c r="AN2965" t="s">
        <v>1262</v>
      </c>
      <c r="AO2965">
        <v>0</v>
      </c>
      <c r="AQ2965" t="s">
        <v>1261</v>
      </c>
      <c r="AR2965" t="s">
        <v>1260</v>
      </c>
      <c r="AS2965" t="s">
        <v>1259</v>
      </c>
      <c r="AT2965" s="30">
        <v>46073.384027777778</v>
      </c>
    </row>
    <row r="2966" spans="1:46" x14ac:dyDescent="0.25">
      <c r="A2966" t="s">
        <v>1248</v>
      </c>
      <c r="B2966">
        <v>253403</v>
      </c>
      <c r="C2966">
        <v>120007</v>
      </c>
      <c r="D2966">
        <v>405</v>
      </c>
      <c r="E2966" t="s">
        <v>1266</v>
      </c>
      <c r="G2966">
        <v>745</v>
      </c>
      <c r="H2966">
        <v>1828</v>
      </c>
      <c r="K2966" t="s">
        <v>1694</v>
      </c>
      <c r="L2966" t="s">
        <v>1694</v>
      </c>
      <c r="M2966" t="s">
        <v>1693</v>
      </c>
      <c r="N2966">
        <v>0</v>
      </c>
      <c r="O2966" t="s">
        <v>1693</v>
      </c>
      <c r="P2966">
        <v>0</v>
      </c>
      <c r="Q2966">
        <v>0</v>
      </c>
      <c r="R2966">
        <v>0</v>
      </c>
      <c r="T2966" s="29">
        <v>135235</v>
      </c>
      <c r="U2966" s="29">
        <v>2937304</v>
      </c>
      <c r="V2966" t="s">
        <v>1262</v>
      </c>
      <c r="W2966" t="s">
        <v>1262</v>
      </c>
      <c r="X2966" s="29">
        <v>2937304</v>
      </c>
      <c r="AA2966" s="30">
        <v>46209.333333333336</v>
      </c>
      <c r="AB2966" s="30">
        <v>46226.708333333336</v>
      </c>
      <c r="AC2966" s="30">
        <v>46209.333333333336</v>
      </c>
      <c r="AD2966" s="30">
        <v>46226.708333333336</v>
      </c>
      <c r="AE2966" s="30">
        <v>46356.333333333336</v>
      </c>
      <c r="AF2966" s="30">
        <v>46374.708333333336</v>
      </c>
      <c r="AG2966" t="s">
        <v>1266</v>
      </c>
      <c r="AK2966" t="s">
        <v>1265</v>
      </c>
      <c r="AL2966" t="s">
        <v>1695</v>
      </c>
      <c r="AM2966" t="s">
        <v>1263</v>
      </c>
      <c r="AN2966" t="s">
        <v>1262</v>
      </c>
      <c r="AO2966">
        <v>0</v>
      </c>
      <c r="AQ2966" t="s">
        <v>1261</v>
      </c>
      <c r="AR2966" t="s">
        <v>1260</v>
      </c>
      <c r="AS2966" t="s">
        <v>1259</v>
      </c>
      <c r="AT2966" s="30">
        <v>46073.384027777778</v>
      </c>
    </row>
    <row r="2967" spans="1:46" x14ac:dyDescent="0.25">
      <c r="A2967" t="s">
        <v>1248</v>
      </c>
      <c r="B2967">
        <v>253404</v>
      </c>
      <c r="C2967">
        <v>120008</v>
      </c>
      <c r="D2967">
        <v>405</v>
      </c>
      <c r="E2967" t="s">
        <v>1266</v>
      </c>
      <c r="G2967">
        <v>745</v>
      </c>
      <c r="H2967">
        <v>1828</v>
      </c>
      <c r="K2967" t="s">
        <v>1694</v>
      </c>
      <c r="L2967" t="s">
        <v>1694</v>
      </c>
      <c r="M2967" t="s">
        <v>1693</v>
      </c>
      <c r="N2967">
        <v>0</v>
      </c>
      <c r="O2967" t="s">
        <v>1693</v>
      </c>
      <c r="P2967">
        <v>0</v>
      </c>
      <c r="Q2967">
        <v>0</v>
      </c>
      <c r="R2967">
        <v>0</v>
      </c>
      <c r="T2967" s="29">
        <v>135235</v>
      </c>
      <c r="U2967" s="29">
        <v>2937304</v>
      </c>
      <c r="V2967" t="s">
        <v>1262</v>
      </c>
      <c r="W2967" t="s">
        <v>1262</v>
      </c>
      <c r="X2967" s="29">
        <v>2937304</v>
      </c>
      <c r="AA2967" s="30">
        <v>46227.333333333336</v>
      </c>
      <c r="AB2967" s="30">
        <v>46246.708333333336</v>
      </c>
      <c r="AC2967" s="30">
        <v>46227.333333333336</v>
      </c>
      <c r="AD2967" s="30">
        <v>46246.708333333336</v>
      </c>
      <c r="AE2967" s="30">
        <v>46377.333333333336</v>
      </c>
      <c r="AF2967" s="30">
        <v>46399.708333333336</v>
      </c>
      <c r="AG2967" t="s">
        <v>1266</v>
      </c>
      <c r="AK2967" t="s">
        <v>1265</v>
      </c>
      <c r="AL2967" t="s">
        <v>1692</v>
      </c>
      <c r="AM2967" t="s">
        <v>1263</v>
      </c>
      <c r="AN2967" t="s">
        <v>1262</v>
      </c>
      <c r="AO2967">
        <v>0</v>
      </c>
      <c r="AQ2967" t="s">
        <v>1261</v>
      </c>
      <c r="AR2967" t="s">
        <v>1260</v>
      </c>
      <c r="AS2967" t="s">
        <v>1259</v>
      </c>
      <c r="AT2967" s="30">
        <v>46073.384027777778</v>
      </c>
    </row>
    <row r="2968" spans="1:46" x14ac:dyDescent="0.25">
      <c r="A2968" t="s">
        <v>1248</v>
      </c>
      <c r="B2968">
        <v>253405</v>
      </c>
      <c r="C2968">
        <v>119898</v>
      </c>
      <c r="D2968">
        <v>405</v>
      </c>
      <c r="E2968" t="s">
        <v>1266</v>
      </c>
      <c r="G2968">
        <v>745</v>
      </c>
      <c r="H2968">
        <v>1851</v>
      </c>
      <c r="K2968" t="s">
        <v>1644</v>
      </c>
      <c r="L2968" t="s">
        <v>1644</v>
      </c>
      <c r="M2968" t="s">
        <v>1667</v>
      </c>
      <c r="N2968">
        <v>0</v>
      </c>
      <c r="O2968" t="s">
        <v>1667</v>
      </c>
      <c r="P2968">
        <v>0</v>
      </c>
      <c r="Q2968">
        <v>0</v>
      </c>
      <c r="R2968">
        <v>0</v>
      </c>
      <c r="T2968" s="29">
        <v>485000</v>
      </c>
      <c r="U2968" s="29">
        <v>26772000</v>
      </c>
      <c r="V2968" t="s">
        <v>1262</v>
      </c>
      <c r="W2968" t="s">
        <v>1262</v>
      </c>
      <c r="X2968" s="29">
        <v>26772000</v>
      </c>
      <c r="AA2968" s="30">
        <v>46006.333333333336</v>
      </c>
      <c r="AB2968" s="30">
        <v>46021.708333333336</v>
      </c>
      <c r="AC2968" s="30">
        <v>46006.333333333336</v>
      </c>
      <c r="AD2968" s="30">
        <v>46021.708333333336</v>
      </c>
      <c r="AE2968" s="30">
        <v>46006.333333333336</v>
      </c>
      <c r="AF2968" s="30">
        <v>46021.708333333336</v>
      </c>
      <c r="AG2968" t="s">
        <v>1266</v>
      </c>
      <c r="AK2968" t="s">
        <v>1265</v>
      </c>
      <c r="AL2968" t="s">
        <v>1691</v>
      </c>
      <c r="AM2968" t="s">
        <v>1263</v>
      </c>
      <c r="AN2968" t="s">
        <v>1262</v>
      </c>
      <c r="AO2968">
        <v>0</v>
      </c>
      <c r="AQ2968" t="s">
        <v>1261</v>
      </c>
      <c r="AR2968" t="s">
        <v>1260</v>
      </c>
      <c r="AS2968" t="s">
        <v>1259</v>
      </c>
      <c r="AT2968" s="30">
        <v>46073.384722222225</v>
      </c>
    </row>
    <row r="2969" spans="1:46" x14ac:dyDescent="0.25">
      <c r="A2969" t="s">
        <v>1248</v>
      </c>
      <c r="B2969">
        <v>253406</v>
      </c>
      <c r="C2969">
        <v>119899</v>
      </c>
      <c r="D2969">
        <v>405</v>
      </c>
      <c r="E2969" t="s">
        <v>1266</v>
      </c>
      <c r="G2969">
        <v>745</v>
      </c>
      <c r="H2969">
        <v>1851</v>
      </c>
      <c r="K2969" t="s">
        <v>1644</v>
      </c>
      <c r="L2969" t="s">
        <v>1644</v>
      </c>
      <c r="M2969" t="s">
        <v>1667</v>
      </c>
      <c r="N2969">
        <v>0</v>
      </c>
      <c r="O2969" t="s">
        <v>1667</v>
      </c>
      <c r="P2969">
        <v>0</v>
      </c>
      <c r="Q2969">
        <v>0</v>
      </c>
      <c r="R2969">
        <v>0</v>
      </c>
      <c r="T2969" s="29">
        <v>485000</v>
      </c>
      <c r="U2969" s="29">
        <v>26772000</v>
      </c>
      <c r="V2969" t="s">
        <v>1262</v>
      </c>
      <c r="W2969" t="s">
        <v>1262</v>
      </c>
      <c r="X2969" s="29">
        <v>26772000</v>
      </c>
      <c r="AA2969" s="30">
        <v>46022.333333333336</v>
      </c>
      <c r="AB2969" s="30">
        <v>46041.708333333336</v>
      </c>
      <c r="AC2969" s="30">
        <v>46022.333333333336</v>
      </c>
      <c r="AD2969" s="30">
        <v>46041.708333333336</v>
      </c>
      <c r="AE2969" s="30">
        <v>46022.333333333336</v>
      </c>
      <c r="AF2969" s="30">
        <v>46041.708333333336</v>
      </c>
      <c r="AG2969" t="s">
        <v>1266</v>
      </c>
      <c r="AK2969" t="s">
        <v>1265</v>
      </c>
      <c r="AL2969" t="s">
        <v>1690</v>
      </c>
      <c r="AM2969" t="s">
        <v>1263</v>
      </c>
      <c r="AN2969" t="s">
        <v>1262</v>
      </c>
      <c r="AO2969">
        <v>0</v>
      </c>
      <c r="AQ2969" t="s">
        <v>1261</v>
      </c>
      <c r="AR2969" t="s">
        <v>1260</v>
      </c>
      <c r="AS2969" t="s">
        <v>1259</v>
      </c>
      <c r="AT2969" s="30">
        <v>46073.384722222225</v>
      </c>
    </row>
    <row r="2970" spans="1:46" x14ac:dyDescent="0.25">
      <c r="A2970" t="s">
        <v>1248</v>
      </c>
      <c r="B2970">
        <v>253407</v>
      </c>
      <c r="C2970">
        <v>119900</v>
      </c>
      <c r="D2970">
        <v>405</v>
      </c>
      <c r="E2970" t="s">
        <v>1266</v>
      </c>
      <c r="G2970">
        <v>745</v>
      </c>
      <c r="H2970">
        <v>1851</v>
      </c>
      <c r="K2970" t="s">
        <v>1644</v>
      </c>
      <c r="L2970" t="s">
        <v>1644</v>
      </c>
      <c r="M2970" t="s">
        <v>1667</v>
      </c>
      <c r="N2970">
        <v>0</v>
      </c>
      <c r="O2970" t="s">
        <v>1667</v>
      </c>
      <c r="P2970">
        <v>0</v>
      </c>
      <c r="Q2970">
        <v>0</v>
      </c>
      <c r="R2970">
        <v>0</v>
      </c>
      <c r="T2970" s="29">
        <v>485000</v>
      </c>
      <c r="U2970" s="29">
        <v>26772000</v>
      </c>
      <c r="V2970" t="s">
        <v>1262</v>
      </c>
      <c r="W2970" t="s">
        <v>1262</v>
      </c>
      <c r="X2970" s="29">
        <v>26772000</v>
      </c>
      <c r="AA2970" s="30">
        <v>46042.333333333336</v>
      </c>
      <c r="AB2970" s="30">
        <v>46057.708333333336</v>
      </c>
      <c r="AC2970" s="30">
        <v>46042.333333333336</v>
      </c>
      <c r="AD2970" s="30">
        <v>46057.708333333336</v>
      </c>
      <c r="AE2970" s="30">
        <v>46042.333333333336</v>
      </c>
      <c r="AF2970" s="30">
        <v>46057.708333333336</v>
      </c>
      <c r="AG2970" t="s">
        <v>1266</v>
      </c>
      <c r="AK2970" t="s">
        <v>1265</v>
      </c>
      <c r="AL2970" t="s">
        <v>1689</v>
      </c>
      <c r="AM2970" t="s">
        <v>1263</v>
      </c>
      <c r="AN2970" t="s">
        <v>1262</v>
      </c>
      <c r="AO2970">
        <v>0</v>
      </c>
      <c r="AQ2970" t="s">
        <v>1261</v>
      </c>
      <c r="AR2970" t="s">
        <v>1260</v>
      </c>
      <c r="AS2970" t="s">
        <v>1259</v>
      </c>
      <c r="AT2970" s="30">
        <v>46073.384722222225</v>
      </c>
    </row>
    <row r="2971" spans="1:46" x14ac:dyDescent="0.25">
      <c r="A2971" t="s">
        <v>1248</v>
      </c>
      <c r="B2971">
        <v>253408</v>
      </c>
      <c r="C2971">
        <v>119901</v>
      </c>
      <c r="D2971">
        <v>405</v>
      </c>
      <c r="E2971" t="s">
        <v>1266</v>
      </c>
      <c r="G2971">
        <v>745</v>
      </c>
      <c r="H2971">
        <v>1851</v>
      </c>
      <c r="K2971" t="s">
        <v>1644</v>
      </c>
      <c r="L2971" t="s">
        <v>1644</v>
      </c>
      <c r="M2971" t="s">
        <v>1667</v>
      </c>
      <c r="N2971">
        <v>0</v>
      </c>
      <c r="O2971" t="s">
        <v>1667</v>
      </c>
      <c r="P2971">
        <v>0</v>
      </c>
      <c r="Q2971">
        <v>0</v>
      </c>
      <c r="R2971">
        <v>0</v>
      </c>
      <c r="T2971" s="29">
        <v>485000</v>
      </c>
      <c r="U2971" s="29">
        <v>26772000</v>
      </c>
      <c r="V2971" t="s">
        <v>1262</v>
      </c>
      <c r="W2971" t="s">
        <v>1262</v>
      </c>
      <c r="X2971" s="29">
        <v>26772000</v>
      </c>
      <c r="AA2971" s="30">
        <v>46058.333333333336</v>
      </c>
      <c r="AB2971" s="30">
        <v>46073.708333333336</v>
      </c>
      <c r="AC2971" s="30">
        <v>46058.333333333336</v>
      </c>
      <c r="AD2971" s="30">
        <v>46073.708333333336</v>
      </c>
      <c r="AE2971" s="30">
        <v>46058.333333333336</v>
      </c>
      <c r="AF2971" s="30">
        <v>46073.708333333336</v>
      </c>
      <c r="AG2971" t="s">
        <v>1266</v>
      </c>
      <c r="AK2971" t="s">
        <v>1265</v>
      </c>
      <c r="AL2971" t="s">
        <v>1688</v>
      </c>
      <c r="AM2971" t="s">
        <v>1263</v>
      </c>
      <c r="AN2971" t="s">
        <v>1262</v>
      </c>
      <c r="AO2971">
        <v>0</v>
      </c>
      <c r="AQ2971" t="s">
        <v>1261</v>
      </c>
      <c r="AR2971" t="s">
        <v>1260</v>
      </c>
      <c r="AS2971" t="s">
        <v>1259</v>
      </c>
      <c r="AT2971" s="30">
        <v>46073.384722222225</v>
      </c>
    </row>
    <row r="2972" spans="1:46" x14ac:dyDescent="0.25">
      <c r="A2972" t="s">
        <v>1248</v>
      </c>
      <c r="B2972">
        <v>253409</v>
      </c>
      <c r="C2972">
        <v>119902</v>
      </c>
      <c r="D2972">
        <v>405</v>
      </c>
      <c r="E2972" t="s">
        <v>1266</v>
      </c>
      <c r="G2972">
        <v>745</v>
      </c>
      <c r="H2972">
        <v>1851</v>
      </c>
      <c r="K2972" t="s">
        <v>1644</v>
      </c>
      <c r="L2972" t="s">
        <v>1644</v>
      </c>
      <c r="M2972" t="s">
        <v>1667</v>
      </c>
      <c r="N2972">
        <v>0</v>
      </c>
      <c r="O2972" t="s">
        <v>1667</v>
      </c>
      <c r="P2972">
        <v>0</v>
      </c>
      <c r="Q2972">
        <v>0</v>
      </c>
      <c r="R2972">
        <v>0</v>
      </c>
      <c r="T2972" s="29">
        <v>485000</v>
      </c>
      <c r="U2972" s="29">
        <v>26772000</v>
      </c>
      <c r="V2972" t="s">
        <v>1262</v>
      </c>
      <c r="W2972" t="s">
        <v>1262</v>
      </c>
      <c r="X2972" s="29">
        <v>26772000</v>
      </c>
      <c r="AA2972" s="30">
        <v>46076.333333333336</v>
      </c>
      <c r="AB2972" s="30">
        <v>46091.708333333336</v>
      </c>
      <c r="AC2972" s="30">
        <v>46076.333333333336</v>
      </c>
      <c r="AD2972" s="30">
        <v>46091.708333333336</v>
      </c>
      <c r="AE2972" s="30">
        <v>46076.333333333336</v>
      </c>
      <c r="AF2972" s="30">
        <v>46091.708333333336</v>
      </c>
      <c r="AG2972" t="s">
        <v>1266</v>
      </c>
      <c r="AK2972" t="s">
        <v>1265</v>
      </c>
      <c r="AL2972" t="s">
        <v>1687</v>
      </c>
      <c r="AM2972" t="s">
        <v>1263</v>
      </c>
      <c r="AN2972" t="s">
        <v>1262</v>
      </c>
      <c r="AO2972">
        <v>0</v>
      </c>
      <c r="AQ2972" t="s">
        <v>1261</v>
      </c>
      <c r="AR2972" t="s">
        <v>1260</v>
      </c>
      <c r="AS2972" t="s">
        <v>1259</v>
      </c>
      <c r="AT2972" s="30">
        <v>46073.384722222225</v>
      </c>
    </row>
    <row r="2973" spans="1:46" x14ac:dyDescent="0.25">
      <c r="A2973" t="s">
        <v>1248</v>
      </c>
      <c r="B2973">
        <v>253410</v>
      </c>
      <c r="C2973">
        <v>119903</v>
      </c>
      <c r="D2973">
        <v>405</v>
      </c>
      <c r="E2973" t="s">
        <v>1266</v>
      </c>
      <c r="G2973">
        <v>745</v>
      </c>
      <c r="H2973">
        <v>1851</v>
      </c>
      <c r="K2973" t="s">
        <v>1644</v>
      </c>
      <c r="L2973" t="s">
        <v>1644</v>
      </c>
      <c r="M2973" t="s">
        <v>1667</v>
      </c>
      <c r="N2973">
        <v>0</v>
      </c>
      <c r="O2973" t="s">
        <v>1667</v>
      </c>
      <c r="P2973">
        <v>0</v>
      </c>
      <c r="Q2973">
        <v>0</v>
      </c>
      <c r="R2973">
        <v>0</v>
      </c>
      <c r="T2973" s="29">
        <v>485000</v>
      </c>
      <c r="U2973" s="29">
        <v>26772000</v>
      </c>
      <c r="V2973" t="s">
        <v>1262</v>
      </c>
      <c r="W2973" t="s">
        <v>1262</v>
      </c>
      <c r="X2973" s="29">
        <v>26772000</v>
      </c>
      <c r="AA2973" s="30">
        <v>46092.333333333336</v>
      </c>
      <c r="AB2973" s="30">
        <v>46107.708333333336</v>
      </c>
      <c r="AC2973" s="30">
        <v>46092.333333333336</v>
      </c>
      <c r="AD2973" s="30">
        <v>46107.708333333336</v>
      </c>
      <c r="AE2973" s="30">
        <v>46092.333333333336</v>
      </c>
      <c r="AF2973" s="30">
        <v>46107.708333333336</v>
      </c>
      <c r="AG2973" t="s">
        <v>1266</v>
      </c>
      <c r="AK2973" t="s">
        <v>1265</v>
      </c>
      <c r="AL2973" t="s">
        <v>1686</v>
      </c>
      <c r="AM2973" t="s">
        <v>1263</v>
      </c>
      <c r="AN2973" t="s">
        <v>1262</v>
      </c>
      <c r="AO2973">
        <v>0</v>
      </c>
      <c r="AQ2973" t="s">
        <v>1261</v>
      </c>
      <c r="AR2973" t="s">
        <v>1260</v>
      </c>
      <c r="AS2973" t="s">
        <v>1259</v>
      </c>
      <c r="AT2973" s="30">
        <v>46073.384722222225</v>
      </c>
    </row>
    <row r="2974" spans="1:46" x14ac:dyDescent="0.25">
      <c r="A2974" t="s">
        <v>1248</v>
      </c>
      <c r="B2974">
        <v>253411</v>
      </c>
      <c r="C2974">
        <v>119904</v>
      </c>
      <c r="D2974">
        <v>405</v>
      </c>
      <c r="E2974" t="s">
        <v>1266</v>
      </c>
      <c r="G2974">
        <v>745</v>
      </c>
      <c r="H2974">
        <v>1851</v>
      </c>
      <c r="K2974" t="s">
        <v>1644</v>
      </c>
      <c r="L2974" t="s">
        <v>1644</v>
      </c>
      <c r="M2974" t="s">
        <v>1667</v>
      </c>
      <c r="N2974">
        <v>0</v>
      </c>
      <c r="O2974" t="s">
        <v>1667</v>
      </c>
      <c r="P2974">
        <v>0</v>
      </c>
      <c r="Q2974">
        <v>0</v>
      </c>
      <c r="R2974">
        <v>0</v>
      </c>
      <c r="T2974" s="29">
        <v>485000</v>
      </c>
      <c r="U2974" s="29">
        <v>26772000</v>
      </c>
      <c r="V2974" t="s">
        <v>1262</v>
      </c>
      <c r="W2974" t="s">
        <v>1262</v>
      </c>
      <c r="X2974" s="29">
        <v>26772000</v>
      </c>
      <c r="AA2974" s="30">
        <v>46108.333333333336</v>
      </c>
      <c r="AB2974" s="30">
        <v>46126.708333333336</v>
      </c>
      <c r="AC2974" s="30">
        <v>46108.333333333336</v>
      </c>
      <c r="AD2974" s="30">
        <v>46126.708333333336</v>
      </c>
      <c r="AE2974" s="30">
        <v>46108.333333333336</v>
      </c>
      <c r="AF2974" s="30">
        <v>46126.708333333336</v>
      </c>
      <c r="AG2974" t="s">
        <v>1266</v>
      </c>
      <c r="AK2974" t="s">
        <v>1265</v>
      </c>
      <c r="AL2974" t="s">
        <v>1685</v>
      </c>
      <c r="AM2974" t="s">
        <v>1263</v>
      </c>
      <c r="AN2974" t="s">
        <v>1262</v>
      </c>
      <c r="AO2974">
        <v>0</v>
      </c>
      <c r="AQ2974" t="s">
        <v>1261</v>
      </c>
      <c r="AR2974" t="s">
        <v>1260</v>
      </c>
      <c r="AS2974" t="s">
        <v>1259</v>
      </c>
      <c r="AT2974" s="30">
        <v>46073.384722222225</v>
      </c>
    </row>
    <row r="2975" spans="1:46" x14ac:dyDescent="0.25">
      <c r="A2975" t="s">
        <v>1248</v>
      </c>
      <c r="B2975">
        <v>253412</v>
      </c>
      <c r="C2975">
        <v>119905</v>
      </c>
      <c r="D2975">
        <v>405</v>
      </c>
      <c r="E2975" t="s">
        <v>1266</v>
      </c>
      <c r="G2975">
        <v>745</v>
      </c>
      <c r="H2975">
        <v>1851</v>
      </c>
      <c r="K2975" t="s">
        <v>1644</v>
      </c>
      <c r="L2975" t="s">
        <v>1644</v>
      </c>
      <c r="M2975" t="s">
        <v>1667</v>
      </c>
      <c r="N2975">
        <v>0</v>
      </c>
      <c r="O2975" t="s">
        <v>1667</v>
      </c>
      <c r="P2975">
        <v>0</v>
      </c>
      <c r="Q2975">
        <v>0</v>
      </c>
      <c r="R2975">
        <v>0</v>
      </c>
      <c r="T2975" s="29">
        <v>485000</v>
      </c>
      <c r="U2975" s="29">
        <v>26772000</v>
      </c>
      <c r="V2975" t="s">
        <v>1262</v>
      </c>
      <c r="W2975" t="s">
        <v>1262</v>
      </c>
      <c r="X2975" s="29">
        <v>26772000</v>
      </c>
      <c r="AA2975" s="30">
        <v>46127.333333333336</v>
      </c>
      <c r="AB2975" s="30">
        <v>46142.708333333336</v>
      </c>
      <c r="AC2975" s="30">
        <v>46127.333333333336</v>
      </c>
      <c r="AD2975" s="30">
        <v>46142.708333333336</v>
      </c>
      <c r="AE2975" s="30">
        <v>46127.333333333336</v>
      </c>
      <c r="AF2975" s="30">
        <v>46142.708333333336</v>
      </c>
      <c r="AG2975" t="s">
        <v>1266</v>
      </c>
      <c r="AK2975" t="s">
        <v>1265</v>
      </c>
      <c r="AL2975" t="s">
        <v>1684</v>
      </c>
      <c r="AM2975" t="s">
        <v>1263</v>
      </c>
      <c r="AN2975" t="s">
        <v>1262</v>
      </c>
      <c r="AO2975">
        <v>0</v>
      </c>
      <c r="AQ2975" t="s">
        <v>1261</v>
      </c>
      <c r="AR2975" t="s">
        <v>1260</v>
      </c>
      <c r="AS2975" t="s">
        <v>1259</v>
      </c>
      <c r="AT2975" s="30">
        <v>46073.384722222225</v>
      </c>
    </row>
    <row r="2976" spans="1:46" x14ac:dyDescent="0.25">
      <c r="A2976" t="s">
        <v>1248</v>
      </c>
      <c r="B2976">
        <v>253413</v>
      </c>
      <c r="C2976">
        <v>119906</v>
      </c>
      <c r="D2976">
        <v>405</v>
      </c>
      <c r="E2976" t="s">
        <v>1266</v>
      </c>
      <c r="G2976">
        <v>745</v>
      </c>
      <c r="H2976">
        <v>1851</v>
      </c>
      <c r="K2976" t="s">
        <v>1644</v>
      </c>
      <c r="L2976" t="s">
        <v>1644</v>
      </c>
      <c r="M2976" t="s">
        <v>1667</v>
      </c>
      <c r="N2976">
        <v>0</v>
      </c>
      <c r="O2976" t="s">
        <v>1667</v>
      </c>
      <c r="P2976">
        <v>0</v>
      </c>
      <c r="Q2976">
        <v>0</v>
      </c>
      <c r="R2976">
        <v>0</v>
      </c>
      <c r="T2976" s="29">
        <v>485000</v>
      </c>
      <c r="U2976" s="29">
        <v>26772000</v>
      </c>
      <c r="V2976" t="s">
        <v>1262</v>
      </c>
      <c r="W2976" t="s">
        <v>1262</v>
      </c>
      <c r="X2976" s="29">
        <v>26772000</v>
      </c>
      <c r="AA2976" s="30">
        <v>46146.333333333336</v>
      </c>
      <c r="AB2976" s="30">
        <v>46161.708333333336</v>
      </c>
      <c r="AC2976" s="30">
        <v>46146.333333333336</v>
      </c>
      <c r="AD2976" s="30">
        <v>46161.708333333336</v>
      </c>
      <c r="AE2976" s="30">
        <v>46146.333333333336</v>
      </c>
      <c r="AF2976" s="30">
        <v>46161.708333333336</v>
      </c>
      <c r="AG2976" t="s">
        <v>1266</v>
      </c>
      <c r="AK2976" t="s">
        <v>1265</v>
      </c>
      <c r="AL2976" t="s">
        <v>1683</v>
      </c>
      <c r="AM2976" t="s">
        <v>1263</v>
      </c>
      <c r="AN2976" t="s">
        <v>1262</v>
      </c>
      <c r="AO2976">
        <v>0</v>
      </c>
      <c r="AQ2976" t="s">
        <v>1261</v>
      </c>
      <c r="AR2976" t="s">
        <v>1260</v>
      </c>
      <c r="AS2976" t="s">
        <v>1259</v>
      </c>
      <c r="AT2976" s="30">
        <v>46073.384722222225</v>
      </c>
    </row>
    <row r="2977" spans="1:46" x14ac:dyDescent="0.25">
      <c r="A2977" t="s">
        <v>1248</v>
      </c>
      <c r="B2977">
        <v>253414</v>
      </c>
      <c r="C2977">
        <v>119907</v>
      </c>
      <c r="D2977">
        <v>405</v>
      </c>
      <c r="E2977" t="s">
        <v>1266</v>
      </c>
      <c r="G2977">
        <v>745</v>
      </c>
      <c r="H2977">
        <v>1851</v>
      </c>
      <c r="K2977" t="s">
        <v>1644</v>
      </c>
      <c r="L2977" t="s">
        <v>1644</v>
      </c>
      <c r="M2977" t="s">
        <v>1667</v>
      </c>
      <c r="N2977">
        <v>0</v>
      </c>
      <c r="O2977" t="s">
        <v>1667</v>
      </c>
      <c r="P2977">
        <v>0</v>
      </c>
      <c r="Q2977">
        <v>0</v>
      </c>
      <c r="R2977">
        <v>0</v>
      </c>
      <c r="T2977" s="29">
        <v>485000</v>
      </c>
      <c r="U2977" s="29">
        <v>26772000</v>
      </c>
      <c r="V2977" t="s">
        <v>1262</v>
      </c>
      <c r="W2977" t="s">
        <v>1262</v>
      </c>
      <c r="X2977" s="29">
        <v>26772000</v>
      </c>
      <c r="AA2977" s="30">
        <v>46162.333333333336</v>
      </c>
      <c r="AB2977" s="30">
        <v>46178.708333333336</v>
      </c>
      <c r="AC2977" s="30">
        <v>46162.333333333336</v>
      </c>
      <c r="AD2977" s="30">
        <v>46178.708333333336</v>
      </c>
      <c r="AE2977" s="30">
        <v>46162.333333333336</v>
      </c>
      <c r="AF2977" s="30">
        <v>46178.708333333336</v>
      </c>
      <c r="AG2977" t="s">
        <v>1266</v>
      </c>
      <c r="AK2977" t="s">
        <v>1265</v>
      </c>
      <c r="AL2977" t="s">
        <v>1682</v>
      </c>
      <c r="AM2977" t="s">
        <v>1263</v>
      </c>
      <c r="AN2977" t="s">
        <v>1262</v>
      </c>
      <c r="AO2977">
        <v>0</v>
      </c>
      <c r="AQ2977" t="s">
        <v>1261</v>
      </c>
      <c r="AR2977" t="s">
        <v>1260</v>
      </c>
      <c r="AS2977" t="s">
        <v>1259</v>
      </c>
      <c r="AT2977" s="30">
        <v>46073.384722222225</v>
      </c>
    </row>
    <row r="2978" spans="1:46" x14ac:dyDescent="0.25">
      <c r="A2978" t="s">
        <v>1248</v>
      </c>
      <c r="B2978">
        <v>253415</v>
      </c>
      <c r="C2978">
        <v>119908</v>
      </c>
      <c r="D2978">
        <v>405</v>
      </c>
      <c r="E2978" t="s">
        <v>1266</v>
      </c>
      <c r="G2978">
        <v>745</v>
      </c>
      <c r="H2978">
        <v>1851</v>
      </c>
      <c r="K2978" t="s">
        <v>1644</v>
      </c>
      <c r="L2978" t="s">
        <v>1644</v>
      </c>
      <c r="M2978" t="s">
        <v>1667</v>
      </c>
      <c r="N2978">
        <v>0</v>
      </c>
      <c r="O2978" t="s">
        <v>1667</v>
      </c>
      <c r="P2978">
        <v>0</v>
      </c>
      <c r="Q2978">
        <v>0</v>
      </c>
      <c r="R2978">
        <v>0</v>
      </c>
      <c r="T2978" s="29">
        <v>485000</v>
      </c>
      <c r="U2978" s="29">
        <v>26772000</v>
      </c>
      <c r="V2978" t="s">
        <v>1262</v>
      </c>
      <c r="W2978" t="s">
        <v>1262</v>
      </c>
      <c r="X2978" s="29">
        <v>26772000</v>
      </c>
      <c r="AA2978" s="30">
        <v>46181.333333333336</v>
      </c>
      <c r="AB2978" s="30">
        <v>46196.708333333336</v>
      </c>
      <c r="AC2978" s="30">
        <v>46181.333333333336</v>
      </c>
      <c r="AD2978" s="30">
        <v>46196.708333333336</v>
      </c>
      <c r="AE2978" s="30">
        <v>46181.333333333336</v>
      </c>
      <c r="AF2978" s="30">
        <v>46196.708333333336</v>
      </c>
      <c r="AG2978" t="s">
        <v>1266</v>
      </c>
      <c r="AK2978" t="s">
        <v>1265</v>
      </c>
      <c r="AL2978" t="s">
        <v>1681</v>
      </c>
      <c r="AM2978" t="s">
        <v>1263</v>
      </c>
      <c r="AN2978" t="s">
        <v>1262</v>
      </c>
      <c r="AO2978">
        <v>0</v>
      </c>
      <c r="AQ2978" t="s">
        <v>1261</v>
      </c>
      <c r="AR2978" t="s">
        <v>1260</v>
      </c>
      <c r="AS2978" t="s">
        <v>1259</v>
      </c>
      <c r="AT2978" s="30">
        <v>46073.384722222225</v>
      </c>
    </row>
    <row r="2979" spans="1:46" x14ac:dyDescent="0.25">
      <c r="A2979" t="s">
        <v>1248</v>
      </c>
      <c r="B2979">
        <v>253416</v>
      </c>
      <c r="C2979">
        <v>119909</v>
      </c>
      <c r="D2979">
        <v>405</v>
      </c>
      <c r="E2979" t="s">
        <v>1266</v>
      </c>
      <c r="G2979">
        <v>745</v>
      </c>
      <c r="H2979">
        <v>1851</v>
      </c>
      <c r="K2979" t="s">
        <v>1644</v>
      </c>
      <c r="L2979" t="s">
        <v>1644</v>
      </c>
      <c r="M2979" t="s">
        <v>1667</v>
      </c>
      <c r="N2979">
        <v>0</v>
      </c>
      <c r="O2979" t="s">
        <v>1667</v>
      </c>
      <c r="P2979">
        <v>0</v>
      </c>
      <c r="Q2979">
        <v>0</v>
      </c>
      <c r="R2979">
        <v>0</v>
      </c>
      <c r="T2979" s="29">
        <v>485000</v>
      </c>
      <c r="U2979" s="29">
        <v>26772000</v>
      </c>
      <c r="V2979" t="s">
        <v>1262</v>
      </c>
      <c r="W2979" t="s">
        <v>1262</v>
      </c>
      <c r="X2979" s="29">
        <v>26772000</v>
      </c>
      <c r="AA2979" s="30">
        <v>46197.333333333336</v>
      </c>
      <c r="AB2979" s="30">
        <v>46212.708333333336</v>
      </c>
      <c r="AC2979" s="30">
        <v>46197.333333333336</v>
      </c>
      <c r="AD2979" s="30">
        <v>46212.708333333336</v>
      </c>
      <c r="AE2979" s="30">
        <v>46197.333333333336</v>
      </c>
      <c r="AF2979" s="30">
        <v>46212.708333333336</v>
      </c>
      <c r="AG2979" t="s">
        <v>1266</v>
      </c>
      <c r="AK2979" t="s">
        <v>1265</v>
      </c>
      <c r="AL2979" t="s">
        <v>1680</v>
      </c>
      <c r="AM2979" t="s">
        <v>1263</v>
      </c>
      <c r="AN2979" t="s">
        <v>1262</v>
      </c>
      <c r="AO2979">
        <v>0</v>
      </c>
      <c r="AQ2979" t="s">
        <v>1261</v>
      </c>
      <c r="AR2979" t="s">
        <v>1260</v>
      </c>
      <c r="AS2979" t="s">
        <v>1259</v>
      </c>
      <c r="AT2979" s="30">
        <v>46073.384722222225</v>
      </c>
    </row>
    <row r="2980" spans="1:46" x14ac:dyDescent="0.25">
      <c r="A2980" t="s">
        <v>1248</v>
      </c>
      <c r="B2980">
        <v>253417</v>
      </c>
      <c r="C2980">
        <v>119910</v>
      </c>
      <c r="D2980">
        <v>405</v>
      </c>
      <c r="E2980" t="s">
        <v>1266</v>
      </c>
      <c r="G2980">
        <v>745</v>
      </c>
      <c r="H2980">
        <v>1851</v>
      </c>
      <c r="K2980" t="s">
        <v>1644</v>
      </c>
      <c r="L2980" t="s">
        <v>1644</v>
      </c>
      <c r="M2980" t="s">
        <v>1667</v>
      </c>
      <c r="N2980">
        <v>0</v>
      </c>
      <c r="O2980" t="s">
        <v>1667</v>
      </c>
      <c r="P2980">
        <v>0</v>
      </c>
      <c r="Q2980">
        <v>0</v>
      </c>
      <c r="R2980">
        <v>0</v>
      </c>
      <c r="T2980" s="29">
        <v>485000</v>
      </c>
      <c r="U2980" s="29">
        <v>26772000</v>
      </c>
      <c r="V2980" t="s">
        <v>1262</v>
      </c>
      <c r="W2980" t="s">
        <v>1262</v>
      </c>
      <c r="X2980" s="29">
        <v>26772000</v>
      </c>
      <c r="AA2980" s="30">
        <v>46213.333333333336</v>
      </c>
      <c r="AB2980" s="30">
        <v>46230.708333333336</v>
      </c>
      <c r="AC2980" s="30">
        <v>46213.333333333336</v>
      </c>
      <c r="AD2980" s="30">
        <v>46230.708333333336</v>
      </c>
      <c r="AE2980" s="30">
        <v>46213.333333333336</v>
      </c>
      <c r="AF2980" s="30">
        <v>46230.708333333336</v>
      </c>
      <c r="AG2980" t="s">
        <v>1266</v>
      </c>
      <c r="AK2980" t="s">
        <v>1265</v>
      </c>
      <c r="AL2980" t="s">
        <v>1679</v>
      </c>
      <c r="AM2980" t="s">
        <v>1263</v>
      </c>
      <c r="AN2980" t="s">
        <v>1262</v>
      </c>
      <c r="AO2980">
        <v>0</v>
      </c>
      <c r="AQ2980" t="s">
        <v>1261</v>
      </c>
      <c r="AR2980" t="s">
        <v>1260</v>
      </c>
      <c r="AS2980" t="s">
        <v>1259</v>
      </c>
      <c r="AT2980" s="30">
        <v>46073.384722222225</v>
      </c>
    </row>
    <row r="2981" spans="1:46" x14ac:dyDescent="0.25">
      <c r="A2981" t="s">
        <v>1248</v>
      </c>
      <c r="B2981">
        <v>253418</v>
      </c>
      <c r="C2981">
        <v>119911</v>
      </c>
      <c r="D2981">
        <v>405</v>
      </c>
      <c r="E2981" t="s">
        <v>1266</v>
      </c>
      <c r="G2981">
        <v>745</v>
      </c>
      <c r="H2981">
        <v>1851</v>
      </c>
      <c r="K2981" t="s">
        <v>1644</v>
      </c>
      <c r="L2981" t="s">
        <v>1644</v>
      </c>
      <c r="M2981" t="s">
        <v>1667</v>
      </c>
      <c r="N2981">
        <v>0</v>
      </c>
      <c r="O2981" t="s">
        <v>1667</v>
      </c>
      <c r="P2981">
        <v>0</v>
      </c>
      <c r="Q2981">
        <v>0</v>
      </c>
      <c r="R2981">
        <v>0</v>
      </c>
      <c r="T2981" s="29">
        <v>485000</v>
      </c>
      <c r="U2981" s="29">
        <v>26772000</v>
      </c>
      <c r="V2981" t="s">
        <v>1262</v>
      </c>
      <c r="W2981" t="s">
        <v>1262</v>
      </c>
      <c r="X2981" s="29">
        <v>26772000</v>
      </c>
      <c r="AA2981" s="30">
        <v>46231.333333333336</v>
      </c>
      <c r="AB2981" s="30">
        <v>46246.708333333336</v>
      </c>
      <c r="AC2981" s="30">
        <v>46231.333333333336</v>
      </c>
      <c r="AD2981" s="30">
        <v>46246.708333333336</v>
      </c>
      <c r="AE2981" s="30">
        <v>46231.333333333336</v>
      </c>
      <c r="AF2981" s="30">
        <v>46246.708333333336</v>
      </c>
      <c r="AG2981" t="s">
        <v>1266</v>
      </c>
      <c r="AK2981" t="s">
        <v>1265</v>
      </c>
      <c r="AL2981" t="s">
        <v>1678</v>
      </c>
      <c r="AM2981" t="s">
        <v>1263</v>
      </c>
      <c r="AN2981" t="s">
        <v>1262</v>
      </c>
      <c r="AO2981">
        <v>0</v>
      </c>
      <c r="AQ2981" t="s">
        <v>1261</v>
      </c>
      <c r="AR2981" t="s">
        <v>1260</v>
      </c>
      <c r="AS2981" t="s">
        <v>1259</v>
      </c>
      <c r="AT2981" s="30">
        <v>46073.384722222225</v>
      </c>
    </row>
    <row r="2982" spans="1:46" x14ac:dyDescent="0.25">
      <c r="A2982" t="s">
        <v>1248</v>
      </c>
      <c r="B2982">
        <v>253419</v>
      </c>
      <c r="C2982">
        <v>119912</v>
      </c>
      <c r="D2982">
        <v>405</v>
      </c>
      <c r="E2982" t="s">
        <v>1266</v>
      </c>
      <c r="G2982">
        <v>745</v>
      </c>
      <c r="H2982">
        <v>1851</v>
      </c>
      <c r="K2982" t="s">
        <v>1644</v>
      </c>
      <c r="L2982" t="s">
        <v>1644</v>
      </c>
      <c r="M2982" t="s">
        <v>1667</v>
      </c>
      <c r="N2982">
        <v>0</v>
      </c>
      <c r="O2982" t="s">
        <v>1667</v>
      </c>
      <c r="P2982">
        <v>0</v>
      </c>
      <c r="Q2982">
        <v>0</v>
      </c>
      <c r="R2982">
        <v>0</v>
      </c>
      <c r="T2982" s="29">
        <v>485000</v>
      </c>
      <c r="U2982" s="29">
        <v>26772000</v>
      </c>
      <c r="V2982" t="s">
        <v>1262</v>
      </c>
      <c r="W2982" t="s">
        <v>1262</v>
      </c>
      <c r="X2982" s="29">
        <v>26772000</v>
      </c>
      <c r="AA2982" s="30">
        <v>46247.333333333336</v>
      </c>
      <c r="AB2982" s="30">
        <v>46262.708333333336</v>
      </c>
      <c r="AC2982" s="30">
        <v>46247.333333333336</v>
      </c>
      <c r="AD2982" s="30">
        <v>46262.708333333336</v>
      </c>
      <c r="AE2982" s="30">
        <v>46247.333333333336</v>
      </c>
      <c r="AF2982" s="30">
        <v>46262.708333333336</v>
      </c>
      <c r="AG2982" t="s">
        <v>1266</v>
      </c>
      <c r="AK2982" t="s">
        <v>1265</v>
      </c>
      <c r="AL2982" t="s">
        <v>1677</v>
      </c>
      <c r="AM2982" t="s">
        <v>1263</v>
      </c>
      <c r="AN2982" t="s">
        <v>1262</v>
      </c>
      <c r="AO2982">
        <v>0</v>
      </c>
      <c r="AQ2982" t="s">
        <v>1261</v>
      </c>
      <c r="AR2982" t="s">
        <v>1260</v>
      </c>
      <c r="AS2982" t="s">
        <v>1259</v>
      </c>
      <c r="AT2982" s="30">
        <v>46073.384722222225</v>
      </c>
    </row>
    <row r="2983" spans="1:46" x14ac:dyDescent="0.25">
      <c r="A2983" t="s">
        <v>1248</v>
      </c>
      <c r="B2983">
        <v>253420</v>
      </c>
      <c r="C2983">
        <v>119913</v>
      </c>
      <c r="D2983">
        <v>405</v>
      </c>
      <c r="E2983" t="s">
        <v>1266</v>
      </c>
      <c r="G2983">
        <v>745</v>
      </c>
      <c r="H2983">
        <v>1851</v>
      </c>
      <c r="K2983" t="s">
        <v>1644</v>
      </c>
      <c r="L2983" t="s">
        <v>1644</v>
      </c>
      <c r="M2983" t="s">
        <v>1667</v>
      </c>
      <c r="N2983">
        <v>0</v>
      </c>
      <c r="O2983" t="s">
        <v>1667</v>
      </c>
      <c r="P2983">
        <v>0</v>
      </c>
      <c r="Q2983">
        <v>0</v>
      </c>
      <c r="R2983">
        <v>0</v>
      </c>
      <c r="T2983" s="29">
        <v>485000</v>
      </c>
      <c r="U2983" s="29">
        <v>26772000</v>
      </c>
      <c r="V2983" t="s">
        <v>1262</v>
      </c>
      <c r="W2983" t="s">
        <v>1262</v>
      </c>
      <c r="X2983" s="29">
        <v>26772000</v>
      </c>
      <c r="AA2983" s="30">
        <v>46265.333333333336</v>
      </c>
      <c r="AB2983" s="30">
        <v>46280.708333333336</v>
      </c>
      <c r="AC2983" s="30">
        <v>46265.333333333336</v>
      </c>
      <c r="AD2983" s="30">
        <v>46280.708333333336</v>
      </c>
      <c r="AE2983" s="30">
        <v>46265.333333333336</v>
      </c>
      <c r="AF2983" s="30">
        <v>46280.708333333336</v>
      </c>
      <c r="AG2983" t="s">
        <v>1266</v>
      </c>
      <c r="AK2983" t="s">
        <v>1265</v>
      </c>
      <c r="AL2983" t="s">
        <v>1676</v>
      </c>
      <c r="AM2983" t="s">
        <v>1263</v>
      </c>
      <c r="AN2983" t="s">
        <v>1262</v>
      </c>
      <c r="AO2983">
        <v>0</v>
      </c>
      <c r="AQ2983" t="s">
        <v>1261</v>
      </c>
      <c r="AR2983" t="s">
        <v>1260</v>
      </c>
      <c r="AS2983" t="s">
        <v>1259</v>
      </c>
      <c r="AT2983" s="30">
        <v>46073.384722222225</v>
      </c>
    </row>
    <row r="2984" spans="1:46" x14ac:dyDescent="0.25">
      <c r="A2984" t="s">
        <v>1248</v>
      </c>
      <c r="B2984">
        <v>253421</v>
      </c>
      <c r="C2984">
        <v>119914</v>
      </c>
      <c r="D2984">
        <v>405</v>
      </c>
      <c r="E2984" t="s">
        <v>1266</v>
      </c>
      <c r="G2984">
        <v>745</v>
      </c>
      <c r="H2984">
        <v>1851</v>
      </c>
      <c r="K2984" t="s">
        <v>1644</v>
      </c>
      <c r="L2984" t="s">
        <v>1644</v>
      </c>
      <c r="M2984" t="s">
        <v>1667</v>
      </c>
      <c r="N2984">
        <v>0</v>
      </c>
      <c r="O2984" t="s">
        <v>1667</v>
      </c>
      <c r="P2984">
        <v>0</v>
      </c>
      <c r="Q2984">
        <v>0</v>
      </c>
      <c r="R2984">
        <v>0</v>
      </c>
      <c r="T2984" s="29">
        <v>485000</v>
      </c>
      <c r="U2984" s="29">
        <v>26772000</v>
      </c>
      <c r="V2984" t="s">
        <v>1262</v>
      </c>
      <c r="W2984" t="s">
        <v>1262</v>
      </c>
      <c r="X2984" s="29">
        <v>26772000</v>
      </c>
      <c r="AA2984" s="30">
        <v>46281.333333333336</v>
      </c>
      <c r="AB2984" s="30">
        <v>46296.708333333336</v>
      </c>
      <c r="AC2984" s="30">
        <v>46281.333333333336</v>
      </c>
      <c r="AD2984" s="30">
        <v>46296.708333333336</v>
      </c>
      <c r="AE2984" s="30">
        <v>46281.333333333336</v>
      </c>
      <c r="AF2984" s="30">
        <v>46296.708333333336</v>
      </c>
      <c r="AG2984" t="s">
        <v>1266</v>
      </c>
      <c r="AK2984" t="s">
        <v>1265</v>
      </c>
      <c r="AL2984" t="s">
        <v>1675</v>
      </c>
      <c r="AM2984" t="s">
        <v>1263</v>
      </c>
      <c r="AN2984" t="s">
        <v>1262</v>
      </c>
      <c r="AO2984">
        <v>0</v>
      </c>
      <c r="AQ2984" t="s">
        <v>1261</v>
      </c>
      <c r="AR2984" t="s">
        <v>1260</v>
      </c>
      <c r="AS2984" t="s">
        <v>1259</v>
      </c>
      <c r="AT2984" s="30">
        <v>46073.384722222225</v>
      </c>
    </row>
    <row r="2985" spans="1:46" x14ac:dyDescent="0.25">
      <c r="A2985" t="s">
        <v>1248</v>
      </c>
      <c r="B2985">
        <v>253422</v>
      </c>
      <c r="C2985">
        <v>119915</v>
      </c>
      <c r="D2985">
        <v>405</v>
      </c>
      <c r="E2985" t="s">
        <v>1266</v>
      </c>
      <c r="G2985">
        <v>745</v>
      </c>
      <c r="H2985">
        <v>1851</v>
      </c>
      <c r="K2985" t="s">
        <v>1644</v>
      </c>
      <c r="L2985" t="s">
        <v>1644</v>
      </c>
      <c r="M2985" t="s">
        <v>1667</v>
      </c>
      <c r="N2985">
        <v>0</v>
      </c>
      <c r="O2985" t="s">
        <v>1667</v>
      </c>
      <c r="P2985">
        <v>0</v>
      </c>
      <c r="Q2985">
        <v>0</v>
      </c>
      <c r="R2985">
        <v>0</v>
      </c>
      <c r="T2985" s="29">
        <v>485000</v>
      </c>
      <c r="U2985" s="29">
        <v>26772000</v>
      </c>
      <c r="V2985" t="s">
        <v>1262</v>
      </c>
      <c r="W2985" t="s">
        <v>1262</v>
      </c>
      <c r="X2985" s="29">
        <v>26772000</v>
      </c>
      <c r="AA2985" s="30">
        <v>46297.333333333336</v>
      </c>
      <c r="AB2985" s="30">
        <v>46314.708333333336</v>
      </c>
      <c r="AC2985" s="30">
        <v>46297.333333333336</v>
      </c>
      <c r="AD2985" s="30">
        <v>46314.708333333336</v>
      </c>
      <c r="AE2985" s="30">
        <v>46297.333333333336</v>
      </c>
      <c r="AF2985" s="30">
        <v>46314.708333333336</v>
      </c>
      <c r="AG2985" t="s">
        <v>1266</v>
      </c>
      <c r="AK2985" t="s">
        <v>1265</v>
      </c>
      <c r="AL2985" t="s">
        <v>1674</v>
      </c>
      <c r="AM2985" t="s">
        <v>1263</v>
      </c>
      <c r="AN2985" t="s">
        <v>1262</v>
      </c>
      <c r="AO2985">
        <v>0</v>
      </c>
      <c r="AQ2985" t="s">
        <v>1261</v>
      </c>
      <c r="AR2985" t="s">
        <v>1260</v>
      </c>
      <c r="AS2985" t="s">
        <v>1259</v>
      </c>
      <c r="AT2985" s="30">
        <v>46073.384722222225</v>
      </c>
    </row>
    <row r="2986" spans="1:46" x14ac:dyDescent="0.25">
      <c r="A2986" t="s">
        <v>1248</v>
      </c>
      <c r="B2986">
        <v>253423</v>
      </c>
      <c r="C2986">
        <v>119916</v>
      </c>
      <c r="D2986">
        <v>405</v>
      </c>
      <c r="E2986" t="s">
        <v>1266</v>
      </c>
      <c r="G2986">
        <v>745</v>
      </c>
      <c r="H2986">
        <v>1851</v>
      </c>
      <c r="K2986" t="s">
        <v>1644</v>
      </c>
      <c r="L2986" t="s">
        <v>1644</v>
      </c>
      <c r="M2986" t="s">
        <v>1667</v>
      </c>
      <c r="N2986">
        <v>0</v>
      </c>
      <c r="O2986" t="s">
        <v>1667</v>
      </c>
      <c r="P2986">
        <v>0</v>
      </c>
      <c r="Q2986">
        <v>0</v>
      </c>
      <c r="R2986">
        <v>0</v>
      </c>
      <c r="T2986" s="29">
        <v>485000</v>
      </c>
      <c r="U2986" s="29">
        <v>26772000</v>
      </c>
      <c r="V2986" t="s">
        <v>1262</v>
      </c>
      <c r="W2986" t="s">
        <v>1262</v>
      </c>
      <c r="X2986" s="29">
        <v>26772000</v>
      </c>
      <c r="AA2986" s="30">
        <v>46315.333333333336</v>
      </c>
      <c r="AB2986" s="30">
        <v>46330.708333333336</v>
      </c>
      <c r="AC2986" s="30">
        <v>46315.333333333336</v>
      </c>
      <c r="AD2986" s="30">
        <v>46330.708333333336</v>
      </c>
      <c r="AE2986" s="30">
        <v>46315.333333333336</v>
      </c>
      <c r="AF2986" s="30">
        <v>46330.708333333336</v>
      </c>
      <c r="AG2986" t="s">
        <v>1266</v>
      </c>
      <c r="AK2986" t="s">
        <v>1265</v>
      </c>
      <c r="AL2986" t="s">
        <v>1673</v>
      </c>
      <c r="AM2986" t="s">
        <v>1263</v>
      </c>
      <c r="AN2986" t="s">
        <v>1262</v>
      </c>
      <c r="AO2986">
        <v>0</v>
      </c>
      <c r="AQ2986" t="s">
        <v>1261</v>
      </c>
      <c r="AR2986" t="s">
        <v>1260</v>
      </c>
      <c r="AS2986" t="s">
        <v>1259</v>
      </c>
      <c r="AT2986" s="30">
        <v>46073.384722222225</v>
      </c>
    </row>
    <row r="2987" spans="1:46" x14ac:dyDescent="0.25">
      <c r="A2987" t="s">
        <v>1248</v>
      </c>
      <c r="B2987">
        <v>253424</v>
      </c>
      <c r="C2987">
        <v>119917</v>
      </c>
      <c r="D2987">
        <v>405</v>
      </c>
      <c r="E2987" t="s">
        <v>1266</v>
      </c>
      <c r="G2987">
        <v>745</v>
      </c>
      <c r="H2987">
        <v>1851</v>
      </c>
      <c r="K2987" t="s">
        <v>1644</v>
      </c>
      <c r="L2987" t="s">
        <v>1644</v>
      </c>
      <c r="M2987" t="s">
        <v>1667</v>
      </c>
      <c r="N2987">
        <v>0</v>
      </c>
      <c r="O2987" t="s">
        <v>1667</v>
      </c>
      <c r="P2987">
        <v>0</v>
      </c>
      <c r="Q2987">
        <v>0</v>
      </c>
      <c r="R2987">
        <v>0</v>
      </c>
      <c r="T2987" s="29">
        <v>485000</v>
      </c>
      <c r="U2987" s="29">
        <v>26772000</v>
      </c>
      <c r="V2987" t="s">
        <v>1262</v>
      </c>
      <c r="W2987" t="s">
        <v>1262</v>
      </c>
      <c r="X2987" s="29">
        <v>26772000</v>
      </c>
      <c r="AA2987" s="30">
        <v>46331.333333333336</v>
      </c>
      <c r="AB2987" s="30">
        <v>46346.708333333336</v>
      </c>
      <c r="AC2987" s="30">
        <v>46331.333333333336</v>
      </c>
      <c r="AD2987" s="30">
        <v>46346.708333333336</v>
      </c>
      <c r="AE2987" s="30">
        <v>46331.333333333336</v>
      </c>
      <c r="AF2987" s="30">
        <v>46346.708333333336</v>
      </c>
      <c r="AG2987" t="s">
        <v>1266</v>
      </c>
      <c r="AK2987" t="s">
        <v>1265</v>
      </c>
      <c r="AL2987" t="s">
        <v>1672</v>
      </c>
      <c r="AM2987" t="s">
        <v>1263</v>
      </c>
      <c r="AN2987" t="s">
        <v>1262</v>
      </c>
      <c r="AO2987">
        <v>0</v>
      </c>
      <c r="AQ2987" t="s">
        <v>1261</v>
      </c>
      <c r="AR2987" t="s">
        <v>1260</v>
      </c>
      <c r="AS2987" t="s">
        <v>1259</v>
      </c>
      <c r="AT2987" s="30">
        <v>46073.384722222225</v>
      </c>
    </row>
    <row r="2988" spans="1:46" x14ac:dyDescent="0.25">
      <c r="A2988" t="s">
        <v>1248</v>
      </c>
      <c r="B2988">
        <v>253425</v>
      </c>
      <c r="C2988">
        <v>119918</v>
      </c>
      <c r="D2988">
        <v>405</v>
      </c>
      <c r="E2988" t="s">
        <v>1266</v>
      </c>
      <c r="G2988">
        <v>745</v>
      </c>
      <c r="H2988">
        <v>1851</v>
      </c>
      <c r="K2988" t="s">
        <v>1644</v>
      </c>
      <c r="L2988" t="s">
        <v>1644</v>
      </c>
      <c r="M2988" t="s">
        <v>1667</v>
      </c>
      <c r="N2988">
        <v>0</v>
      </c>
      <c r="O2988" t="s">
        <v>1667</v>
      </c>
      <c r="P2988">
        <v>0</v>
      </c>
      <c r="Q2988">
        <v>0</v>
      </c>
      <c r="R2988">
        <v>0</v>
      </c>
      <c r="T2988" s="29">
        <v>485000</v>
      </c>
      <c r="U2988" s="29">
        <v>26772000</v>
      </c>
      <c r="V2988" t="s">
        <v>1262</v>
      </c>
      <c r="W2988" t="s">
        <v>1262</v>
      </c>
      <c r="X2988" s="29">
        <v>26772000</v>
      </c>
      <c r="AA2988" s="30">
        <v>46349.333333333336</v>
      </c>
      <c r="AB2988" s="30">
        <v>46365.708333333336</v>
      </c>
      <c r="AC2988" s="30">
        <v>46349.333333333336</v>
      </c>
      <c r="AD2988" s="30">
        <v>46365.708333333336</v>
      </c>
      <c r="AE2988" s="30">
        <v>46349.333333333336</v>
      </c>
      <c r="AF2988" s="30">
        <v>46365.708333333336</v>
      </c>
      <c r="AG2988" t="s">
        <v>1266</v>
      </c>
      <c r="AK2988" t="s">
        <v>1265</v>
      </c>
      <c r="AL2988" t="s">
        <v>1671</v>
      </c>
      <c r="AM2988" t="s">
        <v>1263</v>
      </c>
      <c r="AN2988" t="s">
        <v>1262</v>
      </c>
      <c r="AO2988">
        <v>0</v>
      </c>
      <c r="AQ2988" t="s">
        <v>1261</v>
      </c>
      <c r="AR2988" t="s">
        <v>1260</v>
      </c>
      <c r="AS2988" t="s">
        <v>1259</v>
      </c>
      <c r="AT2988" s="30">
        <v>46073.384722222225</v>
      </c>
    </row>
    <row r="2989" spans="1:46" x14ac:dyDescent="0.25">
      <c r="A2989" t="s">
        <v>1248</v>
      </c>
      <c r="B2989">
        <v>253426</v>
      </c>
      <c r="C2989">
        <v>119919</v>
      </c>
      <c r="D2989">
        <v>405</v>
      </c>
      <c r="E2989" t="s">
        <v>1266</v>
      </c>
      <c r="G2989">
        <v>745</v>
      </c>
      <c r="H2989">
        <v>1851</v>
      </c>
      <c r="K2989" t="s">
        <v>1644</v>
      </c>
      <c r="L2989" t="s">
        <v>1644</v>
      </c>
      <c r="M2989" t="s">
        <v>1667</v>
      </c>
      <c r="N2989">
        <v>0</v>
      </c>
      <c r="O2989" t="s">
        <v>1667</v>
      </c>
      <c r="P2989">
        <v>0</v>
      </c>
      <c r="Q2989">
        <v>0</v>
      </c>
      <c r="R2989">
        <v>0</v>
      </c>
      <c r="T2989" s="29">
        <v>485000</v>
      </c>
      <c r="U2989" s="29">
        <v>26772000</v>
      </c>
      <c r="V2989" t="s">
        <v>1262</v>
      </c>
      <c r="W2989" t="s">
        <v>1262</v>
      </c>
      <c r="X2989" s="29">
        <v>26772000</v>
      </c>
      <c r="AA2989" s="30">
        <v>46366.333333333336</v>
      </c>
      <c r="AB2989" s="30">
        <v>46384.708333333336</v>
      </c>
      <c r="AC2989" s="30">
        <v>46366.333333333336</v>
      </c>
      <c r="AD2989" s="30">
        <v>46384.708333333336</v>
      </c>
      <c r="AE2989" s="30">
        <v>46366.333333333336</v>
      </c>
      <c r="AF2989" s="30">
        <v>46384.708333333336</v>
      </c>
      <c r="AG2989" t="s">
        <v>1266</v>
      </c>
      <c r="AK2989" t="s">
        <v>1265</v>
      </c>
      <c r="AL2989" t="s">
        <v>1670</v>
      </c>
      <c r="AM2989" t="s">
        <v>1263</v>
      </c>
      <c r="AN2989" t="s">
        <v>1262</v>
      </c>
      <c r="AO2989">
        <v>0</v>
      </c>
      <c r="AQ2989" t="s">
        <v>1261</v>
      </c>
      <c r="AR2989" t="s">
        <v>1260</v>
      </c>
      <c r="AS2989" t="s">
        <v>1259</v>
      </c>
      <c r="AT2989" s="30">
        <v>46073.384722222225</v>
      </c>
    </row>
    <row r="2990" spans="1:46" x14ac:dyDescent="0.25">
      <c r="A2990" t="s">
        <v>1248</v>
      </c>
      <c r="B2990">
        <v>253427</v>
      </c>
      <c r="C2990">
        <v>119920</v>
      </c>
      <c r="D2990">
        <v>405</v>
      </c>
      <c r="E2990" t="s">
        <v>1266</v>
      </c>
      <c r="G2990">
        <v>745</v>
      </c>
      <c r="H2990">
        <v>1851</v>
      </c>
      <c r="K2990" t="s">
        <v>1644</v>
      </c>
      <c r="L2990" t="s">
        <v>1644</v>
      </c>
      <c r="M2990" t="s">
        <v>1667</v>
      </c>
      <c r="N2990">
        <v>0</v>
      </c>
      <c r="O2990" t="s">
        <v>1667</v>
      </c>
      <c r="P2990">
        <v>0</v>
      </c>
      <c r="Q2990">
        <v>0</v>
      </c>
      <c r="R2990">
        <v>0</v>
      </c>
      <c r="T2990" s="29">
        <v>485000</v>
      </c>
      <c r="U2990" s="29">
        <v>26772000</v>
      </c>
      <c r="V2990" t="s">
        <v>1262</v>
      </c>
      <c r="W2990" t="s">
        <v>1262</v>
      </c>
      <c r="X2990" s="29">
        <v>26772000</v>
      </c>
      <c r="AA2990" s="30">
        <v>46385.333333333336</v>
      </c>
      <c r="AB2990" s="30">
        <v>46402.708333333336</v>
      </c>
      <c r="AC2990" s="30">
        <v>46385.333333333336</v>
      </c>
      <c r="AD2990" s="30">
        <v>46402.708333333336</v>
      </c>
      <c r="AE2990" s="30">
        <v>46385.333333333336</v>
      </c>
      <c r="AF2990" s="30">
        <v>46402.708333333336</v>
      </c>
      <c r="AG2990" t="s">
        <v>1266</v>
      </c>
      <c r="AK2990" t="s">
        <v>1265</v>
      </c>
      <c r="AL2990" t="s">
        <v>1669</v>
      </c>
      <c r="AM2990" t="s">
        <v>1263</v>
      </c>
      <c r="AN2990" t="s">
        <v>1262</v>
      </c>
      <c r="AO2990">
        <v>0</v>
      </c>
      <c r="AQ2990" t="s">
        <v>1261</v>
      </c>
      <c r="AR2990" t="s">
        <v>1260</v>
      </c>
      <c r="AS2990" t="s">
        <v>1259</v>
      </c>
      <c r="AT2990" s="30">
        <v>46073.384722222225</v>
      </c>
    </row>
    <row r="2991" spans="1:46" x14ac:dyDescent="0.25">
      <c r="A2991" t="s">
        <v>1248</v>
      </c>
      <c r="B2991">
        <v>253428</v>
      </c>
      <c r="C2991">
        <v>119921</v>
      </c>
      <c r="D2991">
        <v>405</v>
      </c>
      <c r="E2991" t="s">
        <v>1266</v>
      </c>
      <c r="G2991">
        <v>745</v>
      </c>
      <c r="H2991">
        <v>1851</v>
      </c>
      <c r="K2991" t="s">
        <v>1644</v>
      </c>
      <c r="L2991" t="s">
        <v>1644</v>
      </c>
      <c r="M2991" t="s">
        <v>1667</v>
      </c>
      <c r="N2991">
        <v>0</v>
      </c>
      <c r="O2991" t="s">
        <v>1667</v>
      </c>
      <c r="P2991">
        <v>0</v>
      </c>
      <c r="Q2991">
        <v>0</v>
      </c>
      <c r="R2991">
        <v>0</v>
      </c>
      <c r="T2991" s="29">
        <v>485000</v>
      </c>
      <c r="U2991" s="29">
        <v>26772000</v>
      </c>
      <c r="V2991" t="s">
        <v>1262</v>
      </c>
      <c r="W2991" t="s">
        <v>1262</v>
      </c>
      <c r="X2991" s="29">
        <v>26772000</v>
      </c>
      <c r="AA2991" s="30">
        <v>46405.333333333336</v>
      </c>
      <c r="AB2991" s="30">
        <v>46420.708333333336</v>
      </c>
      <c r="AC2991" s="30">
        <v>46405.333333333336</v>
      </c>
      <c r="AD2991" s="30">
        <v>46420.708333333336</v>
      </c>
      <c r="AE2991" s="30">
        <v>46405.333333333336</v>
      </c>
      <c r="AF2991" s="30">
        <v>46420.708333333336</v>
      </c>
      <c r="AG2991" t="s">
        <v>1266</v>
      </c>
      <c r="AK2991" t="s">
        <v>1265</v>
      </c>
      <c r="AL2991" t="s">
        <v>1668</v>
      </c>
      <c r="AM2991" t="s">
        <v>1263</v>
      </c>
      <c r="AN2991" t="s">
        <v>1262</v>
      </c>
      <c r="AO2991">
        <v>0</v>
      </c>
      <c r="AQ2991" t="s">
        <v>1261</v>
      </c>
      <c r="AR2991" t="s">
        <v>1260</v>
      </c>
      <c r="AS2991" t="s">
        <v>1259</v>
      </c>
      <c r="AT2991" s="30">
        <v>46073.384722222225</v>
      </c>
    </row>
    <row r="2992" spans="1:46" x14ac:dyDescent="0.25">
      <c r="A2992" t="s">
        <v>1248</v>
      </c>
      <c r="B2992">
        <v>253429</v>
      </c>
      <c r="C2992">
        <v>119922</v>
      </c>
      <c r="D2992">
        <v>405</v>
      </c>
      <c r="E2992" t="s">
        <v>1266</v>
      </c>
      <c r="G2992">
        <v>745</v>
      </c>
      <c r="H2992">
        <v>1851</v>
      </c>
      <c r="K2992" t="s">
        <v>1644</v>
      </c>
      <c r="L2992" t="s">
        <v>1644</v>
      </c>
      <c r="M2992" t="s">
        <v>1667</v>
      </c>
      <c r="N2992">
        <v>0</v>
      </c>
      <c r="O2992" t="s">
        <v>1667</v>
      </c>
      <c r="P2992">
        <v>0</v>
      </c>
      <c r="Q2992">
        <v>0</v>
      </c>
      <c r="R2992">
        <v>0</v>
      </c>
      <c r="T2992" s="29">
        <v>485000</v>
      </c>
      <c r="U2992" s="29">
        <v>26772000</v>
      </c>
      <c r="V2992" t="s">
        <v>1262</v>
      </c>
      <c r="W2992" t="s">
        <v>1262</v>
      </c>
      <c r="X2992" s="29">
        <v>26772000</v>
      </c>
      <c r="AA2992" s="30">
        <v>46421.333333333336</v>
      </c>
      <c r="AB2992" s="30">
        <v>46436.708333333336</v>
      </c>
      <c r="AC2992" s="30">
        <v>46421.333333333336</v>
      </c>
      <c r="AD2992" s="30">
        <v>46436.708333333336</v>
      </c>
      <c r="AE2992" s="30">
        <v>46421.333333333336</v>
      </c>
      <c r="AF2992" s="30">
        <v>46436.708333333336</v>
      </c>
      <c r="AG2992" t="s">
        <v>1266</v>
      </c>
      <c r="AK2992" t="s">
        <v>1265</v>
      </c>
      <c r="AL2992" t="s">
        <v>1666</v>
      </c>
      <c r="AM2992" t="s">
        <v>1263</v>
      </c>
      <c r="AN2992" t="s">
        <v>1262</v>
      </c>
      <c r="AO2992">
        <v>0</v>
      </c>
      <c r="AQ2992" t="s">
        <v>1261</v>
      </c>
      <c r="AR2992" t="s">
        <v>1260</v>
      </c>
      <c r="AS2992" t="s">
        <v>1259</v>
      </c>
      <c r="AT2992" s="30">
        <v>46073.384722222225</v>
      </c>
    </row>
    <row r="2993" spans="1:46" x14ac:dyDescent="0.25">
      <c r="A2993" t="s">
        <v>1248</v>
      </c>
      <c r="B2993">
        <v>253430</v>
      </c>
      <c r="C2993">
        <v>119988</v>
      </c>
      <c r="D2993">
        <v>405</v>
      </c>
      <c r="E2993" t="s">
        <v>1266</v>
      </c>
      <c r="G2993">
        <v>745</v>
      </c>
      <c r="H2993">
        <v>1851</v>
      </c>
      <c r="K2993" t="s">
        <v>1644</v>
      </c>
      <c r="L2993" t="s">
        <v>1644</v>
      </c>
      <c r="M2993" t="s">
        <v>1665</v>
      </c>
      <c r="N2993">
        <v>0</v>
      </c>
      <c r="O2993" t="s">
        <v>1665</v>
      </c>
      <c r="P2993">
        <v>0</v>
      </c>
      <c r="Q2993">
        <v>0</v>
      </c>
      <c r="R2993">
        <v>0</v>
      </c>
      <c r="T2993" s="29">
        <v>485000</v>
      </c>
      <c r="U2993" s="29">
        <v>26772000</v>
      </c>
      <c r="V2993" t="s">
        <v>1262</v>
      </c>
      <c r="W2993" t="s">
        <v>1262</v>
      </c>
      <c r="X2993" s="29">
        <v>26772000</v>
      </c>
      <c r="AA2993" s="30">
        <v>45827.333333333336</v>
      </c>
      <c r="AB2993" s="30">
        <v>45847.708333333336</v>
      </c>
      <c r="AC2993" s="30">
        <v>45827.333333333336</v>
      </c>
      <c r="AD2993" s="30">
        <v>45847.708333333336</v>
      </c>
      <c r="AE2993" s="30">
        <v>45974.333333333336</v>
      </c>
      <c r="AF2993" s="30">
        <v>45994.708333333336</v>
      </c>
      <c r="AG2993" t="s">
        <v>1266</v>
      </c>
      <c r="AK2993" t="s">
        <v>1265</v>
      </c>
      <c r="AL2993" t="s">
        <v>1664</v>
      </c>
      <c r="AM2993" t="s">
        <v>1263</v>
      </c>
      <c r="AN2993" t="s">
        <v>1262</v>
      </c>
      <c r="AO2993">
        <v>0</v>
      </c>
      <c r="AQ2993" t="s">
        <v>1261</v>
      </c>
      <c r="AR2993" t="s">
        <v>1260</v>
      </c>
      <c r="AS2993" t="s">
        <v>1259</v>
      </c>
      <c r="AT2993" s="30">
        <v>46073.384722222225</v>
      </c>
    </row>
    <row r="2994" spans="1:46" x14ac:dyDescent="0.25">
      <c r="A2994" t="s">
        <v>1248</v>
      </c>
      <c r="B2994">
        <v>253431</v>
      </c>
      <c r="C2994">
        <v>119989</v>
      </c>
      <c r="D2994">
        <v>405</v>
      </c>
      <c r="E2994" t="s">
        <v>1266</v>
      </c>
      <c r="G2994">
        <v>745</v>
      </c>
      <c r="H2994">
        <v>1851</v>
      </c>
      <c r="K2994" t="s">
        <v>1644</v>
      </c>
      <c r="L2994" t="s">
        <v>1644</v>
      </c>
      <c r="M2994" t="s">
        <v>1643</v>
      </c>
      <c r="N2994">
        <v>0</v>
      </c>
      <c r="O2994" t="s">
        <v>1643</v>
      </c>
      <c r="P2994">
        <v>0</v>
      </c>
      <c r="Q2994">
        <v>0</v>
      </c>
      <c r="R2994">
        <v>0</v>
      </c>
      <c r="T2994" s="29">
        <v>485000</v>
      </c>
      <c r="U2994" s="29">
        <v>26772000</v>
      </c>
      <c r="V2994" t="s">
        <v>1262</v>
      </c>
      <c r="W2994" t="s">
        <v>1262</v>
      </c>
      <c r="X2994" s="29">
        <v>26772000</v>
      </c>
      <c r="AA2994" s="30">
        <v>45848.333333333336</v>
      </c>
      <c r="AB2994" s="30">
        <v>45867.708333333336</v>
      </c>
      <c r="AC2994" s="30">
        <v>45848.333333333336</v>
      </c>
      <c r="AD2994" s="30">
        <v>45867.708333333336</v>
      </c>
      <c r="AE2994" s="30">
        <v>45995.333333333336</v>
      </c>
      <c r="AF2994" s="30">
        <v>46014.708333333336</v>
      </c>
      <c r="AG2994" t="s">
        <v>1266</v>
      </c>
      <c r="AK2994" t="s">
        <v>1265</v>
      </c>
      <c r="AL2994" t="s">
        <v>1663</v>
      </c>
      <c r="AM2994" t="s">
        <v>1263</v>
      </c>
      <c r="AN2994" t="s">
        <v>1262</v>
      </c>
      <c r="AO2994">
        <v>0</v>
      </c>
      <c r="AQ2994" t="s">
        <v>1261</v>
      </c>
      <c r="AR2994" t="s">
        <v>1260</v>
      </c>
      <c r="AS2994" t="s">
        <v>1259</v>
      </c>
      <c r="AT2994" s="30">
        <v>46073.384722222225</v>
      </c>
    </row>
    <row r="2995" spans="1:46" x14ac:dyDescent="0.25">
      <c r="A2995" t="s">
        <v>1248</v>
      </c>
      <c r="B2995">
        <v>253432</v>
      </c>
      <c r="C2995">
        <v>119990</v>
      </c>
      <c r="D2995">
        <v>405</v>
      </c>
      <c r="E2995" t="s">
        <v>1266</v>
      </c>
      <c r="G2995">
        <v>745</v>
      </c>
      <c r="H2995">
        <v>1851</v>
      </c>
      <c r="K2995" t="s">
        <v>1644</v>
      </c>
      <c r="L2995" t="s">
        <v>1644</v>
      </c>
      <c r="M2995" t="s">
        <v>1643</v>
      </c>
      <c r="N2995">
        <v>0</v>
      </c>
      <c r="O2995" t="s">
        <v>1643</v>
      </c>
      <c r="P2995">
        <v>0</v>
      </c>
      <c r="Q2995">
        <v>0</v>
      </c>
      <c r="R2995">
        <v>0</v>
      </c>
      <c r="T2995" s="29">
        <v>485000</v>
      </c>
      <c r="U2995" s="29">
        <v>26772000</v>
      </c>
      <c r="V2995" t="s">
        <v>1262</v>
      </c>
      <c r="W2995" t="s">
        <v>1262</v>
      </c>
      <c r="X2995" s="29">
        <v>26772000</v>
      </c>
      <c r="AA2995" s="30">
        <v>45868.333333333336</v>
      </c>
      <c r="AB2995" s="30">
        <v>45887.708333333336</v>
      </c>
      <c r="AC2995" s="30">
        <v>45868.333333333336</v>
      </c>
      <c r="AD2995" s="30">
        <v>45887.708333333336</v>
      </c>
      <c r="AE2995" s="30">
        <v>46015.333333333336</v>
      </c>
      <c r="AF2995" s="30">
        <v>46036.708333333336</v>
      </c>
      <c r="AG2995" t="s">
        <v>1266</v>
      </c>
      <c r="AK2995" t="s">
        <v>1265</v>
      </c>
      <c r="AL2995" t="s">
        <v>1662</v>
      </c>
      <c r="AM2995" t="s">
        <v>1263</v>
      </c>
      <c r="AN2995" t="s">
        <v>1262</v>
      </c>
      <c r="AO2995">
        <v>0</v>
      </c>
      <c r="AQ2995" t="s">
        <v>1261</v>
      </c>
      <c r="AR2995" t="s">
        <v>1260</v>
      </c>
      <c r="AS2995" t="s">
        <v>1259</v>
      </c>
      <c r="AT2995" s="30">
        <v>46073.384722222225</v>
      </c>
    </row>
    <row r="2996" spans="1:46" x14ac:dyDescent="0.25">
      <c r="A2996" t="s">
        <v>1248</v>
      </c>
      <c r="B2996">
        <v>253433</v>
      </c>
      <c r="C2996">
        <v>119991</v>
      </c>
      <c r="D2996">
        <v>405</v>
      </c>
      <c r="E2996" t="s">
        <v>1266</v>
      </c>
      <c r="G2996">
        <v>745</v>
      </c>
      <c r="H2996">
        <v>1851</v>
      </c>
      <c r="K2996" t="s">
        <v>1644</v>
      </c>
      <c r="L2996" t="s">
        <v>1644</v>
      </c>
      <c r="M2996" t="s">
        <v>1643</v>
      </c>
      <c r="N2996">
        <v>0</v>
      </c>
      <c r="O2996" t="s">
        <v>1643</v>
      </c>
      <c r="P2996">
        <v>0</v>
      </c>
      <c r="Q2996">
        <v>0</v>
      </c>
      <c r="R2996">
        <v>0</v>
      </c>
      <c r="T2996" s="29">
        <v>485000</v>
      </c>
      <c r="U2996" s="29">
        <v>26772000</v>
      </c>
      <c r="V2996" t="s">
        <v>1262</v>
      </c>
      <c r="W2996" t="s">
        <v>1262</v>
      </c>
      <c r="X2996" s="29">
        <v>26772000</v>
      </c>
      <c r="AA2996" s="30">
        <v>45888.333333333336</v>
      </c>
      <c r="AB2996" s="30">
        <v>45905.708333333336</v>
      </c>
      <c r="AC2996" s="30">
        <v>45888.333333333336</v>
      </c>
      <c r="AD2996" s="30">
        <v>45905.708333333336</v>
      </c>
      <c r="AE2996" s="30">
        <v>46037.333333333336</v>
      </c>
      <c r="AF2996" s="30">
        <v>46056.708333333336</v>
      </c>
      <c r="AG2996" t="s">
        <v>1266</v>
      </c>
      <c r="AK2996" t="s">
        <v>1265</v>
      </c>
      <c r="AL2996" t="s">
        <v>1661</v>
      </c>
      <c r="AM2996" t="s">
        <v>1263</v>
      </c>
      <c r="AN2996" t="s">
        <v>1262</v>
      </c>
      <c r="AO2996">
        <v>0</v>
      </c>
      <c r="AQ2996" t="s">
        <v>1261</v>
      </c>
      <c r="AR2996" t="s">
        <v>1260</v>
      </c>
      <c r="AS2996" t="s">
        <v>1259</v>
      </c>
      <c r="AT2996" s="30">
        <v>46073.384722222225</v>
      </c>
    </row>
    <row r="2997" spans="1:46" x14ac:dyDescent="0.25">
      <c r="A2997" t="s">
        <v>1248</v>
      </c>
      <c r="B2997">
        <v>253434</v>
      </c>
      <c r="C2997">
        <v>119992</v>
      </c>
      <c r="D2997">
        <v>405</v>
      </c>
      <c r="E2997" t="s">
        <v>1266</v>
      </c>
      <c r="G2997">
        <v>745</v>
      </c>
      <c r="H2997">
        <v>1851</v>
      </c>
      <c r="K2997" t="s">
        <v>1644</v>
      </c>
      <c r="L2997" t="s">
        <v>1644</v>
      </c>
      <c r="M2997" t="s">
        <v>1643</v>
      </c>
      <c r="N2997">
        <v>0</v>
      </c>
      <c r="O2997" t="s">
        <v>1643</v>
      </c>
      <c r="P2997">
        <v>0</v>
      </c>
      <c r="Q2997">
        <v>0</v>
      </c>
      <c r="R2997">
        <v>0</v>
      </c>
      <c r="T2997" s="29">
        <v>485000</v>
      </c>
      <c r="U2997" s="29">
        <v>26772000</v>
      </c>
      <c r="V2997" t="s">
        <v>1262</v>
      </c>
      <c r="W2997" t="s">
        <v>1262</v>
      </c>
      <c r="X2997" s="29">
        <v>26772000</v>
      </c>
      <c r="AA2997" s="30">
        <v>45908.333333333336</v>
      </c>
      <c r="AB2997" s="30">
        <v>45925.708333333336</v>
      </c>
      <c r="AC2997" s="30">
        <v>45908.333333333336</v>
      </c>
      <c r="AD2997" s="30">
        <v>45925.708333333336</v>
      </c>
      <c r="AE2997" s="30">
        <v>46057.333333333336</v>
      </c>
      <c r="AF2997" s="30">
        <v>46076.708333333336</v>
      </c>
      <c r="AG2997" t="s">
        <v>1266</v>
      </c>
      <c r="AK2997" t="s">
        <v>1265</v>
      </c>
      <c r="AL2997" t="s">
        <v>1660</v>
      </c>
      <c r="AM2997" t="s">
        <v>1263</v>
      </c>
      <c r="AN2997" t="s">
        <v>1262</v>
      </c>
      <c r="AO2997">
        <v>0</v>
      </c>
      <c r="AQ2997" t="s">
        <v>1261</v>
      </c>
      <c r="AR2997" t="s">
        <v>1260</v>
      </c>
      <c r="AS2997" t="s">
        <v>1259</v>
      </c>
      <c r="AT2997" s="30">
        <v>46073.384722222225</v>
      </c>
    </row>
    <row r="2998" spans="1:46" x14ac:dyDescent="0.25">
      <c r="A2998" t="s">
        <v>1248</v>
      </c>
      <c r="B2998">
        <v>253435</v>
      </c>
      <c r="C2998">
        <v>119993</v>
      </c>
      <c r="D2998">
        <v>405</v>
      </c>
      <c r="E2998" t="s">
        <v>1266</v>
      </c>
      <c r="G2998">
        <v>745</v>
      </c>
      <c r="H2998">
        <v>1851</v>
      </c>
      <c r="K2998" t="s">
        <v>1644</v>
      </c>
      <c r="L2998" t="s">
        <v>1644</v>
      </c>
      <c r="M2998" t="s">
        <v>1643</v>
      </c>
      <c r="N2998">
        <v>0</v>
      </c>
      <c r="O2998" t="s">
        <v>1643</v>
      </c>
      <c r="P2998">
        <v>0</v>
      </c>
      <c r="Q2998">
        <v>0</v>
      </c>
      <c r="R2998">
        <v>0</v>
      </c>
      <c r="T2998" s="29">
        <v>485000</v>
      </c>
      <c r="U2998" s="29">
        <v>26772000</v>
      </c>
      <c r="V2998" t="s">
        <v>1262</v>
      </c>
      <c r="W2998" t="s">
        <v>1262</v>
      </c>
      <c r="X2998" s="29">
        <v>26772000</v>
      </c>
      <c r="AA2998" s="30">
        <v>45926.333333333336</v>
      </c>
      <c r="AB2998" s="30">
        <v>45945.708333333336</v>
      </c>
      <c r="AC2998" s="30">
        <v>45926.333333333336</v>
      </c>
      <c r="AD2998" s="30">
        <v>45945.708333333336</v>
      </c>
      <c r="AE2998" s="30">
        <v>46077.333333333336</v>
      </c>
      <c r="AF2998" s="30">
        <v>46094.708333333336</v>
      </c>
      <c r="AG2998" t="s">
        <v>1266</v>
      </c>
      <c r="AK2998" t="s">
        <v>1265</v>
      </c>
      <c r="AL2998" t="s">
        <v>1659</v>
      </c>
      <c r="AM2998" t="s">
        <v>1263</v>
      </c>
      <c r="AN2998" t="s">
        <v>1262</v>
      </c>
      <c r="AO2998">
        <v>0</v>
      </c>
      <c r="AQ2998" t="s">
        <v>1261</v>
      </c>
      <c r="AR2998" t="s">
        <v>1260</v>
      </c>
      <c r="AS2998" t="s">
        <v>1259</v>
      </c>
      <c r="AT2998" s="30">
        <v>46073.384722222225</v>
      </c>
    </row>
    <row r="2999" spans="1:46" x14ac:dyDescent="0.25">
      <c r="A2999" t="s">
        <v>1248</v>
      </c>
      <c r="B2999">
        <v>253436</v>
      </c>
      <c r="C2999">
        <v>119994</v>
      </c>
      <c r="D2999">
        <v>405</v>
      </c>
      <c r="E2999" t="s">
        <v>1266</v>
      </c>
      <c r="G2999">
        <v>745</v>
      </c>
      <c r="H2999">
        <v>1851</v>
      </c>
      <c r="K2999" t="s">
        <v>1644</v>
      </c>
      <c r="L2999" t="s">
        <v>1644</v>
      </c>
      <c r="M2999" t="s">
        <v>1643</v>
      </c>
      <c r="N2999">
        <v>0</v>
      </c>
      <c r="O2999" t="s">
        <v>1643</v>
      </c>
      <c r="P2999">
        <v>0</v>
      </c>
      <c r="Q2999">
        <v>0</v>
      </c>
      <c r="R2999">
        <v>0</v>
      </c>
      <c r="T2999" s="29">
        <v>485000</v>
      </c>
      <c r="U2999" s="29">
        <v>26772000</v>
      </c>
      <c r="V2999" t="s">
        <v>1262</v>
      </c>
      <c r="W2999" t="s">
        <v>1262</v>
      </c>
      <c r="X2999" s="29">
        <v>26772000</v>
      </c>
      <c r="AA2999" s="30">
        <v>45946.333333333336</v>
      </c>
      <c r="AB2999" s="30">
        <v>45965.708333333336</v>
      </c>
      <c r="AC2999" s="30">
        <v>45946.333333333336</v>
      </c>
      <c r="AD2999" s="30">
        <v>45965.708333333336</v>
      </c>
      <c r="AE2999" s="30">
        <v>46097.333333333336</v>
      </c>
      <c r="AF2999" s="30">
        <v>46114.708333333336</v>
      </c>
      <c r="AG2999" t="s">
        <v>1266</v>
      </c>
      <c r="AK2999" t="s">
        <v>1265</v>
      </c>
      <c r="AL2999" t="s">
        <v>1658</v>
      </c>
      <c r="AM2999" t="s">
        <v>1263</v>
      </c>
      <c r="AN2999" t="s">
        <v>1262</v>
      </c>
      <c r="AO2999">
        <v>0</v>
      </c>
      <c r="AQ2999" t="s">
        <v>1261</v>
      </c>
      <c r="AR2999" t="s">
        <v>1260</v>
      </c>
      <c r="AS2999" t="s">
        <v>1259</v>
      </c>
      <c r="AT2999" s="30">
        <v>46073.384722222225</v>
      </c>
    </row>
    <row r="3000" spans="1:46" x14ac:dyDescent="0.25">
      <c r="A3000" t="s">
        <v>1248</v>
      </c>
      <c r="B3000">
        <v>253437</v>
      </c>
      <c r="C3000">
        <v>119995</v>
      </c>
      <c r="D3000">
        <v>405</v>
      </c>
      <c r="E3000" t="s">
        <v>1266</v>
      </c>
      <c r="G3000">
        <v>745</v>
      </c>
      <c r="H3000">
        <v>1851</v>
      </c>
      <c r="K3000" t="s">
        <v>1644</v>
      </c>
      <c r="L3000" t="s">
        <v>1644</v>
      </c>
      <c r="M3000" t="s">
        <v>1643</v>
      </c>
      <c r="N3000">
        <v>0</v>
      </c>
      <c r="O3000" t="s">
        <v>1643</v>
      </c>
      <c r="P3000">
        <v>0</v>
      </c>
      <c r="Q3000">
        <v>0</v>
      </c>
      <c r="R3000">
        <v>0</v>
      </c>
      <c r="T3000" s="29">
        <v>485000</v>
      </c>
      <c r="U3000" s="29">
        <v>26772000</v>
      </c>
      <c r="V3000" t="s">
        <v>1262</v>
      </c>
      <c r="W3000" t="s">
        <v>1262</v>
      </c>
      <c r="X3000" s="29">
        <v>26772000</v>
      </c>
      <c r="AA3000" s="30">
        <v>45966.333333333336</v>
      </c>
      <c r="AB3000" s="30">
        <v>45985.708333333336</v>
      </c>
      <c r="AC3000" s="30">
        <v>45966.333333333336</v>
      </c>
      <c r="AD3000" s="30">
        <v>45985.708333333336</v>
      </c>
      <c r="AE3000" s="30">
        <v>46115.333333333336</v>
      </c>
      <c r="AF3000" s="30">
        <v>46135.708333333336</v>
      </c>
      <c r="AG3000" t="s">
        <v>1266</v>
      </c>
      <c r="AK3000" t="s">
        <v>1265</v>
      </c>
      <c r="AL3000" t="s">
        <v>1657</v>
      </c>
      <c r="AM3000" t="s">
        <v>1263</v>
      </c>
      <c r="AN3000" t="s">
        <v>1262</v>
      </c>
      <c r="AO3000">
        <v>0</v>
      </c>
      <c r="AQ3000" t="s">
        <v>1261</v>
      </c>
      <c r="AR3000" t="s">
        <v>1260</v>
      </c>
      <c r="AS3000" t="s">
        <v>1259</v>
      </c>
      <c r="AT3000" s="30">
        <v>46073.384722222225</v>
      </c>
    </row>
    <row r="3001" spans="1:46" x14ac:dyDescent="0.25">
      <c r="A3001" t="s">
        <v>1248</v>
      </c>
      <c r="B3001">
        <v>253438</v>
      </c>
      <c r="C3001">
        <v>119996</v>
      </c>
      <c r="D3001">
        <v>405</v>
      </c>
      <c r="E3001" t="s">
        <v>1266</v>
      </c>
      <c r="G3001">
        <v>745</v>
      </c>
      <c r="H3001">
        <v>1851</v>
      </c>
      <c r="K3001" t="s">
        <v>1644</v>
      </c>
      <c r="L3001" t="s">
        <v>1644</v>
      </c>
      <c r="M3001" t="s">
        <v>1643</v>
      </c>
      <c r="N3001">
        <v>0</v>
      </c>
      <c r="O3001" t="s">
        <v>1643</v>
      </c>
      <c r="P3001">
        <v>0</v>
      </c>
      <c r="Q3001">
        <v>0</v>
      </c>
      <c r="R3001">
        <v>0</v>
      </c>
      <c r="T3001" s="29">
        <v>485000</v>
      </c>
      <c r="U3001" s="29">
        <v>26772000</v>
      </c>
      <c r="V3001" t="s">
        <v>1262</v>
      </c>
      <c r="W3001" t="s">
        <v>1262</v>
      </c>
      <c r="X3001" s="29">
        <v>26772000</v>
      </c>
      <c r="AA3001" s="30">
        <v>45986.333333333336</v>
      </c>
      <c r="AB3001" s="30">
        <v>46003.708333333336</v>
      </c>
      <c r="AC3001" s="30">
        <v>45986.333333333336</v>
      </c>
      <c r="AD3001" s="30">
        <v>46003.708333333336</v>
      </c>
      <c r="AE3001" s="30">
        <v>46136.333333333336</v>
      </c>
      <c r="AF3001" s="30">
        <v>46156.708333333336</v>
      </c>
      <c r="AG3001" t="s">
        <v>1266</v>
      </c>
      <c r="AK3001" t="s">
        <v>1265</v>
      </c>
      <c r="AL3001" t="s">
        <v>1656</v>
      </c>
      <c r="AM3001" t="s">
        <v>1263</v>
      </c>
      <c r="AN3001" t="s">
        <v>1262</v>
      </c>
      <c r="AO3001">
        <v>0</v>
      </c>
      <c r="AQ3001" t="s">
        <v>1261</v>
      </c>
      <c r="AR3001" t="s">
        <v>1260</v>
      </c>
      <c r="AS3001" t="s">
        <v>1259</v>
      </c>
      <c r="AT3001" s="30">
        <v>46073.384722222225</v>
      </c>
    </row>
    <row r="3002" spans="1:46" x14ac:dyDescent="0.25">
      <c r="A3002" t="s">
        <v>1248</v>
      </c>
      <c r="B3002">
        <v>253439</v>
      </c>
      <c r="C3002">
        <v>119997</v>
      </c>
      <c r="D3002">
        <v>405</v>
      </c>
      <c r="E3002" t="s">
        <v>1266</v>
      </c>
      <c r="G3002">
        <v>745</v>
      </c>
      <c r="H3002">
        <v>1851</v>
      </c>
      <c r="K3002" t="s">
        <v>1644</v>
      </c>
      <c r="L3002" t="s">
        <v>1644</v>
      </c>
      <c r="M3002" t="s">
        <v>1643</v>
      </c>
      <c r="N3002">
        <v>0</v>
      </c>
      <c r="O3002" t="s">
        <v>1643</v>
      </c>
      <c r="P3002">
        <v>0</v>
      </c>
      <c r="Q3002">
        <v>0</v>
      </c>
      <c r="R3002">
        <v>0</v>
      </c>
      <c r="T3002" s="29">
        <v>485000</v>
      </c>
      <c r="U3002" s="29">
        <v>26772000</v>
      </c>
      <c r="V3002" t="s">
        <v>1262</v>
      </c>
      <c r="W3002" t="s">
        <v>1262</v>
      </c>
      <c r="X3002" s="29">
        <v>26772000</v>
      </c>
      <c r="AA3002" s="30">
        <v>46006.333333333336</v>
      </c>
      <c r="AB3002" s="30">
        <v>46024.708333333336</v>
      </c>
      <c r="AC3002" s="30">
        <v>46006.333333333336</v>
      </c>
      <c r="AD3002" s="30">
        <v>46024.708333333336</v>
      </c>
      <c r="AE3002" s="30">
        <v>46157.333333333336</v>
      </c>
      <c r="AF3002" s="30">
        <v>46177.708333333336</v>
      </c>
      <c r="AG3002" t="s">
        <v>1266</v>
      </c>
      <c r="AK3002" t="s">
        <v>1265</v>
      </c>
      <c r="AL3002" t="s">
        <v>1655</v>
      </c>
      <c r="AM3002" t="s">
        <v>1263</v>
      </c>
      <c r="AN3002" t="s">
        <v>1262</v>
      </c>
      <c r="AO3002">
        <v>0</v>
      </c>
      <c r="AQ3002" t="s">
        <v>1261</v>
      </c>
      <c r="AR3002" t="s">
        <v>1260</v>
      </c>
      <c r="AS3002" t="s">
        <v>1259</v>
      </c>
      <c r="AT3002" s="30">
        <v>46073.384722222225</v>
      </c>
    </row>
    <row r="3003" spans="1:46" x14ac:dyDescent="0.25">
      <c r="A3003" t="s">
        <v>1248</v>
      </c>
      <c r="B3003">
        <v>253440</v>
      </c>
      <c r="C3003">
        <v>119998</v>
      </c>
      <c r="D3003">
        <v>405</v>
      </c>
      <c r="E3003" t="s">
        <v>1266</v>
      </c>
      <c r="G3003">
        <v>745</v>
      </c>
      <c r="H3003">
        <v>1851</v>
      </c>
      <c r="K3003" t="s">
        <v>1644</v>
      </c>
      <c r="L3003" t="s">
        <v>1644</v>
      </c>
      <c r="M3003" t="s">
        <v>1643</v>
      </c>
      <c r="N3003">
        <v>0</v>
      </c>
      <c r="O3003" t="s">
        <v>1643</v>
      </c>
      <c r="P3003">
        <v>0</v>
      </c>
      <c r="Q3003">
        <v>0</v>
      </c>
      <c r="R3003">
        <v>0</v>
      </c>
      <c r="T3003" s="29">
        <v>485000</v>
      </c>
      <c r="U3003" s="29">
        <v>26772000</v>
      </c>
      <c r="V3003" t="s">
        <v>1262</v>
      </c>
      <c r="W3003" t="s">
        <v>1262</v>
      </c>
      <c r="X3003" s="29">
        <v>26772000</v>
      </c>
      <c r="AA3003" s="30">
        <v>46027.333333333336</v>
      </c>
      <c r="AB3003" s="30">
        <v>46045.708333333336</v>
      </c>
      <c r="AC3003" s="30">
        <v>46027.333333333336</v>
      </c>
      <c r="AD3003" s="30">
        <v>46045.708333333336</v>
      </c>
      <c r="AE3003" s="30">
        <v>46178.333333333336</v>
      </c>
      <c r="AF3003" s="30">
        <v>46197.708333333336</v>
      </c>
      <c r="AG3003" t="s">
        <v>1266</v>
      </c>
      <c r="AK3003" t="s">
        <v>1265</v>
      </c>
      <c r="AL3003" t="s">
        <v>1654</v>
      </c>
      <c r="AM3003" t="s">
        <v>1263</v>
      </c>
      <c r="AN3003" t="s">
        <v>1262</v>
      </c>
      <c r="AO3003">
        <v>0</v>
      </c>
      <c r="AQ3003" t="s">
        <v>1261</v>
      </c>
      <c r="AR3003" t="s">
        <v>1260</v>
      </c>
      <c r="AS3003" t="s">
        <v>1259</v>
      </c>
      <c r="AT3003" s="30">
        <v>46073.384722222225</v>
      </c>
    </row>
    <row r="3004" spans="1:46" x14ac:dyDescent="0.25">
      <c r="A3004" t="s">
        <v>1248</v>
      </c>
      <c r="B3004">
        <v>253441</v>
      </c>
      <c r="C3004">
        <v>119999</v>
      </c>
      <c r="D3004">
        <v>405</v>
      </c>
      <c r="E3004" t="s">
        <v>1266</v>
      </c>
      <c r="G3004">
        <v>745</v>
      </c>
      <c r="H3004">
        <v>1851</v>
      </c>
      <c r="K3004" t="s">
        <v>1644</v>
      </c>
      <c r="L3004" t="s">
        <v>1644</v>
      </c>
      <c r="M3004" t="s">
        <v>1643</v>
      </c>
      <c r="N3004">
        <v>0</v>
      </c>
      <c r="O3004" t="s">
        <v>1643</v>
      </c>
      <c r="P3004">
        <v>0</v>
      </c>
      <c r="Q3004">
        <v>0</v>
      </c>
      <c r="R3004">
        <v>0</v>
      </c>
      <c r="T3004" s="29">
        <v>485000</v>
      </c>
      <c r="U3004" s="29">
        <v>26772000</v>
      </c>
      <c r="V3004" t="s">
        <v>1262</v>
      </c>
      <c r="W3004" t="s">
        <v>1262</v>
      </c>
      <c r="X3004" s="29">
        <v>26772000</v>
      </c>
      <c r="AA3004" s="30">
        <v>46048.333333333336</v>
      </c>
      <c r="AB3004" s="30">
        <v>46065.708333333336</v>
      </c>
      <c r="AC3004" s="30">
        <v>46048.333333333336</v>
      </c>
      <c r="AD3004" s="30">
        <v>46065.708333333336</v>
      </c>
      <c r="AE3004" s="30">
        <v>46198.333333333336</v>
      </c>
      <c r="AF3004" s="30">
        <v>46217.708333333336</v>
      </c>
      <c r="AG3004" t="s">
        <v>1266</v>
      </c>
      <c r="AK3004" t="s">
        <v>1265</v>
      </c>
      <c r="AL3004" t="s">
        <v>1653</v>
      </c>
      <c r="AM3004" t="s">
        <v>1263</v>
      </c>
      <c r="AN3004" t="s">
        <v>1262</v>
      </c>
      <c r="AO3004">
        <v>0</v>
      </c>
      <c r="AQ3004" t="s">
        <v>1261</v>
      </c>
      <c r="AR3004" t="s">
        <v>1260</v>
      </c>
      <c r="AS3004" t="s">
        <v>1259</v>
      </c>
      <c r="AT3004" s="30">
        <v>46073.384722222225</v>
      </c>
    </row>
    <row r="3005" spans="1:46" x14ac:dyDescent="0.25">
      <c r="A3005" t="s">
        <v>1248</v>
      </c>
      <c r="B3005">
        <v>253442</v>
      </c>
      <c r="C3005">
        <v>120000</v>
      </c>
      <c r="D3005">
        <v>405</v>
      </c>
      <c r="E3005" t="s">
        <v>1266</v>
      </c>
      <c r="G3005">
        <v>745</v>
      </c>
      <c r="H3005">
        <v>1851</v>
      </c>
      <c r="K3005" t="s">
        <v>1644</v>
      </c>
      <c r="L3005" t="s">
        <v>1644</v>
      </c>
      <c r="M3005" t="s">
        <v>1643</v>
      </c>
      <c r="N3005">
        <v>0</v>
      </c>
      <c r="O3005" t="s">
        <v>1643</v>
      </c>
      <c r="P3005">
        <v>0</v>
      </c>
      <c r="Q3005">
        <v>0</v>
      </c>
      <c r="R3005">
        <v>0</v>
      </c>
      <c r="T3005" s="29">
        <v>485000</v>
      </c>
      <c r="U3005" s="29">
        <v>26772000</v>
      </c>
      <c r="V3005" t="s">
        <v>1262</v>
      </c>
      <c r="W3005" t="s">
        <v>1262</v>
      </c>
      <c r="X3005" s="29">
        <v>26772000</v>
      </c>
      <c r="AA3005" s="30">
        <v>46066.333333333336</v>
      </c>
      <c r="AB3005" s="30">
        <v>46085.708333333336</v>
      </c>
      <c r="AC3005" s="30">
        <v>46066.333333333336</v>
      </c>
      <c r="AD3005" s="30">
        <v>46085.708333333336</v>
      </c>
      <c r="AE3005" s="30">
        <v>46218.333333333336</v>
      </c>
      <c r="AF3005" s="30">
        <v>46237.708333333336</v>
      </c>
      <c r="AG3005" t="s">
        <v>1266</v>
      </c>
      <c r="AK3005" t="s">
        <v>1265</v>
      </c>
      <c r="AL3005" t="s">
        <v>1652</v>
      </c>
      <c r="AM3005" t="s">
        <v>1263</v>
      </c>
      <c r="AN3005" t="s">
        <v>1262</v>
      </c>
      <c r="AO3005">
        <v>0</v>
      </c>
      <c r="AQ3005" t="s">
        <v>1261</v>
      </c>
      <c r="AR3005" t="s">
        <v>1260</v>
      </c>
      <c r="AS3005" t="s">
        <v>1259</v>
      </c>
      <c r="AT3005" s="30">
        <v>46073.384722222225</v>
      </c>
    </row>
    <row r="3006" spans="1:46" x14ac:dyDescent="0.25">
      <c r="A3006" t="s">
        <v>1248</v>
      </c>
      <c r="B3006">
        <v>253443</v>
      </c>
      <c r="C3006">
        <v>120001</v>
      </c>
      <c r="D3006">
        <v>405</v>
      </c>
      <c r="E3006" t="s">
        <v>1266</v>
      </c>
      <c r="G3006">
        <v>745</v>
      </c>
      <c r="H3006">
        <v>1851</v>
      </c>
      <c r="K3006" t="s">
        <v>1644</v>
      </c>
      <c r="L3006" t="s">
        <v>1644</v>
      </c>
      <c r="M3006" t="s">
        <v>1643</v>
      </c>
      <c r="N3006">
        <v>0</v>
      </c>
      <c r="O3006" t="s">
        <v>1643</v>
      </c>
      <c r="P3006">
        <v>0</v>
      </c>
      <c r="Q3006">
        <v>0</v>
      </c>
      <c r="R3006">
        <v>0</v>
      </c>
      <c r="T3006" s="29">
        <v>485000</v>
      </c>
      <c r="U3006" s="29">
        <v>26772000</v>
      </c>
      <c r="V3006" t="s">
        <v>1262</v>
      </c>
      <c r="W3006" t="s">
        <v>1262</v>
      </c>
      <c r="X3006" s="29">
        <v>26772000</v>
      </c>
      <c r="AA3006" s="30">
        <v>46086.333333333336</v>
      </c>
      <c r="AB3006" s="30">
        <v>46105.708333333336</v>
      </c>
      <c r="AC3006" s="30">
        <v>46086.333333333336</v>
      </c>
      <c r="AD3006" s="30">
        <v>46105.708333333336</v>
      </c>
      <c r="AE3006" s="30">
        <v>46238.333333333336</v>
      </c>
      <c r="AF3006" s="30">
        <v>46255.708333333336</v>
      </c>
      <c r="AG3006" t="s">
        <v>1266</v>
      </c>
      <c r="AK3006" t="s">
        <v>1265</v>
      </c>
      <c r="AL3006" t="s">
        <v>1651</v>
      </c>
      <c r="AM3006" t="s">
        <v>1263</v>
      </c>
      <c r="AN3006" t="s">
        <v>1262</v>
      </c>
      <c r="AO3006">
        <v>0</v>
      </c>
      <c r="AQ3006" t="s">
        <v>1261</v>
      </c>
      <c r="AR3006" t="s">
        <v>1260</v>
      </c>
      <c r="AS3006" t="s">
        <v>1259</v>
      </c>
      <c r="AT3006" s="30">
        <v>46073.384722222225</v>
      </c>
    </row>
    <row r="3007" spans="1:46" x14ac:dyDescent="0.25">
      <c r="A3007" t="s">
        <v>1248</v>
      </c>
      <c r="B3007">
        <v>253444</v>
      </c>
      <c r="C3007">
        <v>120002</v>
      </c>
      <c r="D3007">
        <v>405</v>
      </c>
      <c r="E3007" t="s">
        <v>1266</v>
      </c>
      <c r="G3007">
        <v>745</v>
      </c>
      <c r="H3007">
        <v>1851</v>
      </c>
      <c r="K3007" t="s">
        <v>1644</v>
      </c>
      <c r="L3007" t="s">
        <v>1644</v>
      </c>
      <c r="M3007" t="s">
        <v>1643</v>
      </c>
      <c r="N3007">
        <v>0</v>
      </c>
      <c r="O3007" t="s">
        <v>1643</v>
      </c>
      <c r="P3007">
        <v>0</v>
      </c>
      <c r="Q3007">
        <v>0</v>
      </c>
      <c r="R3007">
        <v>0</v>
      </c>
      <c r="T3007" s="29">
        <v>485000</v>
      </c>
      <c r="U3007" s="29">
        <v>26772000</v>
      </c>
      <c r="V3007" t="s">
        <v>1262</v>
      </c>
      <c r="W3007" t="s">
        <v>1262</v>
      </c>
      <c r="X3007" s="29">
        <v>26772000</v>
      </c>
      <c r="AA3007" s="30">
        <v>46106.333333333336</v>
      </c>
      <c r="AB3007" s="30">
        <v>46126.708333333336</v>
      </c>
      <c r="AC3007" s="30">
        <v>46106.333333333336</v>
      </c>
      <c r="AD3007" s="30">
        <v>46126.708333333336</v>
      </c>
      <c r="AE3007" s="30">
        <v>46258.333333333336</v>
      </c>
      <c r="AF3007" s="30">
        <v>46275.708333333336</v>
      </c>
      <c r="AG3007" t="s">
        <v>1266</v>
      </c>
      <c r="AK3007" t="s">
        <v>1265</v>
      </c>
      <c r="AL3007" t="s">
        <v>1650</v>
      </c>
      <c r="AM3007" t="s">
        <v>1263</v>
      </c>
      <c r="AN3007" t="s">
        <v>1262</v>
      </c>
      <c r="AO3007">
        <v>0</v>
      </c>
      <c r="AQ3007" t="s">
        <v>1261</v>
      </c>
      <c r="AR3007" t="s">
        <v>1260</v>
      </c>
      <c r="AS3007" t="s">
        <v>1259</v>
      </c>
      <c r="AT3007" s="30">
        <v>46073.384722222225</v>
      </c>
    </row>
    <row r="3008" spans="1:46" x14ac:dyDescent="0.25">
      <c r="A3008" t="s">
        <v>1248</v>
      </c>
      <c r="B3008">
        <v>253445</v>
      </c>
      <c r="C3008">
        <v>120003</v>
      </c>
      <c r="D3008">
        <v>405</v>
      </c>
      <c r="E3008" t="s">
        <v>1266</v>
      </c>
      <c r="G3008">
        <v>745</v>
      </c>
      <c r="H3008">
        <v>1851</v>
      </c>
      <c r="K3008" t="s">
        <v>1644</v>
      </c>
      <c r="L3008" t="s">
        <v>1644</v>
      </c>
      <c r="M3008" t="s">
        <v>1643</v>
      </c>
      <c r="N3008">
        <v>0</v>
      </c>
      <c r="O3008" t="s">
        <v>1643</v>
      </c>
      <c r="P3008">
        <v>0</v>
      </c>
      <c r="Q3008">
        <v>0</v>
      </c>
      <c r="R3008">
        <v>0</v>
      </c>
      <c r="T3008" s="29">
        <v>485000</v>
      </c>
      <c r="U3008" s="29">
        <v>26772000</v>
      </c>
      <c r="V3008" t="s">
        <v>1262</v>
      </c>
      <c r="W3008" t="s">
        <v>1262</v>
      </c>
      <c r="X3008" s="29">
        <v>26772000</v>
      </c>
      <c r="AA3008" s="30">
        <v>46127.333333333336</v>
      </c>
      <c r="AB3008" s="30">
        <v>46147.708333333336</v>
      </c>
      <c r="AC3008" s="30">
        <v>46127.333333333336</v>
      </c>
      <c r="AD3008" s="30">
        <v>46147.708333333336</v>
      </c>
      <c r="AE3008" s="30">
        <v>46276.333333333336</v>
      </c>
      <c r="AF3008" s="30">
        <v>46295.708333333336</v>
      </c>
      <c r="AG3008" t="s">
        <v>1266</v>
      </c>
      <c r="AK3008" t="s">
        <v>1265</v>
      </c>
      <c r="AL3008" t="s">
        <v>1649</v>
      </c>
      <c r="AM3008" t="s">
        <v>1263</v>
      </c>
      <c r="AN3008" t="s">
        <v>1262</v>
      </c>
      <c r="AO3008">
        <v>0</v>
      </c>
      <c r="AQ3008" t="s">
        <v>1261</v>
      </c>
      <c r="AR3008" t="s">
        <v>1260</v>
      </c>
      <c r="AS3008" t="s">
        <v>1259</v>
      </c>
      <c r="AT3008" s="30">
        <v>46073.384722222225</v>
      </c>
    </row>
    <row r="3009" spans="1:46" x14ac:dyDescent="0.25">
      <c r="A3009" t="s">
        <v>1248</v>
      </c>
      <c r="B3009">
        <v>253446</v>
      </c>
      <c r="C3009">
        <v>120004</v>
      </c>
      <c r="D3009">
        <v>405</v>
      </c>
      <c r="E3009" t="s">
        <v>1266</v>
      </c>
      <c r="G3009">
        <v>745</v>
      </c>
      <c r="H3009">
        <v>1851</v>
      </c>
      <c r="K3009" t="s">
        <v>1644</v>
      </c>
      <c r="L3009" t="s">
        <v>1644</v>
      </c>
      <c r="M3009" t="s">
        <v>1643</v>
      </c>
      <c r="N3009">
        <v>0</v>
      </c>
      <c r="O3009" t="s">
        <v>1643</v>
      </c>
      <c r="P3009">
        <v>0</v>
      </c>
      <c r="Q3009">
        <v>0</v>
      </c>
      <c r="R3009">
        <v>0</v>
      </c>
      <c r="T3009" s="29">
        <v>485000</v>
      </c>
      <c r="U3009" s="29">
        <v>26772000</v>
      </c>
      <c r="V3009" t="s">
        <v>1262</v>
      </c>
      <c r="W3009" t="s">
        <v>1262</v>
      </c>
      <c r="X3009" s="29">
        <v>26772000</v>
      </c>
      <c r="AA3009" s="30">
        <v>46148.333333333336</v>
      </c>
      <c r="AB3009" s="30">
        <v>46167.708333333336</v>
      </c>
      <c r="AC3009" s="30">
        <v>46148.333333333336</v>
      </c>
      <c r="AD3009" s="30">
        <v>46167.708333333336</v>
      </c>
      <c r="AE3009" s="30">
        <v>46296.333333333336</v>
      </c>
      <c r="AF3009" s="30">
        <v>46315.708333333336</v>
      </c>
      <c r="AG3009" t="s">
        <v>1266</v>
      </c>
      <c r="AK3009" t="s">
        <v>1265</v>
      </c>
      <c r="AL3009" t="s">
        <v>1648</v>
      </c>
      <c r="AM3009" t="s">
        <v>1263</v>
      </c>
      <c r="AN3009" t="s">
        <v>1262</v>
      </c>
      <c r="AO3009">
        <v>0</v>
      </c>
      <c r="AQ3009" t="s">
        <v>1261</v>
      </c>
      <c r="AR3009" t="s">
        <v>1260</v>
      </c>
      <c r="AS3009" t="s">
        <v>1259</v>
      </c>
      <c r="AT3009" s="30">
        <v>46073.384722222225</v>
      </c>
    </row>
    <row r="3010" spans="1:46" x14ac:dyDescent="0.25">
      <c r="A3010" t="s">
        <v>1248</v>
      </c>
      <c r="B3010">
        <v>253447</v>
      </c>
      <c r="C3010">
        <v>120005</v>
      </c>
      <c r="D3010">
        <v>405</v>
      </c>
      <c r="E3010" t="s">
        <v>1266</v>
      </c>
      <c r="G3010">
        <v>745</v>
      </c>
      <c r="H3010">
        <v>1851</v>
      </c>
      <c r="K3010" t="s">
        <v>1644</v>
      </c>
      <c r="L3010" t="s">
        <v>1644</v>
      </c>
      <c r="M3010" t="s">
        <v>1643</v>
      </c>
      <c r="N3010">
        <v>0</v>
      </c>
      <c r="O3010" t="s">
        <v>1643</v>
      </c>
      <c r="P3010">
        <v>0</v>
      </c>
      <c r="Q3010">
        <v>0</v>
      </c>
      <c r="R3010">
        <v>0</v>
      </c>
      <c r="T3010" s="29">
        <v>485000</v>
      </c>
      <c r="U3010" s="29">
        <v>26772000</v>
      </c>
      <c r="V3010" t="s">
        <v>1262</v>
      </c>
      <c r="W3010" t="s">
        <v>1262</v>
      </c>
      <c r="X3010" s="29">
        <v>26772000</v>
      </c>
      <c r="AA3010" s="30">
        <v>46168.333333333336</v>
      </c>
      <c r="AB3010" s="30">
        <v>46188.708333333336</v>
      </c>
      <c r="AC3010" s="30">
        <v>46168.333333333336</v>
      </c>
      <c r="AD3010" s="30">
        <v>46188.708333333336</v>
      </c>
      <c r="AE3010" s="30">
        <v>46316.333333333336</v>
      </c>
      <c r="AF3010" s="30">
        <v>46335.708333333336</v>
      </c>
      <c r="AG3010" t="s">
        <v>1266</v>
      </c>
      <c r="AK3010" t="s">
        <v>1265</v>
      </c>
      <c r="AL3010" t="s">
        <v>1647</v>
      </c>
      <c r="AM3010" t="s">
        <v>1263</v>
      </c>
      <c r="AN3010" t="s">
        <v>1262</v>
      </c>
      <c r="AO3010">
        <v>0</v>
      </c>
      <c r="AQ3010" t="s">
        <v>1261</v>
      </c>
      <c r="AR3010" t="s">
        <v>1260</v>
      </c>
      <c r="AS3010" t="s">
        <v>1259</v>
      </c>
      <c r="AT3010" s="30">
        <v>46073.384722222225</v>
      </c>
    </row>
    <row r="3011" spans="1:46" x14ac:dyDescent="0.25">
      <c r="A3011" t="s">
        <v>1248</v>
      </c>
      <c r="B3011">
        <v>253448</v>
      </c>
      <c r="C3011">
        <v>120006</v>
      </c>
      <c r="D3011">
        <v>405</v>
      </c>
      <c r="E3011" t="s">
        <v>1266</v>
      </c>
      <c r="G3011">
        <v>745</v>
      </c>
      <c r="H3011">
        <v>1851</v>
      </c>
      <c r="K3011" t="s">
        <v>1644</v>
      </c>
      <c r="L3011" t="s">
        <v>1644</v>
      </c>
      <c r="M3011" t="s">
        <v>1643</v>
      </c>
      <c r="N3011">
        <v>0</v>
      </c>
      <c r="O3011" t="s">
        <v>1643</v>
      </c>
      <c r="P3011">
        <v>0</v>
      </c>
      <c r="Q3011">
        <v>0</v>
      </c>
      <c r="R3011">
        <v>0</v>
      </c>
      <c r="T3011" s="29">
        <v>485000</v>
      </c>
      <c r="U3011" s="29">
        <v>26772000</v>
      </c>
      <c r="V3011" t="s">
        <v>1262</v>
      </c>
      <c r="W3011" t="s">
        <v>1262</v>
      </c>
      <c r="X3011" s="29">
        <v>26772000</v>
      </c>
      <c r="AA3011" s="30">
        <v>46189.333333333336</v>
      </c>
      <c r="AB3011" s="30">
        <v>46206.708333333336</v>
      </c>
      <c r="AC3011" s="30">
        <v>46189.333333333336</v>
      </c>
      <c r="AD3011" s="30">
        <v>46206.708333333336</v>
      </c>
      <c r="AE3011" s="30">
        <v>46336.333333333336</v>
      </c>
      <c r="AF3011" s="30">
        <v>46353.708333333336</v>
      </c>
      <c r="AG3011" t="s">
        <v>1266</v>
      </c>
      <c r="AK3011" t="s">
        <v>1265</v>
      </c>
      <c r="AL3011" t="s">
        <v>1646</v>
      </c>
      <c r="AM3011" t="s">
        <v>1263</v>
      </c>
      <c r="AN3011" t="s">
        <v>1262</v>
      </c>
      <c r="AO3011">
        <v>0</v>
      </c>
      <c r="AQ3011" t="s">
        <v>1261</v>
      </c>
      <c r="AR3011" t="s">
        <v>1260</v>
      </c>
      <c r="AS3011" t="s">
        <v>1259</v>
      </c>
      <c r="AT3011" s="30">
        <v>46073.384722222225</v>
      </c>
    </row>
    <row r="3012" spans="1:46" x14ac:dyDescent="0.25">
      <c r="A3012" t="s">
        <v>1248</v>
      </c>
      <c r="B3012">
        <v>253449</v>
      </c>
      <c r="C3012">
        <v>120007</v>
      </c>
      <c r="D3012">
        <v>405</v>
      </c>
      <c r="E3012" t="s">
        <v>1266</v>
      </c>
      <c r="G3012">
        <v>745</v>
      </c>
      <c r="H3012">
        <v>1851</v>
      </c>
      <c r="K3012" t="s">
        <v>1644</v>
      </c>
      <c r="L3012" t="s">
        <v>1644</v>
      </c>
      <c r="M3012" t="s">
        <v>1643</v>
      </c>
      <c r="N3012">
        <v>0</v>
      </c>
      <c r="O3012" t="s">
        <v>1643</v>
      </c>
      <c r="P3012">
        <v>0</v>
      </c>
      <c r="Q3012">
        <v>0</v>
      </c>
      <c r="R3012">
        <v>0</v>
      </c>
      <c r="T3012" s="29">
        <v>485000</v>
      </c>
      <c r="U3012" s="29">
        <v>26772000</v>
      </c>
      <c r="V3012" t="s">
        <v>1262</v>
      </c>
      <c r="W3012" t="s">
        <v>1262</v>
      </c>
      <c r="X3012" s="29">
        <v>26772000</v>
      </c>
      <c r="AA3012" s="30">
        <v>46209.333333333336</v>
      </c>
      <c r="AB3012" s="30">
        <v>46226.708333333336</v>
      </c>
      <c r="AC3012" s="30">
        <v>46209.333333333336</v>
      </c>
      <c r="AD3012" s="30">
        <v>46226.708333333336</v>
      </c>
      <c r="AE3012" s="30">
        <v>46356.333333333336</v>
      </c>
      <c r="AF3012" s="30">
        <v>46374.708333333336</v>
      </c>
      <c r="AG3012" t="s">
        <v>1266</v>
      </c>
      <c r="AK3012" t="s">
        <v>1265</v>
      </c>
      <c r="AL3012" t="s">
        <v>1645</v>
      </c>
      <c r="AM3012" t="s">
        <v>1263</v>
      </c>
      <c r="AN3012" t="s">
        <v>1262</v>
      </c>
      <c r="AO3012">
        <v>0</v>
      </c>
      <c r="AQ3012" t="s">
        <v>1261</v>
      </c>
      <c r="AR3012" t="s">
        <v>1260</v>
      </c>
      <c r="AS3012" t="s">
        <v>1259</v>
      </c>
      <c r="AT3012" s="30">
        <v>46073.384722222225</v>
      </c>
    </row>
    <row r="3013" spans="1:46" x14ac:dyDescent="0.25">
      <c r="A3013" t="s">
        <v>1248</v>
      </c>
      <c r="B3013">
        <v>253450</v>
      </c>
      <c r="C3013">
        <v>120008</v>
      </c>
      <c r="D3013">
        <v>405</v>
      </c>
      <c r="E3013" t="s">
        <v>1266</v>
      </c>
      <c r="G3013">
        <v>745</v>
      </c>
      <c r="H3013">
        <v>1851</v>
      </c>
      <c r="K3013" t="s">
        <v>1644</v>
      </c>
      <c r="L3013" t="s">
        <v>1644</v>
      </c>
      <c r="M3013" t="s">
        <v>1643</v>
      </c>
      <c r="N3013">
        <v>0</v>
      </c>
      <c r="O3013" t="s">
        <v>1643</v>
      </c>
      <c r="P3013">
        <v>0</v>
      </c>
      <c r="Q3013">
        <v>0</v>
      </c>
      <c r="R3013">
        <v>0</v>
      </c>
      <c r="T3013" s="29">
        <v>485000</v>
      </c>
      <c r="U3013" s="29">
        <v>26772000</v>
      </c>
      <c r="V3013" t="s">
        <v>1262</v>
      </c>
      <c r="W3013" t="s">
        <v>1262</v>
      </c>
      <c r="X3013" s="29">
        <v>26772000</v>
      </c>
      <c r="AA3013" s="30">
        <v>46227.333333333336</v>
      </c>
      <c r="AB3013" s="30">
        <v>46246.708333333336</v>
      </c>
      <c r="AC3013" s="30">
        <v>46227.333333333336</v>
      </c>
      <c r="AD3013" s="30">
        <v>46246.708333333336</v>
      </c>
      <c r="AE3013" s="30">
        <v>46377.333333333336</v>
      </c>
      <c r="AF3013" s="30">
        <v>46399.708333333336</v>
      </c>
      <c r="AG3013" t="s">
        <v>1266</v>
      </c>
      <c r="AK3013" t="s">
        <v>1265</v>
      </c>
      <c r="AL3013" t="s">
        <v>1642</v>
      </c>
      <c r="AM3013" t="s">
        <v>1263</v>
      </c>
      <c r="AN3013" t="s">
        <v>1262</v>
      </c>
      <c r="AO3013">
        <v>0</v>
      </c>
      <c r="AQ3013" t="s">
        <v>1261</v>
      </c>
      <c r="AR3013" t="s">
        <v>1260</v>
      </c>
      <c r="AS3013" t="s">
        <v>1259</v>
      </c>
      <c r="AT3013" s="30">
        <v>46073.384722222225</v>
      </c>
    </row>
    <row r="3014" spans="1:46" x14ac:dyDescent="0.25">
      <c r="A3014" t="s">
        <v>1248</v>
      </c>
      <c r="B3014">
        <v>253476</v>
      </c>
      <c r="C3014">
        <v>119988</v>
      </c>
      <c r="D3014">
        <v>405</v>
      </c>
      <c r="E3014" t="s">
        <v>1266</v>
      </c>
      <c r="G3014">
        <v>745</v>
      </c>
      <c r="H3014">
        <v>1824</v>
      </c>
      <c r="K3014" t="s">
        <v>1630</v>
      </c>
      <c r="L3014" t="s">
        <v>1630</v>
      </c>
      <c r="M3014" s="29">
        <v>11585</v>
      </c>
      <c r="N3014">
        <v>0</v>
      </c>
      <c r="O3014" s="29">
        <v>11585</v>
      </c>
      <c r="P3014">
        <v>0</v>
      </c>
      <c r="Q3014">
        <v>0</v>
      </c>
      <c r="R3014">
        <v>0</v>
      </c>
      <c r="T3014" s="29">
        <v>2200000</v>
      </c>
      <c r="U3014" s="29">
        <v>305844000</v>
      </c>
      <c r="V3014" t="s">
        <v>1262</v>
      </c>
      <c r="W3014" t="s">
        <v>1262</v>
      </c>
      <c r="X3014" s="29">
        <v>305844000</v>
      </c>
      <c r="AA3014" s="30">
        <v>45827.333333333336</v>
      </c>
      <c r="AB3014" s="30">
        <v>45847.708333333336</v>
      </c>
      <c r="AC3014" s="30">
        <v>45827.333333333336</v>
      </c>
      <c r="AD3014" s="30">
        <v>45847.708333333336</v>
      </c>
      <c r="AE3014" s="30">
        <v>45974.333333333336</v>
      </c>
      <c r="AF3014" s="30">
        <v>45994.708333333336</v>
      </c>
      <c r="AG3014" t="s">
        <v>1266</v>
      </c>
      <c r="AK3014" t="s">
        <v>1265</v>
      </c>
      <c r="AL3014" t="s">
        <v>1641</v>
      </c>
      <c r="AM3014" t="s">
        <v>1263</v>
      </c>
      <c r="AN3014" t="s">
        <v>1262</v>
      </c>
      <c r="AO3014">
        <v>0</v>
      </c>
      <c r="AQ3014" t="s">
        <v>1261</v>
      </c>
      <c r="AR3014" t="s">
        <v>1260</v>
      </c>
      <c r="AS3014" t="s">
        <v>1259</v>
      </c>
      <c r="AT3014" s="30">
        <v>46073.384722222225</v>
      </c>
    </row>
    <row r="3015" spans="1:46" x14ac:dyDescent="0.25">
      <c r="A3015" t="s">
        <v>1248</v>
      </c>
      <c r="B3015">
        <v>253477</v>
      </c>
      <c r="C3015">
        <v>119989</v>
      </c>
      <c r="D3015">
        <v>405</v>
      </c>
      <c r="E3015" t="s">
        <v>1266</v>
      </c>
      <c r="G3015">
        <v>745</v>
      </c>
      <c r="H3015">
        <v>1824</v>
      </c>
      <c r="K3015" t="s">
        <v>1630</v>
      </c>
      <c r="L3015" t="s">
        <v>1630</v>
      </c>
      <c r="M3015" s="29">
        <v>124125</v>
      </c>
      <c r="N3015">
        <v>0</v>
      </c>
      <c r="O3015" s="29">
        <v>124125</v>
      </c>
      <c r="P3015">
        <v>0</v>
      </c>
      <c r="Q3015">
        <v>0</v>
      </c>
      <c r="R3015">
        <v>0</v>
      </c>
      <c r="T3015" s="29">
        <v>2200000</v>
      </c>
      <c r="U3015" s="29">
        <v>305844000</v>
      </c>
      <c r="V3015" t="s">
        <v>1262</v>
      </c>
      <c r="W3015" t="s">
        <v>1262</v>
      </c>
      <c r="X3015" s="29">
        <v>305844000</v>
      </c>
      <c r="AA3015" s="30">
        <v>45848.333333333336</v>
      </c>
      <c r="AB3015" s="30">
        <v>45867.708333333336</v>
      </c>
      <c r="AC3015" s="30">
        <v>45848.333333333336</v>
      </c>
      <c r="AD3015" s="30">
        <v>45867.708333333336</v>
      </c>
      <c r="AE3015" s="30">
        <v>45995.333333333336</v>
      </c>
      <c r="AF3015" s="30">
        <v>46014.708333333336</v>
      </c>
      <c r="AG3015" t="s">
        <v>1266</v>
      </c>
      <c r="AK3015" t="s">
        <v>1265</v>
      </c>
      <c r="AL3015" t="s">
        <v>1640</v>
      </c>
      <c r="AM3015" t="s">
        <v>1263</v>
      </c>
      <c r="AN3015" t="s">
        <v>1262</v>
      </c>
      <c r="AO3015">
        <v>0</v>
      </c>
      <c r="AQ3015" t="s">
        <v>1261</v>
      </c>
      <c r="AR3015" t="s">
        <v>1260</v>
      </c>
      <c r="AS3015" t="s">
        <v>1259</v>
      </c>
      <c r="AT3015" s="30">
        <v>46073.384722222225</v>
      </c>
    </row>
    <row r="3016" spans="1:46" x14ac:dyDescent="0.25">
      <c r="A3016" t="s">
        <v>1248</v>
      </c>
      <c r="B3016">
        <v>253478</v>
      </c>
      <c r="C3016">
        <v>119990</v>
      </c>
      <c r="D3016">
        <v>405</v>
      </c>
      <c r="E3016" t="s">
        <v>1266</v>
      </c>
      <c r="G3016">
        <v>745</v>
      </c>
      <c r="H3016">
        <v>1824</v>
      </c>
      <c r="K3016" t="s">
        <v>1630</v>
      </c>
      <c r="L3016" t="s">
        <v>1630</v>
      </c>
      <c r="M3016" s="29">
        <v>124125</v>
      </c>
      <c r="N3016">
        <v>0</v>
      </c>
      <c r="O3016" s="29">
        <v>124125</v>
      </c>
      <c r="P3016">
        <v>0</v>
      </c>
      <c r="Q3016">
        <v>0</v>
      </c>
      <c r="R3016">
        <v>0</v>
      </c>
      <c r="T3016" s="29">
        <v>2200000</v>
      </c>
      <c r="U3016" s="29">
        <v>305844000</v>
      </c>
      <c r="V3016" t="s">
        <v>1262</v>
      </c>
      <c r="W3016" t="s">
        <v>1262</v>
      </c>
      <c r="X3016" s="29">
        <v>305844000</v>
      </c>
      <c r="AA3016" s="30">
        <v>45868.333333333336</v>
      </c>
      <c r="AB3016" s="30">
        <v>45887.708333333336</v>
      </c>
      <c r="AC3016" s="30">
        <v>45868.333333333336</v>
      </c>
      <c r="AD3016" s="30">
        <v>45887.708333333336</v>
      </c>
      <c r="AE3016" s="30">
        <v>46015.333333333336</v>
      </c>
      <c r="AF3016" s="30">
        <v>46036.708333333336</v>
      </c>
      <c r="AG3016" t="s">
        <v>1266</v>
      </c>
      <c r="AK3016" t="s">
        <v>1265</v>
      </c>
      <c r="AL3016" t="s">
        <v>1639</v>
      </c>
      <c r="AM3016" t="s">
        <v>1263</v>
      </c>
      <c r="AN3016" t="s">
        <v>1262</v>
      </c>
      <c r="AO3016">
        <v>0</v>
      </c>
      <c r="AQ3016" t="s">
        <v>1261</v>
      </c>
      <c r="AR3016" t="s">
        <v>1260</v>
      </c>
      <c r="AS3016" t="s">
        <v>1259</v>
      </c>
      <c r="AT3016" s="30">
        <v>46073.384722222225</v>
      </c>
    </row>
    <row r="3017" spans="1:46" x14ac:dyDescent="0.25">
      <c r="A3017" t="s">
        <v>1248</v>
      </c>
      <c r="B3017">
        <v>253479</v>
      </c>
      <c r="C3017">
        <v>119991</v>
      </c>
      <c r="D3017">
        <v>405</v>
      </c>
      <c r="E3017" t="s">
        <v>1266</v>
      </c>
      <c r="G3017">
        <v>745</v>
      </c>
      <c r="H3017">
        <v>1824</v>
      </c>
      <c r="K3017" t="s">
        <v>1630</v>
      </c>
      <c r="L3017" t="s">
        <v>1630</v>
      </c>
      <c r="M3017" s="29">
        <v>124125</v>
      </c>
      <c r="N3017">
        <v>0</v>
      </c>
      <c r="O3017" s="29">
        <v>124125</v>
      </c>
      <c r="P3017">
        <v>0</v>
      </c>
      <c r="Q3017">
        <v>0</v>
      </c>
      <c r="R3017">
        <v>0</v>
      </c>
      <c r="T3017" s="29">
        <v>2200000</v>
      </c>
      <c r="U3017" s="29">
        <v>305844000</v>
      </c>
      <c r="V3017" t="s">
        <v>1262</v>
      </c>
      <c r="W3017" t="s">
        <v>1262</v>
      </c>
      <c r="X3017" s="29">
        <v>305844000</v>
      </c>
      <c r="AA3017" s="30">
        <v>45888.333333333336</v>
      </c>
      <c r="AB3017" s="30">
        <v>45905.708333333336</v>
      </c>
      <c r="AC3017" s="30">
        <v>45888.333333333336</v>
      </c>
      <c r="AD3017" s="30">
        <v>45905.708333333336</v>
      </c>
      <c r="AE3017" s="30">
        <v>46037.333333333336</v>
      </c>
      <c r="AF3017" s="30">
        <v>46056.708333333336</v>
      </c>
      <c r="AG3017" t="s">
        <v>1266</v>
      </c>
      <c r="AK3017" t="s">
        <v>1265</v>
      </c>
      <c r="AL3017" t="s">
        <v>1638</v>
      </c>
      <c r="AM3017" t="s">
        <v>1263</v>
      </c>
      <c r="AN3017" t="s">
        <v>1262</v>
      </c>
      <c r="AO3017">
        <v>0</v>
      </c>
      <c r="AQ3017" t="s">
        <v>1261</v>
      </c>
      <c r="AR3017" t="s">
        <v>1260</v>
      </c>
      <c r="AS3017" t="s">
        <v>1259</v>
      </c>
      <c r="AT3017" s="30">
        <v>46073.384722222225</v>
      </c>
    </row>
    <row r="3018" spans="1:46" x14ac:dyDescent="0.25">
      <c r="A3018" t="s">
        <v>1248</v>
      </c>
      <c r="B3018">
        <v>253480</v>
      </c>
      <c r="C3018">
        <v>119992</v>
      </c>
      <c r="D3018">
        <v>405</v>
      </c>
      <c r="E3018" t="s">
        <v>1266</v>
      </c>
      <c r="G3018">
        <v>745</v>
      </c>
      <c r="H3018">
        <v>1824</v>
      </c>
      <c r="K3018" t="s">
        <v>1630</v>
      </c>
      <c r="L3018" t="s">
        <v>1630</v>
      </c>
      <c r="M3018" s="29">
        <v>124125</v>
      </c>
      <c r="N3018">
        <v>0</v>
      </c>
      <c r="O3018" s="29">
        <v>124125</v>
      </c>
      <c r="P3018">
        <v>0</v>
      </c>
      <c r="Q3018">
        <v>0</v>
      </c>
      <c r="R3018">
        <v>0</v>
      </c>
      <c r="T3018" s="29">
        <v>2200000</v>
      </c>
      <c r="U3018" s="29">
        <v>305844000</v>
      </c>
      <c r="V3018" t="s">
        <v>1262</v>
      </c>
      <c r="W3018" t="s">
        <v>1262</v>
      </c>
      <c r="X3018" s="29">
        <v>305844000</v>
      </c>
      <c r="AA3018" s="30">
        <v>45908.333333333336</v>
      </c>
      <c r="AB3018" s="30">
        <v>45925.708333333336</v>
      </c>
      <c r="AC3018" s="30">
        <v>45908.333333333336</v>
      </c>
      <c r="AD3018" s="30">
        <v>45925.708333333336</v>
      </c>
      <c r="AE3018" s="30">
        <v>46057.333333333336</v>
      </c>
      <c r="AF3018" s="30">
        <v>46076.708333333336</v>
      </c>
      <c r="AG3018" t="s">
        <v>1266</v>
      </c>
      <c r="AK3018" t="s">
        <v>1265</v>
      </c>
      <c r="AL3018" t="s">
        <v>1637</v>
      </c>
      <c r="AM3018" t="s">
        <v>1263</v>
      </c>
      <c r="AN3018" t="s">
        <v>1262</v>
      </c>
      <c r="AO3018">
        <v>0</v>
      </c>
      <c r="AQ3018" t="s">
        <v>1261</v>
      </c>
      <c r="AR3018" t="s">
        <v>1260</v>
      </c>
      <c r="AS3018" t="s">
        <v>1259</v>
      </c>
      <c r="AT3018" s="30">
        <v>46073.384722222225</v>
      </c>
    </row>
    <row r="3019" spans="1:46" x14ac:dyDescent="0.25">
      <c r="A3019" t="s">
        <v>1248</v>
      </c>
      <c r="B3019">
        <v>253481</v>
      </c>
      <c r="C3019">
        <v>119993</v>
      </c>
      <c r="D3019">
        <v>405</v>
      </c>
      <c r="E3019" t="s">
        <v>1266</v>
      </c>
      <c r="G3019">
        <v>745</v>
      </c>
      <c r="H3019">
        <v>1824</v>
      </c>
      <c r="K3019" t="s">
        <v>1630</v>
      </c>
      <c r="L3019" t="s">
        <v>1630</v>
      </c>
      <c r="M3019" s="29">
        <v>124125</v>
      </c>
      <c r="N3019">
        <v>0</v>
      </c>
      <c r="O3019" s="29">
        <v>124125</v>
      </c>
      <c r="P3019">
        <v>0</v>
      </c>
      <c r="Q3019">
        <v>0</v>
      </c>
      <c r="R3019">
        <v>0</v>
      </c>
      <c r="T3019" s="29">
        <v>2200000</v>
      </c>
      <c r="U3019" s="29">
        <v>305844000</v>
      </c>
      <c r="V3019" t="s">
        <v>1262</v>
      </c>
      <c r="W3019" t="s">
        <v>1262</v>
      </c>
      <c r="X3019" s="29">
        <v>305844000</v>
      </c>
      <c r="AA3019" s="30">
        <v>45926.333333333336</v>
      </c>
      <c r="AB3019" s="30">
        <v>45945.708333333336</v>
      </c>
      <c r="AC3019" s="30">
        <v>45926.333333333336</v>
      </c>
      <c r="AD3019" s="30">
        <v>45945.708333333336</v>
      </c>
      <c r="AE3019" s="30">
        <v>46077.333333333336</v>
      </c>
      <c r="AF3019" s="30">
        <v>46094.708333333336</v>
      </c>
      <c r="AG3019" t="s">
        <v>1266</v>
      </c>
      <c r="AK3019" t="s">
        <v>1265</v>
      </c>
      <c r="AL3019" t="s">
        <v>1636</v>
      </c>
      <c r="AM3019" t="s">
        <v>1263</v>
      </c>
      <c r="AN3019" t="s">
        <v>1262</v>
      </c>
      <c r="AO3019">
        <v>0</v>
      </c>
      <c r="AQ3019" t="s">
        <v>1261</v>
      </c>
      <c r="AR3019" t="s">
        <v>1260</v>
      </c>
      <c r="AS3019" t="s">
        <v>1259</v>
      </c>
      <c r="AT3019" s="30">
        <v>46073.384722222225</v>
      </c>
    </row>
    <row r="3020" spans="1:46" x14ac:dyDescent="0.25">
      <c r="A3020" t="s">
        <v>1248</v>
      </c>
      <c r="B3020">
        <v>253482</v>
      </c>
      <c r="C3020">
        <v>119994</v>
      </c>
      <c r="D3020">
        <v>405</v>
      </c>
      <c r="E3020" t="s">
        <v>1266</v>
      </c>
      <c r="G3020">
        <v>745</v>
      </c>
      <c r="H3020">
        <v>1824</v>
      </c>
      <c r="K3020" t="s">
        <v>1630</v>
      </c>
      <c r="L3020" t="s">
        <v>1630</v>
      </c>
      <c r="M3020" s="29">
        <v>124125</v>
      </c>
      <c r="N3020">
        <v>0</v>
      </c>
      <c r="O3020" s="29">
        <v>124125</v>
      </c>
      <c r="P3020">
        <v>0</v>
      </c>
      <c r="Q3020">
        <v>0</v>
      </c>
      <c r="R3020">
        <v>0</v>
      </c>
      <c r="T3020" s="29">
        <v>2200000</v>
      </c>
      <c r="U3020" s="29">
        <v>305844000</v>
      </c>
      <c r="V3020" t="s">
        <v>1262</v>
      </c>
      <c r="W3020" t="s">
        <v>1262</v>
      </c>
      <c r="X3020" s="29">
        <v>305844000</v>
      </c>
      <c r="AA3020" s="30">
        <v>45946.333333333336</v>
      </c>
      <c r="AB3020" s="30">
        <v>45965.708333333336</v>
      </c>
      <c r="AC3020" s="30">
        <v>45946.333333333336</v>
      </c>
      <c r="AD3020" s="30">
        <v>45965.708333333336</v>
      </c>
      <c r="AE3020" s="30">
        <v>46097.333333333336</v>
      </c>
      <c r="AF3020" s="30">
        <v>46114.708333333336</v>
      </c>
      <c r="AG3020" t="s">
        <v>1266</v>
      </c>
      <c r="AK3020" t="s">
        <v>1265</v>
      </c>
      <c r="AL3020" t="s">
        <v>1635</v>
      </c>
      <c r="AM3020" t="s">
        <v>1263</v>
      </c>
      <c r="AN3020" t="s">
        <v>1262</v>
      </c>
      <c r="AO3020">
        <v>0</v>
      </c>
      <c r="AQ3020" t="s">
        <v>1261</v>
      </c>
      <c r="AR3020" t="s">
        <v>1260</v>
      </c>
      <c r="AS3020" t="s">
        <v>1259</v>
      </c>
      <c r="AT3020" s="30">
        <v>46073.384722222225</v>
      </c>
    </row>
    <row r="3021" spans="1:46" x14ac:dyDescent="0.25">
      <c r="A3021" t="s">
        <v>1248</v>
      </c>
      <c r="B3021">
        <v>253483</v>
      </c>
      <c r="C3021">
        <v>119995</v>
      </c>
      <c r="D3021">
        <v>405</v>
      </c>
      <c r="E3021" t="s">
        <v>1266</v>
      </c>
      <c r="G3021">
        <v>745</v>
      </c>
      <c r="H3021">
        <v>1824</v>
      </c>
      <c r="K3021" t="s">
        <v>1630</v>
      </c>
      <c r="L3021" t="s">
        <v>1630</v>
      </c>
      <c r="M3021" s="29">
        <v>124125</v>
      </c>
      <c r="N3021">
        <v>0</v>
      </c>
      <c r="O3021" s="29">
        <v>124125</v>
      </c>
      <c r="P3021">
        <v>0</v>
      </c>
      <c r="Q3021">
        <v>0</v>
      </c>
      <c r="R3021">
        <v>0</v>
      </c>
      <c r="T3021" s="29">
        <v>2200000</v>
      </c>
      <c r="U3021" s="29">
        <v>305844000</v>
      </c>
      <c r="V3021" t="s">
        <v>1262</v>
      </c>
      <c r="W3021" t="s">
        <v>1262</v>
      </c>
      <c r="X3021" s="29">
        <v>305844000</v>
      </c>
      <c r="AA3021" s="30">
        <v>45966.333333333336</v>
      </c>
      <c r="AB3021" s="30">
        <v>45985.708333333336</v>
      </c>
      <c r="AC3021" s="30">
        <v>45966.333333333336</v>
      </c>
      <c r="AD3021" s="30">
        <v>45985.708333333336</v>
      </c>
      <c r="AE3021" s="30">
        <v>46115.333333333336</v>
      </c>
      <c r="AF3021" s="30">
        <v>46135.708333333336</v>
      </c>
      <c r="AG3021" t="s">
        <v>1266</v>
      </c>
      <c r="AK3021" t="s">
        <v>1265</v>
      </c>
      <c r="AL3021" t="s">
        <v>1634</v>
      </c>
      <c r="AM3021" t="s">
        <v>1263</v>
      </c>
      <c r="AN3021" t="s">
        <v>1262</v>
      </c>
      <c r="AO3021">
        <v>0</v>
      </c>
      <c r="AQ3021" t="s">
        <v>1261</v>
      </c>
      <c r="AR3021" t="s">
        <v>1260</v>
      </c>
      <c r="AS3021" t="s">
        <v>1259</v>
      </c>
      <c r="AT3021" s="30">
        <v>46073.384722222225</v>
      </c>
    </row>
    <row r="3022" spans="1:46" x14ac:dyDescent="0.25">
      <c r="A3022" t="s">
        <v>1248</v>
      </c>
      <c r="B3022">
        <v>253484</v>
      </c>
      <c r="C3022">
        <v>119996</v>
      </c>
      <c r="D3022">
        <v>405</v>
      </c>
      <c r="E3022" t="s">
        <v>1266</v>
      </c>
      <c r="G3022">
        <v>745</v>
      </c>
      <c r="H3022">
        <v>1824</v>
      </c>
      <c r="K3022" t="s">
        <v>1630</v>
      </c>
      <c r="L3022" t="s">
        <v>1630</v>
      </c>
      <c r="M3022" s="29">
        <v>124125</v>
      </c>
      <c r="N3022">
        <v>0</v>
      </c>
      <c r="O3022" s="29">
        <v>124125</v>
      </c>
      <c r="P3022">
        <v>0</v>
      </c>
      <c r="Q3022">
        <v>0</v>
      </c>
      <c r="R3022">
        <v>0</v>
      </c>
      <c r="T3022" s="29">
        <v>2200000</v>
      </c>
      <c r="U3022" s="29">
        <v>305844000</v>
      </c>
      <c r="V3022" t="s">
        <v>1262</v>
      </c>
      <c r="W3022" t="s">
        <v>1262</v>
      </c>
      <c r="X3022" s="29">
        <v>305844000</v>
      </c>
      <c r="AA3022" s="30">
        <v>45986.333333333336</v>
      </c>
      <c r="AB3022" s="30">
        <v>46003.708333333336</v>
      </c>
      <c r="AC3022" s="30">
        <v>45986.333333333336</v>
      </c>
      <c r="AD3022" s="30">
        <v>46003.708333333336</v>
      </c>
      <c r="AE3022" s="30">
        <v>46136.333333333336</v>
      </c>
      <c r="AF3022" s="30">
        <v>46156.708333333336</v>
      </c>
      <c r="AG3022" t="s">
        <v>1266</v>
      </c>
      <c r="AK3022" t="s">
        <v>1265</v>
      </c>
      <c r="AL3022" t="s">
        <v>1633</v>
      </c>
      <c r="AM3022" t="s">
        <v>1263</v>
      </c>
      <c r="AN3022" t="s">
        <v>1262</v>
      </c>
      <c r="AO3022">
        <v>0</v>
      </c>
      <c r="AQ3022" t="s">
        <v>1261</v>
      </c>
      <c r="AR3022" t="s">
        <v>1260</v>
      </c>
      <c r="AS3022" t="s">
        <v>1259</v>
      </c>
      <c r="AT3022" s="30">
        <v>46073.384722222225</v>
      </c>
    </row>
    <row r="3023" spans="1:46" x14ac:dyDescent="0.25">
      <c r="A3023" t="s">
        <v>1248</v>
      </c>
      <c r="B3023">
        <v>253485</v>
      </c>
      <c r="C3023">
        <v>119997</v>
      </c>
      <c r="D3023">
        <v>405</v>
      </c>
      <c r="E3023" t="s">
        <v>1266</v>
      </c>
      <c r="G3023">
        <v>745</v>
      </c>
      <c r="H3023">
        <v>1824</v>
      </c>
      <c r="K3023" t="s">
        <v>1630</v>
      </c>
      <c r="L3023" t="s">
        <v>1630</v>
      </c>
      <c r="M3023" s="29">
        <v>124125</v>
      </c>
      <c r="N3023">
        <v>0</v>
      </c>
      <c r="O3023" s="29">
        <v>124125</v>
      </c>
      <c r="P3023">
        <v>0</v>
      </c>
      <c r="Q3023">
        <v>0</v>
      </c>
      <c r="R3023">
        <v>0</v>
      </c>
      <c r="T3023" s="29">
        <v>2200000</v>
      </c>
      <c r="U3023" s="29">
        <v>305844000</v>
      </c>
      <c r="V3023" t="s">
        <v>1262</v>
      </c>
      <c r="W3023" t="s">
        <v>1262</v>
      </c>
      <c r="X3023" s="29">
        <v>305844000</v>
      </c>
      <c r="AA3023" s="30">
        <v>46006.333333333336</v>
      </c>
      <c r="AB3023" s="30">
        <v>46024.708333333336</v>
      </c>
      <c r="AC3023" s="30">
        <v>46006.333333333336</v>
      </c>
      <c r="AD3023" s="30">
        <v>46024.708333333336</v>
      </c>
      <c r="AE3023" s="30">
        <v>46157.333333333336</v>
      </c>
      <c r="AF3023" s="30">
        <v>46177.708333333336</v>
      </c>
      <c r="AG3023" t="s">
        <v>1266</v>
      </c>
      <c r="AK3023" t="s">
        <v>1265</v>
      </c>
      <c r="AL3023" t="s">
        <v>1632</v>
      </c>
      <c r="AM3023" t="s">
        <v>1263</v>
      </c>
      <c r="AN3023" t="s">
        <v>1262</v>
      </c>
      <c r="AO3023">
        <v>0</v>
      </c>
      <c r="AQ3023" t="s">
        <v>1261</v>
      </c>
      <c r="AR3023" t="s">
        <v>1260</v>
      </c>
      <c r="AS3023" t="s">
        <v>1259</v>
      </c>
      <c r="AT3023" s="30">
        <v>46073.384722222225</v>
      </c>
    </row>
    <row r="3024" spans="1:46" x14ac:dyDescent="0.25">
      <c r="A3024" t="s">
        <v>1248</v>
      </c>
      <c r="B3024">
        <v>253486</v>
      </c>
      <c r="C3024">
        <v>119998</v>
      </c>
      <c r="D3024">
        <v>405</v>
      </c>
      <c r="E3024" t="s">
        <v>1266</v>
      </c>
      <c r="G3024">
        <v>745</v>
      </c>
      <c r="H3024">
        <v>1824</v>
      </c>
      <c r="K3024" t="s">
        <v>1630</v>
      </c>
      <c r="L3024" t="s">
        <v>1630</v>
      </c>
      <c r="M3024" s="29">
        <v>124125</v>
      </c>
      <c r="N3024">
        <v>0</v>
      </c>
      <c r="O3024" s="29">
        <v>124125</v>
      </c>
      <c r="P3024">
        <v>0</v>
      </c>
      <c r="Q3024">
        <v>0</v>
      </c>
      <c r="R3024">
        <v>0</v>
      </c>
      <c r="T3024" s="29">
        <v>2200000</v>
      </c>
      <c r="U3024" s="29">
        <v>305844000</v>
      </c>
      <c r="V3024" t="s">
        <v>1262</v>
      </c>
      <c r="W3024" t="s">
        <v>1262</v>
      </c>
      <c r="X3024" s="29">
        <v>305844000</v>
      </c>
      <c r="AA3024" s="30">
        <v>46027.333333333336</v>
      </c>
      <c r="AB3024" s="30">
        <v>46045.708333333336</v>
      </c>
      <c r="AC3024" s="30">
        <v>46027.333333333336</v>
      </c>
      <c r="AD3024" s="30">
        <v>46045.708333333336</v>
      </c>
      <c r="AE3024" s="30">
        <v>46178.333333333336</v>
      </c>
      <c r="AF3024" s="30">
        <v>46197.708333333336</v>
      </c>
      <c r="AG3024" t="s">
        <v>1266</v>
      </c>
      <c r="AK3024" t="s">
        <v>1265</v>
      </c>
      <c r="AL3024" t="s">
        <v>1631</v>
      </c>
      <c r="AM3024" t="s">
        <v>1263</v>
      </c>
      <c r="AN3024" t="s">
        <v>1262</v>
      </c>
      <c r="AO3024">
        <v>0</v>
      </c>
      <c r="AQ3024" t="s">
        <v>1261</v>
      </c>
      <c r="AR3024" t="s">
        <v>1260</v>
      </c>
      <c r="AS3024" t="s">
        <v>1259</v>
      </c>
      <c r="AT3024" s="30">
        <v>46073.384722222225</v>
      </c>
    </row>
    <row r="3025" spans="1:46" x14ac:dyDescent="0.25">
      <c r="A3025" t="s">
        <v>1248</v>
      </c>
      <c r="B3025">
        <v>253487</v>
      </c>
      <c r="C3025">
        <v>119999</v>
      </c>
      <c r="D3025">
        <v>405</v>
      </c>
      <c r="E3025" t="s">
        <v>1266</v>
      </c>
      <c r="G3025">
        <v>745</v>
      </c>
      <c r="H3025">
        <v>1824</v>
      </c>
      <c r="K3025" t="s">
        <v>1630</v>
      </c>
      <c r="L3025" t="s">
        <v>1630</v>
      </c>
      <c r="M3025" s="29">
        <v>124125</v>
      </c>
      <c r="N3025">
        <v>0</v>
      </c>
      <c r="O3025" s="29">
        <v>124125</v>
      </c>
      <c r="P3025">
        <v>0</v>
      </c>
      <c r="Q3025">
        <v>0</v>
      </c>
      <c r="R3025">
        <v>0</v>
      </c>
      <c r="T3025" s="29">
        <v>1668100</v>
      </c>
      <c r="U3025" s="29">
        <v>305844000</v>
      </c>
      <c r="V3025" t="s">
        <v>1262</v>
      </c>
      <c r="W3025" t="s">
        <v>1262</v>
      </c>
      <c r="X3025" s="29">
        <v>305844000</v>
      </c>
      <c r="AA3025" s="30">
        <v>46048.333333333336</v>
      </c>
      <c r="AB3025" s="30">
        <v>46065.708333333336</v>
      </c>
      <c r="AC3025" s="30">
        <v>46048.333333333336</v>
      </c>
      <c r="AD3025" s="30">
        <v>46065.708333333336</v>
      </c>
      <c r="AE3025" s="30">
        <v>46198.333333333336</v>
      </c>
      <c r="AF3025" s="30">
        <v>46217.708333333336</v>
      </c>
      <c r="AG3025" t="s">
        <v>1266</v>
      </c>
      <c r="AK3025" t="s">
        <v>1265</v>
      </c>
      <c r="AL3025" t="s">
        <v>1629</v>
      </c>
      <c r="AM3025" t="s">
        <v>1263</v>
      </c>
      <c r="AN3025" t="s">
        <v>1262</v>
      </c>
      <c r="AO3025">
        <v>0</v>
      </c>
      <c r="AQ3025" t="s">
        <v>1261</v>
      </c>
      <c r="AR3025" t="s">
        <v>1260</v>
      </c>
      <c r="AS3025" t="s">
        <v>1259</v>
      </c>
      <c r="AT3025" s="30">
        <v>46073.384722222225</v>
      </c>
    </row>
    <row r="3026" spans="1:46" x14ac:dyDescent="0.25">
      <c r="A3026" t="s">
        <v>1248</v>
      </c>
      <c r="B3026">
        <v>253497</v>
      </c>
      <c r="C3026">
        <v>119898</v>
      </c>
      <c r="D3026">
        <v>405</v>
      </c>
      <c r="E3026" t="s">
        <v>1266</v>
      </c>
      <c r="G3026">
        <v>745</v>
      </c>
      <c r="H3026">
        <v>1827</v>
      </c>
      <c r="K3026" t="s">
        <v>1582</v>
      </c>
      <c r="L3026" t="s">
        <v>1582</v>
      </c>
      <c r="M3026" t="s">
        <v>1604</v>
      </c>
      <c r="N3026">
        <v>0</v>
      </c>
      <c r="O3026" t="s">
        <v>1604</v>
      </c>
      <c r="P3026">
        <v>0</v>
      </c>
      <c r="Q3026">
        <v>0</v>
      </c>
      <c r="R3026">
        <v>0</v>
      </c>
      <c r="T3026" s="29">
        <v>234300</v>
      </c>
      <c r="U3026" s="29">
        <v>4311120</v>
      </c>
      <c r="V3026" t="s">
        <v>1262</v>
      </c>
      <c r="W3026" t="s">
        <v>1262</v>
      </c>
      <c r="X3026" s="29">
        <v>4311120</v>
      </c>
      <c r="AA3026" s="30">
        <v>46006.333333333336</v>
      </c>
      <c r="AB3026" s="30">
        <v>46021.708333333336</v>
      </c>
      <c r="AC3026" s="30">
        <v>46006.333333333336</v>
      </c>
      <c r="AD3026" s="30">
        <v>46021.708333333336</v>
      </c>
      <c r="AE3026" s="30">
        <v>46006.333333333336</v>
      </c>
      <c r="AF3026" s="30">
        <v>46021.708333333336</v>
      </c>
      <c r="AG3026" t="s">
        <v>1266</v>
      </c>
      <c r="AK3026" t="s">
        <v>1265</v>
      </c>
      <c r="AL3026" t="s">
        <v>1628</v>
      </c>
      <c r="AM3026" t="s">
        <v>1263</v>
      </c>
      <c r="AN3026" t="s">
        <v>1262</v>
      </c>
      <c r="AO3026">
        <v>0</v>
      </c>
      <c r="AQ3026" t="s">
        <v>1261</v>
      </c>
      <c r="AR3026" t="s">
        <v>1260</v>
      </c>
      <c r="AS3026" t="s">
        <v>1259</v>
      </c>
      <c r="AT3026" s="30">
        <v>46073.384722222225</v>
      </c>
    </row>
    <row r="3027" spans="1:46" x14ac:dyDescent="0.25">
      <c r="A3027" t="s">
        <v>1248</v>
      </c>
      <c r="B3027">
        <v>253498</v>
      </c>
      <c r="C3027">
        <v>119899</v>
      </c>
      <c r="D3027">
        <v>405</v>
      </c>
      <c r="E3027" t="s">
        <v>1266</v>
      </c>
      <c r="G3027">
        <v>745</v>
      </c>
      <c r="H3027">
        <v>1827</v>
      </c>
      <c r="K3027" t="s">
        <v>1582</v>
      </c>
      <c r="L3027" t="s">
        <v>1582</v>
      </c>
      <c r="M3027" t="s">
        <v>1604</v>
      </c>
      <c r="N3027">
        <v>0</v>
      </c>
      <c r="O3027" t="s">
        <v>1604</v>
      </c>
      <c r="P3027">
        <v>0</v>
      </c>
      <c r="Q3027">
        <v>0</v>
      </c>
      <c r="R3027">
        <v>0</v>
      </c>
      <c r="T3027" s="29">
        <v>234300</v>
      </c>
      <c r="U3027" s="29">
        <v>4311120</v>
      </c>
      <c r="V3027" t="s">
        <v>1262</v>
      </c>
      <c r="W3027" t="s">
        <v>1262</v>
      </c>
      <c r="X3027" s="29">
        <v>4311120</v>
      </c>
      <c r="AA3027" s="30">
        <v>46022.333333333336</v>
      </c>
      <c r="AB3027" s="30">
        <v>46041.708333333336</v>
      </c>
      <c r="AC3027" s="30">
        <v>46022.333333333336</v>
      </c>
      <c r="AD3027" s="30">
        <v>46041.708333333336</v>
      </c>
      <c r="AE3027" s="30">
        <v>46022.333333333336</v>
      </c>
      <c r="AF3027" s="30">
        <v>46041.708333333336</v>
      </c>
      <c r="AG3027" t="s">
        <v>1266</v>
      </c>
      <c r="AK3027" t="s">
        <v>1265</v>
      </c>
      <c r="AL3027" t="s">
        <v>1627</v>
      </c>
      <c r="AM3027" t="s">
        <v>1263</v>
      </c>
      <c r="AN3027" t="s">
        <v>1262</v>
      </c>
      <c r="AO3027">
        <v>0</v>
      </c>
      <c r="AQ3027" t="s">
        <v>1261</v>
      </c>
      <c r="AR3027" t="s">
        <v>1260</v>
      </c>
      <c r="AS3027" t="s">
        <v>1259</v>
      </c>
      <c r="AT3027" s="30">
        <v>46073.384722222225</v>
      </c>
    </row>
    <row r="3028" spans="1:46" x14ac:dyDescent="0.25">
      <c r="A3028" t="s">
        <v>1248</v>
      </c>
      <c r="B3028">
        <v>253499</v>
      </c>
      <c r="C3028">
        <v>119900</v>
      </c>
      <c r="D3028">
        <v>405</v>
      </c>
      <c r="E3028" t="s">
        <v>1266</v>
      </c>
      <c r="G3028">
        <v>745</v>
      </c>
      <c r="H3028">
        <v>1827</v>
      </c>
      <c r="K3028" t="s">
        <v>1582</v>
      </c>
      <c r="L3028" t="s">
        <v>1582</v>
      </c>
      <c r="M3028" t="s">
        <v>1604</v>
      </c>
      <c r="N3028">
        <v>0</v>
      </c>
      <c r="O3028" t="s">
        <v>1604</v>
      </c>
      <c r="P3028">
        <v>0</v>
      </c>
      <c r="Q3028">
        <v>0</v>
      </c>
      <c r="R3028">
        <v>0</v>
      </c>
      <c r="T3028" s="29">
        <v>234300</v>
      </c>
      <c r="U3028" s="29">
        <v>4311120</v>
      </c>
      <c r="V3028" t="s">
        <v>1262</v>
      </c>
      <c r="W3028" t="s">
        <v>1262</v>
      </c>
      <c r="X3028" s="29">
        <v>4311120</v>
      </c>
      <c r="AA3028" s="30">
        <v>46042.333333333336</v>
      </c>
      <c r="AB3028" s="30">
        <v>46057.708333333336</v>
      </c>
      <c r="AC3028" s="30">
        <v>46042.333333333336</v>
      </c>
      <c r="AD3028" s="30">
        <v>46057.708333333336</v>
      </c>
      <c r="AE3028" s="30">
        <v>46042.333333333336</v>
      </c>
      <c r="AF3028" s="30">
        <v>46057.708333333336</v>
      </c>
      <c r="AG3028" t="s">
        <v>1266</v>
      </c>
      <c r="AK3028" t="s">
        <v>1265</v>
      </c>
      <c r="AL3028" t="s">
        <v>1626</v>
      </c>
      <c r="AM3028" t="s">
        <v>1263</v>
      </c>
      <c r="AN3028" t="s">
        <v>1262</v>
      </c>
      <c r="AO3028">
        <v>0</v>
      </c>
      <c r="AQ3028" t="s">
        <v>1261</v>
      </c>
      <c r="AR3028" t="s">
        <v>1260</v>
      </c>
      <c r="AS3028" t="s">
        <v>1259</v>
      </c>
      <c r="AT3028" s="30">
        <v>46073.384722222225</v>
      </c>
    </row>
    <row r="3029" spans="1:46" x14ac:dyDescent="0.25">
      <c r="A3029" t="s">
        <v>1248</v>
      </c>
      <c r="B3029">
        <v>253500</v>
      </c>
      <c r="C3029">
        <v>119901</v>
      </c>
      <c r="D3029">
        <v>405</v>
      </c>
      <c r="E3029" t="s">
        <v>1266</v>
      </c>
      <c r="G3029">
        <v>745</v>
      </c>
      <c r="H3029">
        <v>1827</v>
      </c>
      <c r="K3029" t="s">
        <v>1582</v>
      </c>
      <c r="L3029" t="s">
        <v>1582</v>
      </c>
      <c r="M3029" t="s">
        <v>1604</v>
      </c>
      <c r="N3029">
        <v>0</v>
      </c>
      <c r="O3029" t="s">
        <v>1604</v>
      </c>
      <c r="P3029">
        <v>0</v>
      </c>
      <c r="Q3029">
        <v>0</v>
      </c>
      <c r="R3029">
        <v>0</v>
      </c>
      <c r="T3029" s="29">
        <v>234300</v>
      </c>
      <c r="U3029" s="29">
        <v>4311120</v>
      </c>
      <c r="V3029" t="s">
        <v>1262</v>
      </c>
      <c r="W3029" t="s">
        <v>1262</v>
      </c>
      <c r="X3029" s="29">
        <v>4311120</v>
      </c>
      <c r="AA3029" s="30">
        <v>46058.333333333336</v>
      </c>
      <c r="AB3029" s="30">
        <v>46073.708333333336</v>
      </c>
      <c r="AC3029" s="30">
        <v>46058.333333333336</v>
      </c>
      <c r="AD3029" s="30">
        <v>46073.708333333336</v>
      </c>
      <c r="AE3029" s="30">
        <v>46058.333333333336</v>
      </c>
      <c r="AF3029" s="30">
        <v>46073.708333333336</v>
      </c>
      <c r="AG3029" t="s">
        <v>1266</v>
      </c>
      <c r="AK3029" t="s">
        <v>1265</v>
      </c>
      <c r="AL3029" t="s">
        <v>1625</v>
      </c>
      <c r="AM3029" t="s">
        <v>1263</v>
      </c>
      <c r="AN3029" t="s">
        <v>1262</v>
      </c>
      <c r="AO3029">
        <v>0</v>
      </c>
      <c r="AQ3029" t="s">
        <v>1261</v>
      </c>
      <c r="AR3029" t="s">
        <v>1260</v>
      </c>
      <c r="AS3029" t="s">
        <v>1259</v>
      </c>
      <c r="AT3029" s="30">
        <v>46073.384722222225</v>
      </c>
    </row>
    <row r="3030" spans="1:46" x14ac:dyDescent="0.25">
      <c r="A3030" t="s">
        <v>1248</v>
      </c>
      <c r="B3030">
        <v>253501</v>
      </c>
      <c r="C3030">
        <v>119902</v>
      </c>
      <c r="D3030">
        <v>405</v>
      </c>
      <c r="E3030" t="s">
        <v>1266</v>
      </c>
      <c r="G3030">
        <v>745</v>
      </c>
      <c r="H3030">
        <v>1827</v>
      </c>
      <c r="K3030" t="s">
        <v>1582</v>
      </c>
      <c r="L3030" t="s">
        <v>1582</v>
      </c>
      <c r="M3030" t="s">
        <v>1604</v>
      </c>
      <c r="N3030">
        <v>0</v>
      </c>
      <c r="O3030" t="s">
        <v>1604</v>
      </c>
      <c r="P3030">
        <v>0</v>
      </c>
      <c r="Q3030">
        <v>0</v>
      </c>
      <c r="R3030">
        <v>0</v>
      </c>
      <c r="T3030" s="29">
        <v>234300</v>
      </c>
      <c r="U3030" s="29">
        <v>4311120</v>
      </c>
      <c r="V3030" t="s">
        <v>1262</v>
      </c>
      <c r="W3030" t="s">
        <v>1262</v>
      </c>
      <c r="X3030" s="29">
        <v>4311120</v>
      </c>
      <c r="AA3030" s="30">
        <v>46076.333333333336</v>
      </c>
      <c r="AB3030" s="30">
        <v>46091.708333333336</v>
      </c>
      <c r="AC3030" s="30">
        <v>46076.333333333336</v>
      </c>
      <c r="AD3030" s="30">
        <v>46091.708333333336</v>
      </c>
      <c r="AE3030" s="30">
        <v>46076.333333333336</v>
      </c>
      <c r="AF3030" s="30">
        <v>46091.708333333336</v>
      </c>
      <c r="AG3030" t="s">
        <v>1266</v>
      </c>
      <c r="AK3030" t="s">
        <v>1265</v>
      </c>
      <c r="AL3030" t="s">
        <v>1624</v>
      </c>
      <c r="AM3030" t="s">
        <v>1263</v>
      </c>
      <c r="AN3030" t="s">
        <v>1262</v>
      </c>
      <c r="AO3030">
        <v>0</v>
      </c>
      <c r="AQ3030" t="s">
        <v>1261</v>
      </c>
      <c r="AR3030" t="s">
        <v>1260</v>
      </c>
      <c r="AS3030" t="s">
        <v>1259</v>
      </c>
      <c r="AT3030" s="30">
        <v>46073.384722222225</v>
      </c>
    </row>
    <row r="3031" spans="1:46" x14ac:dyDescent="0.25">
      <c r="A3031" t="s">
        <v>1248</v>
      </c>
      <c r="B3031">
        <v>253502</v>
      </c>
      <c r="C3031">
        <v>119903</v>
      </c>
      <c r="D3031">
        <v>405</v>
      </c>
      <c r="E3031" t="s">
        <v>1266</v>
      </c>
      <c r="G3031">
        <v>745</v>
      </c>
      <c r="H3031">
        <v>1827</v>
      </c>
      <c r="K3031" t="s">
        <v>1582</v>
      </c>
      <c r="L3031" t="s">
        <v>1582</v>
      </c>
      <c r="M3031" t="s">
        <v>1604</v>
      </c>
      <c r="N3031">
        <v>0</v>
      </c>
      <c r="O3031" t="s">
        <v>1604</v>
      </c>
      <c r="P3031">
        <v>0</v>
      </c>
      <c r="Q3031">
        <v>0</v>
      </c>
      <c r="R3031">
        <v>0</v>
      </c>
      <c r="T3031" s="29">
        <v>234300</v>
      </c>
      <c r="U3031" s="29">
        <v>4311120</v>
      </c>
      <c r="V3031" t="s">
        <v>1262</v>
      </c>
      <c r="W3031" t="s">
        <v>1262</v>
      </c>
      <c r="X3031" s="29">
        <v>4311120</v>
      </c>
      <c r="AA3031" s="30">
        <v>46092.333333333336</v>
      </c>
      <c r="AB3031" s="30">
        <v>46107.708333333336</v>
      </c>
      <c r="AC3031" s="30">
        <v>46092.333333333336</v>
      </c>
      <c r="AD3031" s="30">
        <v>46107.708333333336</v>
      </c>
      <c r="AE3031" s="30">
        <v>46092.333333333336</v>
      </c>
      <c r="AF3031" s="30">
        <v>46107.708333333336</v>
      </c>
      <c r="AG3031" t="s">
        <v>1266</v>
      </c>
      <c r="AK3031" t="s">
        <v>1265</v>
      </c>
      <c r="AL3031" t="s">
        <v>1623</v>
      </c>
      <c r="AM3031" t="s">
        <v>1263</v>
      </c>
      <c r="AN3031" t="s">
        <v>1262</v>
      </c>
      <c r="AO3031">
        <v>0</v>
      </c>
      <c r="AQ3031" t="s">
        <v>1261</v>
      </c>
      <c r="AR3031" t="s">
        <v>1260</v>
      </c>
      <c r="AS3031" t="s">
        <v>1259</v>
      </c>
      <c r="AT3031" s="30">
        <v>46073.384722222225</v>
      </c>
    </row>
    <row r="3032" spans="1:46" x14ac:dyDescent="0.25">
      <c r="A3032" t="s">
        <v>1248</v>
      </c>
      <c r="B3032">
        <v>253503</v>
      </c>
      <c r="C3032">
        <v>119904</v>
      </c>
      <c r="D3032">
        <v>405</v>
      </c>
      <c r="E3032" t="s">
        <v>1266</v>
      </c>
      <c r="G3032">
        <v>745</v>
      </c>
      <c r="H3032">
        <v>1827</v>
      </c>
      <c r="K3032" t="s">
        <v>1582</v>
      </c>
      <c r="L3032" t="s">
        <v>1582</v>
      </c>
      <c r="M3032" t="s">
        <v>1604</v>
      </c>
      <c r="N3032">
        <v>0</v>
      </c>
      <c r="O3032" t="s">
        <v>1604</v>
      </c>
      <c r="P3032">
        <v>0</v>
      </c>
      <c r="Q3032">
        <v>0</v>
      </c>
      <c r="R3032">
        <v>0</v>
      </c>
      <c r="T3032" s="29">
        <v>234300</v>
      </c>
      <c r="U3032" s="29">
        <v>4311120</v>
      </c>
      <c r="V3032" t="s">
        <v>1262</v>
      </c>
      <c r="W3032" t="s">
        <v>1262</v>
      </c>
      <c r="X3032" s="29">
        <v>4311120</v>
      </c>
      <c r="AA3032" s="30">
        <v>46108.333333333336</v>
      </c>
      <c r="AB3032" s="30">
        <v>46126.708333333336</v>
      </c>
      <c r="AC3032" s="30">
        <v>46108.333333333336</v>
      </c>
      <c r="AD3032" s="30">
        <v>46126.708333333336</v>
      </c>
      <c r="AE3032" s="30">
        <v>46108.333333333336</v>
      </c>
      <c r="AF3032" s="30">
        <v>46126.708333333336</v>
      </c>
      <c r="AG3032" t="s">
        <v>1266</v>
      </c>
      <c r="AK3032" t="s">
        <v>1265</v>
      </c>
      <c r="AL3032" t="s">
        <v>1622</v>
      </c>
      <c r="AM3032" t="s">
        <v>1263</v>
      </c>
      <c r="AN3032" t="s">
        <v>1262</v>
      </c>
      <c r="AO3032">
        <v>0</v>
      </c>
      <c r="AQ3032" t="s">
        <v>1261</v>
      </c>
      <c r="AR3032" t="s">
        <v>1260</v>
      </c>
      <c r="AS3032" t="s">
        <v>1259</v>
      </c>
      <c r="AT3032" s="30">
        <v>46073.384722222225</v>
      </c>
    </row>
    <row r="3033" spans="1:46" x14ac:dyDescent="0.25">
      <c r="A3033" t="s">
        <v>1248</v>
      </c>
      <c r="B3033">
        <v>253504</v>
      </c>
      <c r="C3033">
        <v>119905</v>
      </c>
      <c r="D3033">
        <v>405</v>
      </c>
      <c r="E3033" t="s">
        <v>1266</v>
      </c>
      <c r="G3033">
        <v>745</v>
      </c>
      <c r="H3033">
        <v>1827</v>
      </c>
      <c r="K3033" t="s">
        <v>1582</v>
      </c>
      <c r="L3033" t="s">
        <v>1582</v>
      </c>
      <c r="M3033" t="s">
        <v>1604</v>
      </c>
      <c r="N3033">
        <v>0</v>
      </c>
      <c r="O3033" t="s">
        <v>1604</v>
      </c>
      <c r="P3033">
        <v>0</v>
      </c>
      <c r="Q3033">
        <v>0</v>
      </c>
      <c r="R3033">
        <v>0</v>
      </c>
      <c r="T3033" s="29">
        <v>234300</v>
      </c>
      <c r="U3033" s="29">
        <v>4311120</v>
      </c>
      <c r="V3033" t="s">
        <v>1262</v>
      </c>
      <c r="W3033" t="s">
        <v>1262</v>
      </c>
      <c r="X3033" s="29">
        <v>4311120</v>
      </c>
      <c r="AA3033" s="30">
        <v>46127.333333333336</v>
      </c>
      <c r="AB3033" s="30">
        <v>46142.708333333336</v>
      </c>
      <c r="AC3033" s="30">
        <v>46127.333333333336</v>
      </c>
      <c r="AD3033" s="30">
        <v>46142.708333333336</v>
      </c>
      <c r="AE3033" s="30">
        <v>46127.333333333336</v>
      </c>
      <c r="AF3033" s="30">
        <v>46142.708333333336</v>
      </c>
      <c r="AG3033" t="s">
        <v>1266</v>
      </c>
      <c r="AK3033" t="s">
        <v>1265</v>
      </c>
      <c r="AL3033" t="s">
        <v>1621</v>
      </c>
      <c r="AM3033" t="s">
        <v>1263</v>
      </c>
      <c r="AN3033" t="s">
        <v>1262</v>
      </c>
      <c r="AO3033">
        <v>0</v>
      </c>
      <c r="AQ3033" t="s">
        <v>1261</v>
      </c>
      <c r="AR3033" t="s">
        <v>1260</v>
      </c>
      <c r="AS3033" t="s">
        <v>1259</v>
      </c>
      <c r="AT3033" s="30">
        <v>46073.384722222225</v>
      </c>
    </row>
    <row r="3034" spans="1:46" x14ac:dyDescent="0.25">
      <c r="A3034" t="s">
        <v>1248</v>
      </c>
      <c r="B3034">
        <v>253505</v>
      </c>
      <c r="C3034">
        <v>119906</v>
      </c>
      <c r="D3034">
        <v>405</v>
      </c>
      <c r="E3034" t="s">
        <v>1266</v>
      </c>
      <c r="G3034">
        <v>745</v>
      </c>
      <c r="H3034">
        <v>1827</v>
      </c>
      <c r="K3034" t="s">
        <v>1582</v>
      </c>
      <c r="L3034" t="s">
        <v>1582</v>
      </c>
      <c r="M3034" t="s">
        <v>1604</v>
      </c>
      <c r="N3034">
        <v>0</v>
      </c>
      <c r="O3034" t="s">
        <v>1604</v>
      </c>
      <c r="P3034">
        <v>0</v>
      </c>
      <c r="Q3034">
        <v>0</v>
      </c>
      <c r="R3034">
        <v>0</v>
      </c>
      <c r="T3034" s="29">
        <v>234300</v>
      </c>
      <c r="U3034" s="29">
        <v>4311120</v>
      </c>
      <c r="V3034" t="s">
        <v>1262</v>
      </c>
      <c r="W3034" t="s">
        <v>1262</v>
      </c>
      <c r="X3034" s="29">
        <v>4311120</v>
      </c>
      <c r="AA3034" s="30">
        <v>46146.333333333336</v>
      </c>
      <c r="AB3034" s="30">
        <v>46161.708333333336</v>
      </c>
      <c r="AC3034" s="30">
        <v>46146.333333333336</v>
      </c>
      <c r="AD3034" s="30">
        <v>46161.708333333336</v>
      </c>
      <c r="AE3034" s="30">
        <v>46146.333333333336</v>
      </c>
      <c r="AF3034" s="30">
        <v>46161.708333333336</v>
      </c>
      <c r="AG3034" t="s">
        <v>1266</v>
      </c>
      <c r="AK3034" t="s">
        <v>1265</v>
      </c>
      <c r="AL3034" t="s">
        <v>1620</v>
      </c>
      <c r="AM3034" t="s">
        <v>1263</v>
      </c>
      <c r="AN3034" t="s">
        <v>1262</v>
      </c>
      <c r="AO3034">
        <v>0</v>
      </c>
      <c r="AQ3034" t="s">
        <v>1261</v>
      </c>
      <c r="AR3034" t="s">
        <v>1260</v>
      </c>
      <c r="AS3034" t="s">
        <v>1259</v>
      </c>
      <c r="AT3034" s="30">
        <v>46073.384722222225</v>
      </c>
    </row>
    <row r="3035" spans="1:46" x14ac:dyDescent="0.25">
      <c r="A3035" t="s">
        <v>1248</v>
      </c>
      <c r="B3035">
        <v>253506</v>
      </c>
      <c r="C3035">
        <v>119907</v>
      </c>
      <c r="D3035">
        <v>405</v>
      </c>
      <c r="E3035" t="s">
        <v>1266</v>
      </c>
      <c r="G3035">
        <v>745</v>
      </c>
      <c r="H3035">
        <v>1827</v>
      </c>
      <c r="K3035" t="s">
        <v>1582</v>
      </c>
      <c r="L3035" t="s">
        <v>1582</v>
      </c>
      <c r="M3035" t="s">
        <v>1604</v>
      </c>
      <c r="N3035">
        <v>0</v>
      </c>
      <c r="O3035" t="s">
        <v>1604</v>
      </c>
      <c r="P3035">
        <v>0</v>
      </c>
      <c r="Q3035">
        <v>0</v>
      </c>
      <c r="R3035">
        <v>0</v>
      </c>
      <c r="T3035" s="29">
        <v>234300</v>
      </c>
      <c r="U3035" s="29">
        <v>4311120</v>
      </c>
      <c r="V3035" t="s">
        <v>1262</v>
      </c>
      <c r="W3035" t="s">
        <v>1262</v>
      </c>
      <c r="X3035" s="29">
        <v>4311120</v>
      </c>
      <c r="AA3035" s="30">
        <v>46162.333333333336</v>
      </c>
      <c r="AB3035" s="30">
        <v>46178.708333333336</v>
      </c>
      <c r="AC3035" s="30">
        <v>46162.333333333336</v>
      </c>
      <c r="AD3035" s="30">
        <v>46178.708333333336</v>
      </c>
      <c r="AE3035" s="30">
        <v>46162.333333333336</v>
      </c>
      <c r="AF3035" s="30">
        <v>46178.708333333336</v>
      </c>
      <c r="AG3035" t="s">
        <v>1266</v>
      </c>
      <c r="AK3035" t="s">
        <v>1265</v>
      </c>
      <c r="AL3035" t="s">
        <v>1619</v>
      </c>
      <c r="AM3035" t="s">
        <v>1263</v>
      </c>
      <c r="AN3035" t="s">
        <v>1262</v>
      </c>
      <c r="AO3035">
        <v>0</v>
      </c>
      <c r="AQ3035" t="s">
        <v>1261</v>
      </c>
      <c r="AR3035" t="s">
        <v>1260</v>
      </c>
      <c r="AS3035" t="s">
        <v>1259</v>
      </c>
      <c r="AT3035" s="30">
        <v>46073.384722222225</v>
      </c>
    </row>
    <row r="3036" spans="1:46" x14ac:dyDescent="0.25">
      <c r="A3036" t="s">
        <v>1248</v>
      </c>
      <c r="B3036">
        <v>253507</v>
      </c>
      <c r="C3036">
        <v>119908</v>
      </c>
      <c r="D3036">
        <v>405</v>
      </c>
      <c r="E3036" t="s">
        <v>1266</v>
      </c>
      <c r="G3036">
        <v>745</v>
      </c>
      <c r="H3036">
        <v>1827</v>
      </c>
      <c r="K3036" t="s">
        <v>1582</v>
      </c>
      <c r="L3036" t="s">
        <v>1582</v>
      </c>
      <c r="M3036" t="s">
        <v>1604</v>
      </c>
      <c r="N3036">
        <v>0</v>
      </c>
      <c r="O3036" t="s">
        <v>1604</v>
      </c>
      <c r="P3036">
        <v>0</v>
      </c>
      <c r="Q3036">
        <v>0</v>
      </c>
      <c r="R3036">
        <v>0</v>
      </c>
      <c r="T3036" s="29">
        <v>234300</v>
      </c>
      <c r="U3036" s="29">
        <v>4311120</v>
      </c>
      <c r="V3036" t="s">
        <v>1262</v>
      </c>
      <c r="W3036" t="s">
        <v>1262</v>
      </c>
      <c r="X3036" s="29">
        <v>4311120</v>
      </c>
      <c r="AA3036" s="30">
        <v>46181.333333333336</v>
      </c>
      <c r="AB3036" s="30">
        <v>46196.708333333336</v>
      </c>
      <c r="AC3036" s="30">
        <v>46181.333333333336</v>
      </c>
      <c r="AD3036" s="30">
        <v>46196.708333333336</v>
      </c>
      <c r="AE3036" s="30">
        <v>46181.333333333336</v>
      </c>
      <c r="AF3036" s="30">
        <v>46196.708333333336</v>
      </c>
      <c r="AG3036" t="s">
        <v>1266</v>
      </c>
      <c r="AK3036" t="s">
        <v>1265</v>
      </c>
      <c r="AL3036" t="s">
        <v>1618</v>
      </c>
      <c r="AM3036" t="s">
        <v>1263</v>
      </c>
      <c r="AN3036" t="s">
        <v>1262</v>
      </c>
      <c r="AO3036">
        <v>0</v>
      </c>
      <c r="AQ3036" t="s">
        <v>1261</v>
      </c>
      <c r="AR3036" t="s">
        <v>1260</v>
      </c>
      <c r="AS3036" t="s">
        <v>1259</v>
      </c>
      <c r="AT3036" s="30">
        <v>46073.384722222225</v>
      </c>
    </row>
    <row r="3037" spans="1:46" x14ac:dyDescent="0.25">
      <c r="A3037" t="s">
        <v>1248</v>
      </c>
      <c r="B3037">
        <v>253508</v>
      </c>
      <c r="C3037">
        <v>119909</v>
      </c>
      <c r="D3037">
        <v>405</v>
      </c>
      <c r="E3037" t="s">
        <v>1266</v>
      </c>
      <c r="G3037">
        <v>745</v>
      </c>
      <c r="H3037">
        <v>1827</v>
      </c>
      <c r="K3037" t="s">
        <v>1582</v>
      </c>
      <c r="L3037" t="s">
        <v>1582</v>
      </c>
      <c r="M3037" t="s">
        <v>1604</v>
      </c>
      <c r="N3037">
        <v>0</v>
      </c>
      <c r="O3037" t="s">
        <v>1604</v>
      </c>
      <c r="P3037">
        <v>0</v>
      </c>
      <c r="Q3037">
        <v>0</v>
      </c>
      <c r="R3037">
        <v>0</v>
      </c>
      <c r="T3037" s="29">
        <v>234300</v>
      </c>
      <c r="U3037" s="29">
        <v>4311120</v>
      </c>
      <c r="V3037" t="s">
        <v>1262</v>
      </c>
      <c r="W3037" t="s">
        <v>1262</v>
      </c>
      <c r="X3037" s="29">
        <v>4311120</v>
      </c>
      <c r="AA3037" s="30">
        <v>46197.333333333336</v>
      </c>
      <c r="AB3037" s="30">
        <v>46212.708333333336</v>
      </c>
      <c r="AC3037" s="30">
        <v>46197.333333333336</v>
      </c>
      <c r="AD3037" s="30">
        <v>46212.708333333336</v>
      </c>
      <c r="AE3037" s="30">
        <v>46197.333333333336</v>
      </c>
      <c r="AF3037" s="30">
        <v>46212.708333333336</v>
      </c>
      <c r="AG3037" t="s">
        <v>1266</v>
      </c>
      <c r="AK3037" t="s">
        <v>1265</v>
      </c>
      <c r="AL3037" t="s">
        <v>1617</v>
      </c>
      <c r="AM3037" t="s">
        <v>1263</v>
      </c>
      <c r="AN3037" t="s">
        <v>1262</v>
      </c>
      <c r="AO3037">
        <v>0</v>
      </c>
      <c r="AQ3037" t="s">
        <v>1261</v>
      </c>
      <c r="AR3037" t="s">
        <v>1260</v>
      </c>
      <c r="AS3037" t="s">
        <v>1259</v>
      </c>
      <c r="AT3037" s="30">
        <v>46073.384722222225</v>
      </c>
    </row>
    <row r="3038" spans="1:46" x14ac:dyDescent="0.25">
      <c r="A3038" t="s">
        <v>1248</v>
      </c>
      <c r="B3038">
        <v>253509</v>
      </c>
      <c r="C3038">
        <v>119910</v>
      </c>
      <c r="D3038">
        <v>405</v>
      </c>
      <c r="E3038" t="s">
        <v>1266</v>
      </c>
      <c r="G3038">
        <v>745</v>
      </c>
      <c r="H3038">
        <v>1827</v>
      </c>
      <c r="K3038" t="s">
        <v>1582</v>
      </c>
      <c r="L3038" t="s">
        <v>1582</v>
      </c>
      <c r="M3038" t="s">
        <v>1604</v>
      </c>
      <c r="N3038">
        <v>0</v>
      </c>
      <c r="O3038" t="s">
        <v>1604</v>
      </c>
      <c r="P3038">
        <v>0</v>
      </c>
      <c r="Q3038">
        <v>0</v>
      </c>
      <c r="R3038">
        <v>0</v>
      </c>
      <c r="T3038" s="29">
        <v>234300</v>
      </c>
      <c r="U3038" s="29">
        <v>4311120</v>
      </c>
      <c r="V3038" t="s">
        <v>1262</v>
      </c>
      <c r="W3038" t="s">
        <v>1262</v>
      </c>
      <c r="X3038" s="29">
        <v>4311120</v>
      </c>
      <c r="AA3038" s="30">
        <v>46213.333333333336</v>
      </c>
      <c r="AB3038" s="30">
        <v>46230.708333333336</v>
      </c>
      <c r="AC3038" s="30">
        <v>46213.333333333336</v>
      </c>
      <c r="AD3038" s="30">
        <v>46230.708333333336</v>
      </c>
      <c r="AE3038" s="30">
        <v>46213.333333333336</v>
      </c>
      <c r="AF3038" s="30">
        <v>46230.708333333336</v>
      </c>
      <c r="AG3038" t="s">
        <v>1266</v>
      </c>
      <c r="AK3038" t="s">
        <v>1265</v>
      </c>
      <c r="AL3038" t="s">
        <v>1616</v>
      </c>
      <c r="AM3038" t="s">
        <v>1263</v>
      </c>
      <c r="AN3038" t="s">
        <v>1262</v>
      </c>
      <c r="AO3038">
        <v>0</v>
      </c>
      <c r="AQ3038" t="s">
        <v>1261</v>
      </c>
      <c r="AR3038" t="s">
        <v>1260</v>
      </c>
      <c r="AS3038" t="s">
        <v>1259</v>
      </c>
      <c r="AT3038" s="30">
        <v>46073.384722222225</v>
      </c>
    </row>
    <row r="3039" spans="1:46" x14ac:dyDescent="0.25">
      <c r="A3039" t="s">
        <v>1248</v>
      </c>
      <c r="B3039">
        <v>253510</v>
      </c>
      <c r="C3039">
        <v>119911</v>
      </c>
      <c r="D3039">
        <v>405</v>
      </c>
      <c r="E3039" t="s">
        <v>1266</v>
      </c>
      <c r="G3039">
        <v>745</v>
      </c>
      <c r="H3039">
        <v>1827</v>
      </c>
      <c r="K3039" t="s">
        <v>1582</v>
      </c>
      <c r="L3039" t="s">
        <v>1582</v>
      </c>
      <c r="M3039" t="s">
        <v>1604</v>
      </c>
      <c r="N3039">
        <v>0</v>
      </c>
      <c r="O3039" t="s">
        <v>1604</v>
      </c>
      <c r="P3039">
        <v>0</v>
      </c>
      <c r="Q3039">
        <v>0</v>
      </c>
      <c r="R3039">
        <v>0</v>
      </c>
      <c r="T3039" s="29">
        <v>234300</v>
      </c>
      <c r="U3039" s="29">
        <v>4311120</v>
      </c>
      <c r="V3039" t="s">
        <v>1262</v>
      </c>
      <c r="W3039" t="s">
        <v>1262</v>
      </c>
      <c r="X3039" s="29">
        <v>4311120</v>
      </c>
      <c r="AA3039" s="30">
        <v>46231.333333333336</v>
      </c>
      <c r="AB3039" s="30">
        <v>46246.708333333336</v>
      </c>
      <c r="AC3039" s="30">
        <v>46231.333333333336</v>
      </c>
      <c r="AD3039" s="30">
        <v>46246.708333333336</v>
      </c>
      <c r="AE3039" s="30">
        <v>46231.333333333336</v>
      </c>
      <c r="AF3039" s="30">
        <v>46246.708333333336</v>
      </c>
      <c r="AG3039" t="s">
        <v>1266</v>
      </c>
      <c r="AK3039" t="s">
        <v>1265</v>
      </c>
      <c r="AL3039" t="s">
        <v>1615</v>
      </c>
      <c r="AM3039" t="s">
        <v>1263</v>
      </c>
      <c r="AN3039" t="s">
        <v>1262</v>
      </c>
      <c r="AO3039">
        <v>0</v>
      </c>
      <c r="AQ3039" t="s">
        <v>1261</v>
      </c>
      <c r="AR3039" t="s">
        <v>1260</v>
      </c>
      <c r="AS3039" t="s">
        <v>1259</v>
      </c>
      <c r="AT3039" s="30">
        <v>46073.384722222225</v>
      </c>
    </row>
    <row r="3040" spans="1:46" x14ac:dyDescent="0.25">
      <c r="A3040" t="s">
        <v>1248</v>
      </c>
      <c r="B3040">
        <v>253511</v>
      </c>
      <c r="C3040">
        <v>119912</v>
      </c>
      <c r="D3040">
        <v>405</v>
      </c>
      <c r="E3040" t="s">
        <v>1266</v>
      </c>
      <c r="G3040">
        <v>745</v>
      </c>
      <c r="H3040">
        <v>1827</v>
      </c>
      <c r="K3040" t="s">
        <v>1582</v>
      </c>
      <c r="L3040" t="s">
        <v>1582</v>
      </c>
      <c r="M3040" t="s">
        <v>1604</v>
      </c>
      <c r="N3040">
        <v>0</v>
      </c>
      <c r="O3040" t="s">
        <v>1604</v>
      </c>
      <c r="P3040">
        <v>0</v>
      </c>
      <c r="Q3040">
        <v>0</v>
      </c>
      <c r="R3040">
        <v>0</v>
      </c>
      <c r="T3040" s="29">
        <v>234300</v>
      </c>
      <c r="U3040" s="29">
        <v>4311120</v>
      </c>
      <c r="V3040" t="s">
        <v>1262</v>
      </c>
      <c r="W3040" t="s">
        <v>1262</v>
      </c>
      <c r="X3040" s="29">
        <v>4311120</v>
      </c>
      <c r="AA3040" s="30">
        <v>46247.333333333336</v>
      </c>
      <c r="AB3040" s="30">
        <v>46262.708333333336</v>
      </c>
      <c r="AC3040" s="30">
        <v>46247.333333333336</v>
      </c>
      <c r="AD3040" s="30">
        <v>46262.708333333336</v>
      </c>
      <c r="AE3040" s="30">
        <v>46247.333333333336</v>
      </c>
      <c r="AF3040" s="30">
        <v>46262.708333333336</v>
      </c>
      <c r="AG3040" t="s">
        <v>1266</v>
      </c>
      <c r="AK3040" t="s">
        <v>1265</v>
      </c>
      <c r="AL3040" t="s">
        <v>1614</v>
      </c>
      <c r="AM3040" t="s">
        <v>1263</v>
      </c>
      <c r="AN3040" t="s">
        <v>1262</v>
      </c>
      <c r="AO3040">
        <v>0</v>
      </c>
      <c r="AQ3040" t="s">
        <v>1261</v>
      </c>
      <c r="AR3040" t="s">
        <v>1260</v>
      </c>
      <c r="AS3040" t="s">
        <v>1259</v>
      </c>
      <c r="AT3040" s="30">
        <v>46073.384722222225</v>
      </c>
    </row>
    <row r="3041" spans="1:46" x14ac:dyDescent="0.25">
      <c r="A3041" t="s">
        <v>1248</v>
      </c>
      <c r="B3041">
        <v>253512</v>
      </c>
      <c r="C3041">
        <v>119913</v>
      </c>
      <c r="D3041">
        <v>405</v>
      </c>
      <c r="E3041" t="s">
        <v>1266</v>
      </c>
      <c r="G3041">
        <v>745</v>
      </c>
      <c r="H3041">
        <v>1827</v>
      </c>
      <c r="K3041" t="s">
        <v>1582</v>
      </c>
      <c r="L3041" t="s">
        <v>1582</v>
      </c>
      <c r="M3041" t="s">
        <v>1604</v>
      </c>
      <c r="N3041">
        <v>0</v>
      </c>
      <c r="O3041" t="s">
        <v>1604</v>
      </c>
      <c r="P3041">
        <v>0</v>
      </c>
      <c r="Q3041">
        <v>0</v>
      </c>
      <c r="R3041">
        <v>0</v>
      </c>
      <c r="T3041" s="29">
        <v>234300</v>
      </c>
      <c r="U3041" s="29">
        <v>4311120</v>
      </c>
      <c r="V3041" t="s">
        <v>1262</v>
      </c>
      <c r="W3041" t="s">
        <v>1262</v>
      </c>
      <c r="X3041" s="29">
        <v>4311120</v>
      </c>
      <c r="AA3041" s="30">
        <v>46265.333333333336</v>
      </c>
      <c r="AB3041" s="30">
        <v>46280.708333333336</v>
      </c>
      <c r="AC3041" s="30">
        <v>46265.333333333336</v>
      </c>
      <c r="AD3041" s="30">
        <v>46280.708333333336</v>
      </c>
      <c r="AE3041" s="30">
        <v>46265.333333333336</v>
      </c>
      <c r="AF3041" s="30">
        <v>46280.708333333336</v>
      </c>
      <c r="AG3041" t="s">
        <v>1266</v>
      </c>
      <c r="AK3041" t="s">
        <v>1265</v>
      </c>
      <c r="AL3041" t="s">
        <v>1613</v>
      </c>
      <c r="AM3041" t="s">
        <v>1263</v>
      </c>
      <c r="AN3041" t="s">
        <v>1262</v>
      </c>
      <c r="AO3041">
        <v>0</v>
      </c>
      <c r="AQ3041" t="s">
        <v>1261</v>
      </c>
      <c r="AR3041" t="s">
        <v>1260</v>
      </c>
      <c r="AS3041" t="s">
        <v>1259</v>
      </c>
      <c r="AT3041" s="30">
        <v>46073.384722222225</v>
      </c>
    </row>
    <row r="3042" spans="1:46" x14ac:dyDescent="0.25">
      <c r="A3042" t="s">
        <v>1248</v>
      </c>
      <c r="B3042">
        <v>253513</v>
      </c>
      <c r="C3042">
        <v>119914</v>
      </c>
      <c r="D3042">
        <v>405</v>
      </c>
      <c r="E3042" t="s">
        <v>1266</v>
      </c>
      <c r="G3042">
        <v>745</v>
      </c>
      <c r="H3042">
        <v>1827</v>
      </c>
      <c r="K3042" t="s">
        <v>1582</v>
      </c>
      <c r="L3042" t="s">
        <v>1582</v>
      </c>
      <c r="M3042" t="s">
        <v>1604</v>
      </c>
      <c r="N3042">
        <v>0</v>
      </c>
      <c r="O3042" t="s">
        <v>1604</v>
      </c>
      <c r="P3042">
        <v>0</v>
      </c>
      <c r="Q3042">
        <v>0</v>
      </c>
      <c r="R3042">
        <v>0</v>
      </c>
      <c r="T3042" s="29">
        <v>234300</v>
      </c>
      <c r="U3042" s="29">
        <v>4311120</v>
      </c>
      <c r="V3042" t="s">
        <v>1262</v>
      </c>
      <c r="W3042" t="s">
        <v>1262</v>
      </c>
      <c r="X3042" s="29">
        <v>4311120</v>
      </c>
      <c r="AA3042" s="30">
        <v>46281.333333333336</v>
      </c>
      <c r="AB3042" s="30">
        <v>46296.708333333336</v>
      </c>
      <c r="AC3042" s="30">
        <v>46281.333333333336</v>
      </c>
      <c r="AD3042" s="30">
        <v>46296.708333333336</v>
      </c>
      <c r="AE3042" s="30">
        <v>46281.333333333336</v>
      </c>
      <c r="AF3042" s="30">
        <v>46296.708333333336</v>
      </c>
      <c r="AG3042" t="s">
        <v>1266</v>
      </c>
      <c r="AK3042" t="s">
        <v>1265</v>
      </c>
      <c r="AL3042" t="s">
        <v>1612</v>
      </c>
      <c r="AM3042" t="s">
        <v>1263</v>
      </c>
      <c r="AN3042" t="s">
        <v>1262</v>
      </c>
      <c r="AO3042">
        <v>0</v>
      </c>
      <c r="AQ3042" t="s">
        <v>1261</v>
      </c>
      <c r="AR3042" t="s">
        <v>1260</v>
      </c>
      <c r="AS3042" t="s">
        <v>1259</v>
      </c>
      <c r="AT3042" s="30">
        <v>46073.384722222225</v>
      </c>
    </row>
    <row r="3043" spans="1:46" x14ac:dyDescent="0.25">
      <c r="A3043" t="s">
        <v>1248</v>
      </c>
      <c r="B3043">
        <v>253514</v>
      </c>
      <c r="C3043">
        <v>119915</v>
      </c>
      <c r="D3043">
        <v>405</v>
      </c>
      <c r="E3043" t="s">
        <v>1266</v>
      </c>
      <c r="G3043">
        <v>745</v>
      </c>
      <c r="H3043">
        <v>1827</v>
      </c>
      <c r="K3043" t="s">
        <v>1582</v>
      </c>
      <c r="L3043" t="s">
        <v>1582</v>
      </c>
      <c r="M3043" t="s">
        <v>1604</v>
      </c>
      <c r="N3043">
        <v>0</v>
      </c>
      <c r="O3043" t="s">
        <v>1604</v>
      </c>
      <c r="P3043">
        <v>0</v>
      </c>
      <c r="Q3043">
        <v>0</v>
      </c>
      <c r="R3043">
        <v>0</v>
      </c>
      <c r="T3043" s="29">
        <v>234300</v>
      </c>
      <c r="U3043" s="29">
        <v>4311120</v>
      </c>
      <c r="V3043" t="s">
        <v>1262</v>
      </c>
      <c r="W3043" t="s">
        <v>1262</v>
      </c>
      <c r="X3043" s="29">
        <v>4311120</v>
      </c>
      <c r="AA3043" s="30">
        <v>46297.333333333336</v>
      </c>
      <c r="AB3043" s="30">
        <v>46314.708333333336</v>
      </c>
      <c r="AC3043" s="30">
        <v>46297.333333333336</v>
      </c>
      <c r="AD3043" s="30">
        <v>46314.708333333336</v>
      </c>
      <c r="AE3043" s="30">
        <v>46297.333333333336</v>
      </c>
      <c r="AF3043" s="30">
        <v>46314.708333333336</v>
      </c>
      <c r="AG3043" t="s">
        <v>1266</v>
      </c>
      <c r="AK3043" t="s">
        <v>1265</v>
      </c>
      <c r="AL3043" t="s">
        <v>1611</v>
      </c>
      <c r="AM3043" t="s">
        <v>1263</v>
      </c>
      <c r="AN3043" t="s">
        <v>1262</v>
      </c>
      <c r="AO3043">
        <v>0</v>
      </c>
      <c r="AQ3043" t="s">
        <v>1261</v>
      </c>
      <c r="AR3043" t="s">
        <v>1260</v>
      </c>
      <c r="AS3043" t="s">
        <v>1259</v>
      </c>
      <c r="AT3043" s="30">
        <v>46073.384722222225</v>
      </c>
    </row>
    <row r="3044" spans="1:46" x14ac:dyDescent="0.25">
      <c r="A3044" t="s">
        <v>1248</v>
      </c>
      <c r="B3044">
        <v>253515</v>
      </c>
      <c r="C3044">
        <v>119916</v>
      </c>
      <c r="D3044">
        <v>405</v>
      </c>
      <c r="E3044" t="s">
        <v>1266</v>
      </c>
      <c r="G3044">
        <v>745</v>
      </c>
      <c r="H3044">
        <v>1827</v>
      </c>
      <c r="K3044" t="s">
        <v>1582</v>
      </c>
      <c r="L3044" t="s">
        <v>1582</v>
      </c>
      <c r="M3044" t="s">
        <v>1604</v>
      </c>
      <c r="N3044">
        <v>0</v>
      </c>
      <c r="O3044" t="s">
        <v>1604</v>
      </c>
      <c r="P3044">
        <v>0</v>
      </c>
      <c r="Q3044">
        <v>0</v>
      </c>
      <c r="R3044">
        <v>0</v>
      </c>
      <c r="T3044" s="29">
        <v>234300</v>
      </c>
      <c r="U3044" s="29">
        <v>4311120</v>
      </c>
      <c r="V3044" t="s">
        <v>1262</v>
      </c>
      <c r="W3044" t="s">
        <v>1262</v>
      </c>
      <c r="X3044" s="29">
        <v>4311120</v>
      </c>
      <c r="AA3044" s="30">
        <v>46315.333333333336</v>
      </c>
      <c r="AB3044" s="30">
        <v>46330.708333333336</v>
      </c>
      <c r="AC3044" s="30">
        <v>46315.333333333336</v>
      </c>
      <c r="AD3044" s="30">
        <v>46330.708333333336</v>
      </c>
      <c r="AE3044" s="30">
        <v>46315.333333333336</v>
      </c>
      <c r="AF3044" s="30">
        <v>46330.708333333336</v>
      </c>
      <c r="AG3044" t="s">
        <v>1266</v>
      </c>
      <c r="AK3044" t="s">
        <v>1265</v>
      </c>
      <c r="AL3044" t="s">
        <v>1610</v>
      </c>
      <c r="AM3044" t="s">
        <v>1263</v>
      </c>
      <c r="AN3044" t="s">
        <v>1262</v>
      </c>
      <c r="AO3044">
        <v>0</v>
      </c>
      <c r="AQ3044" t="s">
        <v>1261</v>
      </c>
      <c r="AR3044" t="s">
        <v>1260</v>
      </c>
      <c r="AS3044" t="s">
        <v>1259</v>
      </c>
      <c r="AT3044" s="30">
        <v>46073.384722222225</v>
      </c>
    </row>
    <row r="3045" spans="1:46" x14ac:dyDescent="0.25">
      <c r="A3045" t="s">
        <v>1248</v>
      </c>
      <c r="B3045">
        <v>253516</v>
      </c>
      <c r="C3045">
        <v>119917</v>
      </c>
      <c r="D3045">
        <v>405</v>
      </c>
      <c r="E3045" t="s">
        <v>1266</v>
      </c>
      <c r="G3045">
        <v>745</v>
      </c>
      <c r="H3045">
        <v>1827</v>
      </c>
      <c r="K3045" t="s">
        <v>1582</v>
      </c>
      <c r="L3045" t="s">
        <v>1582</v>
      </c>
      <c r="M3045" t="s">
        <v>1604</v>
      </c>
      <c r="N3045">
        <v>0</v>
      </c>
      <c r="O3045" t="s">
        <v>1604</v>
      </c>
      <c r="P3045">
        <v>0</v>
      </c>
      <c r="Q3045">
        <v>0</v>
      </c>
      <c r="R3045">
        <v>0</v>
      </c>
      <c r="T3045" s="29">
        <v>234300</v>
      </c>
      <c r="U3045" s="29">
        <v>4311120</v>
      </c>
      <c r="V3045" t="s">
        <v>1262</v>
      </c>
      <c r="W3045" t="s">
        <v>1262</v>
      </c>
      <c r="X3045" s="29">
        <v>4311120</v>
      </c>
      <c r="AA3045" s="30">
        <v>46331.333333333336</v>
      </c>
      <c r="AB3045" s="30">
        <v>46346.708333333336</v>
      </c>
      <c r="AC3045" s="30">
        <v>46331.333333333336</v>
      </c>
      <c r="AD3045" s="30">
        <v>46346.708333333336</v>
      </c>
      <c r="AE3045" s="30">
        <v>46331.333333333336</v>
      </c>
      <c r="AF3045" s="30">
        <v>46346.708333333336</v>
      </c>
      <c r="AG3045" t="s">
        <v>1266</v>
      </c>
      <c r="AK3045" t="s">
        <v>1265</v>
      </c>
      <c r="AL3045" t="s">
        <v>1609</v>
      </c>
      <c r="AM3045" t="s">
        <v>1263</v>
      </c>
      <c r="AN3045" t="s">
        <v>1262</v>
      </c>
      <c r="AO3045">
        <v>0</v>
      </c>
      <c r="AQ3045" t="s">
        <v>1261</v>
      </c>
      <c r="AR3045" t="s">
        <v>1260</v>
      </c>
      <c r="AS3045" t="s">
        <v>1259</v>
      </c>
      <c r="AT3045" s="30">
        <v>46073.384722222225</v>
      </c>
    </row>
    <row r="3046" spans="1:46" x14ac:dyDescent="0.25">
      <c r="A3046" t="s">
        <v>1248</v>
      </c>
      <c r="B3046">
        <v>253517</v>
      </c>
      <c r="C3046">
        <v>119918</v>
      </c>
      <c r="D3046">
        <v>405</v>
      </c>
      <c r="E3046" t="s">
        <v>1266</v>
      </c>
      <c r="G3046">
        <v>745</v>
      </c>
      <c r="H3046">
        <v>1827</v>
      </c>
      <c r="K3046" t="s">
        <v>1582</v>
      </c>
      <c r="L3046" t="s">
        <v>1582</v>
      </c>
      <c r="M3046" t="s">
        <v>1604</v>
      </c>
      <c r="N3046">
        <v>0</v>
      </c>
      <c r="O3046" t="s">
        <v>1604</v>
      </c>
      <c r="P3046">
        <v>0</v>
      </c>
      <c r="Q3046">
        <v>0</v>
      </c>
      <c r="R3046">
        <v>0</v>
      </c>
      <c r="T3046" s="29">
        <v>234300</v>
      </c>
      <c r="U3046" s="29">
        <v>4311120</v>
      </c>
      <c r="V3046" t="s">
        <v>1262</v>
      </c>
      <c r="W3046" t="s">
        <v>1262</v>
      </c>
      <c r="X3046" s="29">
        <v>4311120</v>
      </c>
      <c r="AA3046" s="30">
        <v>46349.333333333336</v>
      </c>
      <c r="AB3046" s="30">
        <v>46365.708333333336</v>
      </c>
      <c r="AC3046" s="30">
        <v>46349.333333333336</v>
      </c>
      <c r="AD3046" s="30">
        <v>46365.708333333336</v>
      </c>
      <c r="AE3046" s="30">
        <v>46349.333333333336</v>
      </c>
      <c r="AF3046" s="30">
        <v>46365.708333333336</v>
      </c>
      <c r="AG3046" t="s">
        <v>1266</v>
      </c>
      <c r="AK3046" t="s">
        <v>1265</v>
      </c>
      <c r="AL3046" t="s">
        <v>1608</v>
      </c>
      <c r="AM3046" t="s">
        <v>1263</v>
      </c>
      <c r="AN3046" t="s">
        <v>1262</v>
      </c>
      <c r="AO3046">
        <v>0</v>
      </c>
      <c r="AQ3046" t="s">
        <v>1261</v>
      </c>
      <c r="AR3046" t="s">
        <v>1260</v>
      </c>
      <c r="AS3046" t="s">
        <v>1259</v>
      </c>
      <c r="AT3046" s="30">
        <v>46073.384722222225</v>
      </c>
    </row>
    <row r="3047" spans="1:46" x14ac:dyDescent="0.25">
      <c r="A3047" t="s">
        <v>1248</v>
      </c>
      <c r="B3047">
        <v>253518</v>
      </c>
      <c r="C3047">
        <v>119919</v>
      </c>
      <c r="D3047">
        <v>405</v>
      </c>
      <c r="E3047" t="s">
        <v>1266</v>
      </c>
      <c r="G3047">
        <v>745</v>
      </c>
      <c r="H3047">
        <v>1827</v>
      </c>
      <c r="K3047" t="s">
        <v>1582</v>
      </c>
      <c r="L3047" t="s">
        <v>1582</v>
      </c>
      <c r="M3047" t="s">
        <v>1604</v>
      </c>
      <c r="N3047">
        <v>0</v>
      </c>
      <c r="O3047" t="s">
        <v>1604</v>
      </c>
      <c r="P3047">
        <v>0</v>
      </c>
      <c r="Q3047">
        <v>0</v>
      </c>
      <c r="R3047">
        <v>0</v>
      </c>
      <c r="T3047" s="29">
        <v>234300</v>
      </c>
      <c r="U3047" s="29">
        <v>4311120</v>
      </c>
      <c r="V3047" t="s">
        <v>1262</v>
      </c>
      <c r="W3047" t="s">
        <v>1262</v>
      </c>
      <c r="X3047" s="29">
        <v>4311120</v>
      </c>
      <c r="AA3047" s="30">
        <v>46366.333333333336</v>
      </c>
      <c r="AB3047" s="30">
        <v>46384.708333333336</v>
      </c>
      <c r="AC3047" s="30">
        <v>46366.333333333336</v>
      </c>
      <c r="AD3047" s="30">
        <v>46384.708333333336</v>
      </c>
      <c r="AE3047" s="30">
        <v>46366.333333333336</v>
      </c>
      <c r="AF3047" s="30">
        <v>46384.708333333336</v>
      </c>
      <c r="AG3047" t="s">
        <v>1266</v>
      </c>
      <c r="AK3047" t="s">
        <v>1265</v>
      </c>
      <c r="AL3047" t="s">
        <v>1607</v>
      </c>
      <c r="AM3047" t="s">
        <v>1263</v>
      </c>
      <c r="AN3047" t="s">
        <v>1262</v>
      </c>
      <c r="AO3047">
        <v>0</v>
      </c>
      <c r="AQ3047" t="s">
        <v>1261</v>
      </c>
      <c r="AR3047" t="s">
        <v>1260</v>
      </c>
      <c r="AS3047" t="s">
        <v>1259</v>
      </c>
      <c r="AT3047" s="30">
        <v>46073.384722222225</v>
      </c>
    </row>
    <row r="3048" spans="1:46" x14ac:dyDescent="0.25">
      <c r="A3048" t="s">
        <v>1248</v>
      </c>
      <c r="B3048">
        <v>253519</v>
      </c>
      <c r="C3048">
        <v>119920</v>
      </c>
      <c r="D3048">
        <v>405</v>
      </c>
      <c r="E3048" t="s">
        <v>1266</v>
      </c>
      <c r="G3048">
        <v>745</v>
      </c>
      <c r="H3048">
        <v>1827</v>
      </c>
      <c r="K3048" t="s">
        <v>1582</v>
      </c>
      <c r="L3048" t="s">
        <v>1582</v>
      </c>
      <c r="M3048" t="s">
        <v>1604</v>
      </c>
      <c r="N3048">
        <v>0</v>
      </c>
      <c r="O3048" t="s">
        <v>1604</v>
      </c>
      <c r="P3048">
        <v>0</v>
      </c>
      <c r="Q3048">
        <v>0</v>
      </c>
      <c r="R3048">
        <v>0</v>
      </c>
      <c r="T3048" s="29">
        <v>234300</v>
      </c>
      <c r="U3048" s="29">
        <v>4311120</v>
      </c>
      <c r="V3048" t="s">
        <v>1262</v>
      </c>
      <c r="W3048" t="s">
        <v>1262</v>
      </c>
      <c r="X3048" s="29">
        <v>4311120</v>
      </c>
      <c r="AA3048" s="30">
        <v>46385.333333333336</v>
      </c>
      <c r="AB3048" s="30">
        <v>46402.708333333336</v>
      </c>
      <c r="AC3048" s="30">
        <v>46385.333333333336</v>
      </c>
      <c r="AD3048" s="30">
        <v>46402.708333333336</v>
      </c>
      <c r="AE3048" s="30">
        <v>46385.333333333336</v>
      </c>
      <c r="AF3048" s="30">
        <v>46402.708333333336</v>
      </c>
      <c r="AG3048" t="s">
        <v>1266</v>
      </c>
      <c r="AK3048" t="s">
        <v>1265</v>
      </c>
      <c r="AL3048" t="s">
        <v>1606</v>
      </c>
      <c r="AM3048" t="s">
        <v>1263</v>
      </c>
      <c r="AN3048" t="s">
        <v>1262</v>
      </c>
      <c r="AO3048">
        <v>0</v>
      </c>
      <c r="AQ3048" t="s">
        <v>1261</v>
      </c>
      <c r="AR3048" t="s">
        <v>1260</v>
      </c>
      <c r="AS3048" t="s">
        <v>1259</v>
      </c>
      <c r="AT3048" s="30">
        <v>46073.384722222225</v>
      </c>
    </row>
    <row r="3049" spans="1:46" x14ac:dyDescent="0.25">
      <c r="A3049" t="s">
        <v>1248</v>
      </c>
      <c r="B3049">
        <v>253520</v>
      </c>
      <c r="C3049">
        <v>119921</v>
      </c>
      <c r="D3049">
        <v>405</v>
      </c>
      <c r="E3049" t="s">
        <v>1266</v>
      </c>
      <c r="G3049">
        <v>745</v>
      </c>
      <c r="H3049">
        <v>1827</v>
      </c>
      <c r="K3049" t="s">
        <v>1582</v>
      </c>
      <c r="L3049" t="s">
        <v>1582</v>
      </c>
      <c r="M3049" t="s">
        <v>1604</v>
      </c>
      <c r="N3049">
        <v>0</v>
      </c>
      <c r="O3049" t="s">
        <v>1604</v>
      </c>
      <c r="P3049">
        <v>0</v>
      </c>
      <c r="Q3049">
        <v>0</v>
      </c>
      <c r="R3049">
        <v>0</v>
      </c>
      <c r="T3049" s="29">
        <v>234300</v>
      </c>
      <c r="U3049" s="29">
        <v>4311120</v>
      </c>
      <c r="V3049" t="s">
        <v>1262</v>
      </c>
      <c r="W3049" t="s">
        <v>1262</v>
      </c>
      <c r="X3049" s="29">
        <v>4311120</v>
      </c>
      <c r="AA3049" s="30">
        <v>46405.333333333336</v>
      </c>
      <c r="AB3049" s="30">
        <v>46420.708333333336</v>
      </c>
      <c r="AC3049" s="30">
        <v>46405.333333333336</v>
      </c>
      <c r="AD3049" s="30">
        <v>46420.708333333336</v>
      </c>
      <c r="AE3049" s="30">
        <v>46405.333333333336</v>
      </c>
      <c r="AF3049" s="30">
        <v>46420.708333333336</v>
      </c>
      <c r="AG3049" t="s">
        <v>1266</v>
      </c>
      <c r="AK3049" t="s">
        <v>1265</v>
      </c>
      <c r="AL3049" t="s">
        <v>1605</v>
      </c>
      <c r="AM3049" t="s">
        <v>1263</v>
      </c>
      <c r="AN3049" t="s">
        <v>1262</v>
      </c>
      <c r="AO3049">
        <v>0</v>
      </c>
      <c r="AQ3049" t="s">
        <v>1261</v>
      </c>
      <c r="AR3049" t="s">
        <v>1260</v>
      </c>
      <c r="AS3049" t="s">
        <v>1259</v>
      </c>
      <c r="AT3049" s="30">
        <v>46073.384722222225</v>
      </c>
    </row>
    <row r="3050" spans="1:46" x14ac:dyDescent="0.25">
      <c r="A3050" t="s">
        <v>1248</v>
      </c>
      <c r="B3050">
        <v>253521</v>
      </c>
      <c r="C3050">
        <v>119922</v>
      </c>
      <c r="D3050">
        <v>405</v>
      </c>
      <c r="E3050" t="s">
        <v>1266</v>
      </c>
      <c r="G3050">
        <v>745</v>
      </c>
      <c r="H3050">
        <v>1827</v>
      </c>
      <c r="K3050" t="s">
        <v>1582</v>
      </c>
      <c r="L3050" t="s">
        <v>1582</v>
      </c>
      <c r="M3050" t="s">
        <v>1604</v>
      </c>
      <c r="N3050">
        <v>0</v>
      </c>
      <c r="O3050" t="s">
        <v>1604</v>
      </c>
      <c r="P3050">
        <v>0</v>
      </c>
      <c r="Q3050">
        <v>0</v>
      </c>
      <c r="R3050">
        <v>0</v>
      </c>
      <c r="T3050" s="29">
        <v>234300</v>
      </c>
      <c r="U3050" s="29">
        <v>4311120</v>
      </c>
      <c r="V3050" t="s">
        <v>1262</v>
      </c>
      <c r="W3050" t="s">
        <v>1262</v>
      </c>
      <c r="X3050" s="29">
        <v>4311120</v>
      </c>
      <c r="AA3050" s="30">
        <v>46421.333333333336</v>
      </c>
      <c r="AB3050" s="30">
        <v>46436.708333333336</v>
      </c>
      <c r="AC3050" s="30">
        <v>46421.333333333336</v>
      </c>
      <c r="AD3050" s="30">
        <v>46436.708333333336</v>
      </c>
      <c r="AE3050" s="30">
        <v>46421.333333333336</v>
      </c>
      <c r="AF3050" s="30">
        <v>46436.708333333336</v>
      </c>
      <c r="AG3050" t="s">
        <v>1266</v>
      </c>
      <c r="AK3050" t="s">
        <v>1265</v>
      </c>
      <c r="AL3050" t="s">
        <v>1603</v>
      </c>
      <c r="AM3050" t="s">
        <v>1263</v>
      </c>
      <c r="AN3050" t="s">
        <v>1262</v>
      </c>
      <c r="AO3050">
        <v>0</v>
      </c>
      <c r="AQ3050" t="s">
        <v>1261</v>
      </c>
      <c r="AR3050" t="s">
        <v>1260</v>
      </c>
      <c r="AS3050" t="s">
        <v>1259</v>
      </c>
      <c r="AT3050" s="30">
        <v>46073.384722222225</v>
      </c>
    </row>
    <row r="3051" spans="1:46" x14ac:dyDescent="0.25">
      <c r="A3051" t="s">
        <v>1248</v>
      </c>
      <c r="B3051">
        <v>253522</v>
      </c>
      <c r="C3051">
        <v>119988</v>
      </c>
      <c r="D3051">
        <v>405</v>
      </c>
      <c r="E3051" t="s">
        <v>1266</v>
      </c>
      <c r="G3051">
        <v>745</v>
      </c>
      <c r="H3051">
        <v>1827</v>
      </c>
      <c r="K3051" t="s">
        <v>1582</v>
      </c>
      <c r="L3051" t="s">
        <v>1582</v>
      </c>
      <c r="M3051" t="s">
        <v>1602</v>
      </c>
      <c r="N3051">
        <v>0</v>
      </c>
      <c r="O3051" t="s">
        <v>1602</v>
      </c>
      <c r="P3051">
        <v>0</v>
      </c>
      <c r="Q3051">
        <v>0</v>
      </c>
      <c r="R3051">
        <v>0</v>
      </c>
      <c r="T3051" s="29">
        <v>207200</v>
      </c>
      <c r="U3051" s="29">
        <v>3812480</v>
      </c>
      <c r="V3051" t="s">
        <v>1262</v>
      </c>
      <c r="W3051" t="s">
        <v>1262</v>
      </c>
      <c r="X3051" s="29">
        <v>3812480</v>
      </c>
      <c r="AA3051" s="30">
        <v>45827.333333333336</v>
      </c>
      <c r="AB3051" s="30">
        <v>45847.708333333336</v>
      </c>
      <c r="AC3051" s="30">
        <v>45827.333333333336</v>
      </c>
      <c r="AD3051" s="30">
        <v>45847.708333333336</v>
      </c>
      <c r="AE3051" s="30">
        <v>45974.333333333336</v>
      </c>
      <c r="AF3051" s="30">
        <v>45994.708333333336</v>
      </c>
      <c r="AG3051" t="s">
        <v>1266</v>
      </c>
      <c r="AK3051" t="s">
        <v>1265</v>
      </c>
      <c r="AL3051" t="s">
        <v>1601</v>
      </c>
      <c r="AM3051" t="s">
        <v>1263</v>
      </c>
      <c r="AN3051" t="s">
        <v>1262</v>
      </c>
      <c r="AO3051">
        <v>0</v>
      </c>
      <c r="AQ3051" t="s">
        <v>1261</v>
      </c>
      <c r="AR3051" t="s">
        <v>1260</v>
      </c>
      <c r="AS3051" t="s">
        <v>1259</v>
      </c>
      <c r="AT3051" s="30">
        <v>46073.384722222225</v>
      </c>
    </row>
    <row r="3052" spans="1:46" x14ac:dyDescent="0.25">
      <c r="A3052" t="s">
        <v>1248</v>
      </c>
      <c r="B3052">
        <v>253523</v>
      </c>
      <c r="C3052">
        <v>119989</v>
      </c>
      <c r="D3052">
        <v>405</v>
      </c>
      <c r="E3052" t="s">
        <v>1266</v>
      </c>
      <c r="G3052">
        <v>745</v>
      </c>
      <c r="H3052">
        <v>1827</v>
      </c>
      <c r="K3052" t="s">
        <v>1582</v>
      </c>
      <c r="L3052" t="s">
        <v>1582</v>
      </c>
      <c r="M3052" t="s">
        <v>1581</v>
      </c>
      <c r="N3052">
        <v>0</v>
      </c>
      <c r="O3052" t="s">
        <v>1581</v>
      </c>
      <c r="P3052">
        <v>0</v>
      </c>
      <c r="Q3052">
        <v>0</v>
      </c>
      <c r="R3052">
        <v>0</v>
      </c>
      <c r="T3052" s="29">
        <v>207200</v>
      </c>
      <c r="U3052" s="29">
        <v>3812480</v>
      </c>
      <c r="V3052" t="s">
        <v>1262</v>
      </c>
      <c r="W3052" t="s">
        <v>1262</v>
      </c>
      <c r="X3052" s="29">
        <v>3812480</v>
      </c>
      <c r="AA3052" s="30">
        <v>45848.333333333336</v>
      </c>
      <c r="AB3052" s="30">
        <v>45867.708333333336</v>
      </c>
      <c r="AC3052" s="30">
        <v>45848.333333333336</v>
      </c>
      <c r="AD3052" s="30">
        <v>45867.708333333336</v>
      </c>
      <c r="AE3052" s="30">
        <v>45995.333333333336</v>
      </c>
      <c r="AF3052" s="30">
        <v>46014.708333333336</v>
      </c>
      <c r="AG3052" t="s">
        <v>1266</v>
      </c>
      <c r="AK3052" t="s">
        <v>1265</v>
      </c>
      <c r="AL3052" t="s">
        <v>1600</v>
      </c>
      <c r="AM3052" t="s">
        <v>1263</v>
      </c>
      <c r="AN3052" t="s">
        <v>1262</v>
      </c>
      <c r="AO3052">
        <v>0</v>
      </c>
      <c r="AQ3052" t="s">
        <v>1261</v>
      </c>
      <c r="AR3052" t="s">
        <v>1260</v>
      </c>
      <c r="AS3052" t="s">
        <v>1259</v>
      </c>
      <c r="AT3052" s="30">
        <v>46073.384722222225</v>
      </c>
    </row>
    <row r="3053" spans="1:46" x14ac:dyDescent="0.25">
      <c r="A3053" t="s">
        <v>1248</v>
      </c>
      <c r="B3053">
        <v>253524</v>
      </c>
      <c r="C3053">
        <v>119990</v>
      </c>
      <c r="D3053">
        <v>405</v>
      </c>
      <c r="E3053" t="s">
        <v>1266</v>
      </c>
      <c r="G3053">
        <v>745</v>
      </c>
      <c r="H3053">
        <v>1827</v>
      </c>
      <c r="K3053" t="s">
        <v>1582</v>
      </c>
      <c r="L3053" t="s">
        <v>1582</v>
      </c>
      <c r="M3053" t="s">
        <v>1581</v>
      </c>
      <c r="N3053">
        <v>0</v>
      </c>
      <c r="O3053" t="s">
        <v>1581</v>
      </c>
      <c r="P3053">
        <v>0</v>
      </c>
      <c r="Q3053">
        <v>0</v>
      </c>
      <c r="R3053">
        <v>0</v>
      </c>
      <c r="T3053" s="29">
        <v>207200</v>
      </c>
      <c r="U3053" s="29">
        <v>3812480</v>
      </c>
      <c r="V3053" t="s">
        <v>1262</v>
      </c>
      <c r="W3053" t="s">
        <v>1262</v>
      </c>
      <c r="X3053" s="29">
        <v>3812480</v>
      </c>
      <c r="AA3053" s="30">
        <v>45868.333333333336</v>
      </c>
      <c r="AB3053" s="30">
        <v>45887.708333333336</v>
      </c>
      <c r="AC3053" s="30">
        <v>45868.333333333336</v>
      </c>
      <c r="AD3053" s="30">
        <v>45887.708333333336</v>
      </c>
      <c r="AE3053" s="30">
        <v>46015.333333333336</v>
      </c>
      <c r="AF3053" s="30">
        <v>46036.708333333336</v>
      </c>
      <c r="AG3053" t="s">
        <v>1266</v>
      </c>
      <c r="AK3053" t="s">
        <v>1265</v>
      </c>
      <c r="AL3053" t="s">
        <v>1599</v>
      </c>
      <c r="AM3053" t="s">
        <v>1263</v>
      </c>
      <c r="AN3053" t="s">
        <v>1262</v>
      </c>
      <c r="AO3053">
        <v>0</v>
      </c>
      <c r="AQ3053" t="s">
        <v>1261</v>
      </c>
      <c r="AR3053" t="s">
        <v>1260</v>
      </c>
      <c r="AS3053" t="s">
        <v>1259</v>
      </c>
      <c r="AT3053" s="30">
        <v>46073.384722222225</v>
      </c>
    </row>
    <row r="3054" spans="1:46" x14ac:dyDescent="0.25">
      <c r="A3054" t="s">
        <v>1248</v>
      </c>
      <c r="B3054">
        <v>253525</v>
      </c>
      <c r="C3054">
        <v>119991</v>
      </c>
      <c r="D3054">
        <v>405</v>
      </c>
      <c r="E3054" t="s">
        <v>1266</v>
      </c>
      <c r="G3054">
        <v>745</v>
      </c>
      <c r="H3054">
        <v>1827</v>
      </c>
      <c r="K3054" t="s">
        <v>1582</v>
      </c>
      <c r="L3054" t="s">
        <v>1582</v>
      </c>
      <c r="M3054" t="s">
        <v>1581</v>
      </c>
      <c r="N3054">
        <v>0</v>
      </c>
      <c r="O3054" t="s">
        <v>1581</v>
      </c>
      <c r="P3054">
        <v>0</v>
      </c>
      <c r="Q3054">
        <v>0</v>
      </c>
      <c r="R3054">
        <v>0</v>
      </c>
      <c r="T3054" s="29">
        <v>207200</v>
      </c>
      <c r="U3054" s="29">
        <v>3812480</v>
      </c>
      <c r="V3054" t="s">
        <v>1262</v>
      </c>
      <c r="W3054" t="s">
        <v>1262</v>
      </c>
      <c r="X3054" s="29">
        <v>3812480</v>
      </c>
      <c r="AA3054" s="30">
        <v>45888.333333333336</v>
      </c>
      <c r="AB3054" s="30">
        <v>45905.708333333336</v>
      </c>
      <c r="AC3054" s="30">
        <v>45888.333333333336</v>
      </c>
      <c r="AD3054" s="30">
        <v>45905.708333333336</v>
      </c>
      <c r="AE3054" s="30">
        <v>46037.333333333336</v>
      </c>
      <c r="AF3054" s="30">
        <v>46056.708333333336</v>
      </c>
      <c r="AG3054" t="s">
        <v>1266</v>
      </c>
      <c r="AK3054" t="s">
        <v>1265</v>
      </c>
      <c r="AL3054" t="e">
        <f>+aYn5gAuhEaackqKuUtXpA</f>
        <v>#NAME?</v>
      </c>
      <c r="AM3054" t="s">
        <v>1263</v>
      </c>
      <c r="AN3054" t="s">
        <v>1262</v>
      </c>
      <c r="AO3054">
        <v>0</v>
      </c>
      <c r="AQ3054" t="s">
        <v>1261</v>
      </c>
      <c r="AR3054" t="s">
        <v>1260</v>
      </c>
      <c r="AS3054" t="s">
        <v>1259</v>
      </c>
      <c r="AT3054" s="30">
        <v>46073.384722222225</v>
      </c>
    </row>
    <row r="3055" spans="1:46" x14ac:dyDescent="0.25">
      <c r="A3055" t="s">
        <v>1248</v>
      </c>
      <c r="B3055">
        <v>253526</v>
      </c>
      <c r="C3055">
        <v>119992</v>
      </c>
      <c r="D3055">
        <v>405</v>
      </c>
      <c r="E3055" t="s">
        <v>1266</v>
      </c>
      <c r="G3055">
        <v>745</v>
      </c>
      <c r="H3055">
        <v>1827</v>
      </c>
      <c r="K3055" t="s">
        <v>1582</v>
      </c>
      <c r="L3055" t="s">
        <v>1582</v>
      </c>
      <c r="M3055" t="s">
        <v>1581</v>
      </c>
      <c r="N3055">
        <v>0</v>
      </c>
      <c r="O3055" t="s">
        <v>1581</v>
      </c>
      <c r="P3055">
        <v>0</v>
      </c>
      <c r="Q3055">
        <v>0</v>
      </c>
      <c r="R3055">
        <v>0</v>
      </c>
      <c r="T3055" s="29">
        <v>207200</v>
      </c>
      <c r="U3055" s="29">
        <v>3812480</v>
      </c>
      <c r="V3055" t="s">
        <v>1262</v>
      </c>
      <c r="W3055" t="s">
        <v>1262</v>
      </c>
      <c r="X3055" s="29">
        <v>3812480</v>
      </c>
      <c r="AA3055" s="30">
        <v>45908.333333333336</v>
      </c>
      <c r="AB3055" s="30">
        <v>45925.708333333336</v>
      </c>
      <c r="AC3055" s="30">
        <v>45908.333333333336</v>
      </c>
      <c r="AD3055" s="30">
        <v>45925.708333333336</v>
      </c>
      <c r="AE3055" s="30">
        <v>46057.333333333336</v>
      </c>
      <c r="AF3055" s="30">
        <v>46076.708333333336</v>
      </c>
      <c r="AG3055" t="s">
        <v>1266</v>
      </c>
      <c r="AK3055" t="s">
        <v>1265</v>
      </c>
      <c r="AL3055" t="s">
        <v>1598</v>
      </c>
      <c r="AM3055" t="s">
        <v>1263</v>
      </c>
      <c r="AN3055" t="s">
        <v>1262</v>
      </c>
      <c r="AO3055">
        <v>0</v>
      </c>
      <c r="AQ3055" t="s">
        <v>1261</v>
      </c>
      <c r="AR3055" t="s">
        <v>1260</v>
      </c>
      <c r="AS3055" t="s">
        <v>1259</v>
      </c>
      <c r="AT3055" s="30">
        <v>46073.384722222225</v>
      </c>
    </row>
    <row r="3056" spans="1:46" x14ac:dyDescent="0.25">
      <c r="A3056" t="s">
        <v>1248</v>
      </c>
      <c r="B3056">
        <v>253527</v>
      </c>
      <c r="C3056">
        <v>119993</v>
      </c>
      <c r="D3056">
        <v>405</v>
      </c>
      <c r="E3056" t="s">
        <v>1266</v>
      </c>
      <c r="G3056">
        <v>745</v>
      </c>
      <c r="H3056">
        <v>1827</v>
      </c>
      <c r="K3056" t="s">
        <v>1582</v>
      </c>
      <c r="L3056" t="s">
        <v>1582</v>
      </c>
      <c r="M3056" t="s">
        <v>1581</v>
      </c>
      <c r="N3056">
        <v>0</v>
      </c>
      <c r="O3056" t="s">
        <v>1581</v>
      </c>
      <c r="P3056">
        <v>0</v>
      </c>
      <c r="Q3056">
        <v>0</v>
      </c>
      <c r="R3056">
        <v>0</v>
      </c>
      <c r="T3056" s="29">
        <v>207200</v>
      </c>
      <c r="U3056" s="29">
        <v>3812480</v>
      </c>
      <c r="V3056" t="s">
        <v>1262</v>
      </c>
      <c r="W3056" t="s">
        <v>1262</v>
      </c>
      <c r="X3056" s="29">
        <v>3812480</v>
      </c>
      <c r="AA3056" s="30">
        <v>45926.333333333336</v>
      </c>
      <c r="AB3056" s="30">
        <v>45945.708333333336</v>
      </c>
      <c r="AC3056" s="30">
        <v>45926.333333333336</v>
      </c>
      <c r="AD3056" s="30">
        <v>45945.708333333336</v>
      </c>
      <c r="AE3056" s="30">
        <v>46077.333333333336</v>
      </c>
      <c r="AF3056" s="30">
        <v>46094.708333333336</v>
      </c>
      <c r="AG3056" t="s">
        <v>1266</v>
      </c>
      <c r="AK3056" t="s">
        <v>1265</v>
      </c>
      <c r="AL3056" t="s">
        <v>1597</v>
      </c>
      <c r="AM3056" t="s">
        <v>1263</v>
      </c>
      <c r="AN3056" t="s">
        <v>1262</v>
      </c>
      <c r="AO3056">
        <v>0</v>
      </c>
      <c r="AQ3056" t="s">
        <v>1261</v>
      </c>
      <c r="AR3056" t="s">
        <v>1260</v>
      </c>
      <c r="AS3056" t="s">
        <v>1259</v>
      </c>
      <c r="AT3056" s="30">
        <v>46073.384722222225</v>
      </c>
    </row>
    <row r="3057" spans="1:46" x14ac:dyDescent="0.25">
      <c r="A3057" t="s">
        <v>1248</v>
      </c>
      <c r="B3057">
        <v>253528</v>
      </c>
      <c r="C3057">
        <v>119994</v>
      </c>
      <c r="D3057">
        <v>405</v>
      </c>
      <c r="E3057" t="s">
        <v>1266</v>
      </c>
      <c r="G3057">
        <v>745</v>
      </c>
      <c r="H3057">
        <v>1827</v>
      </c>
      <c r="K3057" t="s">
        <v>1582</v>
      </c>
      <c r="L3057" t="s">
        <v>1582</v>
      </c>
      <c r="M3057" t="s">
        <v>1581</v>
      </c>
      <c r="N3057">
        <v>0</v>
      </c>
      <c r="O3057" t="s">
        <v>1581</v>
      </c>
      <c r="P3057">
        <v>0</v>
      </c>
      <c r="Q3057">
        <v>0</v>
      </c>
      <c r="R3057">
        <v>0</v>
      </c>
      <c r="T3057" s="29">
        <v>207200</v>
      </c>
      <c r="U3057" s="29">
        <v>3812480</v>
      </c>
      <c r="V3057" t="s">
        <v>1262</v>
      </c>
      <c r="W3057" t="s">
        <v>1262</v>
      </c>
      <c r="X3057" s="29">
        <v>3812480</v>
      </c>
      <c r="AA3057" s="30">
        <v>45946.333333333336</v>
      </c>
      <c r="AB3057" s="30">
        <v>45965.708333333336</v>
      </c>
      <c r="AC3057" s="30">
        <v>45946.333333333336</v>
      </c>
      <c r="AD3057" s="30">
        <v>45965.708333333336</v>
      </c>
      <c r="AE3057" s="30">
        <v>46097.333333333336</v>
      </c>
      <c r="AF3057" s="30">
        <v>46114.708333333336</v>
      </c>
      <c r="AG3057" t="s">
        <v>1266</v>
      </c>
      <c r="AK3057" t="s">
        <v>1265</v>
      </c>
      <c r="AL3057" t="s">
        <v>1596</v>
      </c>
      <c r="AM3057" t="s">
        <v>1263</v>
      </c>
      <c r="AN3057" t="s">
        <v>1262</v>
      </c>
      <c r="AO3057">
        <v>0</v>
      </c>
      <c r="AQ3057" t="s">
        <v>1261</v>
      </c>
      <c r="AR3057" t="s">
        <v>1260</v>
      </c>
      <c r="AS3057" t="s">
        <v>1259</v>
      </c>
      <c r="AT3057" s="30">
        <v>46073.384722222225</v>
      </c>
    </row>
    <row r="3058" spans="1:46" x14ac:dyDescent="0.25">
      <c r="A3058" t="s">
        <v>1248</v>
      </c>
      <c r="B3058">
        <v>253529</v>
      </c>
      <c r="C3058">
        <v>119995</v>
      </c>
      <c r="D3058">
        <v>405</v>
      </c>
      <c r="E3058" t="s">
        <v>1266</v>
      </c>
      <c r="G3058">
        <v>745</v>
      </c>
      <c r="H3058">
        <v>1827</v>
      </c>
      <c r="K3058" t="s">
        <v>1582</v>
      </c>
      <c r="L3058" t="s">
        <v>1582</v>
      </c>
      <c r="M3058" t="s">
        <v>1581</v>
      </c>
      <c r="N3058">
        <v>0</v>
      </c>
      <c r="O3058" t="s">
        <v>1581</v>
      </c>
      <c r="P3058">
        <v>0</v>
      </c>
      <c r="Q3058">
        <v>0</v>
      </c>
      <c r="R3058">
        <v>0</v>
      </c>
      <c r="T3058" s="29">
        <v>207200</v>
      </c>
      <c r="U3058" s="29">
        <v>3812480</v>
      </c>
      <c r="V3058" t="s">
        <v>1262</v>
      </c>
      <c r="W3058" t="s">
        <v>1262</v>
      </c>
      <c r="X3058" s="29">
        <v>3812480</v>
      </c>
      <c r="AA3058" s="30">
        <v>45966.333333333336</v>
      </c>
      <c r="AB3058" s="30">
        <v>45985.708333333336</v>
      </c>
      <c r="AC3058" s="30">
        <v>45966.333333333336</v>
      </c>
      <c r="AD3058" s="30">
        <v>45985.708333333336</v>
      </c>
      <c r="AE3058" s="30">
        <v>46115.333333333336</v>
      </c>
      <c r="AF3058" s="30">
        <v>46135.708333333336</v>
      </c>
      <c r="AG3058" t="s">
        <v>1266</v>
      </c>
      <c r="AK3058" t="s">
        <v>1265</v>
      </c>
      <c r="AL3058" t="s">
        <v>1595</v>
      </c>
      <c r="AM3058" t="s">
        <v>1263</v>
      </c>
      <c r="AN3058" t="s">
        <v>1262</v>
      </c>
      <c r="AO3058">
        <v>0</v>
      </c>
      <c r="AQ3058" t="s">
        <v>1261</v>
      </c>
      <c r="AR3058" t="s">
        <v>1260</v>
      </c>
      <c r="AS3058" t="s">
        <v>1259</v>
      </c>
      <c r="AT3058" s="30">
        <v>46073.384722222225</v>
      </c>
    </row>
    <row r="3059" spans="1:46" x14ac:dyDescent="0.25">
      <c r="A3059" t="s">
        <v>1248</v>
      </c>
      <c r="B3059">
        <v>253530</v>
      </c>
      <c r="C3059">
        <v>119996</v>
      </c>
      <c r="D3059">
        <v>405</v>
      </c>
      <c r="E3059" t="s">
        <v>1266</v>
      </c>
      <c r="G3059">
        <v>745</v>
      </c>
      <c r="H3059">
        <v>1827</v>
      </c>
      <c r="K3059" t="s">
        <v>1582</v>
      </c>
      <c r="L3059" t="s">
        <v>1582</v>
      </c>
      <c r="M3059" t="s">
        <v>1581</v>
      </c>
      <c r="N3059">
        <v>0</v>
      </c>
      <c r="O3059" t="s">
        <v>1581</v>
      </c>
      <c r="P3059">
        <v>0</v>
      </c>
      <c r="Q3059">
        <v>0</v>
      </c>
      <c r="R3059">
        <v>0</v>
      </c>
      <c r="T3059" s="29">
        <v>207200</v>
      </c>
      <c r="U3059" s="29">
        <v>3812480</v>
      </c>
      <c r="V3059" t="s">
        <v>1262</v>
      </c>
      <c r="W3059" t="s">
        <v>1262</v>
      </c>
      <c r="X3059" s="29">
        <v>3812480</v>
      </c>
      <c r="AA3059" s="30">
        <v>45986.333333333336</v>
      </c>
      <c r="AB3059" s="30">
        <v>46003.708333333336</v>
      </c>
      <c r="AC3059" s="30">
        <v>45986.333333333336</v>
      </c>
      <c r="AD3059" s="30">
        <v>46003.708333333336</v>
      </c>
      <c r="AE3059" s="30">
        <v>46136.333333333336</v>
      </c>
      <c r="AF3059" s="30">
        <v>46156.708333333336</v>
      </c>
      <c r="AG3059" t="s">
        <v>1266</v>
      </c>
      <c r="AK3059" t="s">
        <v>1265</v>
      </c>
      <c r="AL3059" t="s">
        <v>1594</v>
      </c>
      <c r="AM3059" t="s">
        <v>1263</v>
      </c>
      <c r="AN3059" t="s">
        <v>1262</v>
      </c>
      <c r="AO3059">
        <v>0</v>
      </c>
      <c r="AQ3059" t="s">
        <v>1261</v>
      </c>
      <c r="AR3059" t="s">
        <v>1260</v>
      </c>
      <c r="AS3059" t="s">
        <v>1259</v>
      </c>
      <c r="AT3059" s="30">
        <v>46073.384722222225</v>
      </c>
    </row>
    <row r="3060" spans="1:46" x14ac:dyDescent="0.25">
      <c r="A3060" t="s">
        <v>1248</v>
      </c>
      <c r="B3060">
        <v>253531</v>
      </c>
      <c r="C3060">
        <v>119997</v>
      </c>
      <c r="D3060">
        <v>405</v>
      </c>
      <c r="E3060" t="s">
        <v>1266</v>
      </c>
      <c r="G3060">
        <v>745</v>
      </c>
      <c r="H3060">
        <v>1827</v>
      </c>
      <c r="K3060" t="s">
        <v>1582</v>
      </c>
      <c r="L3060" t="s">
        <v>1582</v>
      </c>
      <c r="M3060" t="s">
        <v>1581</v>
      </c>
      <c r="N3060">
        <v>0</v>
      </c>
      <c r="O3060" t="s">
        <v>1581</v>
      </c>
      <c r="P3060">
        <v>0</v>
      </c>
      <c r="Q3060">
        <v>0</v>
      </c>
      <c r="R3060">
        <v>0</v>
      </c>
      <c r="T3060" s="29">
        <v>207200</v>
      </c>
      <c r="U3060" s="29">
        <v>3812480</v>
      </c>
      <c r="V3060" t="s">
        <v>1262</v>
      </c>
      <c r="W3060" t="s">
        <v>1262</v>
      </c>
      <c r="X3060" s="29">
        <v>3812480</v>
      </c>
      <c r="AA3060" s="30">
        <v>46006.333333333336</v>
      </c>
      <c r="AB3060" s="30">
        <v>46024.708333333336</v>
      </c>
      <c r="AC3060" s="30">
        <v>46006.333333333336</v>
      </c>
      <c r="AD3060" s="30">
        <v>46024.708333333336</v>
      </c>
      <c r="AE3060" s="30">
        <v>46157.333333333336</v>
      </c>
      <c r="AF3060" s="30">
        <v>46177.708333333336</v>
      </c>
      <c r="AG3060" t="s">
        <v>1266</v>
      </c>
      <c r="AK3060" t="s">
        <v>1265</v>
      </c>
      <c r="AL3060" t="s">
        <v>1593</v>
      </c>
      <c r="AM3060" t="s">
        <v>1263</v>
      </c>
      <c r="AN3060" t="s">
        <v>1262</v>
      </c>
      <c r="AO3060">
        <v>0</v>
      </c>
      <c r="AQ3060" t="s">
        <v>1261</v>
      </c>
      <c r="AR3060" t="s">
        <v>1260</v>
      </c>
      <c r="AS3060" t="s">
        <v>1259</v>
      </c>
      <c r="AT3060" s="30">
        <v>46073.384722222225</v>
      </c>
    </row>
    <row r="3061" spans="1:46" x14ac:dyDescent="0.25">
      <c r="A3061" t="s">
        <v>1248</v>
      </c>
      <c r="B3061">
        <v>253532</v>
      </c>
      <c r="C3061">
        <v>119998</v>
      </c>
      <c r="D3061">
        <v>405</v>
      </c>
      <c r="E3061" t="s">
        <v>1266</v>
      </c>
      <c r="G3061">
        <v>745</v>
      </c>
      <c r="H3061">
        <v>1827</v>
      </c>
      <c r="K3061" t="s">
        <v>1582</v>
      </c>
      <c r="L3061" t="s">
        <v>1582</v>
      </c>
      <c r="M3061" t="s">
        <v>1581</v>
      </c>
      <c r="N3061">
        <v>0</v>
      </c>
      <c r="O3061" t="s">
        <v>1581</v>
      </c>
      <c r="P3061">
        <v>0</v>
      </c>
      <c r="Q3061">
        <v>0</v>
      </c>
      <c r="R3061">
        <v>0</v>
      </c>
      <c r="T3061" s="29">
        <v>207200</v>
      </c>
      <c r="U3061" s="29">
        <v>3812480</v>
      </c>
      <c r="V3061" t="s">
        <v>1262</v>
      </c>
      <c r="W3061" t="s">
        <v>1262</v>
      </c>
      <c r="X3061" s="29">
        <v>3812480</v>
      </c>
      <c r="AA3061" s="30">
        <v>46027.333333333336</v>
      </c>
      <c r="AB3061" s="30">
        <v>46045.708333333336</v>
      </c>
      <c r="AC3061" s="30">
        <v>46027.333333333336</v>
      </c>
      <c r="AD3061" s="30">
        <v>46045.708333333336</v>
      </c>
      <c r="AE3061" s="30">
        <v>46178.333333333336</v>
      </c>
      <c r="AF3061" s="30">
        <v>46197.708333333336</v>
      </c>
      <c r="AG3061" t="s">
        <v>1266</v>
      </c>
      <c r="AK3061" t="s">
        <v>1265</v>
      </c>
      <c r="AL3061" t="s">
        <v>1592</v>
      </c>
      <c r="AM3061" t="s">
        <v>1263</v>
      </c>
      <c r="AN3061" t="s">
        <v>1262</v>
      </c>
      <c r="AO3061">
        <v>0</v>
      </c>
      <c r="AQ3061" t="s">
        <v>1261</v>
      </c>
      <c r="AR3061" t="s">
        <v>1260</v>
      </c>
      <c r="AS3061" t="s">
        <v>1259</v>
      </c>
      <c r="AT3061" s="30">
        <v>46073.384722222225</v>
      </c>
    </row>
    <row r="3062" spans="1:46" x14ac:dyDescent="0.25">
      <c r="A3062" t="s">
        <v>1248</v>
      </c>
      <c r="B3062">
        <v>253533</v>
      </c>
      <c r="C3062">
        <v>119999</v>
      </c>
      <c r="D3062">
        <v>405</v>
      </c>
      <c r="E3062" t="s">
        <v>1266</v>
      </c>
      <c r="G3062">
        <v>745</v>
      </c>
      <c r="H3062">
        <v>1827</v>
      </c>
      <c r="K3062" t="s">
        <v>1582</v>
      </c>
      <c r="L3062" t="s">
        <v>1582</v>
      </c>
      <c r="M3062" t="s">
        <v>1581</v>
      </c>
      <c r="N3062">
        <v>0</v>
      </c>
      <c r="O3062" t="s">
        <v>1581</v>
      </c>
      <c r="P3062">
        <v>0</v>
      </c>
      <c r="Q3062">
        <v>0</v>
      </c>
      <c r="R3062">
        <v>0</v>
      </c>
      <c r="T3062" s="29">
        <v>234300</v>
      </c>
      <c r="U3062" s="29">
        <v>3812480</v>
      </c>
      <c r="V3062" t="s">
        <v>1262</v>
      </c>
      <c r="W3062" t="s">
        <v>1262</v>
      </c>
      <c r="X3062" s="29">
        <v>3812480</v>
      </c>
      <c r="AA3062" s="30">
        <v>46048.333333333336</v>
      </c>
      <c r="AB3062" s="30">
        <v>46065.708333333336</v>
      </c>
      <c r="AC3062" s="30">
        <v>46048.333333333336</v>
      </c>
      <c r="AD3062" s="30">
        <v>46065.708333333336</v>
      </c>
      <c r="AE3062" s="30">
        <v>46198.333333333336</v>
      </c>
      <c r="AF3062" s="30">
        <v>46217.708333333336</v>
      </c>
      <c r="AG3062" t="s">
        <v>1266</v>
      </c>
      <c r="AK3062" t="s">
        <v>1265</v>
      </c>
      <c r="AL3062" t="s">
        <v>1591</v>
      </c>
      <c r="AM3062" t="s">
        <v>1263</v>
      </c>
      <c r="AN3062" t="s">
        <v>1262</v>
      </c>
      <c r="AO3062">
        <v>0</v>
      </c>
      <c r="AQ3062" t="s">
        <v>1261</v>
      </c>
      <c r="AR3062" t="s">
        <v>1260</v>
      </c>
      <c r="AS3062" t="s">
        <v>1259</v>
      </c>
      <c r="AT3062" s="30">
        <v>46073.384722222225</v>
      </c>
    </row>
    <row r="3063" spans="1:46" x14ac:dyDescent="0.25">
      <c r="A3063" t="s">
        <v>1248</v>
      </c>
      <c r="B3063">
        <v>253534</v>
      </c>
      <c r="C3063">
        <v>120000</v>
      </c>
      <c r="D3063">
        <v>405</v>
      </c>
      <c r="E3063" t="s">
        <v>1266</v>
      </c>
      <c r="G3063">
        <v>745</v>
      </c>
      <c r="H3063">
        <v>1827</v>
      </c>
      <c r="K3063" t="s">
        <v>1582</v>
      </c>
      <c r="L3063" t="s">
        <v>1582</v>
      </c>
      <c r="M3063" t="s">
        <v>1581</v>
      </c>
      <c r="N3063">
        <v>0</v>
      </c>
      <c r="O3063" t="s">
        <v>1581</v>
      </c>
      <c r="P3063">
        <v>0</v>
      </c>
      <c r="Q3063">
        <v>0</v>
      </c>
      <c r="R3063">
        <v>0</v>
      </c>
      <c r="T3063" s="29">
        <v>234300</v>
      </c>
      <c r="U3063" s="29">
        <v>3848097</v>
      </c>
      <c r="V3063" t="s">
        <v>1262</v>
      </c>
      <c r="W3063" t="s">
        <v>1262</v>
      </c>
      <c r="X3063" s="29">
        <v>3848097</v>
      </c>
      <c r="AA3063" s="30">
        <v>46066.333333333336</v>
      </c>
      <c r="AB3063" s="30">
        <v>46085.708333333336</v>
      </c>
      <c r="AC3063" s="30">
        <v>46066.333333333336</v>
      </c>
      <c r="AD3063" s="30">
        <v>46085.708333333336</v>
      </c>
      <c r="AE3063" s="30">
        <v>46218.333333333336</v>
      </c>
      <c r="AF3063" s="30">
        <v>46237.708333333336</v>
      </c>
      <c r="AG3063" t="s">
        <v>1266</v>
      </c>
      <c r="AK3063" t="s">
        <v>1265</v>
      </c>
      <c r="AL3063" t="s">
        <v>1590</v>
      </c>
      <c r="AM3063" t="s">
        <v>1263</v>
      </c>
      <c r="AN3063" t="s">
        <v>1262</v>
      </c>
      <c r="AO3063">
        <v>0</v>
      </c>
      <c r="AQ3063" t="s">
        <v>1261</v>
      </c>
      <c r="AR3063" t="s">
        <v>1260</v>
      </c>
      <c r="AS3063" t="s">
        <v>1259</v>
      </c>
      <c r="AT3063" s="30">
        <v>46073.384722222225</v>
      </c>
    </row>
    <row r="3064" spans="1:46" x14ac:dyDescent="0.25">
      <c r="A3064" t="s">
        <v>1248</v>
      </c>
      <c r="B3064">
        <v>253535</v>
      </c>
      <c r="C3064">
        <v>120001</v>
      </c>
      <c r="D3064">
        <v>405</v>
      </c>
      <c r="E3064" t="s">
        <v>1266</v>
      </c>
      <c r="G3064">
        <v>745</v>
      </c>
      <c r="H3064">
        <v>1827</v>
      </c>
      <c r="K3064" t="s">
        <v>1582</v>
      </c>
      <c r="L3064" t="s">
        <v>1582</v>
      </c>
      <c r="M3064" t="s">
        <v>1581</v>
      </c>
      <c r="N3064">
        <v>0</v>
      </c>
      <c r="O3064" t="s">
        <v>1581</v>
      </c>
      <c r="P3064">
        <v>0</v>
      </c>
      <c r="Q3064">
        <v>0</v>
      </c>
      <c r="R3064">
        <v>0</v>
      </c>
      <c r="T3064" s="29">
        <v>234300</v>
      </c>
      <c r="U3064" s="29">
        <v>4311120</v>
      </c>
      <c r="V3064" t="s">
        <v>1262</v>
      </c>
      <c r="W3064" t="s">
        <v>1262</v>
      </c>
      <c r="X3064" s="29">
        <v>4311120</v>
      </c>
      <c r="AA3064" s="30">
        <v>46086.333333333336</v>
      </c>
      <c r="AB3064" s="30">
        <v>46105.708333333336</v>
      </c>
      <c r="AC3064" s="30">
        <v>46086.333333333336</v>
      </c>
      <c r="AD3064" s="30">
        <v>46105.708333333336</v>
      </c>
      <c r="AE3064" s="30">
        <v>46238.333333333336</v>
      </c>
      <c r="AF3064" s="30">
        <v>46255.708333333336</v>
      </c>
      <c r="AG3064" t="s">
        <v>1266</v>
      </c>
      <c r="AK3064" t="s">
        <v>1265</v>
      </c>
      <c r="AL3064" t="s">
        <v>1589</v>
      </c>
      <c r="AM3064" t="s">
        <v>1263</v>
      </c>
      <c r="AN3064" t="s">
        <v>1262</v>
      </c>
      <c r="AO3064">
        <v>0</v>
      </c>
      <c r="AQ3064" t="s">
        <v>1261</v>
      </c>
      <c r="AR3064" t="s">
        <v>1260</v>
      </c>
      <c r="AS3064" t="s">
        <v>1259</v>
      </c>
      <c r="AT3064" s="30">
        <v>46073.384722222225</v>
      </c>
    </row>
    <row r="3065" spans="1:46" x14ac:dyDescent="0.25">
      <c r="A3065" t="s">
        <v>1248</v>
      </c>
      <c r="B3065">
        <v>253536</v>
      </c>
      <c r="C3065">
        <v>120002</v>
      </c>
      <c r="D3065">
        <v>405</v>
      </c>
      <c r="E3065" t="s">
        <v>1266</v>
      </c>
      <c r="G3065">
        <v>745</v>
      </c>
      <c r="H3065">
        <v>1827</v>
      </c>
      <c r="K3065" t="s">
        <v>1582</v>
      </c>
      <c r="L3065" t="s">
        <v>1582</v>
      </c>
      <c r="M3065" t="s">
        <v>1581</v>
      </c>
      <c r="N3065">
        <v>0</v>
      </c>
      <c r="O3065" t="s">
        <v>1581</v>
      </c>
      <c r="P3065">
        <v>0</v>
      </c>
      <c r="Q3065">
        <v>0</v>
      </c>
      <c r="R3065">
        <v>0</v>
      </c>
      <c r="T3065" s="29">
        <v>234300</v>
      </c>
      <c r="U3065" s="29">
        <v>4311120</v>
      </c>
      <c r="V3065" t="s">
        <v>1262</v>
      </c>
      <c r="W3065" t="s">
        <v>1262</v>
      </c>
      <c r="X3065" s="29">
        <v>4311120</v>
      </c>
      <c r="AA3065" s="30">
        <v>46106.333333333336</v>
      </c>
      <c r="AB3065" s="30">
        <v>46126.708333333336</v>
      </c>
      <c r="AC3065" s="30">
        <v>46106.333333333336</v>
      </c>
      <c r="AD3065" s="30">
        <v>46126.708333333336</v>
      </c>
      <c r="AE3065" s="30">
        <v>46258.333333333336</v>
      </c>
      <c r="AF3065" s="30">
        <v>46275.708333333336</v>
      </c>
      <c r="AG3065" t="s">
        <v>1266</v>
      </c>
      <c r="AK3065" t="s">
        <v>1265</v>
      </c>
      <c r="AL3065" t="s">
        <v>1588</v>
      </c>
      <c r="AM3065" t="s">
        <v>1263</v>
      </c>
      <c r="AN3065" t="s">
        <v>1262</v>
      </c>
      <c r="AO3065">
        <v>0</v>
      </c>
      <c r="AQ3065" t="s">
        <v>1261</v>
      </c>
      <c r="AR3065" t="s">
        <v>1260</v>
      </c>
      <c r="AS3065" t="s">
        <v>1259</v>
      </c>
      <c r="AT3065" s="30">
        <v>46073.384722222225</v>
      </c>
    </row>
    <row r="3066" spans="1:46" x14ac:dyDescent="0.25">
      <c r="A3066" t="s">
        <v>1248</v>
      </c>
      <c r="B3066">
        <v>253537</v>
      </c>
      <c r="C3066">
        <v>120003</v>
      </c>
      <c r="D3066">
        <v>405</v>
      </c>
      <c r="E3066" t="s">
        <v>1266</v>
      </c>
      <c r="G3066">
        <v>745</v>
      </c>
      <c r="H3066">
        <v>1827</v>
      </c>
      <c r="K3066" t="s">
        <v>1582</v>
      </c>
      <c r="L3066" t="s">
        <v>1582</v>
      </c>
      <c r="M3066" t="s">
        <v>1581</v>
      </c>
      <c r="N3066">
        <v>0</v>
      </c>
      <c r="O3066" t="s">
        <v>1581</v>
      </c>
      <c r="P3066">
        <v>0</v>
      </c>
      <c r="Q3066">
        <v>0</v>
      </c>
      <c r="R3066">
        <v>0</v>
      </c>
      <c r="T3066" s="29">
        <v>234300</v>
      </c>
      <c r="U3066" s="29">
        <v>4311120</v>
      </c>
      <c r="V3066" t="s">
        <v>1262</v>
      </c>
      <c r="W3066" t="s">
        <v>1262</v>
      </c>
      <c r="X3066" s="29">
        <v>4311120</v>
      </c>
      <c r="AA3066" s="30">
        <v>46127.333333333336</v>
      </c>
      <c r="AB3066" s="30">
        <v>46147.708333333336</v>
      </c>
      <c r="AC3066" s="30">
        <v>46127.333333333336</v>
      </c>
      <c r="AD3066" s="30">
        <v>46147.708333333336</v>
      </c>
      <c r="AE3066" s="30">
        <v>46276.333333333336</v>
      </c>
      <c r="AF3066" s="30">
        <v>46295.708333333336</v>
      </c>
      <c r="AG3066" t="s">
        <v>1266</v>
      </c>
      <c r="AK3066" t="s">
        <v>1265</v>
      </c>
      <c r="AL3066" t="s">
        <v>1587</v>
      </c>
      <c r="AM3066" t="s">
        <v>1263</v>
      </c>
      <c r="AN3066" t="s">
        <v>1262</v>
      </c>
      <c r="AO3066">
        <v>0</v>
      </c>
      <c r="AQ3066" t="s">
        <v>1261</v>
      </c>
      <c r="AR3066" t="s">
        <v>1260</v>
      </c>
      <c r="AS3066" t="s">
        <v>1259</v>
      </c>
      <c r="AT3066" s="30">
        <v>46073.384722222225</v>
      </c>
    </row>
    <row r="3067" spans="1:46" x14ac:dyDescent="0.25">
      <c r="A3067" t="s">
        <v>1248</v>
      </c>
      <c r="B3067">
        <v>253538</v>
      </c>
      <c r="C3067">
        <v>120004</v>
      </c>
      <c r="D3067">
        <v>405</v>
      </c>
      <c r="E3067" t="s">
        <v>1266</v>
      </c>
      <c r="G3067">
        <v>745</v>
      </c>
      <c r="H3067">
        <v>1827</v>
      </c>
      <c r="K3067" t="s">
        <v>1582</v>
      </c>
      <c r="L3067" t="s">
        <v>1582</v>
      </c>
      <c r="M3067" t="s">
        <v>1581</v>
      </c>
      <c r="N3067">
        <v>0</v>
      </c>
      <c r="O3067" t="s">
        <v>1581</v>
      </c>
      <c r="P3067">
        <v>0</v>
      </c>
      <c r="Q3067">
        <v>0</v>
      </c>
      <c r="R3067">
        <v>0</v>
      </c>
      <c r="T3067" s="29">
        <v>234300</v>
      </c>
      <c r="U3067" s="29">
        <v>4311120</v>
      </c>
      <c r="V3067" t="s">
        <v>1262</v>
      </c>
      <c r="W3067" t="s">
        <v>1262</v>
      </c>
      <c r="X3067" s="29">
        <v>4311120</v>
      </c>
      <c r="AA3067" s="30">
        <v>46148.333333333336</v>
      </c>
      <c r="AB3067" s="30">
        <v>46167.708333333336</v>
      </c>
      <c r="AC3067" s="30">
        <v>46148.333333333336</v>
      </c>
      <c r="AD3067" s="30">
        <v>46167.708333333336</v>
      </c>
      <c r="AE3067" s="30">
        <v>46296.333333333336</v>
      </c>
      <c r="AF3067" s="30">
        <v>46315.708333333336</v>
      </c>
      <c r="AG3067" t="s">
        <v>1266</v>
      </c>
      <c r="AK3067" t="s">
        <v>1265</v>
      </c>
      <c r="AL3067" t="s">
        <v>1586</v>
      </c>
      <c r="AM3067" t="s">
        <v>1263</v>
      </c>
      <c r="AN3067" t="s">
        <v>1262</v>
      </c>
      <c r="AO3067">
        <v>0</v>
      </c>
      <c r="AQ3067" t="s">
        <v>1261</v>
      </c>
      <c r="AR3067" t="s">
        <v>1260</v>
      </c>
      <c r="AS3067" t="s">
        <v>1259</v>
      </c>
      <c r="AT3067" s="30">
        <v>46073.384722222225</v>
      </c>
    </row>
    <row r="3068" spans="1:46" x14ac:dyDescent="0.25">
      <c r="A3068" t="s">
        <v>1248</v>
      </c>
      <c r="B3068">
        <v>253539</v>
      </c>
      <c r="C3068">
        <v>120005</v>
      </c>
      <c r="D3068">
        <v>405</v>
      </c>
      <c r="E3068" t="s">
        <v>1266</v>
      </c>
      <c r="G3068">
        <v>745</v>
      </c>
      <c r="H3068">
        <v>1827</v>
      </c>
      <c r="K3068" t="s">
        <v>1582</v>
      </c>
      <c r="L3068" t="s">
        <v>1582</v>
      </c>
      <c r="M3068" t="s">
        <v>1581</v>
      </c>
      <c r="N3068">
        <v>0</v>
      </c>
      <c r="O3068" t="s">
        <v>1581</v>
      </c>
      <c r="P3068">
        <v>0</v>
      </c>
      <c r="Q3068">
        <v>0</v>
      </c>
      <c r="R3068">
        <v>0</v>
      </c>
      <c r="T3068" s="29">
        <v>234300</v>
      </c>
      <c r="U3068" s="29">
        <v>4311120</v>
      </c>
      <c r="V3068" t="s">
        <v>1262</v>
      </c>
      <c r="W3068" t="s">
        <v>1262</v>
      </c>
      <c r="X3068" s="29">
        <v>4311120</v>
      </c>
      <c r="AA3068" s="30">
        <v>46168.333333333336</v>
      </c>
      <c r="AB3068" s="30">
        <v>46188.708333333336</v>
      </c>
      <c r="AC3068" s="30">
        <v>46168.333333333336</v>
      </c>
      <c r="AD3068" s="30">
        <v>46188.708333333336</v>
      </c>
      <c r="AE3068" s="30">
        <v>46316.333333333336</v>
      </c>
      <c r="AF3068" s="30">
        <v>46335.708333333336</v>
      </c>
      <c r="AG3068" t="s">
        <v>1266</v>
      </c>
      <c r="AK3068" t="s">
        <v>1265</v>
      </c>
      <c r="AL3068" t="s">
        <v>1585</v>
      </c>
      <c r="AM3068" t="s">
        <v>1263</v>
      </c>
      <c r="AN3068" t="s">
        <v>1262</v>
      </c>
      <c r="AO3068">
        <v>0</v>
      </c>
      <c r="AQ3068" t="s">
        <v>1261</v>
      </c>
      <c r="AR3068" t="s">
        <v>1260</v>
      </c>
      <c r="AS3068" t="s">
        <v>1259</v>
      </c>
      <c r="AT3068" s="30">
        <v>46073.384722222225</v>
      </c>
    </row>
    <row r="3069" spans="1:46" x14ac:dyDescent="0.25">
      <c r="A3069" t="s">
        <v>1248</v>
      </c>
      <c r="B3069">
        <v>253540</v>
      </c>
      <c r="C3069">
        <v>120006</v>
      </c>
      <c r="D3069">
        <v>405</v>
      </c>
      <c r="E3069" t="s">
        <v>1266</v>
      </c>
      <c r="G3069">
        <v>745</v>
      </c>
      <c r="H3069">
        <v>1827</v>
      </c>
      <c r="K3069" t="s">
        <v>1582</v>
      </c>
      <c r="L3069" t="s">
        <v>1582</v>
      </c>
      <c r="M3069" t="s">
        <v>1581</v>
      </c>
      <c r="N3069">
        <v>0</v>
      </c>
      <c r="O3069" t="s">
        <v>1581</v>
      </c>
      <c r="P3069">
        <v>0</v>
      </c>
      <c r="Q3069">
        <v>0</v>
      </c>
      <c r="R3069">
        <v>0</v>
      </c>
      <c r="T3069" s="29">
        <v>234300</v>
      </c>
      <c r="U3069" s="29">
        <v>4311120</v>
      </c>
      <c r="V3069" t="s">
        <v>1262</v>
      </c>
      <c r="W3069" t="s">
        <v>1262</v>
      </c>
      <c r="X3069" s="29">
        <v>4311120</v>
      </c>
      <c r="AA3069" s="30">
        <v>46189.333333333336</v>
      </c>
      <c r="AB3069" s="30">
        <v>46206.708333333336</v>
      </c>
      <c r="AC3069" s="30">
        <v>46189.333333333336</v>
      </c>
      <c r="AD3069" s="30">
        <v>46206.708333333336</v>
      </c>
      <c r="AE3069" s="30">
        <v>46336.333333333336</v>
      </c>
      <c r="AF3069" s="30">
        <v>46353.708333333336</v>
      </c>
      <c r="AG3069" t="s">
        <v>1266</v>
      </c>
      <c r="AK3069" t="s">
        <v>1265</v>
      </c>
      <c r="AL3069" t="s">
        <v>1584</v>
      </c>
      <c r="AM3069" t="s">
        <v>1263</v>
      </c>
      <c r="AN3069" t="s">
        <v>1262</v>
      </c>
      <c r="AO3069">
        <v>0</v>
      </c>
      <c r="AQ3069" t="s">
        <v>1261</v>
      </c>
      <c r="AR3069" t="s">
        <v>1260</v>
      </c>
      <c r="AS3069" t="s">
        <v>1259</v>
      </c>
      <c r="AT3069" s="30">
        <v>46073.384722222225</v>
      </c>
    </row>
    <row r="3070" spans="1:46" x14ac:dyDescent="0.25">
      <c r="A3070" t="s">
        <v>1248</v>
      </c>
      <c r="B3070">
        <v>253541</v>
      </c>
      <c r="C3070">
        <v>120007</v>
      </c>
      <c r="D3070">
        <v>405</v>
      </c>
      <c r="E3070" t="s">
        <v>1266</v>
      </c>
      <c r="G3070">
        <v>745</v>
      </c>
      <c r="H3070">
        <v>1827</v>
      </c>
      <c r="K3070" t="s">
        <v>1582</v>
      </c>
      <c r="L3070" t="s">
        <v>1582</v>
      </c>
      <c r="M3070" t="s">
        <v>1581</v>
      </c>
      <c r="N3070">
        <v>0</v>
      </c>
      <c r="O3070" t="s">
        <v>1581</v>
      </c>
      <c r="P3070">
        <v>0</v>
      </c>
      <c r="Q3070">
        <v>0</v>
      </c>
      <c r="R3070">
        <v>0</v>
      </c>
      <c r="T3070" s="29">
        <v>234300</v>
      </c>
      <c r="U3070" s="29">
        <v>4311120</v>
      </c>
      <c r="V3070" t="s">
        <v>1262</v>
      </c>
      <c r="W3070" t="s">
        <v>1262</v>
      </c>
      <c r="X3070" s="29">
        <v>4311120</v>
      </c>
      <c r="AA3070" s="30">
        <v>46209.333333333336</v>
      </c>
      <c r="AB3070" s="30">
        <v>46226.708333333336</v>
      </c>
      <c r="AC3070" s="30">
        <v>46209.333333333336</v>
      </c>
      <c r="AD3070" s="30">
        <v>46226.708333333336</v>
      </c>
      <c r="AE3070" s="30">
        <v>46356.333333333336</v>
      </c>
      <c r="AF3070" s="30">
        <v>46374.708333333336</v>
      </c>
      <c r="AG3070" t="s">
        <v>1266</v>
      </c>
      <c r="AK3070" t="s">
        <v>1265</v>
      </c>
      <c r="AL3070" t="s">
        <v>1583</v>
      </c>
      <c r="AM3070" t="s">
        <v>1263</v>
      </c>
      <c r="AN3070" t="s">
        <v>1262</v>
      </c>
      <c r="AO3070">
        <v>0</v>
      </c>
      <c r="AQ3070" t="s">
        <v>1261</v>
      </c>
      <c r="AR3070" t="s">
        <v>1260</v>
      </c>
      <c r="AS3070" t="s">
        <v>1259</v>
      </c>
      <c r="AT3070" s="30">
        <v>46073.384722222225</v>
      </c>
    </row>
    <row r="3071" spans="1:46" x14ac:dyDescent="0.25">
      <c r="A3071" t="s">
        <v>1248</v>
      </c>
      <c r="B3071">
        <v>253542</v>
      </c>
      <c r="C3071">
        <v>120008</v>
      </c>
      <c r="D3071">
        <v>405</v>
      </c>
      <c r="E3071" t="s">
        <v>1266</v>
      </c>
      <c r="G3071">
        <v>745</v>
      </c>
      <c r="H3071">
        <v>1827</v>
      </c>
      <c r="K3071" t="s">
        <v>1582</v>
      </c>
      <c r="L3071" t="s">
        <v>1582</v>
      </c>
      <c r="M3071" t="s">
        <v>1581</v>
      </c>
      <c r="N3071">
        <v>0</v>
      </c>
      <c r="O3071" t="s">
        <v>1581</v>
      </c>
      <c r="P3071">
        <v>0</v>
      </c>
      <c r="Q3071">
        <v>0</v>
      </c>
      <c r="R3071">
        <v>0</v>
      </c>
      <c r="T3071" s="29">
        <v>234300</v>
      </c>
      <c r="U3071" s="29">
        <v>4311120</v>
      </c>
      <c r="V3071" t="s">
        <v>1262</v>
      </c>
      <c r="W3071" t="s">
        <v>1262</v>
      </c>
      <c r="X3071" s="29">
        <v>4311120</v>
      </c>
      <c r="AA3071" s="30">
        <v>46227.333333333336</v>
      </c>
      <c r="AB3071" s="30">
        <v>46246.708333333336</v>
      </c>
      <c r="AC3071" s="30">
        <v>46227.333333333336</v>
      </c>
      <c r="AD3071" s="30">
        <v>46246.708333333336</v>
      </c>
      <c r="AE3071" s="30">
        <v>46377.333333333336</v>
      </c>
      <c r="AF3071" s="30">
        <v>46399.708333333336</v>
      </c>
      <c r="AG3071" t="s">
        <v>1266</v>
      </c>
      <c r="AK3071" t="s">
        <v>1265</v>
      </c>
      <c r="AL3071" t="s">
        <v>1580</v>
      </c>
      <c r="AM3071" t="s">
        <v>1263</v>
      </c>
      <c r="AN3071" t="s">
        <v>1262</v>
      </c>
      <c r="AO3071">
        <v>0</v>
      </c>
      <c r="AQ3071" t="s">
        <v>1261</v>
      </c>
      <c r="AR3071" t="s">
        <v>1260</v>
      </c>
      <c r="AS3071" t="s">
        <v>1259</v>
      </c>
      <c r="AT3071" s="30">
        <v>46073.384722222225</v>
      </c>
    </row>
    <row r="3072" spans="1:46" x14ac:dyDescent="0.25">
      <c r="A3072" t="s">
        <v>1248</v>
      </c>
      <c r="B3072">
        <v>253568</v>
      </c>
      <c r="C3072">
        <v>119988</v>
      </c>
      <c r="D3072">
        <v>405</v>
      </c>
      <c r="E3072" t="s">
        <v>1266</v>
      </c>
      <c r="G3072">
        <v>745</v>
      </c>
      <c r="H3072">
        <v>1832</v>
      </c>
      <c r="K3072">
        <v>38272</v>
      </c>
      <c r="L3072">
        <v>38272</v>
      </c>
      <c r="M3072" s="29">
        <v>31893333333</v>
      </c>
      <c r="N3072">
        <v>0</v>
      </c>
      <c r="O3072" s="29">
        <v>31893333333</v>
      </c>
      <c r="P3072">
        <v>0</v>
      </c>
      <c r="Q3072">
        <v>0</v>
      </c>
      <c r="R3072">
        <v>0</v>
      </c>
      <c r="T3072" s="29">
        <v>11200</v>
      </c>
      <c r="U3072" s="29">
        <v>428646398</v>
      </c>
      <c r="V3072" t="s">
        <v>1262</v>
      </c>
      <c r="W3072" t="s">
        <v>1262</v>
      </c>
      <c r="X3072" s="29">
        <v>428646398</v>
      </c>
      <c r="AA3072" s="30">
        <v>45827.333333333336</v>
      </c>
      <c r="AB3072" s="30">
        <v>45847.708333333336</v>
      </c>
      <c r="AC3072" s="30">
        <v>45827.333333333336</v>
      </c>
      <c r="AD3072" s="30">
        <v>45847.708333333336</v>
      </c>
      <c r="AE3072" s="30">
        <v>45974.333333333336</v>
      </c>
      <c r="AF3072" s="30">
        <v>45994.708333333336</v>
      </c>
      <c r="AG3072" t="s">
        <v>1266</v>
      </c>
      <c r="AK3072" t="s">
        <v>1265</v>
      </c>
      <c r="AL3072" t="s">
        <v>1579</v>
      </c>
      <c r="AM3072" t="s">
        <v>1263</v>
      </c>
      <c r="AN3072" t="s">
        <v>1262</v>
      </c>
      <c r="AO3072">
        <v>0</v>
      </c>
      <c r="AQ3072" t="s">
        <v>1261</v>
      </c>
      <c r="AR3072" t="s">
        <v>1260</v>
      </c>
      <c r="AS3072" t="s">
        <v>1259</v>
      </c>
      <c r="AT3072" s="30">
        <v>46073.384722222225</v>
      </c>
    </row>
    <row r="3073" spans="1:46" x14ac:dyDescent="0.25">
      <c r="A3073" t="s">
        <v>1248</v>
      </c>
      <c r="B3073">
        <v>253569</v>
      </c>
      <c r="C3073">
        <v>119989</v>
      </c>
      <c r="D3073">
        <v>405</v>
      </c>
      <c r="E3073" t="s">
        <v>1266</v>
      </c>
      <c r="G3073">
        <v>745</v>
      </c>
      <c r="H3073">
        <v>1832</v>
      </c>
      <c r="K3073">
        <v>38272</v>
      </c>
      <c r="L3073">
        <v>38272</v>
      </c>
      <c r="M3073" s="29">
        <v>34171428571</v>
      </c>
      <c r="N3073">
        <v>0</v>
      </c>
      <c r="O3073" s="29">
        <v>34171428571</v>
      </c>
      <c r="P3073">
        <v>0</v>
      </c>
      <c r="Q3073">
        <v>0</v>
      </c>
      <c r="R3073">
        <v>0</v>
      </c>
      <c r="T3073" s="29">
        <v>11200</v>
      </c>
      <c r="U3073" s="29">
        <v>428646398</v>
      </c>
      <c r="V3073" t="s">
        <v>1262</v>
      </c>
      <c r="W3073" t="s">
        <v>1262</v>
      </c>
      <c r="X3073" s="29">
        <v>428646398</v>
      </c>
      <c r="AA3073" s="30">
        <v>45848.333333333336</v>
      </c>
      <c r="AB3073" s="30">
        <v>45867.708333333336</v>
      </c>
      <c r="AC3073" s="30">
        <v>45848.333333333336</v>
      </c>
      <c r="AD3073" s="30">
        <v>45867.708333333336</v>
      </c>
      <c r="AE3073" s="30">
        <v>45995.333333333336</v>
      </c>
      <c r="AF3073" s="30">
        <v>46014.708333333336</v>
      </c>
      <c r="AG3073" t="s">
        <v>1266</v>
      </c>
      <c r="AK3073" t="s">
        <v>1265</v>
      </c>
      <c r="AL3073" t="s">
        <v>1578</v>
      </c>
      <c r="AM3073" t="s">
        <v>1263</v>
      </c>
      <c r="AN3073" t="s">
        <v>1262</v>
      </c>
      <c r="AO3073">
        <v>0</v>
      </c>
      <c r="AQ3073" t="s">
        <v>1261</v>
      </c>
      <c r="AR3073" t="s">
        <v>1260</v>
      </c>
      <c r="AS3073" t="s">
        <v>1259</v>
      </c>
      <c r="AT3073" s="30">
        <v>46073.384722222225</v>
      </c>
    </row>
    <row r="3074" spans="1:46" x14ac:dyDescent="0.25">
      <c r="A3074" t="s">
        <v>1248</v>
      </c>
      <c r="B3074">
        <v>253570</v>
      </c>
      <c r="C3074">
        <v>119990</v>
      </c>
      <c r="D3074">
        <v>405</v>
      </c>
      <c r="E3074" t="s">
        <v>1266</v>
      </c>
      <c r="G3074">
        <v>745</v>
      </c>
      <c r="H3074">
        <v>1832</v>
      </c>
      <c r="K3074">
        <v>38272</v>
      </c>
      <c r="L3074">
        <v>38272</v>
      </c>
      <c r="M3074" s="29">
        <v>34171428571</v>
      </c>
      <c r="N3074">
        <v>0</v>
      </c>
      <c r="O3074" s="29">
        <v>34171428571</v>
      </c>
      <c r="P3074">
        <v>0</v>
      </c>
      <c r="Q3074">
        <v>0</v>
      </c>
      <c r="R3074">
        <v>0</v>
      </c>
      <c r="T3074" s="29">
        <v>11200</v>
      </c>
      <c r="U3074" s="29">
        <v>428646398</v>
      </c>
      <c r="V3074" t="s">
        <v>1262</v>
      </c>
      <c r="W3074" t="s">
        <v>1262</v>
      </c>
      <c r="X3074" s="29">
        <v>428646398</v>
      </c>
      <c r="AA3074" s="30">
        <v>45868.333333333336</v>
      </c>
      <c r="AB3074" s="30">
        <v>45887.708333333336</v>
      </c>
      <c r="AC3074" s="30">
        <v>45868.333333333336</v>
      </c>
      <c r="AD3074" s="30">
        <v>45887.708333333336</v>
      </c>
      <c r="AE3074" s="30">
        <v>46015.333333333336</v>
      </c>
      <c r="AF3074" s="30">
        <v>46036.708333333336</v>
      </c>
      <c r="AG3074" t="s">
        <v>1266</v>
      </c>
      <c r="AK3074" t="s">
        <v>1265</v>
      </c>
      <c r="AL3074" t="s">
        <v>1577</v>
      </c>
      <c r="AM3074" t="s">
        <v>1263</v>
      </c>
      <c r="AN3074" t="s">
        <v>1262</v>
      </c>
      <c r="AO3074">
        <v>0</v>
      </c>
      <c r="AQ3074" t="s">
        <v>1261</v>
      </c>
      <c r="AR3074" t="s">
        <v>1260</v>
      </c>
      <c r="AS3074" t="s">
        <v>1259</v>
      </c>
      <c r="AT3074" s="30">
        <v>46073.384722222225</v>
      </c>
    </row>
    <row r="3075" spans="1:46" x14ac:dyDescent="0.25">
      <c r="A3075" t="s">
        <v>1248</v>
      </c>
      <c r="B3075">
        <v>253571</v>
      </c>
      <c r="C3075">
        <v>119991</v>
      </c>
      <c r="D3075">
        <v>405</v>
      </c>
      <c r="E3075" t="s">
        <v>1266</v>
      </c>
      <c r="G3075">
        <v>745</v>
      </c>
      <c r="H3075">
        <v>1832</v>
      </c>
      <c r="K3075">
        <v>38272</v>
      </c>
      <c r="L3075">
        <v>38272</v>
      </c>
      <c r="M3075" s="29">
        <v>34171428571</v>
      </c>
      <c r="N3075">
        <v>0</v>
      </c>
      <c r="O3075" s="29">
        <v>34171428571</v>
      </c>
      <c r="P3075">
        <v>0</v>
      </c>
      <c r="Q3075">
        <v>0</v>
      </c>
      <c r="R3075">
        <v>0</v>
      </c>
      <c r="T3075" s="29">
        <v>11200</v>
      </c>
      <c r="U3075" s="29">
        <v>428646398</v>
      </c>
      <c r="V3075" t="s">
        <v>1262</v>
      </c>
      <c r="W3075" t="s">
        <v>1262</v>
      </c>
      <c r="X3075" s="29">
        <v>428646398</v>
      </c>
      <c r="AA3075" s="30">
        <v>45888.333333333336</v>
      </c>
      <c r="AB3075" s="30">
        <v>45905.708333333336</v>
      </c>
      <c r="AC3075" s="30">
        <v>45888.333333333336</v>
      </c>
      <c r="AD3075" s="30">
        <v>45905.708333333336</v>
      </c>
      <c r="AE3075" s="30">
        <v>46037.333333333336</v>
      </c>
      <c r="AF3075" s="30">
        <v>46056.708333333336</v>
      </c>
      <c r="AG3075" t="s">
        <v>1266</v>
      </c>
      <c r="AK3075" t="s">
        <v>1265</v>
      </c>
      <c r="AL3075" t="s">
        <v>1576</v>
      </c>
      <c r="AM3075" t="s">
        <v>1263</v>
      </c>
      <c r="AN3075" t="s">
        <v>1262</v>
      </c>
      <c r="AO3075">
        <v>0</v>
      </c>
      <c r="AQ3075" t="s">
        <v>1261</v>
      </c>
      <c r="AR3075" t="s">
        <v>1260</v>
      </c>
      <c r="AS3075" t="s">
        <v>1259</v>
      </c>
      <c r="AT3075" s="30">
        <v>46073.384722222225</v>
      </c>
    </row>
    <row r="3076" spans="1:46" x14ac:dyDescent="0.25">
      <c r="A3076" t="s">
        <v>1248</v>
      </c>
      <c r="B3076">
        <v>253572</v>
      </c>
      <c r="C3076">
        <v>119992</v>
      </c>
      <c r="D3076">
        <v>405</v>
      </c>
      <c r="E3076" t="s">
        <v>1266</v>
      </c>
      <c r="G3076">
        <v>745</v>
      </c>
      <c r="H3076">
        <v>1832</v>
      </c>
      <c r="K3076">
        <v>38272</v>
      </c>
      <c r="L3076">
        <v>38272</v>
      </c>
      <c r="M3076" s="29">
        <v>34171428571</v>
      </c>
      <c r="N3076">
        <v>0</v>
      </c>
      <c r="O3076" s="29">
        <v>34171428571</v>
      </c>
      <c r="P3076">
        <v>0</v>
      </c>
      <c r="Q3076">
        <v>0</v>
      </c>
      <c r="R3076">
        <v>0</v>
      </c>
      <c r="T3076" s="29">
        <v>11200</v>
      </c>
      <c r="U3076" s="29">
        <v>428646398</v>
      </c>
      <c r="V3076" t="s">
        <v>1262</v>
      </c>
      <c r="W3076" t="s">
        <v>1262</v>
      </c>
      <c r="X3076" s="29">
        <v>428646398</v>
      </c>
      <c r="AA3076" s="30">
        <v>45908.333333333336</v>
      </c>
      <c r="AB3076" s="30">
        <v>45925.708333333336</v>
      </c>
      <c r="AC3076" s="30">
        <v>45908.333333333336</v>
      </c>
      <c r="AD3076" s="30">
        <v>45925.708333333336</v>
      </c>
      <c r="AE3076" s="30">
        <v>46057.333333333336</v>
      </c>
      <c r="AF3076" s="30">
        <v>46076.708333333336</v>
      </c>
      <c r="AG3076" t="s">
        <v>1266</v>
      </c>
      <c r="AK3076" t="s">
        <v>1265</v>
      </c>
      <c r="AL3076" t="s">
        <v>1575</v>
      </c>
      <c r="AM3076" t="s">
        <v>1263</v>
      </c>
      <c r="AN3076" t="s">
        <v>1262</v>
      </c>
      <c r="AO3076">
        <v>0</v>
      </c>
      <c r="AQ3076" t="s">
        <v>1261</v>
      </c>
      <c r="AR3076" t="s">
        <v>1260</v>
      </c>
      <c r="AS3076" t="s">
        <v>1259</v>
      </c>
      <c r="AT3076" s="30">
        <v>46073.384722222225</v>
      </c>
    </row>
    <row r="3077" spans="1:46" x14ac:dyDescent="0.25">
      <c r="A3077" t="s">
        <v>1248</v>
      </c>
      <c r="B3077">
        <v>253573</v>
      </c>
      <c r="C3077">
        <v>119993</v>
      </c>
      <c r="D3077">
        <v>405</v>
      </c>
      <c r="E3077" t="s">
        <v>1266</v>
      </c>
      <c r="G3077">
        <v>745</v>
      </c>
      <c r="H3077">
        <v>1832</v>
      </c>
      <c r="K3077">
        <v>38272</v>
      </c>
      <c r="L3077">
        <v>38272</v>
      </c>
      <c r="M3077" s="29">
        <v>34171428571</v>
      </c>
      <c r="N3077">
        <v>0</v>
      </c>
      <c r="O3077" s="29">
        <v>34171428571</v>
      </c>
      <c r="P3077">
        <v>0</v>
      </c>
      <c r="Q3077">
        <v>0</v>
      </c>
      <c r="R3077">
        <v>0</v>
      </c>
      <c r="T3077" s="29">
        <v>11200</v>
      </c>
      <c r="U3077" s="29">
        <v>428646398</v>
      </c>
      <c r="V3077" t="s">
        <v>1262</v>
      </c>
      <c r="W3077" t="s">
        <v>1262</v>
      </c>
      <c r="X3077" s="29">
        <v>428646398</v>
      </c>
      <c r="AA3077" s="30">
        <v>45926.333333333336</v>
      </c>
      <c r="AB3077" s="30">
        <v>45945.708333333336</v>
      </c>
      <c r="AC3077" s="30">
        <v>45926.333333333336</v>
      </c>
      <c r="AD3077" s="30">
        <v>45945.708333333336</v>
      </c>
      <c r="AE3077" s="30">
        <v>46077.333333333336</v>
      </c>
      <c r="AF3077" s="30">
        <v>46094.708333333336</v>
      </c>
      <c r="AG3077" t="s">
        <v>1266</v>
      </c>
      <c r="AK3077" t="s">
        <v>1265</v>
      </c>
      <c r="AL3077" t="s">
        <v>1574</v>
      </c>
      <c r="AM3077" t="s">
        <v>1263</v>
      </c>
      <c r="AN3077" t="s">
        <v>1262</v>
      </c>
      <c r="AO3077">
        <v>0</v>
      </c>
      <c r="AQ3077" t="s">
        <v>1261</v>
      </c>
      <c r="AR3077" t="s">
        <v>1260</v>
      </c>
      <c r="AS3077" t="s">
        <v>1259</v>
      </c>
      <c r="AT3077" s="30">
        <v>46073.384722222225</v>
      </c>
    </row>
    <row r="3078" spans="1:46" x14ac:dyDescent="0.25">
      <c r="A3078" t="s">
        <v>1248</v>
      </c>
      <c r="B3078">
        <v>253574</v>
      </c>
      <c r="C3078">
        <v>119994</v>
      </c>
      <c r="D3078">
        <v>405</v>
      </c>
      <c r="E3078" t="s">
        <v>1266</v>
      </c>
      <c r="G3078">
        <v>745</v>
      </c>
      <c r="H3078">
        <v>1832</v>
      </c>
      <c r="K3078">
        <v>38272</v>
      </c>
      <c r="L3078">
        <v>38272</v>
      </c>
      <c r="M3078" s="29">
        <v>34171428571</v>
      </c>
      <c r="N3078">
        <v>0</v>
      </c>
      <c r="O3078" s="29">
        <v>34171428571</v>
      </c>
      <c r="P3078">
        <v>0</v>
      </c>
      <c r="Q3078">
        <v>0</v>
      </c>
      <c r="R3078">
        <v>0</v>
      </c>
      <c r="T3078" s="29">
        <v>11200</v>
      </c>
      <c r="U3078" s="29">
        <v>428646398</v>
      </c>
      <c r="V3078" t="s">
        <v>1262</v>
      </c>
      <c r="W3078" t="s">
        <v>1262</v>
      </c>
      <c r="X3078" s="29">
        <v>428646398</v>
      </c>
      <c r="AA3078" s="30">
        <v>45946.333333333336</v>
      </c>
      <c r="AB3078" s="30">
        <v>45965.708333333336</v>
      </c>
      <c r="AC3078" s="30">
        <v>45946.333333333336</v>
      </c>
      <c r="AD3078" s="30">
        <v>45965.708333333336</v>
      </c>
      <c r="AE3078" s="30">
        <v>46097.333333333336</v>
      </c>
      <c r="AF3078" s="30">
        <v>46114.708333333336</v>
      </c>
      <c r="AG3078" t="s">
        <v>1266</v>
      </c>
      <c r="AK3078" t="s">
        <v>1265</v>
      </c>
      <c r="AL3078" t="s">
        <v>1573</v>
      </c>
      <c r="AM3078" t="s">
        <v>1263</v>
      </c>
      <c r="AN3078" t="s">
        <v>1262</v>
      </c>
      <c r="AO3078">
        <v>0</v>
      </c>
      <c r="AQ3078" t="s">
        <v>1261</v>
      </c>
      <c r="AR3078" t="s">
        <v>1260</v>
      </c>
      <c r="AS3078" t="s">
        <v>1259</v>
      </c>
      <c r="AT3078" s="30">
        <v>46073.384722222225</v>
      </c>
    </row>
    <row r="3079" spans="1:46" x14ac:dyDescent="0.25">
      <c r="A3079" t="s">
        <v>1248</v>
      </c>
      <c r="B3079">
        <v>253575</v>
      </c>
      <c r="C3079">
        <v>119995</v>
      </c>
      <c r="D3079">
        <v>405</v>
      </c>
      <c r="E3079" t="s">
        <v>1266</v>
      </c>
      <c r="G3079">
        <v>745</v>
      </c>
      <c r="H3079">
        <v>1832</v>
      </c>
      <c r="K3079">
        <v>38272</v>
      </c>
      <c r="L3079">
        <v>38272</v>
      </c>
      <c r="M3079" s="29">
        <v>34171428571</v>
      </c>
      <c r="N3079">
        <v>0</v>
      </c>
      <c r="O3079" s="29">
        <v>34171428571</v>
      </c>
      <c r="P3079">
        <v>0</v>
      </c>
      <c r="Q3079">
        <v>0</v>
      </c>
      <c r="R3079">
        <v>0</v>
      </c>
      <c r="T3079" s="29">
        <v>11200</v>
      </c>
      <c r="U3079" s="29">
        <v>428646398</v>
      </c>
      <c r="V3079" t="s">
        <v>1262</v>
      </c>
      <c r="W3079" t="s">
        <v>1262</v>
      </c>
      <c r="X3079" s="29">
        <v>428646398</v>
      </c>
      <c r="AA3079" s="30">
        <v>45966.333333333336</v>
      </c>
      <c r="AB3079" s="30">
        <v>45985.708333333336</v>
      </c>
      <c r="AC3079" s="30">
        <v>45966.333333333336</v>
      </c>
      <c r="AD3079" s="30">
        <v>45985.708333333336</v>
      </c>
      <c r="AE3079" s="30">
        <v>46115.333333333336</v>
      </c>
      <c r="AF3079" s="30">
        <v>46135.708333333336</v>
      </c>
      <c r="AG3079" t="s">
        <v>1266</v>
      </c>
      <c r="AK3079" t="s">
        <v>1265</v>
      </c>
      <c r="AL3079" t="s">
        <v>1572</v>
      </c>
      <c r="AM3079" t="s">
        <v>1263</v>
      </c>
      <c r="AN3079" t="s">
        <v>1262</v>
      </c>
      <c r="AO3079">
        <v>0</v>
      </c>
      <c r="AQ3079" t="s">
        <v>1261</v>
      </c>
      <c r="AR3079" t="s">
        <v>1260</v>
      </c>
      <c r="AS3079" t="s">
        <v>1259</v>
      </c>
      <c r="AT3079" s="30">
        <v>46073.384722222225</v>
      </c>
    </row>
    <row r="3080" spans="1:46" x14ac:dyDescent="0.25">
      <c r="A3080" t="s">
        <v>1248</v>
      </c>
      <c r="B3080">
        <v>253576</v>
      </c>
      <c r="C3080">
        <v>119996</v>
      </c>
      <c r="D3080">
        <v>405</v>
      </c>
      <c r="E3080" t="s">
        <v>1266</v>
      </c>
      <c r="G3080">
        <v>745</v>
      </c>
      <c r="H3080">
        <v>1832</v>
      </c>
      <c r="K3080">
        <v>38272</v>
      </c>
      <c r="L3080">
        <v>38272</v>
      </c>
      <c r="M3080" s="29">
        <v>34171428571</v>
      </c>
      <c r="N3080">
        <v>0</v>
      </c>
      <c r="O3080" s="29">
        <v>34171428571</v>
      </c>
      <c r="P3080">
        <v>0</v>
      </c>
      <c r="Q3080">
        <v>0</v>
      </c>
      <c r="R3080">
        <v>0</v>
      </c>
      <c r="T3080" s="29">
        <v>11200</v>
      </c>
      <c r="U3080" s="29">
        <v>428646398</v>
      </c>
      <c r="V3080" t="s">
        <v>1262</v>
      </c>
      <c r="W3080" t="s">
        <v>1262</v>
      </c>
      <c r="X3080" s="29">
        <v>428646398</v>
      </c>
      <c r="AA3080" s="30">
        <v>45986.333333333336</v>
      </c>
      <c r="AB3080" s="30">
        <v>46003.708333333336</v>
      </c>
      <c r="AC3080" s="30">
        <v>45986.333333333336</v>
      </c>
      <c r="AD3080" s="30">
        <v>46003.708333333336</v>
      </c>
      <c r="AE3080" s="30">
        <v>46136.333333333336</v>
      </c>
      <c r="AF3080" s="30">
        <v>46156.708333333336</v>
      </c>
      <c r="AG3080" t="s">
        <v>1266</v>
      </c>
      <c r="AK3080" t="s">
        <v>1265</v>
      </c>
      <c r="AL3080" t="s">
        <v>1571</v>
      </c>
      <c r="AM3080" t="s">
        <v>1263</v>
      </c>
      <c r="AN3080" t="s">
        <v>1262</v>
      </c>
      <c r="AO3080">
        <v>0</v>
      </c>
      <c r="AQ3080" t="s">
        <v>1261</v>
      </c>
      <c r="AR3080" t="s">
        <v>1260</v>
      </c>
      <c r="AS3080" t="s">
        <v>1259</v>
      </c>
      <c r="AT3080" s="30">
        <v>46073.384722222225</v>
      </c>
    </row>
    <row r="3081" spans="1:46" x14ac:dyDescent="0.25">
      <c r="A3081" t="s">
        <v>1248</v>
      </c>
      <c r="B3081">
        <v>253577</v>
      </c>
      <c r="C3081">
        <v>119997</v>
      </c>
      <c r="D3081">
        <v>405</v>
      </c>
      <c r="E3081" t="s">
        <v>1266</v>
      </c>
      <c r="G3081">
        <v>745</v>
      </c>
      <c r="H3081">
        <v>1832</v>
      </c>
      <c r="K3081">
        <v>38272</v>
      </c>
      <c r="L3081">
        <v>38272</v>
      </c>
      <c r="M3081" s="29">
        <v>34171428571</v>
      </c>
      <c r="N3081">
        <v>0</v>
      </c>
      <c r="O3081" s="29">
        <v>34171428571</v>
      </c>
      <c r="P3081">
        <v>0</v>
      </c>
      <c r="Q3081">
        <v>0</v>
      </c>
      <c r="R3081">
        <v>0</v>
      </c>
      <c r="T3081" s="29">
        <v>11200</v>
      </c>
      <c r="U3081" s="29">
        <v>428646398</v>
      </c>
      <c r="V3081" t="s">
        <v>1262</v>
      </c>
      <c r="W3081" t="s">
        <v>1262</v>
      </c>
      <c r="X3081" s="29">
        <v>428646398</v>
      </c>
      <c r="AA3081" s="30">
        <v>46006.333333333336</v>
      </c>
      <c r="AB3081" s="30">
        <v>46024.708333333336</v>
      </c>
      <c r="AC3081" s="30">
        <v>46006.333333333336</v>
      </c>
      <c r="AD3081" s="30">
        <v>46024.708333333336</v>
      </c>
      <c r="AE3081" s="30">
        <v>46157.333333333336</v>
      </c>
      <c r="AF3081" s="30">
        <v>46177.708333333336</v>
      </c>
      <c r="AG3081" t="s">
        <v>1266</v>
      </c>
      <c r="AK3081" t="s">
        <v>1265</v>
      </c>
      <c r="AL3081" t="s">
        <v>1570</v>
      </c>
      <c r="AM3081" t="s">
        <v>1263</v>
      </c>
      <c r="AN3081" t="s">
        <v>1262</v>
      </c>
      <c r="AO3081">
        <v>0</v>
      </c>
      <c r="AQ3081" t="s">
        <v>1261</v>
      </c>
      <c r="AR3081" t="s">
        <v>1260</v>
      </c>
      <c r="AS3081" t="s">
        <v>1259</v>
      </c>
      <c r="AT3081" s="30">
        <v>46073.384722222225</v>
      </c>
    </row>
    <row r="3082" spans="1:46" x14ac:dyDescent="0.25">
      <c r="A3082" t="s">
        <v>1248</v>
      </c>
      <c r="B3082">
        <v>253589</v>
      </c>
      <c r="C3082">
        <v>119795</v>
      </c>
      <c r="D3082">
        <v>405</v>
      </c>
      <c r="E3082" t="s">
        <v>1266</v>
      </c>
      <c r="G3082">
        <v>745</v>
      </c>
      <c r="H3082">
        <v>1818</v>
      </c>
      <c r="K3082">
        <v>240</v>
      </c>
      <c r="L3082">
        <v>240</v>
      </c>
      <c r="M3082">
        <v>2</v>
      </c>
      <c r="N3082">
        <v>0</v>
      </c>
      <c r="O3082">
        <v>2</v>
      </c>
      <c r="P3082">
        <v>0</v>
      </c>
      <c r="Q3082">
        <v>0</v>
      </c>
      <c r="R3082">
        <v>0</v>
      </c>
      <c r="T3082" s="29">
        <v>2199900</v>
      </c>
      <c r="U3082" s="29">
        <v>527976000</v>
      </c>
      <c r="V3082" t="s">
        <v>1262</v>
      </c>
      <c r="W3082" t="s">
        <v>1262</v>
      </c>
      <c r="X3082" s="29">
        <v>527976000</v>
      </c>
      <c r="AA3082" s="30">
        <v>45782.333333333336</v>
      </c>
      <c r="AB3082" s="30">
        <v>45800.708333333336</v>
      </c>
      <c r="AC3082" s="30">
        <v>45782.333333333336</v>
      </c>
      <c r="AD3082" s="30">
        <v>45800.708333333336</v>
      </c>
      <c r="AE3082" s="30">
        <v>45782.333333333336</v>
      </c>
      <c r="AF3082" s="30">
        <v>45800.708333333336</v>
      </c>
      <c r="AG3082" t="s">
        <v>1266</v>
      </c>
      <c r="AK3082" t="s">
        <v>1265</v>
      </c>
      <c r="AL3082" t="s">
        <v>1569</v>
      </c>
      <c r="AM3082" t="s">
        <v>1263</v>
      </c>
      <c r="AN3082" t="s">
        <v>1262</v>
      </c>
      <c r="AO3082">
        <v>0</v>
      </c>
      <c r="AQ3082" t="s">
        <v>1261</v>
      </c>
      <c r="AR3082" t="s">
        <v>1260</v>
      </c>
      <c r="AS3082" t="s">
        <v>1259</v>
      </c>
      <c r="AT3082" s="30">
        <v>46073.4</v>
      </c>
    </row>
    <row r="3083" spans="1:46" x14ac:dyDescent="0.25">
      <c r="A3083" t="s">
        <v>1248</v>
      </c>
      <c r="B3083">
        <v>253590</v>
      </c>
      <c r="C3083">
        <v>119795</v>
      </c>
      <c r="D3083">
        <v>405</v>
      </c>
      <c r="E3083" t="s">
        <v>1266</v>
      </c>
      <c r="G3083">
        <v>745</v>
      </c>
      <c r="H3083">
        <v>1832</v>
      </c>
      <c r="K3083">
        <v>28800</v>
      </c>
      <c r="L3083">
        <v>28800</v>
      </c>
      <c r="M3083">
        <v>240</v>
      </c>
      <c r="N3083">
        <v>0</v>
      </c>
      <c r="O3083">
        <v>240</v>
      </c>
      <c r="P3083">
        <v>0</v>
      </c>
      <c r="Q3083">
        <v>0</v>
      </c>
      <c r="R3083">
        <v>0</v>
      </c>
      <c r="T3083" s="29">
        <v>11200</v>
      </c>
      <c r="U3083" s="29">
        <v>322559998</v>
      </c>
      <c r="V3083" t="s">
        <v>1262</v>
      </c>
      <c r="W3083" t="s">
        <v>1262</v>
      </c>
      <c r="X3083" s="29">
        <v>322559998</v>
      </c>
      <c r="AA3083" s="30">
        <v>45782.333333333336</v>
      </c>
      <c r="AB3083" s="30">
        <v>45800.708333333336</v>
      </c>
      <c r="AC3083" s="30">
        <v>45782.333333333336</v>
      </c>
      <c r="AD3083" s="30">
        <v>45800.708333333336</v>
      </c>
      <c r="AE3083" s="30">
        <v>45782.333333333336</v>
      </c>
      <c r="AF3083" s="30">
        <v>45800.708333333336</v>
      </c>
      <c r="AG3083" t="s">
        <v>1266</v>
      </c>
      <c r="AK3083" t="s">
        <v>1265</v>
      </c>
      <c r="AL3083" t="s">
        <v>1568</v>
      </c>
      <c r="AM3083" t="s">
        <v>1263</v>
      </c>
      <c r="AN3083" t="s">
        <v>1262</v>
      </c>
      <c r="AO3083">
        <v>0</v>
      </c>
      <c r="AQ3083" t="s">
        <v>1261</v>
      </c>
      <c r="AR3083" t="s">
        <v>1260</v>
      </c>
      <c r="AS3083" t="s">
        <v>1259</v>
      </c>
      <c r="AT3083" s="30">
        <v>46073.4</v>
      </c>
    </row>
    <row r="3084" spans="1:46" x14ac:dyDescent="0.25">
      <c r="A3084" t="s">
        <v>1248</v>
      </c>
      <c r="B3084">
        <v>253591</v>
      </c>
      <c r="C3084">
        <v>119796</v>
      </c>
      <c r="D3084">
        <v>405</v>
      </c>
      <c r="E3084" t="s">
        <v>1266</v>
      </c>
      <c r="G3084">
        <v>745</v>
      </c>
      <c r="H3084">
        <v>1671</v>
      </c>
      <c r="K3084">
        <v>6780</v>
      </c>
      <c r="L3084">
        <v>6780</v>
      </c>
      <c r="M3084" t="s">
        <v>1567</v>
      </c>
      <c r="N3084">
        <v>0</v>
      </c>
      <c r="O3084" t="s">
        <v>1567</v>
      </c>
      <c r="P3084">
        <v>0</v>
      </c>
      <c r="Q3084">
        <v>0</v>
      </c>
      <c r="R3084">
        <v>0</v>
      </c>
      <c r="T3084" t="s">
        <v>1262</v>
      </c>
      <c r="U3084" t="s">
        <v>1262</v>
      </c>
      <c r="V3084" t="s">
        <v>1262</v>
      </c>
      <c r="W3084" t="s">
        <v>1262</v>
      </c>
      <c r="X3084" t="s">
        <v>1262</v>
      </c>
      <c r="AA3084" s="30">
        <v>45803.333333333336</v>
      </c>
      <c r="AB3084" s="30">
        <v>45805.708333333336</v>
      </c>
      <c r="AC3084" s="30">
        <v>45803.333333333336</v>
      </c>
      <c r="AD3084" s="30">
        <v>45805.708333333336</v>
      </c>
      <c r="AE3084" s="30">
        <v>45803.333333333336</v>
      </c>
      <c r="AF3084" s="30">
        <v>45805.708333333336</v>
      </c>
      <c r="AG3084" t="s">
        <v>1266</v>
      </c>
      <c r="AK3084" t="s">
        <v>1265</v>
      </c>
      <c r="AL3084" t="s">
        <v>1566</v>
      </c>
      <c r="AM3084" t="s">
        <v>1263</v>
      </c>
      <c r="AN3084" t="s">
        <v>1262</v>
      </c>
      <c r="AO3084">
        <v>0</v>
      </c>
      <c r="AQ3084" t="s">
        <v>1261</v>
      </c>
      <c r="AR3084" t="s">
        <v>1260</v>
      </c>
      <c r="AS3084" t="s">
        <v>1259</v>
      </c>
      <c r="AT3084" s="30">
        <v>46073.400694444441</v>
      </c>
    </row>
    <row r="3085" spans="1:46" x14ac:dyDescent="0.25">
      <c r="A3085" t="s">
        <v>1248</v>
      </c>
      <c r="B3085">
        <v>253592</v>
      </c>
      <c r="C3085">
        <v>119796</v>
      </c>
      <c r="D3085">
        <v>405</v>
      </c>
      <c r="E3085" t="s">
        <v>1266</v>
      </c>
      <c r="G3085">
        <v>745</v>
      </c>
      <c r="H3085">
        <v>1873</v>
      </c>
      <c r="K3085" t="s">
        <v>1565</v>
      </c>
      <c r="L3085" t="s">
        <v>1565</v>
      </c>
      <c r="M3085" t="s">
        <v>1564</v>
      </c>
      <c r="N3085">
        <v>0</v>
      </c>
      <c r="O3085" t="s">
        <v>1564</v>
      </c>
      <c r="P3085">
        <v>0</v>
      </c>
      <c r="Q3085">
        <v>0</v>
      </c>
      <c r="R3085">
        <v>0</v>
      </c>
      <c r="T3085" s="29">
        <v>80000</v>
      </c>
      <c r="U3085" s="29">
        <v>43392000</v>
      </c>
      <c r="V3085" t="s">
        <v>1262</v>
      </c>
      <c r="W3085" t="s">
        <v>1262</v>
      </c>
      <c r="X3085" s="29">
        <v>43392000</v>
      </c>
      <c r="AA3085" s="30">
        <v>45803.333333333336</v>
      </c>
      <c r="AB3085" s="30">
        <v>45805.708333333336</v>
      </c>
      <c r="AC3085" s="30">
        <v>45803.333333333336</v>
      </c>
      <c r="AD3085" s="30">
        <v>45805.708333333336</v>
      </c>
      <c r="AE3085" s="30">
        <v>45803.333333333336</v>
      </c>
      <c r="AF3085" s="30">
        <v>45805.708333333336</v>
      </c>
      <c r="AG3085" t="s">
        <v>1266</v>
      </c>
      <c r="AK3085" t="s">
        <v>1265</v>
      </c>
      <c r="AL3085" t="s">
        <v>1563</v>
      </c>
      <c r="AM3085" t="s">
        <v>1263</v>
      </c>
      <c r="AN3085" t="s">
        <v>1262</v>
      </c>
      <c r="AO3085">
        <v>0</v>
      </c>
      <c r="AQ3085" t="s">
        <v>1261</v>
      </c>
      <c r="AR3085" t="s">
        <v>1260</v>
      </c>
      <c r="AS3085" t="s">
        <v>1259</v>
      </c>
      <c r="AT3085" s="30">
        <v>46073.401388888888</v>
      </c>
    </row>
    <row r="3086" spans="1:46" x14ac:dyDescent="0.25">
      <c r="A3086" t="s">
        <v>1248</v>
      </c>
      <c r="B3086">
        <v>253593</v>
      </c>
      <c r="C3086">
        <v>119797</v>
      </c>
      <c r="D3086">
        <v>405</v>
      </c>
      <c r="E3086" t="s">
        <v>1266</v>
      </c>
      <c r="G3086">
        <v>745</v>
      </c>
      <c r="H3086">
        <v>1816</v>
      </c>
      <c r="K3086" t="s">
        <v>1562</v>
      </c>
      <c r="L3086" t="s">
        <v>1562</v>
      </c>
      <c r="M3086" s="29">
        <v>636966666</v>
      </c>
      <c r="N3086">
        <v>0</v>
      </c>
      <c r="O3086" s="29">
        <v>636966666</v>
      </c>
      <c r="P3086">
        <v>0</v>
      </c>
      <c r="Q3086">
        <v>0</v>
      </c>
      <c r="R3086">
        <v>0</v>
      </c>
      <c r="T3086" s="29">
        <v>60000</v>
      </c>
      <c r="U3086" s="29">
        <v>45861600</v>
      </c>
      <c r="V3086" t="s">
        <v>1262</v>
      </c>
      <c r="W3086" t="s">
        <v>1262</v>
      </c>
      <c r="X3086" s="29">
        <v>45861600</v>
      </c>
      <c r="AA3086" s="30">
        <v>45806.333333333336</v>
      </c>
      <c r="AB3086" s="30">
        <v>45826.708333333336</v>
      </c>
      <c r="AC3086" s="30">
        <v>45806.333333333336</v>
      </c>
      <c r="AD3086" s="30">
        <v>45826.708333333336</v>
      </c>
      <c r="AE3086" s="30">
        <v>45806.333333333336</v>
      </c>
      <c r="AF3086" s="30">
        <v>45826.708333333336</v>
      </c>
      <c r="AG3086" t="s">
        <v>1266</v>
      </c>
      <c r="AK3086" t="s">
        <v>1265</v>
      </c>
      <c r="AL3086" t="s">
        <v>1561</v>
      </c>
      <c r="AM3086" t="s">
        <v>1263</v>
      </c>
      <c r="AN3086" t="s">
        <v>1262</v>
      </c>
      <c r="AO3086">
        <v>0</v>
      </c>
      <c r="AQ3086" t="s">
        <v>1261</v>
      </c>
      <c r="AR3086" t="s">
        <v>1260</v>
      </c>
      <c r="AS3086" t="s">
        <v>1259</v>
      </c>
      <c r="AT3086" s="30">
        <v>46073.401388888888</v>
      </c>
    </row>
    <row r="3087" spans="1:46" x14ac:dyDescent="0.25">
      <c r="A3087" t="s">
        <v>1248</v>
      </c>
      <c r="B3087">
        <v>253594</v>
      </c>
      <c r="C3087">
        <v>119797</v>
      </c>
      <c r="D3087">
        <v>405</v>
      </c>
      <c r="E3087" t="s">
        <v>1266</v>
      </c>
      <c r="G3087">
        <v>745</v>
      </c>
      <c r="H3087">
        <v>1817</v>
      </c>
      <c r="K3087" t="s">
        <v>1560</v>
      </c>
      <c r="L3087" t="s">
        <v>1560</v>
      </c>
      <c r="M3087" s="29">
        <v>103075</v>
      </c>
      <c r="N3087">
        <v>0</v>
      </c>
      <c r="O3087" s="29">
        <v>103075</v>
      </c>
      <c r="P3087">
        <v>0</v>
      </c>
      <c r="Q3087">
        <v>0</v>
      </c>
      <c r="R3087">
        <v>0</v>
      </c>
      <c r="T3087" s="29">
        <v>20000</v>
      </c>
      <c r="U3087" s="29">
        <v>2473800</v>
      </c>
      <c r="V3087" t="s">
        <v>1262</v>
      </c>
      <c r="W3087" t="s">
        <v>1262</v>
      </c>
      <c r="X3087" s="29">
        <v>2473800</v>
      </c>
      <c r="AA3087" s="30">
        <v>45806.333333333336</v>
      </c>
      <c r="AB3087" s="30">
        <v>45826.708333333336</v>
      </c>
      <c r="AC3087" s="30">
        <v>45806.333333333336</v>
      </c>
      <c r="AD3087" s="30">
        <v>45826.708333333336</v>
      </c>
      <c r="AE3087" s="30">
        <v>45806.333333333336</v>
      </c>
      <c r="AF3087" s="30">
        <v>45826.708333333336</v>
      </c>
      <c r="AG3087" t="s">
        <v>1266</v>
      </c>
      <c r="AK3087" t="s">
        <v>1265</v>
      </c>
      <c r="AL3087" t="s">
        <v>1559</v>
      </c>
      <c r="AM3087" t="s">
        <v>1263</v>
      </c>
      <c r="AN3087" t="s">
        <v>1262</v>
      </c>
      <c r="AO3087">
        <v>0</v>
      </c>
      <c r="AQ3087" t="s">
        <v>1261</v>
      </c>
      <c r="AR3087" t="s">
        <v>1260</v>
      </c>
      <c r="AS3087" t="s">
        <v>1259</v>
      </c>
      <c r="AT3087" s="30">
        <v>46073.402083333334</v>
      </c>
    </row>
    <row r="3088" spans="1:46" x14ac:dyDescent="0.25">
      <c r="A3088" t="s">
        <v>1248</v>
      </c>
      <c r="B3088">
        <v>253595</v>
      </c>
      <c r="C3088">
        <v>119797</v>
      </c>
      <c r="D3088">
        <v>405</v>
      </c>
      <c r="E3088" t="s">
        <v>1266</v>
      </c>
      <c r="G3088">
        <v>745</v>
      </c>
      <c r="H3088">
        <v>1806</v>
      </c>
      <c r="K3088" t="s">
        <v>1558</v>
      </c>
      <c r="L3088" t="s">
        <v>1558</v>
      </c>
      <c r="M3088" s="29">
        <v>417566666</v>
      </c>
      <c r="N3088">
        <v>0</v>
      </c>
      <c r="O3088" s="29">
        <v>417566666</v>
      </c>
      <c r="P3088">
        <v>0</v>
      </c>
      <c r="Q3088">
        <v>0</v>
      </c>
      <c r="R3088">
        <v>0</v>
      </c>
      <c r="T3088" t="s">
        <v>1557</v>
      </c>
      <c r="U3088" s="29">
        <v>4158964</v>
      </c>
      <c r="V3088" t="s">
        <v>1262</v>
      </c>
      <c r="W3088" t="s">
        <v>1262</v>
      </c>
      <c r="X3088" s="29">
        <v>4158964</v>
      </c>
      <c r="AA3088" s="30">
        <v>45806.333333333336</v>
      </c>
      <c r="AB3088" s="30">
        <v>45826.708333333336</v>
      </c>
      <c r="AC3088" s="30">
        <v>45806.333333333336</v>
      </c>
      <c r="AD3088" s="30">
        <v>45826.708333333336</v>
      </c>
      <c r="AE3088" s="30">
        <v>45806.333333333336</v>
      </c>
      <c r="AF3088" s="30">
        <v>45826.708333333336</v>
      </c>
      <c r="AG3088" t="s">
        <v>1266</v>
      </c>
      <c r="AK3088" t="s">
        <v>1265</v>
      </c>
      <c r="AL3088" t="s">
        <v>1556</v>
      </c>
      <c r="AM3088" t="s">
        <v>1263</v>
      </c>
      <c r="AN3088" t="s">
        <v>1262</v>
      </c>
      <c r="AO3088">
        <v>0</v>
      </c>
      <c r="AQ3088" t="s">
        <v>1261</v>
      </c>
      <c r="AR3088" t="s">
        <v>1260</v>
      </c>
      <c r="AS3088" t="s">
        <v>1259</v>
      </c>
      <c r="AT3088" s="30">
        <v>46073.402777777781</v>
      </c>
    </row>
    <row r="3089" spans="1:46" x14ac:dyDescent="0.25">
      <c r="A3089" t="s">
        <v>1248</v>
      </c>
      <c r="B3089">
        <v>253596</v>
      </c>
      <c r="C3089">
        <v>119797</v>
      </c>
      <c r="D3089">
        <v>405</v>
      </c>
      <c r="E3089" t="s">
        <v>1266</v>
      </c>
      <c r="G3089">
        <v>745</v>
      </c>
      <c r="H3089">
        <v>1819</v>
      </c>
      <c r="K3089" t="s">
        <v>1555</v>
      </c>
      <c r="L3089" t="s">
        <v>1555</v>
      </c>
      <c r="M3089" t="s">
        <v>1554</v>
      </c>
      <c r="N3089">
        <v>0</v>
      </c>
      <c r="O3089" t="s">
        <v>1554</v>
      </c>
      <c r="P3089">
        <v>0</v>
      </c>
      <c r="Q3089">
        <v>0</v>
      </c>
      <c r="R3089">
        <v>0</v>
      </c>
      <c r="T3089" s="29">
        <v>1350000</v>
      </c>
      <c r="U3089" s="29">
        <v>119367000</v>
      </c>
      <c r="V3089" t="s">
        <v>1262</v>
      </c>
      <c r="W3089" t="s">
        <v>1262</v>
      </c>
      <c r="X3089" s="29">
        <v>119367000</v>
      </c>
      <c r="AA3089" s="30">
        <v>45806.333333333336</v>
      </c>
      <c r="AB3089" s="30">
        <v>45826.708333333336</v>
      </c>
      <c r="AC3089" s="30">
        <v>45806.333333333336</v>
      </c>
      <c r="AD3089" s="30">
        <v>45826.708333333336</v>
      </c>
      <c r="AE3089" s="30">
        <v>45806.333333333336</v>
      </c>
      <c r="AF3089" s="30">
        <v>45826.708333333336</v>
      </c>
      <c r="AG3089" t="s">
        <v>1266</v>
      </c>
      <c r="AK3089" t="s">
        <v>1265</v>
      </c>
      <c r="AL3089" t="s">
        <v>1553</v>
      </c>
      <c r="AM3089" t="s">
        <v>1263</v>
      </c>
      <c r="AN3089" t="s">
        <v>1262</v>
      </c>
      <c r="AO3089">
        <v>0</v>
      </c>
      <c r="AQ3089" t="s">
        <v>1261</v>
      </c>
      <c r="AR3089" t="s">
        <v>1260</v>
      </c>
      <c r="AS3089" t="s">
        <v>1259</v>
      </c>
      <c r="AT3089" s="30">
        <v>46073.402777777781</v>
      </c>
    </row>
    <row r="3090" spans="1:46" x14ac:dyDescent="0.25">
      <c r="A3090" t="s">
        <v>1248</v>
      </c>
      <c r="B3090">
        <v>253597</v>
      </c>
      <c r="C3090">
        <v>119797</v>
      </c>
      <c r="D3090">
        <v>405</v>
      </c>
      <c r="E3090" t="s">
        <v>1266</v>
      </c>
      <c r="G3090">
        <v>745</v>
      </c>
      <c r="H3090">
        <v>1821</v>
      </c>
      <c r="K3090" t="s">
        <v>1552</v>
      </c>
      <c r="L3090" t="s">
        <v>1552</v>
      </c>
      <c r="M3090" s="29">
        <v>1805</v>
      </c>
      <c r="N3090">
        <v>0</v>
      </c>
      <c r="O3090" s="29">
        <v>1805</v>
      </c>
      <c r="P3090">
        <v>0</v>
      </c>
      <c r="Q3090">
        <v>0</v>
      </c>
      <c r="R3090">
        <v>0</v>
      </c>
      <c r="T3090" s="29">
        <v>1670000</v>
      </c>
      <c r="U3090" s="29">
        <v>361722000</v>
      </c>
      <c r="V3090" t="s">
        <v>1262</v>
      </c>
      <c r="W3090" t="s">
        <v>1262</v>
      </c>
      <c r="X3090" s="29">
        <v>361722000</v>
      </c>
      <c r="AA3090" s="30">
        <v>45806.333333333336</v>
      </c>
      <c r="AB3090" s="30">
        <v>45826.708333333336</v>
      </c>
      <c r="AC3090" s="30">
        <v>45806.333333333336</v>
      </c>
      <c r="AD3090" s="30">
        <v>45826.708333333336</v>
      </c>
      <c r="AE3090" s="30">
        <v>45806.333333333336</v>
      </c>
      <c r="AF3090" s="30">
        <v>45826.708333333336</v>
      </c>
      <c r="AG3090" t="s">
        <v>1266</v>
      </c>
      <c r="AK3090" t="s">
        <v>1265</v>
      </c>
      <c r="AL3090" t="s">
        <v>1551</v>
      </c>
      <c r="AM3090" t="s">
        <v>1263</v>
      </c>
      <c r="AN3090" t="s">
        <v>1262</v>
      </c>
      <c r="AO3090">
        <v>0</v>
      </c>
      <c r="AQ3090" t="s">
        <v>1261</v>
      </c>
      <c r="AR3090" t="s">
        <v>1260</v>
      </c>
      <c r="AS3090" t="s">
        <v>1259</v>
      </c>
      <c r="AT3090" s="30">
        <v>46073.40347222222</v>
      </c>
    </row>
    <row r="3091" spans="1:46" x14ac:dyDescent="0.25">
      <c r="A3091" t="s">
        <v>1248</v>
      </c>
      <c r="B3091">
        <v>253598</v>
      </c>
      <c r="C3091">
        <v>119797</v>
      </c>
      <c r="D3091">
        <v>405</v>
      </c>
      <c r="E3091" t="s">
        <v>1266</v>
      </c>
      <c r="G3091">
        <v>745</v>
      </c>
      <c r="H3091">
        <v>1832</v>
      </c>
      <c r="K3091">
        <v>28158</v>
      </c>
      <c r="L3091">
        <v>28158</v>
      </c>
      <c r="M3091" t="s">
        <v>1550</v>
      </c>
      <c r="N3091">
        <v>0</v>
      </c>
      <c r="O3091" t="s">
        <v>1550</v>
      </c>
      <c r="P3091">
        <v>0</v>
      </c>
      <c r="Q3091">
        <v>0</v>
      </c>
      <c r="R3091">
        <v>0</v>
      </c>
      <c r="T3091" s="29">
        <v>11200</v>
      </c>
      <c r="U3091" s="29">
        <v>315369598</v>
      </c>
      <c r="V3091" t="s">
        <v>1262</v>
      </c>
      <c r="W3091" t="s">
        <v>1262</v>
      </c>
      <c r="X3091" s="29">
        <v>315369598</v>
      </c>
      <c r="AA3091" s="30">
        <v>45806.333333333336</v>
      </c>
      <c r="AB3091" s="30">
        <v>45826.708333333336</v>
      </c>
      <c r="AC3091" s="30">
        <v>45806.333333333336</v>
      </c>
      <c r="AD3091" s="30">
        <v>45826.708333333336</v>
      </c>
      <c r="AE3091" s="30">
        <v>45806.333333333336</v>
      </c>
      <c r="AF3091" s="30">
        <v>45826.708333333336</v>
      </c>
      <c r="AG3091" t="s">
        <v>1266</v>
      </c>
      <c r="AK3091" t="s">
        <v>1265</v>
      </c>
      <c r="AL3091" t="s">
        <v>1549</v>
      </c>
      <c r="AM3091" t="s">
        <v>1263</v>
      </c>
      <c r="AN3091" t="s">
        <v>1262</v>
      </c>
      <c r="AO3091">
        <v>0</v>
      </c>
      <c r="AQ3091" t="s">
        <v>1261</v>
      </c>
      <c r="AR3091" t="s">
        <v>1260</v>
      </c>
      <c r="AS3091" t="s">
        <v>1259</v>
      </c>
      <c r="AT3091" s="30">
        <v>46073.40347222222</v>
      </c>
    </row>
    <row r="3092" spans="1:46" x14ac:dyDescent="0.25">
      <c r="A3092" t="s">
        <v>1248</v>
      </c>
      <c r="B3092">
        <v>253599</v>
      </c>
      <c r="C3092">
        <v>119797</v>
      </c>
      <c r="D3092">
        <v>405</v>
      </c>
      <c r="E3092" t="s">
        <v>1266</v>
      </c>
      <c r="G3092">
        <v>745</v>
      </c>
      <c r="H3092">
        <v>1827</v>
      </c>
      <c r="K3092" t="s">
        <v>1548</v>
      </c>
      <c r="L3092" t="s">
        <v>1548</v>
      </c>
      <c r="M3092" t="s">
        <v>1547</v>
      </c>
      <c r="N3092">
        <v>0</v>
      </c>
      <c r="O3092" t="s">
        <v>1547</v>
      </c>
      <c r="P3092">
        <v>0</v>
      </c>
      <c r="Q3092">
        <v>0</v>
      </c>
      <c r="R3092">
        <v>0</v>
      </c>
      <c r="T3092" s="29">
        <v>207200</v>
      </c>
      <c r="U3092" s="29">
        <v>18896640</v>
      </c>
      <c r="V3092" t="s">
        <v>1262</v>
      </c>
      <c r="W3092" t="s">
        <v>1262</v>
      </c>
      <c r="X3092" s="29">
        <v>18896640</v>
      </c>
      <c r="AA3092" s="30">
        <v>45806.333333333336</v>
      </c>
      <c r="AB3092" s="30">
        <v>45826.708333333336</v>
      </c>
      <c r="AC3092" s="30">
        <v>45806.333333333336</v>
      </c>
      <c r="AD3092" s="30">
        <v>45826.708333333336</v>
      </c>
      <c r="AE3092" s="30">
        <v>45806.333333333336</v>
      </c>
      <c r="AF3092" s="30">
        <v>45826.708333333336</v>
      </c>
      <c r="AG3092" t="s">
        <v>1266</v>
      </c>
      <c r="AK3092" t="s">
        <v>1265</v>
      </c>
      <c r="AL3092" t="s">
        <v>1546</v>
      </c>
      <c r="AM3092" t="s">
        <v>1263</v>
      </c>
      <c r="AN3092" t="s">
        <v>1262</v>
      </c>
      <c r="AO3092">
        <v>0</v>
      </c>
      <c r="AQ3092" t="s">
        <v>1261</v>
      </c>
      <c r="AR3092" t="s">
        <v>1260</v>
      </c>
      <c r="AS3092" t="s">
        <v>1259</v>
      </c>
      <c r="AT3092" s="30">
        <v>46073.45208333333</v>
      </c>
    </row>
    <row r="3093" spans="1:46" x14ac:dyDescent="0.25">
      <c r="A3093" t="s">
        <v>1248</v>
      </c>
      <c r="B3093">
        <v>253600</v>
      </c>
      <c r="C3093">
        <v>119797</v>
      </c>
      <c r="D3093">
        <v>405</v>
      </c>
      <c r="E3093" t="s">
        <v>1266</v>
      </c>
      <c r="G3093">
        <v>745</v>
      </c>
      <c r="H3093">
        <v>1498</v>
      </c>
      <c r="K3093">
        <v>13362</v>
      </c>
      <c r="L3093">
        <v>13362</v>
      </c>
      <c r="M3093" t="s">
        <v>1545</v>
      </c>
      <c r="N3093">
        <v>0</v>
      </c>
      <c r="O3093" t="s">
        <v>1545</v>
      </c>
      <c r="P3093">
        <v>0</v>
      </c>
      <c r="Q3093">
        <v>0</v>
      </c>
      <c r="R3093">
        <v>0</v>
      </c>
      <c r="S3093">
        <v>0</v>
      </c>
      <c r="T3093" s="29">
        <v>60000</v>
      </c>
      <c r="U3093" s="29">
        <v>801720000</v>
      </c>
      <c r="V3093" t="s">
        <v>1262</v>
      </c>
      <c r="W3093" t="s">
        <v>1262</v>
      </c>
      <c r="X3093" s="29">
        <v>801720000</v>
      </c>
      <c r="AA3093" s="30">
        <v>45806.333333333336</v>
      </c>
      <c r="AB3093" s="30">
        <v>45826.708333333336</v>
      </c>
      <c r="AC3093" s="30">
        <v>45806.333333333336</v>
      </c>
      <c r="AD3093" s="30">
        <v>45826.708333333336</v>
      </c>
      <c r="AE3093" s="30">
        <v>45806.333333333336</v>
      </c>
      <c r="AF3093" s="30">
        <v>45826.708333333336</v>
      </c>
      <c r="AG3093" t="s">
        <v>1266</v>
      </c>
      <c r="AK3093" t="s">
        <v>1265</v>
      </c>
      <c r="AL3093" t="s">
        <v>1544</v>
      </c>
      <c r="AM3093" t="s">
        <v>1263</v>
      </c>
      <c r="AN3093" t="s">
        <v>1262</v>
      </c>
      <c r="AO3093">
        <v>0</v>
      </c>
      <c r="AQ3093" t="s">
        <v>1261</v>
      </c>
      <c r="AR3093" t="s">
        <v>1260</v>
      </c>
      <c r="AS3093" t="s">
        <v>1259</v>
      </c>
      <c r="AT3093" s="30">
        <v>46073.45208333333</v>
      </c>
    </row>
    <row r="3094" spans="1:46" x14ac:dyDescent="0.25">
      <c r="A3094" t="s">
        <v>1248</v>
      </c>
      <c r="B3094">
        <v>253601</v>
      </c>
      <c r="C3094">
        <v>119797</v>
      </c>
      <c r="D3094">
        <v>405</v>
      </c>
      <c r="E3094" t="s">
        <v>1266</v>
      </c>
      <c r="G3094">
        <v>745</v>
      </c>
      <c r="H3094">
        <v>1873</v>
      </c>
      <c r="K3094">
        <v>1068</v>
      </c>
      <c r="L3094">
        <v>1068</v>
      </c>
      <c r="M3094" t="s">
        <v>1543</v>
      </c>
      <c r="N3094">
        <v>0</v>
      </c>
      <c r="O3094" t="s">
        <v>1543</v>
      </c>
      <c r="P3094">
        <v>0</v>
      </c>
      <c r="Q3094">
        <v>0</v>
      </c>
      <c r="R3094">
        <v>0</v>
      </c>
      <c r="T3094" s="29">
        <v>80000</v>
      </c>
      <c r="U3094" s="29">
        <v>85440000</v>
      </c>
      <c r="V3094" t="s">
        <v>1262</v>
      </c>
      <c r="W3094" t="s">
        <v>1262</v>
      </c>
      <c r="X3094" s="29">
        <v>85440000</v>
      </c>
      <c r="AA3094" s="30">
        <v>45806.333333333336</v>
      </c>
      <c r="AB3094" s="30">
        <v>45826.708333333336</v>
      </c>
      <c r="AC3094" s="30">
        <v>45806.333333333336</v>
      </c>
      <c r="AD3094" s="30">
        <v>45826.708333333336</v>
      </c>
      <c r="AE3094" s="30">
        <v>45806.333333333336</v>
      </c>
      <c r="AF3094" s="30">
        <v>45826.708333333336</v>
      </c>
      <c r="AG3094" t="s">
        <v>1266</v>
      </c>
      <c r="AK3094" t="s">
        <v>1265</v>
      </c>
      <c r="AL3094" t="s">
        <v>1542</v>
      </c>
      <c r="AM3094" t="s">
        <v>1263</v>
      </c>
      <c r="AN3094" t="s">
        <v>1262</v>
      </c>
      <c r="AO3094">
        <v>0</v>
      </c>
      <c r="AQ3094" t="s">
        <v>1261</v>
      </c>
      <c r="AR3094" t="s">
        <v>1260</v>
      </c>
      <c r="AS3094" t="s">
        <v>1259</v>
      </c>
      <c r="AT3094" s="30">
        <v>46073.452777777777</v>
      </c>
    </row>
    <row r="3095" spans="1:46" x14ac:dyDescent="0.25">
      <c r="A3095" t="s">
        <v>1248</v>
      </c>
      <c r="B3095">
        <v>253602</v>
      </c>
      <c r="C3095">
        <v>119798</v>
      </c>
      <c r="D3095">
        <v>405</v>
      </c>
      <c r="E3095" t="s">
        <v>1266</v>
      </c>
      <c r="G3095">
        <v>745</v>
      </c>
      <c r="H3095">
        <v>1823</v>
      </c>
      <c r="K3095" t="s">
        <v>1541</v>
      </c>
      <c r="L3095" t="s">
        <v>1541</v>
      </c>
      <c r="M3095" s="29">
        <v>118833333</v>
      </c>
      <c r="N3095">
        <v>0</v>
      </c>
      <c r="O3095" s="29">
        <v>118833333</v>
      </c>
      <c r="P3095">
        <v>0</v>
      </c>
      <c r="Q3095">
        <v>0</v>
      </c>
      <c r="R3095">
        <v>0</v>
      </c>
      <c r="T3095" s="29">
        <v>2200000</v>
      </c>
      <c r="U3095" s="29">
        <v>250976000</v>
      </c>
      <c r="V3095" t="s">
        <v>1262</v>
      </c>
      <c r="W3095" t="s">
        <v>1262</v>
      </c>
      <c r="X3095" s="29">
        <v>250976000</v>
      </c>
      <c r="AA3095" s="30">
        <v>45827.333333333336</v>
      </c>
      <c r="AB3095" s="30">
        <v>45842.708333333336</v>
      </c>
      <c r="AC3095" s="30">
        <v>45827.333333333336</v>
      </c>
      <c r="AD3095" s="30">
        <v>45842.708333333336</v>
      </c>
      <c r="AE3095" s="30">
        <v>45827.333333333336</v>
      </c>
      <c r="AF3095" s="30">
        <v>45842.708333333336</v>
      </c>
      <c r="AG3095" t="s">
        <v>1266</v>
      </c>
      <c r="AK3095" t="s">
        <v>1265</v>
      </c>
      <c r="AL3095" t="s">
        <v>1540</v>
      </c>
      <c r="AM3095" t="s">
        <v>1263</v>
      </c>
      <c r="AN3095" t="s">
        <v>1262</v>
      </c>
      <c r="AO3095">
        <v>0</v>
      </c>
      <c r="AQ3095" t="s">
        <v>1261</v>
      </c>
      <c r="AR3095" t="s">
        <v>1260</v>
      </c>
      <c r="AS3095" t="s">
        <v>1259</v>
      </c>
      <c r="AT3095" s="30">
        <v>46073.452777777777</v>
      </c>
    </row>
    <row r="3096" spans="1:46" x14ac:dyDescent="0.25">
      <c r="A3096" t="s">
        <v>1248</v>
      </c>
      <c r="B3096">
        <v>253603</v>
      </c>
      <c r="C3096">
        <v>119798</v>
      </c>
      <c r="D3096">
        <v>405</v>
      </c>
      <c r="E3096" t="s">
        <v>1266</v>
      </c>
      <c r="G3096">
        <v>745</v>
      </c>
      <c r="H3096">
        <v>1827</v>
      </c>
      <c r="K3096" t="s">
        <v>1539</v>
      </c>
      <c r="L3096" t="s">
        <v>1539</v>
      </c>
      <c r="M3096" s="29">
        <v>323927083</v>
      </c>
      <c r="N3096">
        <v>0</v>
      </c>
      <c r="O3096" s="29">
        <v>323927083</v>
      </c>
      <c r="P3096">
        <v>0</v>
      </c>
      <c r="Q3096">
        <v>0</v>
      </c>
      <c r="R3096">
        <v>0</v>
      </c>
      <c r="T3096" s="29">
        <v>207200</v>
      </c>
      <c r="U3096" s="29">
        <v>64432984</v>
      </c>
      <c r="V3096" t="s">
        <v>1262</v>
      </c>
      <c r="W3096" t="s">
        <v>1262</v>
      </c>
      <c r="X3096" s="29">
        <v>64432984</v>
      </c>
      <c r="AA3096" s="30">
        <v>45827.333333333336</v>
      </c>
      <c r="AB3096" s="30">
        <v>45842.708333333336</v>
      </c>
      <c r="AC3096" s="30">
        <v>45827.333333333336</v>
      </c>
      <c r="AD3096" s="30">
        <v>45842.708333333336</v>
      </c>
      <c r="AE3096" s="30">
        <v>45827.333333333336</v>
      </c>
      <c r="AF3096" s="30">
        <v>45842.708333333336</v>
      </c>
      <c r="AG3096" t="s">
        <v>1266</v>
      </c>
      <c r="AK3096" t="s">
        <v>1265</v>
      </c>
      <c r="AL3096" t="s">
        <v>1538</v>
      </c>
      <c r="AM3096" t="s">
        <v>1263</v>
      </c>
      <c r="AN3096" t="s">
        <v>1262</v>
      </c>
      <c r="AO3096">
        <v>0</v>
      </c>
      <c r="AQ3096" t="s">
        <v>1261</v>
      </c>
      <c r="AR3096" t="s">
        <v>1260</v>
      </c>
      <c r="AS3096" t="s">
        <v>1259</v>
      </c>
      <c r="AT3096" s="30">
        <v>46073.452777777777</v>
      </c>
    </row>
    <row r="3097" spans="1:46" x14ac:dyDescent="0.25">
      <c r="A3097" t="s">
        <v>1248</v>
      </c>
      <c r="B3097">
        <v>253604</v>
      </c>
      <c r="C3097">
        <v>119798</v>
      </c>
      <c r="D3097">
        <v>405</v>
      </c>
      <c r="E3097" t="s">
        <v>1266</v>
      </c>
      <c r="G3097">
        <v>745</v>
      </c>
      <c r="H3097">
        <v>1829</v>
      </c>
      <c r="K3097" t="s">
        <v>1537</v>
      </c>
      <c r="L3097" t="s">
        <v>1537</v>
      </c>
      <c r="M3097" s="29">
        <v>5666614583</v>
      </c>
      <c r="N3097">
        <v>0</v>
      </c>
      <c r="O3097" s="29">
        <v>5666614583</v>
      </c>
      <c r="P3097">
        <v>0</v>
      </c>
      <c r="Q3097">
        <v>0</v>
      </c>
      <c r="R3097">
        <v>0</v>
      </c>
      <c r="T3097" s="29">
        <v>219400</v>
      </c>
      <c r="U3097" s="29">
        <v>1193525030</v>
      </c>
      <c r="V3097" t="s">
        <v>1262</v>
      </c>
      <c r="W3097" t="s">
        <v>1262</v>
      </c>
      <c r="X3097" s="29">
        <v>1193525030</v>
      </c>
      <c r="AA3097" s="30">
        <v>45827.333333333336</v>
      </c>
      <c r="AB3097" s="30">
        <v>45842.708333333336</v>
      </c>
      <c r="AC3097" s="30">
        <v>45827.333333333336</v>
      </c>
      <c r="AD3097" s="30">
        <v>45842.708333333336</v>
      </c>
      <c r="AE3097" s="30">
        <v>45827.333333333336</v>
      </c>
      <c r="AF3097" s="30">
        <v>45842.708333333336</v>
      </c>
      <c r="AG3097" t="s">
        <v>1266</v>
      </c>
      <c r="AK3097" t="s">
        <v>1265</v>
      </c>
      <c r="AL3097" t="s">
        <v>1536</v>
      </c>
      <c r="AM3097" t="s">
        <v>1263</v>
      </c>
      <c r="AN3097" t="s">
        <v>1262</v>
      </c>
      <c r="AO3097">
        <v>0</v>
      </c>
      <c r="AQ3097" t="s">
        <v>1261</v>
      </c>
      <c r="AR3097" t="s">
        <v>1260</v>
      </c>
      <c r="AS3097" t="s">
        <v>1259</v>
      </c>
      <c r="AT3097" s="30">
        <v>46073.453472222223</v>
      </c>
    </row>
    <row r="3098" spans="1:46" x14ac:dyDescent="0.25">
      <c r="A3098" t="s">
        <v>1248</v>
      </c>
      <c r="B3098">
        <v>253605</v>
      </c>
      <c r="C3098">
        <v>119798</v>
      </c>
      <c r="D3098">
        <v>405</v>
      </c>
      <c r="E3098" t="s">
        <v>1266</v>
      </c>
      <c r="G3098">
        <v>745</v>
      </c>
      <c r="H3098">
        <v>1832</v>
      </c>
      <c r="K3098">
        <v>19286</v>
      </c>
      <c r="L3098">
        <v>19286</v>
      </c>
      <c r="M3098" s="29">
        <v>20089583333</v>
      </c>
      <c r="N3098">
        <v>0</v>
      </c>
      <c r="O3098" s="29">
        <v>20089583333</v>
      </c>
      <c r="P3098">
        <v>0</v>
      </c>
      <c r="Q3098">
        <v>0</v>
      </c>
      <c r="R3098">
        <v>0</v>
      </c>
      <c r="T3098" s="29">
        <v>11200</v>
      </c>
      <c r="U3098" s="29">
        <v>216003199</v>
      </c>
      <c r="V3098" t="s">
        <v>1262</v>
      </c>
      <c r="W3098" t="s">
        <v>1262</v>
      </c>
      <c r="X3098" s="29">
        <v>216003199</v>
      </c>
      <c r="AA3098" s="30">
        <v>45827.333333333336</v>
      </c>
      <c r="AB3098" s="30">
        <v>45842.708333333336</v>
      </c>
      <c r="AC3098" s="30">
        <v>45827.333333333336</v>
      </c>
      <c r="AD3098" s="30">
        <v>45842.708333333336</v>
      </c>
      <c r="AE3098" s="30">
        <v>45827.333333333336</v>
      </c>
      <c r="AF3098" s="30">
        <v>45842.708333333336</v>
      </c>
      <c r="AG3098" t="s">
        <v>1266</v>
      </c>
      <c r="AK3098" t="s">
        <v>1265</v>
      </c>
      <c r="AL3098" t="s">
        <v>1535</v>
      </c>
      <c r="AM3098" t="s">
        <v>1263</v>
      </c>
      <c r="AN3098" t="s">
        <v>1262</v>
      </c>
      <c r="AO3098">
        <v>0</v>
      </c>
      <c r="AQ3098" t="s">
        <v>1261</v>
      </c>
      <c r="AR3098" t="s">
        <v>1260</v>
      </c>
      <c r="AS3098" t="s">
        <v>1259</v>
      </c>
      <c r="AT3098" s="30">
        <v>46073.453472222223</v>
      </c>
    </row>
    <row r="3099" spans="1:46" x14ac:dyDescent="0.25">
      <c r="A3099" t="s">
        <v>1248</v>
      </c>
      <c r="B3099">
        <v>253606</v>
      </c>
      <c r="C3099">
        <v>119821</v>
      </c>
      <c r="D3099">
        <v>405</v>
      </c>
      <c r="E3099" t="s">
        <v>1266</v>
      </c>
      <c r="G3099">
        <v>745</v>
      </c>
      <c r="H3099">
        <v>1824</v>
      </c>
      <c r="K3099">
        <v>150</v>
      </c>
      <c r="L3099">
        <v>150</v>
      </c>
      <c r="M3099" s="29">
        <v>1875</v>
      </c>
      <c r="N3099">
        <v>0</v>
      </c>
      <c r="O3099" s="29">
        <v>1875</v>
      </c>
      <c r="P3099">
        <v>0</v>
      </c>
      <c r="Q3099">
        <v>0</v>
      </c>
      <c r="R3099">
        <v>0</v>
      </c>
      <c r="T3099" s="29">
        <v>2200000</v>
      </c>
      <c r="U3099" s="29">
        <v>330000000</v>
      </c>
      <c r="V3099" t="s">
        <v>1262</v>
      </c>
      <c r="W3099" t="s">
        <v>1262</v>
      </c>
      <c r="X3099" s="29">
        <v>330000000</v>
      </c>
      <c r="AA3099" s="30">
        <v>45845.333333333336</v>
      </c>
      <c r="AB3099" s="30">
        <v>45856.708333333336</v>
      </c>
      <c r="AC3099" s="30">
        <v>45845.333333333336</v>
      </c>
      <c r="AD3099" s="30">
        <v>45856.708333333336</v>
      </c>
      <c r="AE3099" s="30">
        <v>45845.333333333336</v>
      </c>
      <c r="AF3099" s="30">
        <v>45856.708333333336</v>
      </c>
      <c r="AG3099" t="s">
        <v>1266</v>
      </c>
      <c r="AK3099" t="s">
        <v>1265</v>
      </c>
      <c r="AL3099" t="s">
        <v>1534</v>
      </c>
      <c r="AM3099" t="s">
        <v>1263</v>
      </c>
      <c r="AN3099" t="s">
        <v>1262</v>
      </c>
      <c r="AO3099">
        <v>0</v>
      </c>
      <c r="AQ3099" t="s">
        <v>1261</v>
      </c>
      <c r="AR3099" t="s">
        <v>1260</v>
      </c>
      <c r="AS3099" t="s">
        <v>1259</v>
      </c>
      <c r="AT3099" s="30">
        <v>46073.45416666667</v>
      </c>
    </row>
    <row r="3100" spans="1:46" x14ac:dyDescent="0.25">
      <c r="A3100" t="s">
        <v>1248</v>
      </c>
      <c r="B3100">
        <v>253607</v>
      </c>
      <c r="C3100">
        <v>119821</v>
      </c>
      <c r="D3100">
        <v>405</v>
      </c>
      <c r="E3100" t="s">
        <v>1266</v>
      </c>
      <c r="G3100">
        <v>745</v>
      </c>
      <c r="H3100">
        <v>1827</v>
      </c>
      <c r="K3100" t="s">
        <v>1533</v>
      </c>
      <c r="L3100" t="s">
        <v>1533</v>
      </c>
      <c r="M3100" t="s">
        <v>1532</v>
      </c>
      <c r="N3100">
        <v>0</v>
      </c>
      <c r="O3100" t="s">
        <v>1532</v>
      </c>
      <c r="P3100">
        <v>0</v>
      </c>
      <c r="Q3100">
        <v>0</v>
      </c>
      <c r="R3100">
        <v>0</v>
      </c>
      <c r="T3100" s="29">
        <v>207200</v>
      </c>
      <c r="U3100" s="29">
        <v>1551928</v>
      </c>
      <c r="V3100" t="s">
        <v>1262</v>
      </c>
      <c r="W3100" t="s">
        <v>1262</v>
      </c>
      <c r="X3100" s="29">
        <v>1551928</v>
      </c>
      <c r="AA3100" s="30">
        <v>45845.333333333336</v>
      </c>
      <c r="AB3100" s="30">
        <v>45856.708333333336</v>
      </c>
      <c r="AC3100" s="30">
        <v>45845.333333333336</v>
      </c>
      <c r="AD3100" s="30">
        <v>45856.708333333336</v>
      </c>
      <c r="AE3100" s="30">
        <v>45845.333333333336</v>
      </c>
      <c r="AF3100" s="30">
        <v>45856.708333333336</v>
      </c>
      <c r="AG3100" t="s">
        <v>1266</v>
      </c>
      <c r="AK3100" t="s">
        <v>1265</v>
      </c>
      <c r="AL3100" t="s">
        <v>1531</v>
      </c>
      <c r="AM3100" t="s">
        <v>1263</v>
      </c>
      <c r="AN3100" t="s">
        <v>1262</v>
      </c>
      <c r="AO3100">
        <v>0</v>
      </c>
      <c r="AQ3100" t="s">
        <v>1261</v>
      </c>
      <c r="AR3100" t="s">
        <v>1260</v>
      </c>
      <c r="AS3100" t="s">
        <v>1259</v>
      </c>
      <c r="AT3100" s="30">
        <v>46073.468055555553</v>
      </c>
    </row>
    <row r="3101" spans="1:46" x14ac:dyDescent="0.25">
      <c r="A3101" t="s">
        <v>1248</v>
      </c>
      <c r="B3101">
        <v>253608</v>
      </c>
      <c r="C3101">
        <v>119821</v>
      </c>
      <c r="D3101">
        <v>405</v>
      </c>
      <c r="E3101" t="s">
        <v>1266</v>
      </c>
      <c r="G3101">
        <v>745</v>
      </c>
      <c r="H3101">
        <v>1832</v>
      </c>
      <c r="K3101">
        <v>1800</v>
      </c>
      <c r="L3101">
        <v>1800</v>
      </c>
      <c r="M3101" t="s">
        <v>1530</v>
      </c>
      <c r="N3101">
        <v>0</v>
      </c>
      <c r="O3101" t="s">
        <v>1530</v>
      </c>
      <c r="P3101">
        <v>0</v>
      </c>
      <c r="Q3101">
        <v>0</v>
      </c>
      <c r="R3101">
        <v>0</v>
      </c>
      <c r="T3101" s="29">
        <v>11200</v>
      </c>
      <c r="U3101" s="29">
        <v>20160000</v>
      </c>
      <c r="V3101" t="s">
        <v>1262</v>
      </c>
      <c r="W3101" t="s">
        <v>1262</v>
      </c>
      <c r="X3101" s="29">
        <v>20160000</v>
      </c>
      <c r="AA3101" s="30">
        <v>45845.333333333336</v>
      </c>
      <c r="AB3101" s="30">
        <v>45856.708333333336</v>
      </c>
      <c r="AC3101" s="30">
        <v>45845.333333333336</v>
      </c>
      <c r="AD3101" s="30">
        <v>45856.708333333336</v>
      </c>
      <c r="AE3101" s="30">
        <v>45845.333333333336</v>
      </c>
      <c r="AF3101" s="30">
        <v>45856.708333333336</v>
      </c>
      <c r="AG3101" t="s">
        <v>1266</v>
      </c>
      <c r="AK3101" t="s">
        <v>1265</v>
      </c>
      <c r="AL3101" t="s">
        <v>1529</v>
      </c>
      <c r="AM3101" t="s">
        <v>1263</v>
      </c>
      <c r="AN3101" t="s">
        <v>1262</v>
      </c>
      <c r="AO3101">
        <v>0</v>
      </c>
      <c r="AQ3101" t="s">
        <v>1261</v>
      </c>
      <c r="AR3101" t="s">
        <v>1260</v>
      </c>
      <c r="AS3101" t="s">
        <v>1259</v>
      </c>
      <c r="AT3101" s="30">
        <v>46073.46875</v>
      </c>
    </row>
    <row r="3102" spans="1:46" x14ac:dyDescent="0.25">
      <c r="A3102" t="s">
        <v>1248</v>
      </c>
      <c r="B3102">
        <v>253609</v>
      </c>
      <c r="C3102">
        <v>119821</v>
      </c>
      <c r="D3102">
        <v>405</v>
      </c>
      <c r="E3102" t="s">
        <v>1266</v>
      </c>
      <c r="G3102">
        <v>745</v>
      </c>
      <c r="H3102">
        <v>1844</v>
      </c>
      <c r="K3102" t="s">
        <v>1528</v>
      </c>
      <c r="L3102" t="s">
        <v>1528</v>
      </c>
      <c r="M3102" t="s">
        <v>1527</v>
      </c>
      <c r="N3102">
        <v>0</v>
      </c>
      <c r="O3102" t="s">
        <v>1527</v>
      </c>
      <c r="P3102">
        <v>0</v>
      </c>
      <c r="Q3102">
        <v>0</v>
      </c>
      <c r="R3102">
        <v>0</v>
      </c>
      <c r="T3102" s="29">
        <v>92300</v>
      </c>
      <c r="U3102" s="29">
        <v>10632960</v>
      </c>
      <c r="V3102" t="s">
        <v>1262</v>
      </c>
      <c r="W3102" t="s">
        <v>1262</v>
      </c>
      <c r="X3102" s="29">
        <v>10632960</v>
      </c>
      <c r="AA3102" s="30">
        <v>45845.333333333336</v>
      </c>
      <c r="AB3102" s="30">
        <v>45856.708333333336</v>
      </c>
      <c r="AC3102" s="30">
        <v>45845.333333333336</v>
      </c>
      <c r="AD3102" s="30">
        <v>45856.708333333336</v>
      </c>
      <c r="AE3102" s="30">
        <v>45845.333333333336</v>
      </c>
      <c r="AF3102" s="30">
        <v>45856.708333333336</v>
      </c>
      <c r="AG3102" t="s">
        <v>1266</v>
      </c>
      <c r="AK3102" t="s">
        <v>1265</v>
      </c>
      <c r="AL3102" t="s">
        <v>1526</v>
      </c>
      <c r="AM3102" t="s">
        <v>1263</v>
      </c>
      <c r="AN3102" t="s">
        <v>1262</v>
      </c>
      <c r="AO3102">
        <v>0</v>
      </c>
      <c r="AQ3102" t="s">
        <v>1261</v>
      </c>
      <c r="AR3102" t="s">
        <v>1260</v>
      </c>
      <c r="AS3102" t="s">
        <v>1259</v>
      </c>
      <c r="AT3102" s="30">
        <v>46073.46875</v>
      </c>
    </row>
    <row r="3103" spans="1:46" x14ac:dyDescent="0.25">
      <c r="A3103" t="s">
        <v>1248</v>
      </c>
      <c r="B3103">
        <v>253616</v>
      </c>
      <c r="C3103">
        <v>119819</v>
      </c>
      <c r="D3103">
        <v>405</v>
      </c>
      <c r="E3103" t="s">
        <v>1266</v>
      </c>
      <c r="G3103">
        <v>745</v>
      </c>
      <c r="H3103">
        <v>1847</v>
      </c>
      <c r="K3103">
        <v>180</v>
      </c>
      <c r="L3103">
        <v>180</v>
      </c>
      <c r="M3103" s="29">
        <v>28125</v>
      </c>
      <c r="N3103">
        <v>0</v>
      </c>
      <c r="O3103" s="29">
        <v>28125</v>
      </c>
      <c r="P3103">
        <v>0</v>
      </c>
      <c r="Q3103">
        <v>0</v>
      </c>
      <c r="R3103">
        <v>0</v>
      </c>
      <c r="T3103" s="29">
        <v>11093500</v>
      </c>
      <c r="U3103" s="29">
        <v>1996830000</v>
      </c>
      <c r="V3103" t="s">
        <v>1262</v>
      </c>
      <c r="W3103" t="s">
        <v>1262</v>
      </c>
      <c r="X3103" s="29">
        <v>1996830000</v>
      </c>
      <c r="AA3103" s="30">
        <v>46465.333333333336</v>
      </c>
      <c r="AB3103" s="30">
        <v>46477.708333333336</v>
      </c>
      <c r="AC3103" s="30">
        <v>46465.333333333336</v>
      </c>
      <c r="AD3103" s="30">
        <v>46477.708333333336</v>
      </c>
      <c r="AE3103" s="30">
        <v>46465.333333333336</v>
      </c>
      <c r="AF3103" s="30">
        <v>46477.708333333336</v>
      </c>
      <c r="AG3103" t="s">
        <v>1266</v>
      </c>
      <c r="AK3103" t="s">
        <v>1265</v>
      </c>
      <c r="AL3103" t="s">
        <v>1525</v>
      </c>
      <c r="AM3103" t="s">
        <v>1263</v>
      </c>
      <c r="AN3103" t="s">
        <v>1262</v>
      </c>
      <c r="AO3103">
        <v>0</v>
      </c>
      <c r="AQ3103" t="s">
        <v>1261</v>
      </c>
      <c r="AR3103" t="s">
        <v>1260</v>
      </c>
      <c r="AS3103" t="s">
        <v>1259</v>
      </c>
      <c r="AT3103" s="30">
        <v>46073.47152777778</v>
      </c>
    </row>
    <row r="3104" spans="1:46" x14ac:dyDescent="0.25">
      <c r="A3104" t="s">
        <v>1248</v>
      </c>
      <c r="B3104">
        <v>255168</v>
      </c>
      <c r="C3104">
        <v>352196</v>
      </c>
      <c r="D3104">
        <v>405</v>
      </c>
      <c r="E3104" t="s">
        <v>1266</v>
      </c>
      <c r="G3104">
        <v>745</v>
      </c>
      <c r="H3104">
        <v>1854</v>
      </c>
      <c r="K3104" t="s">
        <v>1503</v>
      </c>
      <c r="L3104" t="s">
        <v>1503</v>
      </c>
      <c r="M3104" s="29">
        <v>12603125</v>
      </c>
      <c r="N3104">
        <v>0</v>
      </c>
      <c r="O3104" s="29">
        <v>12603125</v>
      </c>
      <c r="P3104">
        <v>0</v>
      </c>
      <c r="Q3104">
        <v>0</v>
      </c>
      <c r="R3104">
        <v>0</v>
      </c>
      <c r="T3104" s="29">
        <v>65000</v>
      </c>
      <c r="U3104" s="29">
        <v>2621450</v>
      </c>
      <c r="V3104" t="s">
        <v>1262</v>
      </c>
      <c r="W3104" t="s">
        <v>1262</v>
      </c>
      <c r="X3104" s="29">
        <v>2621450</v>
      </c>
      <c r="AA3104" s="30">
        <v>45909.380555555559</v>
      </c>
      <c r="AB3104" s="30">
        <v>45915.380555555559</v>
      </c>
      <c r="AC3104" s="30">
        <v>45909.380555555559</v>
      </c>
      <c r="AD3104" s="30">
        <v>45915.380555555559</v>
      </c>
      <c r="AE3104" s="30">
        <v>46400.416666666664</v>
      </c>
      <c r="AF3104" s="30">
        <v>46406.416666666664</v>
      </c>
      <c r="AG3104" t="s">
        <v>1266</v>
      </c>
      <c r="AK3104" t="s">
        <v>1265</v>
      </c>
      <c r="AL3104" t="s">
        <v>1524</v>
      </c>
      <c r="AM3104" t="s">
        <v>1263</v>
      </c>
      <c r="AN3104" t="s">
        <v>1262</v>
      </c>
      <c r="AO3104">
        <v>0</v>
      </c>
      <c r="AQ3104" t="s">
        <v>1261</v>
      </c>
      <c r="AR3104" t="s">
        <v>1260</v>
      </c>
      <c r="AS3104" t="s">
        <v>1259</v>
      </c>
      <c r="AT3104" s="30">
        <v>46076.686805555553</v>
      </c>
    </row>
    <row r="3105" spans="1:46" x14ac:dyDescent="0.25">
      <c r="A3105" t="s">
        <v>1248</v>
      </c>
      <c r="B3105">
        <v>255170</v>
      </c>
      <c r="C3105">
        <v>352210</v>
      </c>
      <c r="D3105">
        <v>405</v>
      </c>
      <c r="E3105" t="s">
        <v>1266</v>
      </c>
      <c r="G3105">
        <v>745</v>
      </c>
      <c r="H3105">
        <v>1854</v>
      </c>
      <c r="K3105" t="s">
        <v>1503</v>
      </c>
      <c r="L3105" t="s">
        <v>1503</v>
      </c>
      <c r="M3105" s="29">
        <v>12603125</v>
      </c>
      <c r="N3105">
        <v>0</v>
      </c>
      <c r="O3105" s="29">
        <v>12603125</v>
      </c>
      <c r="P3105">
        <v>0</v>
      </c>
      <c r="Q3105">
        <v>0</v>
      </c>
      <c r="R3105">
        <v>0</v>
      </c>
      <c r="T3105" s="29">
        <v>65000</v>
      </c>
      <c r="U3105" s="29">
        <v>2621450</v>
      </c>
      <c r="V3105" t="s">
        <v>1262</v>
      </c>
      <c r="W3105" t="s">
        <v>1262</v>
      </c>
      <c r="X3105" s="29">
        <v>2621450</v>
      </c>
      <c r="AA3105" s="30">
        <v>45901.380555555559</v>
      </c>
      <c r="AB3105" s="30">
        <v>45905.380555555559</v>
      </c>
      <c r="AC3105" s="30">
        <v>45901.380555555559</v>
      </c>
      <c r="AD3105" s="30">
        <v>45905.380555555559</v>
      </c>
      <c r="AE3105" s="30">
        <v>46360.416666666664</v>
      </c>
      <c r="AF3105" s="30">
        <v>46367.416666666664</v>
      </c>
      <c r="AG3105" t="s">
        <v>1266</v>
      </c>
      <c r="AK3105" t="s">
        <v>1265</v>
      </c>
      <c r="AL3105" t="s">
        <v>1523</v>
      </c>
      <c r="AM3105" t="s">
        <v>1263</v>
      </c>
      <c r="AN3105" t="s">
        <v>1262</v>
      </c>
      <c r="AO3105">
        <v>0</v>
      </c>
      <c r="AQ3105" t="s">
        <v>1261</v>
      </c>
      <c r="AR3105" t="s">
        <v>1260</v>
      </c>
      <c r="AS3105" t="s">
        <v>1259</v>
      </c>
      <c r="AT3105" s="30">
        <v>46076.686805555553</v>
      </c>
    </row>
    <row r="3106" spans="1:46" x14ac:dyDescent="0.25">
      <c r="A3106" t="s">
        <v>1248</v>
      </c>
      <c r="B3106">
        <v>255172</v>
      </c>
      <c r="C3106">
        <v>352224</v>
      </c>
      <c r="D3106">
        <v>405</v>
      </c>
      <c r="E3106" t="s">
        <v>1266</v>
      </c>
      <c r="G3106">
        <v>745</v>
      </c>
      <c r="H3106">
        <v>1854</v>
      </c>
      <c r="K3106" t="s">
        <v>1503</v>
      </c>
      <c r="L3106" t="s">
        <v>1503</v>
      </c>
      <c r="M3106" s="29">
        <v>12603125</v>
      </c>
      <c r="N3106">
        <v>0</v>
      </c>
      <c r="O3106" s="29">
        <v>12603125</v>
      </c>
      <c r="P3106">
        <v>0</v>
      </c>
      <c r="Q3106">
        <v>0</v>
      </c>
      <c r="R3106">
        <v>0</v>
      </c>
      <c r="T3106" s="29">
        <v>65000</v>
      </c>
      <c r="U3106" s="29">
        <v>2621450</v>
      </c>
      <c r="V3106" t="s">
        <v>1262</v>
      </c>
      <c r="W3106" t="s">
        <v>1262</v>
      </c>
      <c r="X3106" s="29">
        <v>2621450</v>
      </c>
      <c r="AA3106" s="30">
        <v>45891.547222222223</v>
      </c>
      <c r="AB3106" s="30">
        <v>45897.547222222223</v>
      </c>
      <c r="AC3106" s="30">
        <v>45891.547222222223</v>
      </c>
      <c r="AD3106" s="30">
        <v>45897.547222222223</v>
      </c>
      <c r="AE3106" s="30">
        <v>46328.416666666664</v>
      </c>
      <c r="AF3106" s="30">
        <v>46332.416666666664</v>
      </c>
      <c r="AG3106" t="s">
        <v>1266</v>
      </c>
      <c r="AK3106" t="s">
        <v>1265</v>
      </c>
      <c r="AL3106" t="s">
        <v>1522</v>
      </c>
      <c r="AM3106" t="s">
        <v>1263</v>
      </c>
      <c r="AN3106" t="s">
        <v>1262</v>
      </c>
      <c r="AO3106">
        <v>0</v>
      </c>
      <c r="AQ3106" t="s">
        <v>1261</v>
      </c>
      <c r="AR3106" t="s">
        <v>1260</v>
      </c>
      <c r="AS3106" t="s">
        <v>1259</v>
      </c>
      <c r="AT3106" s="30">
        <v>46076.686805555553</v>
      </c>
    </row>
    <row r="3107" spans="1:46" x14ac:dyDescent="0.25">
      <c r="A3107" t="s">
        <v>1248</v>
      </c>
      <c r="B3107">
        <v>255173</v>
      </c>
      <c r="C3107">
        <v>352231</v>
      </c>
      <c r="D3107">
        <v>405</v>
      </c>
      <c r="E3107" t="s">
        <v>1266</v>
      </c>
      <c r="G3107">
        <v>745</v>
      </c>
      <c r="H3107">
        <v>1854</v>
      </c>
      <c r="K3107" t="s">
        <v>1503</v>
      </c>
      <c r="L3107" t="s">
        <v>1503</v>
      </c>
      <c r="M3107" s="29">
        <v>12603125</v>
      </c>
      <c r="N3107">
        <v>0</v>
      </c>
      <c r="O3107" s="29">
        <v>12603125</v>
      </c>
      <c r="P3107">
        <v>0</v>
      </c>
      <c r="Q3107">
        <v>0</v>
      </c>
      <c r="R3107">
        <v>0</v>
      </c>
      <c r="T3107" s="29">
        <v>65000</v>
      </c>
      <c r="U3107" s="29">
        <v>2621450</v>
      </c>
      <c r="V3107" t="s">
        <v>1262</v>
      </c>
      <c r="W3107" t="s">
        <v>1262</v>
      </c>
      <c r="X3107" s="29">
        <v>2621450</v>
      </c>
      <c r="AA3107" s="30">
        <v>45889.588888888888</v>
      </c>
      <c r="AB3107" s="30">
        <v>45895.588888888888</v>
      </c>
      <c r="AC3107" s="30">
        <v>45889.588888888888</v>
      </c>
      <c r="AD3107" s="30">
        <v>45895.588888888888</v>
      </c>
      <c r="AE3107" s="30">
        <v>46310.416666666664</v>
      </c>
      <c r="AF3107" s="30">
        <v>46316.416666666664</v>
      </c>
      <c r="AG3107" t="s">
        <v>1266</v>
      </c>
      <c r="AK3107" t="s">
        <v>1265</v>
      </c>
      <c r="AL3107" t="s">
        <v>1521</v>
      </c>
      <c r="AM3107" t="s">
        <v>1263</v>
      </c>
      <c r="AN3107" t="s">
        <v>1262</v>
      </c>
      <c r="AO3107">
        <v>0</v>
      </c>
      <c r="AQ3107" t="s">
        <v>1261</v>
      </c>
      <c r="AR3107" t="s">
        <v>1260</v>
      </c>
      <c r="AS3107" t="s">
        <v>1259</v>
      </c>
      <c r="AT3107" s="30">
        <v>46076.686805555553</v>
      </c>
    </row>
    <row r="3108" spans="1:46" x14ac:dyDescent="0.25">
      <c r="A3108" t="s">
        <v>1248</v>
      </c>
      <c r="B3108">
        <v>255174</v>
      </c>
      <c r="C3108">
        <v>352238</v>
      </c>
      <c r="D3108">
        <v>405</v>
      </c>
      <c r="E3108" t="s">
        <v>1266</v>
      </c>
      <c r="G3108">
        <v>745</v>
      </c>
      <c r="H3108">
        <v>1854</v>
      </c>
      <c r="K3108" t="s">
        <v>1503</v>
      </c>
      <c r="L3108" t="s">
        <v>1503</v>
      </c>
      <c r="M3108" s="29">
        <v>12603125</v>
      </c>
      <c r="N3108">
        <v>0</v>
      </c>
      <c r="O3108" s="29">
        <v>12603125</v>
      </c>
      <c r="P3108">
        <v>0</v>
      </c>
      <c r="Q3108">
        <v>0</v>
      </c>
      <c r="R3108">
        <v>0</v>
      </c>
      <c r="T3108" s="29">
        <v>65000</v>
      </c>
      <c r="U3108" s="29">
        <v>2621450</v>
      </c>
      <c r="V3108" t="s">
        <v>1262</v>
      </c>
      <c r="W3108" t="s">
        <v>1262</v>
      </c>
      <c r="X3108" s="29">
        <v>2621450</v>
      </c>
      <c r="AA3108" s="30">
        <v>45887.630555555559</v>
      </c>
      <c r="AB3108" s="30">
        <v>45891.630555555559</v>
      </c>
      <c r="AC3108" s="30">
        <v>45887.630555555559</v>
      </c>
      <c r="AD3108" s="30">
        <v>45891.630555555559</v>
      </c>
      <c r="AE3108" s="30">
        <v>46294.416666666664</v>
      </c>
      <c r="AF3108" s="30">
        <v>46300.416666666664</v>
      </c>
      <c r="AG3108" t="s">
        <v>1266</v>
      </c>
      <c r="AK3108" t="s">
        <v>1265</v>
      </c>
      <c r="AL3108" t="s">
        <v>1520</v>
      </c>
      <c r="AM3108" t="s">
        <v>1263</v>
      </c>
      <c r="AN3108" t="s">
        <v>1262</v>
      </c>
      <c r="AO3108">
        <v>0</v>
      </c>
      <c r="AQ3108" t="s">
        <v>1261</v>
      </c>
      <c r="AR3108" t="s">
        <v>1260</v>
      </c>
      <c r="AS3108" t="s">
        <v>1259</v>
      </c>
      <c r="AT3108" s="30">
        <v>46076.686805555553</v>
      </c>
    </row>
    <row r="3109" spans="1:46" x14ac:dyDescent="0.25">
      <c r="A3109" t="s">
        <v>1248</v>
      </c>
      <c r="B3109">
        <v>255175</v>
      </c>
      <c r="C3109">
        <v>352245</v>
      </c>
      <c r="D3109">
        <v>405</v>
      </c>
      <c r="E3109" t="s">
        <v>1266</v>
      </c>
      <c r="G3109">
        <v>745</v>
      </c>
      <c r="H3109">
        <v>1854</v>
      </c>
      <c r="K3109" t="s">
        <v>1503</v>
      </c>
      <c r="L3109" t="s">
        <v>1503</v>
      </c>
      <c r="M3109" s="29">
        <v>12603125</v>
      </c>
      <c r="N3109">
        <v>0</v>
      </c>
      <c r="O3109" s="29">
        <v>12603125</v>
      </c>
      <c r="P3109">
        <v>0</v>
      </c>
      <c r="Q3109">
        <v>0</v>
      </c>
      <c r="R3109">
        <v>0</v>
      </c>
      <c r="T3109" s="29">
        <v>65000</v>
      </c>
      <c r="U3109" s="29">
        <v>2621450</v>
      </c>
      <c r="V3109" t="s">
        <v>1262</v>
      </c>
      <c r="W3109" t="s">
        <v>1262</v>
      </c>
      <c r="X3109" s="29">
        <v>2621450</v>
      </c>
      <c r="AA3109" s="30">
        <v>45889.35</v>
      </c>
      <c r="AB3109" s="30">
        <v>45895.35</v>
      </c>
      <c r="AC3109" s="30">
        <v>45889.35</v>
      </c>
      <c r="AD3109" s="30">
        <v>45895.35</v>
      </c>
      <c r="AE3109" s="30">
        <v>46276.416666666664</v>
      </c>
      <c r="AF3109" s="30">
        <v>46282.416666666664</v>
      </c>
      <c r="AG3109" t="s">
        <v>1266</v>
      </c>
      <c r="AK3109" t="s">
        <v>1265</v>
      </c>
      <c r="AL3109" t="s">
        <v>1519</v>
      </c>
      <c r="AM3109" t="s">
        <v>1263</v>
      </c>
      <c r="AN3109" t="s">
        <v>1262</v>
      </c>
      <c r="AO3109">
        <v>0</v>
      </c>
      <c r="AQ3109" t="s">
        <v>1261</v>
      </c>
      <c r="AR3109" t="s">
        <v>1260</v>
      </c>
      <c r="AS3109" t="s">
        <v>1259</v>
      </c>
      <c r="AT3109" s="30">
        <v>46076.686805555553</v>
      </c>
    </row>
    <row r="3110" spans="1:46" x14ac:dyDescent="0.25">
      <c r="A3110" t="s">
        <v>1248</v>
      </c>
      <c r="B3110">
        <v>255176</v>
      </c>
      <c r="C3110">
        <v>352252</v>
      </c>
      <c r="D3110">
        <v>405</v>
      </c>
      <c r="E3110" t="s">
        <v>1266</v>
      </c>
      <c r="G3110">
        <v>745</v>
      </c>
      <c r="H3110">
        <v>1854</v>
      </c>
      <c r="K3110" t="s">
        <v>1503</v>
      </c>
      <c r="L3110" t="s">
        <v>1503</v>
      </c>
      <c r="M3110" s="29">
        <v>12603125</v>
      </c>
      <c r="N3110">
        <v>0</v>
      </c>
      <c r="O3110" s="29">
        <v>12603125</v>
      </c>
      <c r="P3110">
        <v>0</v>
      </c>
      <c r="Q3110">
        <v>0</v>
      </c>
      <c r="R3110">
        <v>0</v>
      </c>
      <c r="T3110" s="29">
        <v>65000</v>
      </c>
      <c r="U3110" s="29">
        <v>2621450</v>
      </c>
      <c r="V3110" t="s">
        <v>1262</v>
      </c>
      <c r="W3110" t="s">
        <v>1262</v>
      </c>
      <c r="X3110" s="29">
        <v>2621450</v>
      </c>
      <c r="AA3110" s="30">
        <v>45887.39166666667</v>
      </c>
      <c r="AB3110" s="30">
        <v>45891.39166666667</v>
      </c>
      <c r="AC3110" s="30">
        <v>45887.39166666667</v>
      </c>
      <c r="AD3110" s="30">
        <v>45891.39166666667</v>
      </c>
      <c r="AE3110" s="30">
        <v>46260.416666666664</v>
      </c>
      <c r="AF3110" s="30">
        <v>46266.416666666664</v>
      </c>
      <c r="AG3110" t="s">
        <v>1266</v>
      </c>
      <c r="AK3110" t="s">
        <v>1265</v>
      </c>
      <c r="AL3110" t="s">
        <v>1518</v>
      </c>
      <c r="AM3110" t="s">
        <v>1263</v>
      </c>
      <c r="AN3110" t="s">
        <v>1262</v>
      </c>
      <c r="AO3110">
        <v>0</v>
      </c>
      <c r="AQ3110" t="s">
        <v>1261</v>
      </c>
      <c r="AR3110" t="s">
        <v>1260</v>
      </c>
      <c r="AS3110" t="s">
        <v>1259</v>
      </c>
      <c r="AT3110" s="30">
        <v>46076.686805555553</v>
      </c>
    </row>
    <row r="3111" spans="1:46" x14ac:dyDescent="0.25">
      <c r="A3111" t="s">
        <v>1248</v>
      </c>
      <c r="B3111">
        <v>255177</v>
      </c>
      <c r="C3111">
        <v>352259</v>
      </c>
      <c r="D3111">
        <v>405</v>
      </c>
      <c r="E3111" t="s">
        <v>1266</v>
      </c>
      <c r="G3111">
        <v>745</v>
      </c>
      <c r="H3111">
        <v>1854</v>
      </c>
      <c r="K3111" t="s">
        <v>1503</v>
      </c>
      <c r="L3111" t="s">
        <v>1503</v>
      </c>
      <c r="M3111" s="29">
        <v>12603125</v>
      </c>
      <c r="N3111">
        <v>0</v>
      </c>
      <c r="O3111" s="29">
        <v>12603125</v>
      </c>
      <c r="P3111">
        <v>0</v>
      </c>
      <c r="Q3111">
        <v>0</v>
      </c>
      <c r="R3111">
        <v>0</v>
      </c>
      <c r="T3111" s="29">
        <v>65000</v>
      </c>
      <c r="U3111" s="29">
        <v>2621450</v>
      </c>
      <c r="V3111" t="s">
        <v>1262</v>
      </c>
      <c r="W3111" t="s">
        <v>1262</v>
      </c>
      <c r="X3111" s="29">
        <v>2621450</v>
      </c>
      <c r="AA3111" s="30">
        <v>45883.433333333334</v>
      </c>
      <c r="AB3111" s="30">
        <v>45889.433333333334</v>
      </c>
      <c r="AC3111" s="30">
        <v>45883.433333333334</v>
      </c>
      <c r="AD3111" s="30">
        <v>45889.433333333334</v>
      </c>
      <c r="AE3111" s="30">
        <v>46244.416666666664</v>
      </c>
      <c r="AF3111" s="30">
        <v>46248.416666666664</v>
      </c>
      <c r="AG3111" t="s">
        <v>1266</v>
      </c>
      <c r="AK3111" t="s">
        <v>1265</v>
      </c>
      <c r="AL3111" t="s">
        <v>1517</v>
      </c>
      <c r="AM3111" t="s">
        <v>1263</v>
      </c>
      <c r="AN3111" t="s">
        <v>1262</v>
      </c>
      <c r="AO3111">
        <v>0</v>
      </c>
      <c r="AQ3111" t="s">
        <v>1261</v>
      </c>
      <c r="AR3111" t="s">
        <v>1260</v>
      </c>
      <c r="AS3111" t="s">
        <v>1259</v>
      </c>
      <c r="AT3111" s="30">
        <v>46076.686805555553</v>
      </c>
    </row>
    <row r="3112" spans="1:46" x14ac:dyDescent="0.25">
      <c r="A3112" t="s">
        <v>1248</v>
      </c>
      <c r="B3112">
        <v>255178</v>
      </c>
      <c r="C3112">
        <v>352266</v>
      </c>
      <c r="D3112">
        <v>405</v>
      </c>
      <c r="E3112" t="s">
        <v>1266</v>
      </c>
      <c r="G3112">
        <v>745</v>
      </c>
      <c r="H3112">
        <v>1854</v>
      </c>
      <c r="K3112" t="s">
        <v>1503</v>
      </c>
      <c r="L3112" t="s">
        <v>1503</v>
      </c>
      <c r="M3112" s="29">
        <v>12603125</v>
      </c>
      <c r="N3112">
        <v>0</v>
      </c>
      <c r="O3112" s="29">
        <v>12603125</v>
      </c>
      <c r="P3112">
        <v>0</v>
      </c>
      <c r="Q3112">
        <v>0</v>
      </c>
      <c r="R3112">
        <v>0</v>
      </c>
      <c r="T3112" s="29">
        <v>65000</v>
      </c>
      <c r="U3112" s="29">
        <v>2621450</v>
      </c>
      <c r="V3112" t="s">
        <v>1262</v>
      </c>
      <c r="W3112" t="s">
        <v>1262</v>
      </c>
      <c r="X3112" s="29">
        <v>2621450</v>
      </c>
      <c r="AA3112" s="30">
        <v>45873.7</v>
      </c>
      <c r="AB3112" s="30">
        <v>45877.7</v>
      </c>
      <c r="AC3112" s="30">
        <v>45873.7</v>
      </c>
      <c r="AD3112" s="30">
        <v>45877.7</v>
      </c>
      <c r="AE3112" s="30">
        <v>46226.416666666664</v>
      </c>
      <c r="AF3112" s="30">
        <v>46232.416666666664</v>
      </c>
      <c r="AG3112" t="s">
        <v>1266</v>
      </c>
      <c r="AK3112" t="s">
        <v>1265</v>
      </c>
      <c r="AL3112" t="s">
        <v>1516</v>
      </c>
      <c r="AM3112" t="s">
        <v>1263</v>
      </c>
      <c r="AN3112" t="s">
        <v>1262</v>
      </c>
      <c r="AO3112">
        <v>0</v>
      </c>
      <c r="AQ3112" t="s">
        <v>1261</v>
      </c>
      <c r="AR3112" t="s">
        <v>1260</v>
      </c>
      <c r="AS3112" t="s">
        <v>1259</v>
      </c>
      <c r="AT3112" s="30">
        <v>46076.686805555553</v>
      </c>
    </row>
    <row r="3113" spans="1:46" x14ac:dyDescent="0.25">
      <c r="A3113" t="s">
        <v>1248</v>
      </c>
      <c r="B3113">
        <v>255179</v>
      </c>
      <c r="C3113">
        <v>352273</v>
      </c>
      <c r="D3113">
        <v>405</v>
      </c>
      <c r="E3113" t="s">
        <v>1266</v>
      </c>
      <c r="G3113">
        <v>745</v>
      </c>
      <c r="H3113">
        <v>1854</v>
      </c>
      <c r="K3113" t="s">
        <v>1503</v>
      </c>
      <c r="L3113" t="s">
        <v>1503</v>
      </c>
      <c r="M3113" s="29">
        <v>12603125</v>
      </c>
      <c r="N3113">
        <v>0</v>
      </c>
      <c r="O3113" s="29">
        <v>12603125</v>
      </c>
      <c r="P3113">
        <v>0</v>
      </c>
      <c r="Q3113">
        <v>0</v>
      </c>
      <c r="R3113">
        <v>0</v>
      </c>
      <c r="T3113" s="29">
        <v>65000</v>
      </c>
      <c r="U3113" s="29">
        <v>2621450</v>
      </c>
      <c r="V3113" t="s">
        <v>1262</v>
      </c>
      <c r="W3113" t="s">
        <v>1262</v>
      </c>
      <c r="X3113" s="29">
        <v>2621450</v>
      </c>
      <c r="AA3113" s="30">
        <v>45870.366666666669</v>
      </c>
      <c r="AB3113" s="30">
        <v>45876.366666666669</v>
      </c>
      <c r="AC3113" s="30">
        <v>45870.366666666669</v>
      </c>
      <c r="AD3113" s="30">
        <v>45876.366666666669</v>
      </c>
      <c r="AE3113" s="30">
        <v>46210.416666666664</v>
      </c>
      <c r="AF3113" s="30">
        <v>46216.416666666664</v>
      </c>
      <c r="AG3113" t="s">
        <v>1266</v>
      </c>
      <c r="AK3113" t="s">
        <v>1265</v>
      </c>
      <c r="AL3113" t="s">
        <v>1515</v>
      </c>
      <c r="AM3113" t="s">
        <v>1263</v>
      </c>
      <c r="AN3113" t="s">
        <v>1262</v>
      </c>
      <c r="AO3113">
        <v>0</v>
      </c>
      <c r="AQ3113" t="s">
        <v>1261</v>
      </c>
      <c r="AR3113" t="s">
        <v>1260</v>
      </c>
      <c r="AS3113" t="s">
        <v>1259</v>
      </c>
      <c r="AT3113" s="30">
        <v>46076.686805555553</v>
      </c>
    </row>
    <row r="3114" spans="1:46" x14ac:dyDescent="0.25">
      <c r="A3114" t="s">
        <v>1248</v>
      </c>
      <c r="B3114">
        <v>255180</v>
      </c>
      <c r="C3114">
        <v>352280</v>
      </c>
      <c r="D3114">
        <v>405</v>
      </c>
      <c r="E3114" t="s">
        <v>1266</v>
      </c>
      <c r="G3114">
        <v>745</v>
      </c>
      <c r="H3114">
        <v>1854</v>
      </c>
      <c r="K3114" t="s">
        <v>1503</v>
      </c>
      <c r="L3114" t="s">
        <v>1503</v>
      </c>
      <c r="M3114" s="29">
        <v>12603125</v>
      </c>
      <c r="N3114">
        <v>0</v>
      </c>
      <c r="O3114" s="29">
        <v>12603125</v>
      </c>
      <c r="P3114">
        <v>0</v>
      </c>
      <c r="Q3114">
        <v>0</v>
      </c>
      <c r="R3114">
        <v>0</v>
      </c>
      <c r="T3114" s="29">
        <v>65000</v>
      </c>
      <c r="U3114" s="29">
        <v>2621450</v>
      </c>
      <c r="V3114" t="s">
        <v>1262</v>
      </c>
      <c r="W3114" t="s">
        <v>1262</v>
      </c>
      <c r="X3114" s="29">
        <v>2621450</v>
      </c>
      <c r="AA3114" s="30">
        <v>45868.408333333333</v>
      </c>
      <c r="AB3114" s="30">
        <v>45874.408333333333</v>
      </c>
      <c r="AC3114" s="30">
        <v>45868.408333333333</v>
      </c>
      <c r="AD3114" s="30">
        <v>45874.408333333333</v>
      </c>
      <c r="AE3114" s="30">
        <v>46192.416666666664</v>
      </c>
      <c r="AF3114" s="30">
        <v>46198.416666666664</v>
      </c>
      <c r="AG3114" t="s">
        <v>1266</v>
      </c>
      <c r="AK3114" t="s">
        <v>1265</v>
      </c>
      <c r="AL3114" t="s">
        <v>1514</v>
      </c>
      <c r="AM3114" t="s">
        <v>1263</v>
      </c>
      <c r="AN3114" t="s">
        <v>1262</v>
      </c>
      <c r="AO3114">
        <v>0</v>
      </c>
      <c r="AQ3114" t="s">
        <v>1261</v>
      </c>
      <c r="AR3114" t="s">
        <v>1260</v>
      </c>
      <c r="AS3114" t="s">
        <v>1259</v>
      </c>
      <c r="AT3114" s="30">
        <v>46076.686805555553</v>
      </c>
    </row>
    <row r="3115" spans="1:46" x14ac:dyDescent="0.25">
      <c r="A3115" t="s">
        <v>1248</v>
      </c>
      <c r="B3115">
        <v>255181</v>
      </c>
      <c r="C3115">
        <v>352287</v>
      </c>
      <c r="D3115">
        <v>405</v>
      </c>
      <c r="E3115" t="s">
        <v>1266</v>
      </c>
      <c r="G3115">
        <v>745</v>
      </c>
      <c r="H3115">
        <v>1854</v>
      </c>
      <c r="K3115" t="s">
        <v>1503</v>
      </c>
      <c r="L3115" t="s">
        <v>1503</v>
      </c>
      <c r="M3115" s="29">
        <v>12603125</v>
      </c>
      <c r="N3115">
        <v>0</v>
      </c>
      <c r="O3115" s="29">
        <v>12603125</v>
      </c>
      <c r="P3115">
        <v>0</v>
      </c>
      <c r="Q3115">
        <v>0</v>
      </c>
      <c r="R3115">
        <v>0</v>
      </c>
      <c r="T3115" s="29">
        <v>65000</v>
      </c>
      <c r="U3115" s="29">
        <v>2621450</v>
      </c>
      <c r="V3115" t="s">
        <v>1262</v>
      </c>
      <c r="W3115" t="s">
        <v>1262</v>
      </c>
      <c r="X3115" s="29">
        <v>2621450</v>
      </c>
      <c r="AA3115" s="30">
        <v>45866.45</v>
      </c>
      <c r="AB3115" s="30">
        <v>45870.45</v>
      </c>
      <c r="AC3115" s="30">
        <v>45866.45</v>
      </c>
      <c r="AD3115" s="30">
        <v>45870.45</v>
      </c>
      <c r="AE3115" s="30">
        <v>46176.416666666664</v>
      </c>
      <c r="AF3115" s="30">
        <v>46182.416666666664</v>
      </c>
      <c r="AG3115" t="s">
        <v>1266</v>
      </c>
      <c r="AK3115" t="s">
        <v>1265</v>
      </c>
      <c r="AL3115" t="s">
        <v>1513</v>
      </c>
      <c r="AM3115" t="s">
        <v>1263</v>
      </c>
      <c r="AN3115" t="s">
        <v>1262</v>
      </c>
      <c r="AO3115">
        <v>0</v>
      </c>
      <c r="AQ3115" t="s">
        <v>1261</v>
      </c>
      <c r="AR3115" t="s">
        <v>1260</v>
      </c>
      <c r="AS3115" t="s">
        <v>1259</v>
      </c>
      <c r="AT3115" s="30">
        <v>46076.686805555553</v>
      </c>
    </row>
    <row r="3116" spans="1:46" x14ac:dyDescent="0.25">
      <c r="A3116" t="s">
        <v>1248</v>
      </c>
      <c r="B3116">
        <v>255182</v>
      </c>
      <c r="C3116">
        <v>352294</v>
      </c>
      <c r="D3116">
        <v>405</v>
      </c>
      <c r="E3116" t="s">
        <v>1266</v>
      </c>
      <c r="G3116">
        <v>745</v>
      </c>
      <c r="H3116">
        <v>1854</v>
      </c>
      <c r="K3116" t="s">
        <v>1503</v>
      </c>
      <c r="L3116" t="s">
        <v>1503</v>
      </c>
      <c r="M3116" s="29">
        <v>12603125</v>
      </c>
      <c r="N3116">
        <v>0</v>
      </c>
      <c r="O3116" s="29">
        <v>12603125</v>
      </c>
      <c r="P3116">
        <v>0</v>
      </c>
      <c r="Q3116">
        <v>0</v>
      </c>
      <c r="R3116">
        <v>0</v>
      </c>
      <c r="T3116" s="29">
        <v>65000</v>
      </c>
      <c r="U3116" s="29">
        <v>2621450</v>
      </c>
      <c r="V3116" t="s">
        <v>1262</v>
      </c>
      <c r="W3116" t="s">
        <v>1262</v>
      </c>
      <c r="X3116" s="29">
        <v>2621450</v>
      </c>
      <c r="AA3116" s="30">
        <v>45862.491666666669</v>
      </c>
      <c r="AB3116" s="30">
        <v>45868.491666666669</v>
      </c>
      <c r="AC3116" s="30">
        <v>45862.491666666669</v>
      </c>
      <c r="AD3116" s="30">
        <v>45868.491666666669</v>
      </c>
      <c r="AE3116" s="30">
        <v>46157.416666666664</v>
      </c>
      <c r="AF3116" s="30">
        <v>46163.416666666664</v>
      </c>
      <c r="AG3116" t="s">
        <v>1266</v>
      </c>
      <c r="AK3116" t="s">
        <v>1265</v>
      </c>
      <c r="AL3116" t="s">
        <v>1512</v>
      </c>
      <c r="AM3116" t="s">
        <v>1263</v>
      </c>
      <c r="AN3116" t="s">
        <v>1262</v>
      </c>
      <c r="AO3116">
        <v>0</v>
      </c>
      <c r="AQ3116" t="s">
        <v>1261</v>
      </c>
      <c r="AR3116" t="s">
        <v>1260</v>
      </c>
      <c r="AS3116" t="s">
        <v>1259</v>
      </c>
      <c r="AT3116" s="30">
        <v>46076.686805555553</v>
      </c>
    </row>
    <row r="3117" spans="1:46" x14ac:dyDescent="0.25">
      <c r="A3117" t="s">
        <v>1248</v>
      </c>
      <c r="B3117">
        <v>255183</v>
      </c>
      <c r="C3117">
        <v>352301</v>
      </c>
      <c r="D3117">
        <v>405</v>
      </c>
      <c r="E3117" t="s">
        <v>1266</v>
      </c>
      <c r="G3117">
        <v>745</v>
      </c>
      <c r="H3117">
        <v>1854</v>
      </c>
      <c r="K3117" t="s">
        <v>1503</v>
      </c>
      <c r="L3117" t="s">
        <v>1503</v>
      </c>
      <c r="M3117" s="29">
        <v>12603125</v>
      </c>
      <c r="N3117">
        <v>0</v>
      </c>
      <c r="O3117" s="29">
        <v>12603125</v>
      </c>
      <c r="P3117">
        <v>0</v>
      </c>
      <c r="Q3117">
        <v>0</v>
      </c>
      <c r="R3117">
        <v>0</v>
      </c>
      <c r="T3117" s="29">
        <v>65000</v>
      </c>
      <c r="U3117" s="29">
        <v>2621450</v>
      </c>
      <c r="V3117" t="s">
        <v>1262</v>
      </c>
      <c r="W3117" t="s">
        <v>1262</v>
      </c>
      <c r="X3117" s="29">
        <v>2621450</v>
      </c>
      <c r="AA3117" s="30">
        <v>45860.574999999997</v>
      </c>
      <c r="AB3117" s="30">
        <v>45866.574999999997</v>
      </c>
      <c r="AC3117" s="30">
        <v>45860.574999999997</v>
      </c>
      <c r="AD3117" s="30">
        <v>45866.574999999997</v>
      </c>
      <c r="AE3117" s="30">
        <v>46140.416666666664</v>
      </c>
      <c r="AF3117" s="30">
        <v>46147.416666666664</v>
      </c>
      <c r="AG3117" t="s">
        <v>1266</v>
      </c>
      <c r="AK3117" t="s">
        <v>1265</v>
      </c>
      <c r="AL3117" t="s">
        <v>1511</v>
      </c>
      <c r="AM3117" t="s">
        <v>1263</v>
      </c>
      <c r="AN3117" t="s">
        <v>1262</v>
      </c>
      <c r="AO3117">
        <v>0</v>
      </c>
      <c r="AQ3117" t="s">
        <v>1261</v>
      </c>
      <c r="AR3117" t="s">
        <v>1260</v>
      </c>
      <c r="AS3117" t="s">
        <v>1259</v>
      </c>
      <c r="AT3117" s="30">
        <v>46076.686805555553</v>
      </c>
    </row>
    <row r="3118" spans="1:46" x14ac:dyDescent="0.25">
      <c r="A3118" t="s">
        <v>1248</v>
      </c>
      <c r="B3118">
        <v>255184</v>
      </c>
      <c r="C3118">
        <v>352308</v>
      </c>
      <c r="D3118">
        <v>405</v>
      </c>
      <c r="E3118" t="s">
        <v>1266</v>
      </c>
      <c r="G3118">
        <v>745</v>
      </c>
      <c r="H3118">
        <v>1854</v>
      </c>
      <c r="K3118" t="s">
        <v>1503</v>
      </c>
      <c r="L3118" t="s">
        <v>1503</v>
      </c>
      <c r="M3118" s="29">
        <v>12603125</v>
      </c>
      <c r="N3118">
        <v>0</v>
      </c>
      <c r="O3118" s="29">
        <v>12603125</v>
      </c>
      <c r="P3118">
        <v>0</v>
      </c>
      <c r="Q3118">
        <v>0</v>
      </c>
      <c r="R3118">
        <v>0</v>
      </c>
      <c r="T3118" s="29">
        <v>65000</v>
      </c>
      <c r="U3118" s="29">
        <v>2621450</v>
      </c>
      <c r="V3118" t="s">
        <v>1262</v>
      </c>
      <c r="W3118" t="s">
        <v>1262</v>
      </c>
      <c r="X3118" s="29">
        <v>2621450</v>
      </c>
      <c r="AA3118" s="30">
        <v>45846.433333333334</v>
      </c>
      <c r="AB3118" s="30">
        <v>45852.433333333334</v>
      </c>
      <c r="AC3118" s="30">
        <v>45846.433333333334</v>
      </c>
      <c r="AD3118" s="30">
        <v>45852.433333333334</v>
      </c>
      <c r="AE3118" s="30">
        <v>46122.416666666664</v>
      </c>
      <c r="AF3118" s="30">
        <v>46128.416666666664</v>
      </c>
      <c r="AG3118" t="s">
        <v>1266</v>
      </c>
      <c r="AK3118" t="s">
        <v>1265</v>
      </c>
      <c r="AL3118" t="s">
        <v>1510</v>
      </c>
      <c r="AM3118" t="s">
        <v>1263</v>
      </c>
      <c r="AN3118" t="s">
        <v>1262</v>
      </c>
      <c r="AO3118">
        <v>0</v>
      </c>
      <c r="AQ3118" t="s">
        <v>1261</v>
      </c>
      <c r="AR3118" t="s">
        <v>1260</v>
      </c>
      <c r="AS3118" t="s">
        <v>1259</v>
      </c>
      <c r="AT3118" s="30">
        <v>46076.686805555553</v>
      </c>
    </row>
    <row r="3119" spans="1:46" x14ac:dyDescent="0.25">
      <c r="A3119" t="s">
        <v>1248</v>
      </c>
      <c r="B3119">
        <v>255185</v>
      </c>
      <c r="C3119">
        <v>352315</v>
      </c>
      <c r="D3119">
        <v>405</v>
      </c>
      <c r="E3119" t="s">
        <v>1266</v>
      </c>
      <c r="G3119">
        <v>745</v>
      </c>
      <c r="H3119">
        <v>1854</v>
      </c>
      <c r="K3119" t="s">
        <v>1503</v>
      </c>
      <c r="L3119" t="s">
        <v>1503</v>
      </c>
      <c r="M3119" s="29">
        <v>12603125</v>
      </c>
      <c r="N3119">
        <v>0</v>
      </c>
      <c r="O3119" s="29">
        <v>12603125</v>
      </c>
      <c r="P3119">
        <v>0</v>
      </c>
      <c r="Q3119">
        <v>0</v>
      </c>
      <c r="R3119">
        <v>0</v>
      </c>
      <c r="T3119" s="29">
        <v>65000</v>
      </c>
      <c r="U3119" s="29">
        <v>2621450</v>
      </c>
      <c r="V3119" t="s">
        <v>1262</v>
      </c>
      <c r="W3119" t="s">
        <v>1262</v>
      </c>
      <c r="X3119" s="29">
        <v>2621450</v>
      </c>
      <c r="AA3119" s="30">
        <v>45841.64166666667</v>
      </c>
      <c r="AB3119" s="30">
        <v>45847.64166666667</v>
      </c>
      <c r="AC3119" s="30">
        <v>45841.64166666667</v>
      </c>
      <c r="AD3119" s="30">
        <v>45847.64166666667</v>
      </c>
      <c r="AE3119" s="30">
        <v>46105.416666666664</v>
      </c>
      <c r="AF3119" s="30">
        <v>46111.416666666664</v>
      </c>
      <c r="AG3119" t="s">
        <v>1266</v>
      </c>
      <c r="AK3119" t="s">
        <v>1265</v>
      </c>
      <c r="AL3119" t="s">
        <v>1509</v>
      </c>
      <c r="AM3119" t="s">
        <v>1263</v>
      </c>
      <c r="AN3119" t="s">
        <v>1262</v>
      </c>
      <c r="AO3119">
        <v>0</v>
      </c>
      <c r="AQ3119" t="s">
        <v>1261</v>
      </c>
      <c r="AR3119" t="s">
        <v>1260</v>
      </c>
      <c r="AS3119" t="s">
        <v>1259</v>
      </c>
      <c r="AT3119" s="30">
        <v>46076.686805555553</v>
      </c>
    </row>
    <row r="3120" spans="1:46" x14ac:dyDescent="0.25">
      <c r="A3120" t="s">
        <v>1248</v>
      </c>
      <c r="B3120">
        <v>255186</v>
      </c>
      <c r="C3120">
        <v>352322</v>
      </c>
      <c r="D3120">
        <v>405</v>
      </c>
      <c r="E3120" t="s">
        <v>1266</v>
      </c>
      <c r="G3120">
        <v>745</v>
      </c>
      <c r="H3120">
        <v>1854</v>
      </c>
      <c r="K3120" t="s">
        <v>1503</v>
      </c>
      <c r="L3120" t="s">
        <v>1503</v>
      </c>
      <c r="M3120" s="29">
        <v>12603125</v>
      </c>
      <c r="N3120">
        <v>0</v>
      </c>
      <c r="O3120" s="29">
        <v>12603125</v>
      </c>
      <c r="P3120">
        <v>0</v>
      </c>
      <c r="Q3120">
        <v>0</v>
      </c>
      <c r="R3120">
        <v>0</v>
      </c>
      <c r="T3120" s="29">
        <v>65000</v>
      </c>
      <c r="U3120" s="29">
        <v>2621450</v>
      </c>
      <c r="V3120" t="s">
        <v>1262</v>
      </c>
      <c r="W3120" t="s">
        <v>1262</v>
      </c>
      <c r="X3120" s="29">
        <v>2621450</v>
      </c>
      <c r="AA3120" s="30">
        <v>45839.683333333334</v>
      </c>
      <c r="AB3120" s="30">
        <v>45845.683333333334</v>
      </c>
      <c r="AC3120" s="30">
        <v>45839.683333333334</v>
      </c>
      <c r="AD3120" s="30">
        <v>45845.683333333334</v>
      </c>
      <c r="AE3120" s="30">
        <v>46087.416666666664</v>
      </c>
      <c r="AF3120" s="30">
        <v>46093.416666666664</v>
      </c>
      <c r="AG3120" t="s">
        <v>1266</v>
      </c>
      <c r="AK3120" t="s">
        <v>1265</v>
      </c>
      <c r="AL3120" t="s">
        <v>1508</v>
      </c>
      <c r="AM3120" t="s">
        <v>1263</v>
      </c>
      <c r="AN3120" t="s">
        <v>1262</v>
      </c>
      <c r="AO3120">
        <v>0</v>
      </c>
      <c r="AQ3120" t="s">
        <v>1261</v>
      </c>
      <c r="AR3120" t="s">
        <v>1260</v>
      </c>
      <c r="AS3120" t="s">
        <v>1259</v>
      </c>
      <c r="AT3120" s="30">
        <v>46076.686805555553</v>
      </c>
    </row>
    <row r="3121" spans="1:46" x14ac:dyDescent="0.25">
      <c r="A3121" t="s">
        <v>1248</v>
      </c>
      <c r="B3121">
        <v>255187</v>
      </c>
      <c r="C3121">
        <v>352329</v>
      </c>
      <c r="D3121">
        <v>405</v>
      </c>
      <c r="E3121" t="s">
        <v>1266</v>
      </c>
      <c r="G3121">
        <v>745</v>
      </c>
      <c r="H3121">
        <v>1854</v>
      </c>
      <c r="K3121" t="s">
        <v>1503</v>
      </c>
      <c r="L3121" t="s">
        <v>1503</v>
      </c>
      <c r="M3121" s="29">
        <v>12603125</v>
      </c>
      <c r="N3121">
        <v>0</v>
      </c>
      <c r="O3121" s="29">
        <v>12603125</v>
      </c>
      <c r="P3121">
        <v>0</v>
      </c>
      <c r="Q3121">
        <v>0</v>
      </c>
      <c r="R3121">
        <v>0</v>
      </c>
      <c r="T3121" s="29">
        <v>65000</v>
      </c>
      <c r="U3121" s="29">
        <v>2621450</v>
      </c>
      <c r="V3121" t="s">
        <v>1262</v>
      </c>
      <c r="W3121" t="s">
        <v>1262</v>
      </c>
      <c r="X3121" s="29">
        <v>2621450</v>
      </c>
      <c r="AA3121" s="30">
        <v>45838.35</v>
      </c>
      <c r="AB3121" s="30">
        <v>45842.35</v>
      </c>
      <c r="AC3121" s="30">
        <v>45838.35</v>
      </c>
      <c r="AD3121" s="30">
        <v>45842.35</v>
      </c>
      <c r="AE3121" s="30">
        <v>46071.416666666664</v>
      </c>
      <c r="AF3121" s="30">
        <v>46077.416666666664</v>
      </c>
      <c r="AG3121" t="s">
        <v>1266</v>
      </c>
      <c r="AK3121" t="s">
        <v>1265</v>
      </c>
      <c r="AL3121" t="e">
        <f>+EtaQMqmEU+AlypcVQxjEA</f>
        <v>#NAME?</v>
      </c>
      <c r="AM3121" t="s">
        <v>1263</v>
      </c>
      <c r="AN3121" t="s">
        <v>1262</v>
      </c>
      <c r="AO3121">
        <v>0</v>
      </c>
      <c r="AQ3121" t="s">
        <v>1261</v>
      </c>
      <c r="AR3121" t="s">
        <v>1260</v>
      </c>
      <c r="AS3121" t="s">
        <v>1259</v>
      </c>
      <c r="AT3121" s="30">
        <v>46076.686805555553</v>
      </c>
    </row>
    <row r="3122" spans="1:46" x14ac:dyDescent="0.25">
      <c r="A3122" t="s">
        <v>1248</v>
      </c>
      <c r="B3122">
        <v>255188</v>
      </c>
      <c r="C3122">
        <v>352336</v>
      </c>
      <c r="D3122">
        <v>405</v>
      </c>
      <c r="E3122" t="s">
        <v>1266</v>
      </c>
      <c r="G3122">
        <v>745</v>
      </c>
      <c r="H3122">
        <v>1854</v>
      </c>
      <c r="K3122" t="s">
        <v>1503</v>
      </c>
      <c r="L3122" t="s">
        <v>1503</v>
      </c>
      <c r="M3122" s="29">
        <v>12603125</v>
      </c>
      <c r="N3122">
        <v>0</v>
      </c>
      <c r="O3122" s="29">
        <v>12603125</v>
      </c>
      <c r="P3122">
        <v>0</v>
      </c>
      <c r="Q3122">
        <v>0</v>
      </c>
      <c r="R3122">
        <v>0</v>
      </c>
      <c r="T3122" s="29">
        <v>65000</v>
      </c>
      <c r="U3122" s="29">
        <v>2621450</v>
      </c>
      <c r="V3122" t="s">
        <v>1262</v>
      </c>
      <c r="W3122" t="s">
        <v>1262</v>
      </c>
      <c r="X3122" s="29">
        <v>2621450</v>
      </c>
      <c r="AA3122" s="30">
        <v>45834.39166666667</v>
      </c>
      <c r="AB3122" s="30">
        <v>45840.39166666667</v>
      </c>
      <c r="AC3122" s="30">
        <v>45834.39166666667</v>
      </c>
      <c r="AD3122" s="30">
        <v>45840.39166666667</v>
      </c>
      <c r="AE3122" s="30">
        <v>46055.416666666664</v>
      </c>
      <c r="AF3122" s="30">
        <v>46059.416666666664</v>
      </c>
      <c r="AG3122" t="s">
        <v>1266</v>
      </c>
      <c r="AK3122" t="s">
        <v>1265</v>
      </c>
      <c r="AL3122" t="s">
        <v>1507</v>
      </c>
      <c r="AM3122" t="s">
        <v>1263</v>
      </c>
      <c r="AN3122" t="s">
        <v>1262</v>
      </c>
      <c r="AO3122">
        <v>0</v>
      </c>
      <c r="AQ3122" t="s">
        <v>1261</v>
      </c>
      <c r="AR3122" t="s">
        <v>1260</v>
      </c>
      <c r="AS3122" t="s">
        <v>1259</v>
      </c>
      <c r="AT3122" s="30">
        <v>46076.686805555553</v>
      </c>
    </row>
    <row r="3123" spans="1:46" x14ac:dyDescent="0.25">
      <c r="A3123" t="s">
        <v>1248</v>
      </c>
      <c r="B3123">
        <v>255189</v>
      </c>
      <c r="C3123">
        <v>352343</v>
      </c>
      <c r="D3123">
        <v>405</v>
      </c>
      <c r="E3123" t="s">
        <v>1266</v>
      </c>
      <c r="G3123">
        <v>745</v>
      </c>
      <c r="H3123">
        <v>1854</v>
      </c>
      <c r="K3123" t="s">
        <v>1503</v>
      </c>
      <c r="L3123" t="s">
        <v>1503</v>
      </c>
      <c r="M3123" s="29">
        <v>12603125</v>
      </c>
      <c r="N3123">
        <v>0</v>
      </c>
      <c r="O3123" s="29">
        <v>12603125</v>
      </c>
      <c r="P3123">
        <v>0</v>
      </c>
      <c r="Q3123">
        <v>0</v>
      </c>
      <c r="R3123">
        <v>0</v>
      </c>
      <c r="T3123" s="29">
        <v>65000</v>
      </c>
      <c r="U3123" s="29">
        <v>2621450</v>
      </c>
      <c r="V3123" t="s">
        <v>1262</v>
      </c>
      <c r="W3123" t="s">
        <v>1262</v>
      </c>
      <c r="X3123" s="29">
        <v>2621450</v>
      </c>
      <c r="AA3123" s="30">
        <v>45832.433333333334</v>
      </c>
      <c r="AB3123" s="30">
        <v>45838.433333333334</v>
      </c>
      <c r="AC3123" s="30">
        <v>45832.433333333334</v>
      </c>
      <c r="AD3123" s="30">
        <v>45838.433333333334</v>
      </c>
      <c r="AE3123" s="30">
        <v>46037.375</v>
      </c>
      <c r="AF3123" s="30">
        <v>46043.375</v>
      </c>
      <c r="AG3123" t="s">
        <v>1266</v>
      </c>
      <c r="AK3123" t="s">
        <v>1265</v>
      </c>
      <c r="AL3123" t="s">
        <v>1506</v>
      </c>
      <c r="AM3123" t="s">
        <v>1263</v>
      </c>
      <c r="AN3123" t="s">
        <v>1262</v>
      </c>
      <c r="AO3123">
        <v>0</v>
      </c>
      <c r="AQ3123" t="s">
        <v>1261</v>
      </c>
      <c r="AR3123" t="s">
        <v>1260</v>
      </c>
      <c r="AS3123" t="s">
        <v>1259</v>
      </c>
      <c r="AT3123" s="30">
        <v>46076.686805555553</v>
      </c>
    </row>
    <row r="3124" spans="1:46" x14ac:dyDescent="0.25">
      <c r="A3124" t="s">
        <v>1248</v>
      </c>
      <c r="B3124">
        <v>255190</v>
      </c>
      <c r="C3124">
        <v>352350</v>
      </c>
      <c r="D3124">
        <v>405</v>
      </c>
      <c r="E3124" t="s">
        <v>1266</v>
      </c>
      <c r="G3124">
        <v>745</v>
      </c>
      <c r="H3124">
        <v>1854</v>
      </c>
      <c r="K3124" t="s">
        <v>1503</v>
      </c>
      <c r="L3124" t="s">
        <v>1503</v>
      </c>
      <c r="M3124" s="29">
        <v>12603125</v>
      </c>
      <c r="N3124">
        <v>0</v>
      </c>
      <c r="O3124" s="29">
        <v>12603125</v>
      </c>
      <c r="P3124">
        <v>0</v>
      </c>
      <c r="Q3124">
        <v>0</v>
      </c>
      <c r="R3124">
        <v>0</v>
      </c>
      <c r="T3124" s="29">
        <v>65000</v>
      </c>
      <c r="U3124" s="29">
        <v>2621450</v>
      </c>
      <c r="V3124" t="s">
        <v>1262</v>
      </c>
      <c r="W3124" t="s">
        <v>1262</v>
      </c>
      <c r="X3124" s="29">
        <v>2621450</v>
      </c>
      <c r="AA3124" s="30">
        <v>45824.39166666667</v>
      </c>
      <c r="AB3124" s="30">
        <v>45828.39166666667</v>
      </c>
      <c r="AC3124" s="30">
        <v>45824.39166666667</v>
      </c>
      <c r="AD3124" s="30">
        <v>45828.39166666667</v>
      </c>
      <c r="AE3124" s="30">
        <v>46016.333333333336</v>
      </c>
      <c r="AF3124" s="30">
        <v>46021.708333333336</v>
      </c>
      <c r="AG3124" t="s">
        <v>1266</v>
      </c>
      <c r="AK3124" t="s">
        <v>1265</v>
      </c>
      <c r="AL3124" t="s">
        <v>1505</v>
      </c>
      <c r="AM3124" t="s">
        <v>1263</v>
      </c>
      <c r="AN3124" t="s">
        <v>1262</v>
      </c>
      <c r="AO3124">
        <v>0</v>
      </c>
      <c r="AQ3124" t="s">
        <v>1261</v>
      </c>
      <c r="AR3124" t="s">
        <v>1260</v>
      </c>
      <c r="AS3124" t="s">
        <v>1259</v>
      </c>
      <c r="AT3124" s="30">
        <v>46076.686805555553</v>
      </c>
    </row>
    <row r="3125" spans="1:46" x14ac:dyDescent="0.25">
      <c r="A3125" t="s">
        <v>1248</v>
      </c>
      <c r="B3125">
        <v>255191</v>
      </c>
      <c r="C3125">
        <v>352357</v>
      </c>
      <c r="D3125">
        <v>405</v>
      </c>
      <c r="E3125" t="s">
        <v>1266</v>
      </c>
      <c r="G3125">
        <v>745</v>
      </c>
      <c r="H3125">
        <v>1854</v>
      </c>
      <c r="K3125" t="s">
        <v>1503</v>
      </c>
      <c r="L3125" t="s">
        <v>1503</v>
      </c>
      <c r="M3125" s="29">
        <v>12603125</v>
      </c>
      <c r="N3125">
        <v>0</v>
      </c>
      <c r="O3125" s="29">
        <v>12603125</v>
      </c>
      <c r="P3125">
        <v>0</v>
      </c>
      <c r="Q3125">
        <v>0</v>
      </c>
      <c r="R3125">
        <v>0</v>
      </c>
      <c r="T3125" s="29">
        <v>65000</v>
      </c>
      <c r="U3125" s="29">
        <v>2621450</v>
      </c>
      <c r="V3125" t="s">
        <v>1262</v>
      </c>
      <c r="W3125" t="s">
        <v>1262</v>
      </c>
      <c r="X3125" s="29">
        <v>2621450</v>
      </c>
      <c r="AA3125" s="30">
        <v>45821.433333333334</v>
      </c>
      <c r="AB3125" s="30">
        <v>45827.433333333334</v>
      </c>
      <c r="AC3125" s="30">
        <v>45821.433333333334</v>
      </c>
      <c r="AD3125" s="30">
        <v>45827.433333333334</v>
      </c>
      <c r="AE3125" s="30">
        <v>46010.333333333336</v>
      </c>
      <c r="AF3125" s="30">
        <v>46015.708333333336</v>
      </c>
      <c r="AG3125" t="s">
        <v>1266</v>
      </c>
      <c r="AK3125" t="s">
        <v>1265</v>
      </c>
      <c r="AL3125" t="s">
        <v>1504</v>
      </c>
      <c r="AM3125" t="s">
        <v>1263</v>
      </c>
      <c r="AN3125" t="s">
        <v>1262</v>
      </c>
      <c r="AO3125">
        <v>0</v>
      </c>
      <c r="AQ3125" t="s">
        <v>1261</v>
      </c>
      <c r="AR3125" t="s">
        <v>1260</v>
      </c>
      <c r="AS3125" t="s">
        <v>1259</v>
      </c>
      <c r="AT3125" s="30">
        <v>46076.686805555553</v>
      </c>
    </row>
    <row r="3126" spans="1:46" x14ac:dyDescent="0.25">
      <c r="A3126" t="s">
        <v>1248</v>
      </c>
      <c r="B3126">
        <v>255192</v>
      </c>
      <c r="C3126">
        <v>352364</v>
      </c>
      <c r="D3126">
        <v>405</v>
      </c>
      <c r="E3126" t="s">
        <v>1266</v>
      </c>
      <c r="G3126">
        <v>745</v>
      </c>
      <c r="H3126">
        <v>1854</v>
      </c>
      <c r="K3126" t="s">
        <v>1503</v>
      </c>
      <c r="L3126" t="s">
        <v>1503</v>
      </c>
      <c r="M3126" s="29">
        <v>12603125</v>
      </c>
      <c r="N3126">
        <v>0</v>
      </c>
      <c r="O3126" s="29">
        <v>12603125</v>
      </c>
      <c r="P3126">
        <v>0</v>
      </c>
      <c r="Q3126">
        <v>0</v>
      </c>
      <c r="R3126">
        <v>0</v>
      </c>
      <c r="T3126" s="29">
        <v>65000</v>
      </c>
      <c r="U3126" s="29">
        <v>2621450</v>
      </c>
      <c r="V3126" t="s">
        <v>1262</v>
      </c>
      <c r="W3126" t="s">
        <v>1262</v>
      </c>
      <c r="X3126" s="29">
        <v>2621450</v>
      </c>
      <c r="AA3126" s="30">
        <v>45820.474999999999</v>
      </c>
      <c r="AB3126" s="30">
        <v>45826.474999999999</v>
      </c>
      <c r="AC3126" s="30">
        <v>45820.474999999999</v>
      </c>
      <c r="AD3126" s="30">
        <v>45826.474999999999</v>
      </c>
      <c r="AE3126" s="30">
        <v>45877.375</v>
      </c>
      <c r="AF3126" s="30">
        <v>45883.375</v>
      </c>
      <c r="AG3126" t="s">
        <v>1266</v>
      </c>
      <c r="AK3126" t="s">
        <v>1265</v>
      </c>
      <c r="AL3126" t="s">
        <v>1502</v>
      </c>
      <c r="AM3126" t="s">
        <v>1263</v>
      </c>
      <c r="AN3126" t="s">
        <v>1262</v>
      </c>
      <c r="AO3126">
        <v>0</v>
      </c>
      <c r="AQ3126" t="s">
        <v>1261</v>
      </c>
      <c r="AR3126" t="s">
        <v>1260</v>
      </c>
      <c r="AS3126" t="s">
        <v>1259</v>
      </c>
      <c r="AT3126" s="30">
        <v>46076.686805555553</v>
      </c>
    </row>
    <row r="3127" spans="1:46" x14ac:dyDescent="0.25">
      <c r="A3127" t="s">
        <v>1248</v>
      </c>
      <c r="B3127">
        <v>255193</v>
      </c>
      <c r="C3127">
        <v>352203</v>
      </c>
      <c r="D3127">
        <v>405</v>
      </c>
      <c r="E3127" t="s">
        <v>1266</v>
      </c>
      <c r="G3127">
        <v>745</v>
      </c>
      <c r="H3127">
        <v>1857</v>
      </c>
      <c r="K3127" t="s">
        <v>1471</v>
      </c>
      <c r="L3127" t="s">
        <v>1471</v>
      </c>
      <c r="M3127" t="s">
        <v>1500</v>
      </c>
      <c r="N3127">
        <v>0</v>
      </c>
      <c r="O3127" t="s">
        <v>1500</v>
      </c>
      <c r="P3127">
        <v>0</v>
      </c>
      <c r="Q3127">
        <v>0</v>
      </c>
      <c r="R3127">
        <v>0</v>
      </c>
      <c r="T3127" s="29">
        <v>505000</v>
      </c>
      <c r="U3127" s="29">
        <v>11195850</v>
      </c>
      <c r="V3127" t="s">
        <v>1262</v>
      </c>
      <c r="W3127" t="s">
        <v>1262</v>
      </c>
      <c r="X3127" s="29">
        <v>11195850</v>
      </c>
      <c r="AA3127" s="30">
        <v>45904.380555555559</v>
      </c>
      <c r="AB3127" s="30">
        <v>45910.380555555559</v>
      </c>
      <c r="AC3127" s="30">
        <v>45904.380555555559</v>
      </c>
      <c r="AD3127" s="30">
        <v>45910.380555555559</v>
      </c>
      <c r="AE3127" s="30">
        <v>46379.416666666664</v>
      </c>
      <c r="AF3127" s="30">
        <v>46386.416666666664</v>
      </c>
      <c r="AG3127" t="s">
        <v>1266</v>
      </c>
      <c r="AK3127" t="s">
        <v>1265</v>
      </c>
      <c r="AL3127" t="e">
        <f>+lyk0mvR60a++DALexfNnw</f>
        <v>#NAME?</v>
      </c>
      <c r="AM3127" t="s">
        <v>1263</v>
      </c>
      <c r="AN3127" t="s">
        <v>1262</v>
      </c>
      <c r="AO3127">
        <v>0</v>
      </c>
      <c r="AQ3127" t="s">
        <v>1261</v>
      </c>
      <c r="AR3127" t="s">
        <v>1260</v>
      </c>
      <c r="AS3127" t="s">
        <v>1259</v>
      </c>
      <c r="AT3127" s="30">
        <v>46076.713194444441</v>
      </c>
    </row>
    <row r="3128" spans="1:46" x14ac:dyDescent="0.25">
      <c r="A3128" t="s">
        <v>1248</v>
      </c>
      <c r="B3128">
        <v>255194</v>
      </c>
      <c r="C3128">
        <v>352211</v>
      </c>
      <c r="D3128">
        <v>405</v>
      </c>
      <c r="E3128" t="s">
        <v>1266</v>
      </c>
      <c r="G3128">
        <v>745</v>
      </c>
      <c r="H3128">
        <v>1857</v>
      </c>
      <c r="K3128" t="s">
        <v>1471</v>
      </c>
      <c r="L3128" t="s">
        <v>1471</v>
      </c>
      <c r="M3128" t="s">
        <v>1470</v>
      </c>
      <c r="N3128">
        <v>0</v>
      </c>
      <c r="O3128" t="s">
        <v>1470</v>
      </c>
      <c r="P3128">
        <v>0</v>
      </c>
      <c r="Q3128">
        <v>0</v>
      </c>
      <c r="R3128">
        <v>0</v>
      </c>
      <c r="T3128" s="29">
        <v>505000</v>
      </c>
      <c r="U3128" s="29">
        <v>11195850</v>
      </c>
      <c r="V3128" t="s">
        <v>1262</v>
      </c>
      <c r="W3128" t="s">
        <v>1262</v>
      </c>
      <c r="X3128" s="29">
        <v>11195850</v>
      </c>
      <c r="AA3128" s="30">
        <v>45905.380555555559</v>
      </c>
      <c r="AB3128" s="30">
        <v>45915.338888888888</v>
      </c>
      <c r="AC3128" s="30">
        <v>45905.380555555559</v>
      </c>
      <c r="AD3128" s="30">
        <v>45915.338888888888</v>
      </c>
      <c r="AE3128" s="30">
        <v>46367.416666666664</v>
      </c>
      <c r="AF3128" s="30">
        <v>46377.375</v>
      </c>
      <c r="AG3128" t="s">
        <v>1266</v>
      </c>
      <c r="AK3128" t="s">
        <v>1265</v>
      </c>
      <c r="AL3128" t="s">
        <v>1501</v>
      </c>
      <c r="AM3128" t="s">
        <v>1263</v>
      </c>
      <c r="AN3128" t="s">
        <v>1262</v>
      </c>
      <c r="AO3128">
        <v>0</v>
      </c>
      <c r="AQ3128" t="s">
        <v>1261</v>
      </c>
      <c r="AR3128" t="s">
        <v>1260</v>
      </c>
      <c r="AS3128" t="s">
        <v>1259</v>
      </c>
      <c r="AT3128" s="30">
        <v>46076.713194444441</v>
      </c>
    </row>
    <row r="3129" spans="1:46" x14ac:dyDescent="0.25">
      <c r="A3129" t="s">
        <v>1248</v>
      </c>
      <c r="B3129">
        <v>255195</v>
      </c>
      <c r="C3129">
        <v>352217</v>
      </c>
      <c r="D3129">
        <v>405</v>
      </c>
      <c r="E3129" t="s">
        <v>1266</v>
      </c>
      <c r="G3129">
        <v>745</v>
      </c>
      <c r="H3129">
        <v>1857</v>
      </c>
      <c r="K3129" t="s">
        <v>1471</v>
      </c>
      <c r="L3129" t="s">
        <v>1471</v>
      </c>
      <c r="M3129" t="s">
        <v>1500</v>
      </c>
      <c r="N3129">
        <v>0</v>
      </c>
      <c r="O3129" t="s">
        <v>1500</v>
      </c>
      <c r="P3129">
        <v>0</v>
      </c>
      <c r="Q3129">
        <v>0</v>
      </c>
      <c r="R3129">
        <v>0</v>
      </c>
      <c r="T3129" s="29">
        <v>505000</v>
      </c>
      <c r="U3129" s="29">
        <v>11195850</v>
      </c>
      <c r="V3129" t="s">
        <v>1262</v>
      </c>
      <c r="W3129" t="s">
        <v>1262</v>
      </c>
      <c r="X3129" s="29">
        <v>11195850</v>
      </c>
      <c r="AA3129" s="30">
        <v>45904.338888888888</v>
      </c>
      <c r="AB3129" s="30">
        <v>45910.338888888888</v>
      </c>
      <c r="AC3129" s="30">
        <v>45904.338888888888</v>
      </c>
      <c r="AD3129" s="30">
        <v>45910.338888888888</v>
      </c>
      <c r="AE3129" s="30">
        <v>46352.375</v>
      </c>
      <c r="AF3129" s="30">
        <v>46358.375</v>
      </c>
      <c r="AG3129" t="s">
        <v>1266</v>
      </c>
      <c r="AK3129" t="s">
        <v>1265</v>
      </c>
      <c r="AL3129" t="s">
        <v>1499</v>
      </c>
      <c r="AM3129" t="s">
        <v>1263</v>
      </c>
      <c r="AN3129" t="s">
        <v>1262</v>
      </c>
      <c r="AO3129">
        <v>0</v>
      </c>
      <c r="AQ3129" t="s">
        <v>1261</v>
      </c>
      <c r="AR3129" t="s">
        <v>1260</v>
      </c>
      <c r="AS3129" t="s">
        <v>1259</v>
      </c>
      <c r="AT3129" s="30">
        <v>46076.713194444441</v>
      </c>
    </row>
    <row r="3130" spans="1:46" x14ac:dyDescent="0.25">
      <c r="A3130" t="s">
        <v>1248</v>
      </c>
      <c r="B3130">
        <v>255196</v>
      </c>
      <c r="C3130">
        <v>352225</v>
      </c>
      <c r="D3130">
        <v>405</v>
      </c>
      <c r="E3130" t="s">
        <v>1266</v>
      </c>
      <c r="G3130">
        <v>745</v>
      </c>
      <c r="H3130">
        <v>1857</v>
      </c>
      <c r="K3130" t="s">
        <v>1471</v>
      </c>
      <c r="L3130" t="s">
        <v>1471</v>
      </c>
      <c r="M3130" t="s">
        <v>1470</v>
      </c>
      <c r="N3130">
        <v>0</v>
      </c>
      <c r="O3130" t="s">
        <v>1470</v>
      </c>
      <c r="P3130">
        <v>0</v>
      </c>
      <c r="Q3130">
        <v>0</v>
      </c>
      <c r="R3130">
        <v>0</v>
      </c>
      <c r="T3130" s="29">
        <v>505000</v>
      </c>
      <c r="U3130" s="29">
        <v>11195850</v>
      </c>
      <c r="V3130" t="s">
        <v>1262</v>
      </c>
      <c r="W3130" t="s">
        <v>1262</v>
      </c>
      <c r="X3130" s="29">
        <v>11195850</v>
      </c>
      <c r="AA3130" s="30">
        <v>45897.547222222223</v>
      </c>
      <c r="AB3130" s="30">
        <v>45905.463888888888</v>
      </c>
      <c r="AC3130" s="30">
        <v>45897.547222222223</v>
      </c>
      <c r="AD3130" s="30">
        <v>45905.463888888888</v>
      </c>
      <c r="AE3130" s="30">
        <v>46332.416666666664</v>
      </c>
      <c r="AF3130" s="30">
        <v>46342.375</v>
      </c>
      <c r="AG3130" t="s">
        <v>1266</v>
      </c>
      <c r="AK3130" t="s">
        <v>1265</v>
      </c>
      <c r="AL3130" t="s">
        <v>1498</v>
      </c>
      <c r="AM3130" t="s">
        <v>1263</v>
      </c>
      <c r="AN3130" t="s">
        <v>1262</v>
      </c>
      <c r="AO3130">
        <v>0</v>
      </c>
      <c r="AQ3130" t="s">
        <v>1261</v>
      </c>
      <c r="AR3130" t="s">
        <v>1260</v>
      </c>
      <c r="AS3130" t="s">
        <v>1259</v>
      </c>
      <c r="AT3130" s="30">
        <v>46076.713194444441</v>
      </c>
    </row>
    <row r="3131" spans="1:46" x14ac:dyDescent="0.25">
      <c r="A3131" t="s">
        <v>1248</v>
      </c>
      <c r="B3131">
        <v>255197</v>
      </c>
      <c r="C3131">
        <v>352232</v>
      </c>
      <c r="D3131">
        <v>405</v>
      </c>
      <c r="E3131" t="s">
        <v>1266</v>
      </c>
      <c r="G3131">
        <v>745</v>
      </c>
      <c r="H3131">
        <v>1857</v>
      </c>
      <c r="K3131" t="s">
        <v>1471</v>
      </c>
      <c r="L3131" t="s">
        <v>1471</v>
      </c>
      <c r="M3131" t="s">
        <v>1470</v>
      </c>
      <c r="N3131">
        <v>0</v>
      </c>
      <c r="O3131" t="s">
        <v>1470</v>
      </c>
      <c r="P3131">
        <v>0</v>
      </c>
      <c r="Q3131">
        <v>0</v>
      </c>
      <c r="R3131">
        <v>0</v>
      </c>
      <c r="T3131" s="29">
        <v>505000</v>
      </c>
      <c r="U3131" s="29">
        <v>11195850</v>
      </c>
      <c r="V3131" t="s">
        <v>1262</v>
      </c>
      <c r="W3131" t="s">
        <v>1262</v>
      </c>
      <c r="X3131" s="29">
        <v>11195850</v>
      </c>
      <c r="AA3131" s="30">
        <v>45895.588888888888</v>
      </c>
      <c r="AB3131" s="30">
        <v>45903.547222222223</v>
      </c>
      <c r="AC3131" s="30">
        <v>45895.588888888888</v>
      </c>
      <c r="AD3131" s="30">
        <v>45903.547222222223</v>
      </c>
      <c r="AE3131" s="30">
        <v>46316.416666666664</v>
      </c>
      <c r="AF3131" s="30">
        <v>46324.375</v>
      </c>
      <c r="AG3131" t="s">
        <v>1266</v>
      </c>
      <c r="AK3131" t="s">
        <v>1265</v>
      </c>
      <c r="AL3131" t="s">
        <v>1497</v>
      </c>
      <c r="AM3131" t="s">
        <v>1263</v>
      </c>
      <c r="AN3131" t="s">
        <v>1262</v>
      </c>
      <c r="AO3131">
        <v>0</v>
      </c>
      <c r="AQ3131" t="s">
        <v>1261</v>
      </c>
      <c r="AR3131" t="s">
        <v>1260</v>
      </c>
      <c r="AS3131" t="s">
        <v>1259</v>
      </c>
      <c r="AT3131" s="30">
        <v>46076.713194444441</v>
      </c>
    </row>
    <row r="3132" spans="1:46" x14ac:dyDescent="0.25">
      <c r="A3132" t="s">
        <v>1248</v>
      </c>
      <c r="B3132">
        <v>255198</v>
      </c>
      <c r="C3132">
        <v>352239</v>
      </c>
      <c r="D3132">
        <v>405</v>
      </c>
      <c r="E3132" t="s">
        <v>1266</v>
      </c>
      <c r="G3132">
        <v>745</v>
      </c>
      <c r="H3132">
        <v>1857</v>
      </c>
      <c r="K3132" t="s">
        <v>1471</v>
      </c>
      <c r="L3132" t="s">
        <v>1471</v>
      </c>
      <c r="M3132" t="s">
        <v>1470</v>
      </c>
      <c r="N3132">
        <v>0</v>
      </c>
      <c r="O3132" t="s">
        <v>1470</v>
      </c>
      <c r="P3132">
        <v>0</v>
      </c>
      <c r="Q3132">
        <v>0</v>
      </c>
      <c r="R3132">
        <v>0</v>
      </c>
      <c r="T3132" s="29">
        <v>505000</v>
      </c>
      <c r="U3132" s="29">
        <v>11195850</v>
      </c>
      <c r="V3132" t="s">
        <v>1262</v>
      </c>
      <c r="W3132" t="s">
        <v>1262</v>
      </c>
      <c r="X3132" s="29">
        <v>11195850</v>
      </c>
      <c r="AA3132" s="30">
        <v>45891.630555555559</v>
      </c>
      <c r="AB3132" s="30">
        <v>45901.588888888888</v>
      </c>
      <c r="AC3132" s="30">
        <v>45891.630555555559</v>
      </c>
      <c r="AD3132" s="30">
        <v>45901.588888888888</v>
      </c>
      <c r="AE3132" s="30">
        <v>46300.416666666664</v>
      </c>
      <c r="AF3132" s="30">
        <v>46308.375</v>
      </c>
      <c r="AG3132" t="s">
        <v>1266</v>
      </c>
      <c r="AK3132" t="s">
        <v>1265</v>
      </c>
      <c r="AL3132" t="s">
        <v>1496</v>
      </c>
      <c r="AM3132" t="s">
        <v>1263</v>
      </c>
      <c r="AN3132" t="s">
        <v>1262</v>
      </c>
      <c r="AO3132">
        <v>0</v>
      </c>
      <c r="AQ3132" t="s">
        <v>1261</v>
      </c>
      <c r="AR3132" t="s">
        <v>1260</v>
      </c>
      <c r="AS3132" t="s">
        <v>1259</v>
      </c>
      <c r="AT3132" s="30">
        <v>46076.713194444441</v>
      </c>
    </row>
    <row r="3133" spans="1:46" x14ac:dyDescent="0.25">
      <c r="A3133" t="s">
        <v>1248</v>
      </c>
      <c r="B3133">
        <v>255199</v>
      </c>
      <c r="C3133">
        <v>352246</v>
      </c>
      <c r="D3133">
        <v>405</v>
      </c>
      <c r="E3133" t="s">
        <v>1266</v>
      </c>
      <c r="G3133">
        <v>745</v>
      </c>
      <c r="H3133">
        <v>1857</v>
      </c>
      <c r="K3133" t="s">
        <v>1471</v>
      </c>
      <c r="L3133" t="s">
        <v>1471</v>
      </c>
      <c r="M3133" t="s">
        <v>1470</v>
      </c>
      <c r="N3133">
        <v>0</v>
      </c>
      <c r="O3133" t="s">
        <v>1470</v>
      </c>
      <c r="P3133">
        <v>0</v>
      </c>
      <c r="Q3133">
        <v>0</v>
      </c>
      <c r="R3133">
        <v>0</v>
      </c>
      <c r="T3133" s="29">
        <v>505000</v>
      </c>
      <c r="U3133" s="29">
        <v>11195850</v>
      </c>
      <c r="V3133" t="s">
        <v>1262</v>
      </c>
      <c r="W3133" t="s">
        <v>1262</v>
      </c>
      <c r="X3133" s="29">
        <v>11195850</v>
      </c>
      <c r="AA3133" s="30">
        <v>45895.35</v>
      </c>
      <c r="AB3133" s="30">
        <v>45902.683333333334</v>
      </c>
      <c r="AC3133" s="30">
        <v>45895.35</v>
      </c>
      <c r="AD3133" s="30">
        <v>45902.683333333334</v>
      </c>
      <c r="AE3133" s="30">
        <v>46282.416666666664</v>
      </c>
      <c r="AF3133" s="30">
        <v>46290.375</v>
      </c>
      <c r="AG3133" t="s">
        <v>1266</v>
      </c>
      <c r="AK3133" t="s">
        <v>1265</v>
      </c>
      <c r="AL3133" t="s">
        <v>1495</v>
      </c>
      <c r="AM3133" t="s">
        <v>1263</v>
      </c>
      <c r="AN3133" t="s">
        <v>1262</v>
      </c>
      <c r="AO3133">
        <v>0</v>
      </c>
      <c r="AQ3133" t="s">
        <v>1261</v>
      </c>
      <c r="AR3133" t="s">
        <v>1260</v>
      </c>
      <c r="AS3133" t="s">
        <v>1259</v>
      </c>
      <c r="AT3133" s="30">
        <v>46076.713194444441</v>
      </c>
    </row>
    <row r="3134" spans="1:46" x14ac:dyDescent="0.25">
      <c r="A3134" t="s">
        <v>1248</v>
      </c>
      <c r="B3134">
        <v>255200</v>
      </c>
      <c r="C3134">
        <v>352253</v>
      </c>
      <c r="D3134">
        <v>405</v>
      </c>
      <c r="E3134" t="s">
        <v>1266</v>
      </c>
      <c r="G3134">
        <v>745</v>
      </c>
      <c r="H3134">
        <v>1857</v>
      </c>
      <c r="K3134" t="s">
        <v>1471</v>
      </c>
      <c r="L3134" t="s">
        <v>1471</v>
      </c>
      <c r="M3134" t="s">
        <v>1470</v>
      </c>
      <c r="N3134">
        <v>0</v>
      </c>
      <c r="O3134" t="s">
        <v>1470</v>
      </c>
      <c r="P3134">
        <v>0</v>
      </c>
      <c r="Q3134">
        <v>0</v>
      </c>
      <c r="R3134">
        <v>0</v>
      </c>
      <c r="T3134" s="29">
        <v>505000</v>
      </c>
      <c r="U3134" s="29">
        <v>11195850</v>
      </c>
      <c r="V3134" t="s">
        <v>1262</v>
      </c>
      <c r="W3134" t="s">
        <v>1262</v>
      </c>
      <c r="X3134" s="29">
        <v>11195850</v>
      </c>
      <c r="AA3134" s="30">
        <v>45891.39166666667</v>
      </c>
      <c r="AB3134" s="30">
        <v>45901.35</v>
      </c>
      <c r="AC3134" s="30">
        <v>45891.39166666667</v>
      </c>
      <c r="AD3134" s="30">
        <v>45901.35</v>
      </c>
      <c r="AE3134" s="30">
        <v>46266.416666666664</v>
      </c>
      <c r="AF3134" s="30">
        <v>46274.375</v>
      </c>
      <c r="AG3134" t="s">
        <v>1266</v>
      </c>
      <c r="AK3134" t="s">
        <v>1265</v>
      </c>
      <c r="AL3134" t="s">
        <v>1494</v>
      </c>
      <c r="AM3134" t="s">
        <v>1263</v>
      </c>
      <c r="AN3134" t="s">
        <v>1262</v>
      </c>
      <c r="AO3134">
        <v>0</v>
      </c>
      <c r="AQ3134" t="s">
        <v>1261</v>
      </c>
      <c r="AR3134" t="s">
        <v>1260</v>
      </c>
      <c r="AS3134" t="s">
        <v>1259</v>
      </c>
      <c r="AT3134" s="30">
        <v>46076.713194444441</v>
      </c>
    </row>
    <row r="3135" spans="1:46" x14ac:dyDescent="0.25">
      <c r="A3135" t="s">
        <v>1248</v>
      </c>
      <c r="B3135">
        <v>255201</v>
      </c>
      <c r="C3135">
        <v>352260</v>
      </c>
      <c r="D3135">
        <v>405</v>
      </c>
      <c r="E3135" t="s">
        <v>1266</v>
      </c>
      <c r="G3135">
        <v>745</v>
      </c>
      <c r="H3135">
        <v>1857</v>
      </c>
      <c r="K3135" t="s">
        <v>1471</v>
      </c>
      <c r="L3135" t="s">
        <v>1471</v>
      </c>
      <c r="M3135" t="s">
        <v>1470</v>
      </c>
      <c r="N3135">
        <v>0</v>
      </c>
      <c r="O3135" t="s">
        <v>1470</v>
      </c>
      <c r="P3135">
        <v>0</v>
      </c>
      <c r="Q3135">
        <v>0</v>
      </c>
      <c r="R3135">
        <v>0</v>
      </c>
      <c r="T3135" s="29">
        <v>505000</v>
      </c>
      <c r="U3135" s="29">
        <v>11195850</v>
      </c>
      <c r="V3135" t="s">
        <v>1262</v>
      </c>
      <c r="W3135" t="s">
        <v>1262</v>
      </c>
      <c r="X3135" s="29">
        <v>11195850</v>
      </c>
      <c r="AA3135" s="30">
        <v>45889.433333333334</v>
      </c>
      <c r="AB3135" s="30">
        <v>45897.39166666667</v>
      </c>
      <c r="AC3135" s="30">
        <v>45889.433333333334</v>
      </c>
      <c r="AD3135" s="30">
        <v>45897.39166666667</v>
      </c>
      <c r="AE3135" s="30">
        <v>46248.416666666664</v>
      </c>
      <c r="AF3135" s="30">
        <v>46258.375</v>
      </c>
      <c r="AG3135" t="s">
        <v>1266</v>
      </c>
      <c r="AK3135" t="s">
        <v>1265</v>
      </c>
      <c r="AL3135" t="s">
        <v>1493</v>
      </c>
      <c r="AM3135" t="s">
        <v>1263</v>
      </c>
      <c r="AN3135" t="s">
        <v>1262</v>
      </c>
      <c r="AO3135">
        <v>0</v>
      </c>
      <c r="AQ3135" t="s">
        <v>1261</v>
      </c>
      <c r="AR3135" t="s">
        <v>1260</v>
      </c>
      <c r="AS3135" t="s">
        <v>1259</v>
      </c>
      <c r="AT3135" s="30">
        <v>46076.713194444441</v>
      </c>
    </row>
    <row r="3136" spans="1:46" x14ac:dyDescent="0.25">
      <c r="A3136" t="s">
        <v>1248</v>
      </c>
      <c r="B3136">
        <v>255202</v>
      </c>
      <c r="C3136">
        <v>352267</v>
      </c>
      <c r="D3136">
        <v>405</v>
      </c>
      <c r="E3136" t="s">
        <v>1266</v>
      </c>
      <c r="G3136">
        <v>745</v>
      </c>
      <c r="H3136">
        <v>1857</v>
      </c>
      <c r="K3136" t="s">
        <v>1471</v>
      </c>
      <c r="L3136" t="s">
        <v>1471</v>
      </c>
      <c r="M3136" t="s">
        <v>1470</v>
      </c>
      <c r="N3136">
        <v>0</v>
      </c>
      <c r="O3136" t="s">
        <v>1470</v>
      </c>
      <c r="P3136">
        <v>0</v>
      </c>
      <c r="Q3136">
        <v>0</v>
      </c>
      <c r="R3136">
        <v>0</v>
      </c>
      <c r="T3136" s="29">
        <v>505000</v>
      </c>
      <c r="U3136" s="29">
        <v>11195850</v>
      </c>
      <c r="V3136" t="s">
        <v>1262</v>
      </c>
      <c r="W3136" t="s">
        <v>1262</v>
      </c>
      <c r="X3136" s="29">
        <v>11195850</v>
      </c>
      <c r="AA3136" s="30">
        <v>45877.7</v>
      </c>
      <c r="AB3136" s="30">
        <v>45887.658333333333</v>
      </c>
      <c r="AC3136" s="30">
        <v>45877.7</v>
      </c>
      <c r="AD3136" s="30">
        <v>45887.658333333333</v>
      </c>
      <c r="AE3136" s="30">
        <v>46232.416666666664</v>
      </c>
      <c r="AF3136" s="30">
        <v>46240.375</v>
      </c>
      <c r="AG3136" t="s">
        <v>1266</v>
      </c>
      <c r="AK3136" t="s">
        <v>1265</v>
      </c>
      <c r="AL3136" t="s">
        <v>1492</v>
      </c>
      <c r="AM3136" t="s">
        <v>1263</v>
      </c>
      <c r="AN3136" t="s">
        <v>1262</v>
      </c>
      <c r="AO3136">
        <v>0</v>
      </c>
      <c r="AQ3136" t="s">
        <v>1261</v>
      </c>
      <c r="AR3136" t="s">
        <v>1260</v>
      </c>
      <c r="AS3136" t="s">
        <v>1259</v>
      </c>
      <c r="AT3136" s="30">
        <v>46076.713194444441</v>
      </c>
    </row>
    <row r="3137" spans="1:46" x14ac:dyDescent="0.25">
      <c r="A3137" t="s">
        <v>1248</v>
      </c>
      <c r="B3137">
        <v>255203</v>
      </c>
      <c r="C3137">
        <v>352274</v>
      </c>
      <c r="D3137">
        <v>405</v>
      </c>
      <c r="E3137" t="s">
        <v>1266</v>
      </c>
      <c r="G3137">
        <v>745</v>
      </c>
      <c r="H3137">
        <v>1857</v>
      </c>
      <c r="K3137" t="s">
        <v>1471</v>
      </c>
      <c r="L3137" t="s">
        <v>1471</v>
      </c>
      <c r="M3137" t="s">
        <v>1470</v>
      </c>
      <c r="N3137">
        <v>0</v>
      </c>
      <c r="O3137" t="s">
        <v>1470</v>
      </c>
      <c r="P3137">
        <v>0</v>
      </c>
      <c r="Q3137">
        <v>0</v>
      </c>
      <c r="R3137">
        <v>0</v>
      </c>
      <c r="T3137" s="29">
        <v>505000</v>
      </c>
      <c r="U3137" s="29">
        <v>11195850</v>
      </c>
      <c r="V3137" t="s">
        <v>1262</v>
      </c>
      <c r="W3137" t="s">
        <v>1262</v>
      </c>
      <c r="X3137" s="29">
        <v>11195850</v>
      </c>
      <c r="AA3137" s="30">
        <v>45876.366666666669</v>
      </c>
      <c r="AB3137" s="30">
        <v>45883.7</v>
      </c>
      <c r="AC3137" s="30">
        <v>45876.366666666669</v>
      </c>
      <c r="AD3137" s="30">
        <v>45883.7</v>
      </c>
      <c r="AE3137" s="30">
        <v>46216.416666666664</v>
      </c>
      <c r="AF3137" s="30">
        <v>46224.375</v>
      </c>
      <c r="AG3137" t="s">
        <v>1266</v>
      </c>
      <c r="AK3137" t="s">
        <v>1265</v>
      </c>
      <c r="AL3137" t="s">
        <v>1491</v>
      </c>
      <c r="AM3137" t="s">
        <v>1263</v>
      </c>
      <c r="AN3137" t="s">
        <v>1262</v>
      </c>
      <c r="AO3137">
        <v>0</v>
      </c>
      <c r="AQ3137" t="s">
        <v>1261</v>
      </c>
      <c r="AR3137" t="s">
        <v>1260</v>
      </c>
      <c r="AS3137" t="s">
        <v>1259</v>
      </c>
      <c r="AT3137" s="30">
        <v>46076.713194444441</v>
      </c>
    </row>
    <row r="3138" spans="1:46" x14ac:dyDescent="0.25">
      <c r="A3138" t="s">
        <v>1248</v>
      </c>
      <c r="B3138">
        <v>255204</v>
      </c>
      <c r="C3138">
        <v>352281</v>
      </c>
      <c r="D3138">
        <v>405</v>
      </c>
      <c r="E3138" t="s">
        <v>1266</v>
      </c>
      <c r="G3138">
        <v>745</v>
      </c>
      <c r="H3138">
        <v>1857</v>
      </c>
      <c r="K3138" t="s">
        <v>1471</v>
      </c>
      <c r="L3138" t="s">
        <v>1471</v>
      </c>
      <c r="M3138" t="s">
        <v>1470</v>
      </c>
      <c r="N3138">
        <v>0</v>
      </c>
      <c r="O3138" t="s">
        <v>1470</v>
      </c>
      <c r="P3138">
        <v>0</v>
      </c>
      <c r="Q3138">
        <v>0</v>
      </c>
      <c r="R3138">
        <v>0</v>
      </c>
      <c r="T3138" s="29">
        <v>505000</v>
      </c>
      <c r="U3138" s="29">
        <v>11195850</v>
      </c>
      <c r="V3138" t="s">
        <v>1262</v>
      </c>
      <c r="W3138" t="s">
        <v>1262</v>
      </c>
      <c r="X3138" s="29">
        <v>11195850</v>
      </c>
      <c r="AA3138" s="30">
        <v>45874.408333333333</v>
      </c>
      <c r="AB3138" s="30">
        <v>45882.366666666669</v>
      </c>
      <c r="AC3138" s="30">
        <v>45874.408333333333</v>
      </c>
      <c r="AD3138" s="30">
        <v>45882.366666666669</v>
      </c>
      <c r="AE3138" s="30">
        <v>46198.416666666664</v>
      </c>
      <c r="AF3138" s="30">
        <v>46206.375</v>
      </c>
      <c r="AG3138" t="s">
        <v>1266</v>
      </c>
      <c r="AK3138" t="s">
        <v>1265</v>
      </c>
      <c r="AL3138" t="s">
        <v>1490</v>
      </c>
      <c r="AM3138" t="s">
        <v>1263</v>
      </c>
      <c r="AN3138" t="s">
        <v>1262</v>
      </c>
      <c r="AO3138">
        <v>0</v>
      </c>
      <c r="AQ3138" t="s">
        <v>1261</v>
      </c>
      <c r="AR3138" t="s">
        <v>1260</v>
      </c>
      <c r="AS3138" t="s">
        <v>1259</v>
      </c>
      <c r="AT3138" s="30">
        <v>46076.713194444441</v>
      </c>
    </row>
    <row r="3139" spans="1:46" x14ac:dyDescent="0.25">
      <c r="A3139" t="s">
        <v>1248</v>
      </c>
      <c r="B3139">
        <v>255205</v>
      </c>
      <c r="C3139">
        <v>352288</v>
      </c>
      <c r="D3139">
        <v>405</v>
      </c>
      <c r="E3139" t="s">
        <v>1266</v>
      </c>
      <c r="G3139">
        <v>745</v>
      </c>
      <c r="H3139">
        <v>1857</v>
      </c>
      <c r="K3139" t="s">
        <v>1471</v>
      </c>
      <c r="L3139" t="s">
        <v>1471</v>
      </c>
      <c r="M3139" t="s">
        <v>1470</v>
      </c>
      <c r="N3139">
        <v>0</v>
      </c>
      <c r="O3139" t="s">
        <v>1470</v>
      </c>
      <c r="P3139">
        <v>0</v>
      </c>
      <c r="Q3139">
        <v>0</v>
      </c>
      <c r="R3139">
        <v>0</v>
      </c>
      <c r="T3139" s="29">
        <v>505000</v>
      </c>
      <c r="U3139" s="29">
        <v>11195850</v>
      </c>
      <c r="V3139" t="s">
        <v>1262</v>
      </c>
      <c r="W3139" t="s">
        <v>1262</v>
      </c>
      <c r="X3139" s="29">
        <v>11195850</v>
      </c>
      <c r="AA3139" s="30">
        <v>45870.45</v>
      </c>
      <c r="AB3139" s="30">
        <v>45880.408333333333</v>
      </c>
      <c r="AC3139" s="30">
        <v>45870.45</v>
      </c>
      <c r="AD3139" s="30">
        <v>45880.408333333333</v>
      </c>
      <c r="AE3139" s="30">
        <v>46182.416666666664</v>
      </c>
      <c r="AF3139" s="30">
        <v>46190.375</v>
      </c>
      <c r="AG3139" t="s">
        <v>1266</v>
      </c>
      <c r="AK3139" t="s">
        <v>1265</v>
      </c>
      <c r="AL3139" t="s">
        <v>1489</v>
      </c>
      <c r="AM3139" t="s">
        <v>1263</v>
      </c>
      <c r="AN3139" t="s">
        <v>1262</v>
      </c>
      <c r="AO3139">
        <v>0</v>
      </c>
      <c r="AQ3139" t="s">
        <v>1261</v>
      </c>
      <c r="AR3139" t="s">
        <v>1260</v>
      </c>
      <c r="AS3139" t="s">
        <v>1259</v>
      </c>
      <c r="AT3139" s="30">
        <v>46076.713194444441</v>
      </c>
    </row>
    <row r="3140" spans="1:46" x14ac:dyDescent="0.25">
      <c r="A3140" t="s">
        <v>1248</v>
      </c>
      <c r="B3140">
        <v>255206</v>
      </c>
      <c r="C3140">
        <v>352295</v>
      </c>
      <c r="D3140">
        <v>405</v>
      </c>
      <c r="E3140" t="s">
        <v>1266</v>
      </c>
      <c r="G3140">
        <v>745</v>
      </c>
      <c r="H3140">
        <v>1857</v>
      </c>
      <c r="K3140" t="s">
        <v>1471</v>
      </c>
      <c r="L3140" t="s">
        <v>1471</v>
      </c>
      <c r="M3140" t="s">
        <v>1470</v>
      </c>
      <c r="N3140">
        <v>0</v>
      </c>
      <c r="O3140" t="s">
        <v>1470</v>
      </c>
      <c r="P3140">
        <v>0</v>
      </c>
      <c r="Q3140">
        <v>0</v>
      </c>
      <c r="R3140">
        <v>0</v>
      </c>
      <c r="T3140" s="29">
        <v>505000</v>
      </c>
      <c r="U3140" s="29">
        <v>11195850</v>
      </c>
      <c r="V3140" t="s">
        <v>1262</v>
      </c>
      <c r="W3140" t="s">
        <v>1262</v>
      </c>
      <c r="X3140" s="29">
        <v>11195850</v>
      </c>
      <c r="AA3140" s="30">
        <v>45868.491666666669</v>
      </c>
      <c r="AB3140" s="30">
        <v>45876.45</v>
      </c>
      <c r="AC3140" s="30">
        <v>45868.491666666669</v>
      </c>
      <c r="AD3140" s="30">
        <v>45876.45</v>
      </c>
      <c r="AE3140" s="30">
        <v>46163.416666666664</v>
      </c>
      <c r="AF3140" s="30">
        <v>46171.375</v>
      </c>
      <c r="AG3140" t="s">
        <v>1266</v>
      </c>
      <c r="AK3140" t="s">
        <v>1265</v>
      </c>
      <c r="AL3140" t="s">
        <v>1488</v>
      </c>
      <c r="AM3140" t="s">
        <v>1263</v>
      </c>
      <c r="AN3140" t="s">
        <v>1262</v>
      </c>
      <c r="AO3140">
        <v>0</v>
      </c>
      <c r="AQ3140" t="s">
        <v>1261</v>
      </c>
      <c r="AR3140" t="s">
        <v>1260</v>
      </c>
      <c r="AS3140" t="s">
        <v>1259</v>
      </c>
      <c r="AT3140" s="30">
        <v>46076.713194444441</v>
      </c>
    </row>
    <row r="3141" spans="1:46" x14ac:dyDescent="0.25">
      <c r="A3141" t="s">
        <v>1248</v>
      </c>
      <c r="B3141">
        <v>255207</v>
      </c>
      <c r="C3141">
        <v>352302</v>
      </c>
      <c r="D3141">
        <v>405</v>
      </c>
      <c r="E3141" t="s">
        <v>1266</v>
      </c>
      <c r="G3141">
        <v>745</v>
      </c>
      <c r="H3141">
        <v>1857</v>
      </c>
      <c r="K3141" t="s">
        <v>1471</v>
      </c>
      <c r="L3141" t="s">
        <v>1471</v>
      </c>
      <c r="M3141" t="s">
        <v>1470</v>
      </c>
      <c r="N3141">
        <v>0</v>
      </c>
      <c r="O3141" t="s">
        <v>1470</v>
      </c>
      <c r="P3141">
        <v>0</v>
      </c>
      <c r="Q3141">
        <v>0</v>
      </c>
      <c r="R3141">
        <v>0</v>
      </c>
      <c r="T3141" s="29">
        <v>505000</v>
      </c>
      <c r="U3141" s="29">
        <v>11195850</v>
      </c>
      <c r="V3141" t="s">
        <v>1262</v>
      </c>
      <c r="W3141" t="s">
        <v>1262</v>
      </c>
      <c r="X3141" s="29">
        <v>11195850</v>
      </c>
      <c r="AA3141" s="30">
        <v>45866.574999999997</v>
      </c>
      <c r="AB3141" s="30">
        <v>45874.491666666669</v>
      </c>
      <c r="AC3141" s="30">
        <v>45866.574999999997</v>
      </c>
      <c r="AD3141" s="30">
        <v>45874.491666666669</v>
      </c>
      <c r="AE3141" s="30">
        <v>46147.416666666664</v>
      </c>
      <c r="AF3141" s="30">
        <v>46155.375</v>
      </c>
      <c r="AG3141" t="s">
        <v>1266</v>
      </c>
      <c r="AK3141" t="s">
        <v>1265</v>
      </c>
      <c r="AL3141" t="s">
        <v>1487</v>
      </c>
      <c r="AM3141" t="s">
        <v>1263</v>
      </c>
      <c r="AN3141" t="s">
        <v>1262</v>
      </c>
      <c r="AO3141">
        <v>0</v>
      </c>
      <c r="AQ3141" t="s">
        <v>1261</v>
      </c>
      <c r="AR3141" t="s">
        <v>1260</v>
      </c>
      <c r="AS3141" t="s">
        <v>1259</v>
      </c>
      <c r="AT3141" s="30">
        <v>46076.713194444441</v>
      </c>
    </row>
    <row r="3142" spans="1:46" x14ac:dyDescent="0.25">
      <c r="A3142" t="s">
        <v>1248</v>
      </c>
      <c r="B3142">
        <v>255208</v>
      </c>
      <c r="C3142">
        <v>352309</v>
      </c>
      <c r="D3142">
        <v>405</v>
      </c>
      <c r="E3142" t="s">
        <v>1266</v>
      </c>
      <c r="G3142">
        <v>745</v>
      </c>
      <c r="H3142">
        <v>1857</v>
      </c>
      <c r="K3142" t="s">
        <v>1471</v>
      </c>
      <c r="L3142" t="s">
        <v>1471</v>
      </c>
      <c r="M3142" t="s">
        <v>1470</v>
      </c>
      <c r="N3142">
        <v>0</v>
      </c>
      <c r="O3142" t="s">
        <v>1470</v>
      </c>
      <c r="P3142">
        <v>0</v>
      </c>
      <c r="Q3142">
        <v>0</v>
      </c>
      <c r="R3142">
        <v>0</v>
      </c>
      <c r="T3142" s="29">
        <v>505000</v>
      </c>
      <c r="U3142" s="29">
        <v>11195850</v>
      </c>
      <c r="V3142" t="s">
        <v>1262</v>
      </c>
      <c r="W3142" t="s">
        <v>1262</v>
      </c>
      <c r="X3142" s="29">
        <v>11195850</v>
      </c>
      <c r="AA3142" s="30">
        <v>45852.433333333334</v>
      </c>
      <c r="AB3142" s="30">
        <v>45860.39166666667</v>
      </c>
      <c r="AC3142" s="30">
        <v>45852.433333333334</v>
      </c>
      <c r="AD3142" s="30">
        <v>45860.39166666667</v>
      </c>
      <c r="AE3142" s="30">
        <v>46128.416666666664</v>
      </c>
      <c r="AF3142" s="30">
        <v>46136.375</v>
      </c>
      <c r="AG3142" t="s">
        <v>1266</v>
      </c>
      <c r="AK3142" t="s">
        <v>1265</v>
      </c>
      <c r="AL3142" t="s">
        <v>1486</v>
      </c>
      <c r="AM3142" t="s">
        <v>1263</v>
      </c>
      <c r="AN3142" t="s">
        <v>1262</v>
      </c>
      <c r="AO3142">
        <v>0</v>
      </c>
      <c r="AQ3142" t="s">
        <v>1261</v>
      </c>
      <c r="AR3142" t="s">
        <v>1260</v>
      </c>
      <c r="AS3142" t="s">
        <v>1259</v>
      </c>
      <c r="AT3142" s="30">
        <v>46076.713194444441</v>
      </c>
    </row>
    <row r="3143" spans="1:46" x14ac:dyDescent="0.25">
      <c r="A3143" t="s">
        <v>1248</v>
      </c>
      <c r="B3143">
        <v>255209</v>
      </c>
      <c r="C3143">
        <v>352316</v>
      </c>
      <c r="D3143">
        <v>405</v>
      </c>
      <c r="E3143" t="s">
        <v>1266</v>
      </c>
      <c r="G3143">
        <v>745</v>
      </c>
      <c r="H3143">
        <v>1857</v>
      </c>
      <c r="K3143" t="s">
        <v>1471</v>
      </c>
      <c r="L3143" t="s">
        <v>1471</v>
      </c>
      <c r="M3143" t="s">
        <v>1470</v>
      </c>
      <c r="N3143">
        <v>0</v>
      </c>
      <c r="O3143" t="s">
        <v>1470</v>
      </c>
      <c r="P3143">
        <v>0</v>
      </c>
      <c r="Q3143">
        <v>0</v>
      </c>
      <c r="R3143">
        <v>0</v>
      </c>
      <c r="T3143" s="29">
        <v>505000</v>
      </c>
      <c r="U3143" s="29">
        <v>11195850</v>
      </c>
      <c r="V3143" t="s">
        <v>1262</v>
      </c>
      <c r="W3143" t="s">
        <v>1262</v>
      </c>
      <c r="X3143" s="29">
        <v>11195850</v>
      </c>
      <c r="AA3143" s="30">
        <v>45847.64166666667</v>
      </c>
      <c r="AB3143" s="30">
        <v>45855.6</v>
      </c>
      <c r="AC3143" s="30">
        <v>45847.64166666667</v>
      </c>
      <c r="AD3143" s="30">
        <v>45855.6</v>
      </c>
      <c r="AE3143" s="30">
        <v>46111.416666666664</v>
      </c>
      <c r="AF3143" s="30">
        <v>46120.375</v>
      </c>
      <c r="AG3143" t="s">
        <v>1266</v>
      </c>
      <c r="AK3143" t="s">
        <v>1265</v>
      </c>
      <c r="AL3143" t="s">
        <v>1485</v>
      </c>
      <c r="AM3143" t="s">
        <v>1263</v>
      </c>
      <c r="AN3143" t="s">
        <v>1262</v>
      </c>
      <c r="AO3143">
        <v>0</v>
      </c>
      <c r="AQ3143" t="s">
        <v>1261</v>
      </c>
      <c r="AR3143" t="s">
        <v>1260</v>
      </c>
      <c r="AS3143" t="s">
        <v>1259</v>
      </c>
      <c r="AT3143" s="30">
        <v>46076.713194444441</v>
      </c>
    </row>
    <row r="3144" spans="1:46" x14ac:dyDescent="0.25">
      <c r="A3144" t="s">
        <v>1248</v>
      </c>
      <c r="B3144">
        <v>255210</v>
      </c>
      <c r="C3144">
        <v>352323</v>
      </c>
      <c r="D3144">
        <v>405</v>
      </c>
      <c r="E3144" t="s">
        <v>1266</v>
      </c>
      <c r="G3144">
        <v>745</v>
      </c>
      <c r="H3144">
        <v>1857</v>
      </c>
      <c r="K3144" t="s">
        <v>1471</v>
      </c>
      <c r="L3144" t="s">
        <v>1471</v>
      </c>
      <c r="M3144" t="s">
        <v>1470</v>
      </c>
      <c r="N3144">
        <v>0</v>
      </c>
      <c r="O3144" t="s">
        <v>1470</v>
      </c>
      <c r="P3144">
        <v>0</v>
      </c>
      <c r="Q3144">
        <v>0</v>
      </c>
      <c r="R3144">
        <v>0</v>
      </c>
      <c r="T3144" s="29">
        <v>505000</v>
      </c>
      <c r="U3144" s="29">
        <v>11195850</v>
      </c>
      <c r="V3144" t="s">
        <v>1262</v>
      </c>
      <c r="W3144" t="s">
        <v>1262</v>
      </c>
      <c r="X3144" s="29">
        <v>11195850</v>
      </c>
      <c r="AA3144" s="30">
        <v>45845.683333333334</v>
      </c>
      <c r="AB3144" s="30">
        <v>45853.64166666667</v>
      </c>
      <c r="AC3144" s="30">
        <v>45845.683333333334</v>
      </c>
      <c r="AD3144" s="30">
        <v>45853.64166666667</v>
      </c>
      <c r="AE3144" s="30">
        <v>46093.416666666664</v>
      </c>
      <c r="AF3144" s="30">
        <v>46101.375</v>
      </c>
      <c r="AG3144" t="s">
        <v>1266</v>
      </c>
      <c r="AK3144" t="s">
        <v>1265</v>
      </c>
      <c r="AL3144" t="s">
        <v>1484</v>
      </c>
      <c r="AM3144" t="s">
        <v>1263</v>
      </c>
      <c r="AN3144" t="s">
        <v>1262</v>
      </c>
      <c r="AO3144">
        <v>0</v>
      </c>
      <c r="AQ3144" t="s">
        <v>1261</v>
      </c>
      <c r="AR3144" t="s">
        <v>1260</v>
      </c>
      <c r="AS3144" t="s">
        <v>1259</v>
      </c>
      <c r="AT3144" s="30">
        <v>46076.713194444441</v>
      </c>
    </row>
    <row r="3145" spans="1:46" x14ac:dyDescent="0.25">
      <c r="A3145" t="s">
        <v>1248</v>
      </c>
      <c r="B3145">
        <v>255211</v>
      </c>
      <c r="C3145">
        <v>352330</v>
      </c>
      <c r="D3145">
        <v>405</v>
      </c>
      <c r="E3145" t="s">
        <v>1266</v>
      </c>
      <c r="G3145">
        <v>745</v>
      </c>
      <c r="H3145">
        <v>1857</v>
      </c>
      <c r="K3145" t="s">
        <v>1471</v>
      </c>
      <c r="L3145" t="s">
        <v>1471</v>
      </c>
      <c r="M3145" t="s">
        <v>1470</v>
      </c>
      <c r="N3145">
        <v>0</v>
      </c>
      <c r="O3145" t="s">
        <v>1470</v>
      </c>
      <c r="P3145">
        <v>0</v>
      </c>
      <c r="Q3145">
        <v>0</v>
      </c>
      <c r="R3145">
        <v>0</v>
      </c>
      <c r="T3145" s="29">
        <v>505000</v>
      </c>
      <c r="U3145" s="29">
        <v>11195850</v>
      </c>
      <c r="V3145" t="s">
        <v>1262</v>
      </c>
      <c r="W3145" t="s">
        <v>1262</v>
      </c>
      <c r="X3145" s="29">
        <v>11195850</v>
      </c>
      <c r="AA3145" s="30">
        <v>45842.35</v>
      </c>
      <c r="AB3145" s="30">
        <v>45849.683333333334</v>
      </c>
      <c r="AC3145" s="30">
        <v>45842.35</v>
      </c>
      <c r="AD3145" s="30">
        <v>45849.683333333334</v>
      </c>
      <c r="AE3145" s="30">
        <v>46077.416666666664</v>
      </c>
      <c r="AF3145" s="30">
        <v>46085.375</v>
      </c>
      <c r="AG3145" t="s">
        <v>1266</v>
      </c>
      <c r="AK3145" t="s">
        <v>1265</v>
      </c>
      <c r="AL3145" t="s">
        <v>1483</v>
      </c>
      <c r="AM3145" t="s">
        <v>1263</v>
      </c>
      <c r="AN3145" t="s">
        <v>1262</v>
      </c>
      <c r="AO3145">
        <v>0</v>
      </c>
      <c r="AQ3145" t="s">
        <v>1261</v>
      </c>
      <c r="AR3145" t="s">
        <v>1260</v>
      </c>
      <c r="AS3145" t="s">
        <v>1259</v>
      </c>
      <c r="AT3145" s="30">
        <v>46076.713194444441</v>
      </c>
    </row>
    <row r="3146" spans="1:46" x14ac:dyDescent="0.25">
      <c r="A3146" t="s">
        <v>1248</v>
      </c>
      <c r="B3146">
        <v>255212</v>
      </c>
      <c r="C3146">
        <v>352337</v>
      </c>
      <c r="D3146">
        <v>405</v>
      </c>
      <c r="E3146" t="s">
        <v>1266</v>
      </c>
      <c r="G3146">
        <v>745</v>
      </c>
      <c r="H3146">
        <v>1857</v>
      </c>
      <c r="K3146" t="s">
        <v>1471</v>
      </c>
      <c r="L3146" t="s">
        <v>1471</v>
      </c>
      <c r="M3146" t="s">
        <v>1470</v>
      </c>
      <c r="N3146">
        <v>0</v>
      </c>
      <c r="O3146" t="s">
        <v>1470</v>
      </c>
      <c r="P3146">
        <v>0</v>
      </c>
      <c r="Q3146">
        <v>0</v>
      </c>
      <c r="R3146">
        <v>0</v>
      </c>
      <c r="T3146" s="29">
        <v>505000</v>
      </c>
      <c r="U3146" s="29">
        <v>11195850</v>
      </c>
      <c r="V3146" t="s">
        <v>1262</v>
      </c>
      <c r="W3146" t="s">
        <v>1262</v>
      </c>
      <c r="X3146" s="29">
        <v>11195850</v>
      </c>
      <c r="AA3146" s="30">
        <v>45840.39166666667</v>
      </c>
      <c r="AB3146" s="30">
        <v>45848.35</v>
      </c>
      <c r="AC3146" s="30">
        <v>45840.39166666667</v>
      </c>
      <c r="AD3146" s="30">
        <v>45848.35</v>
      </c>
      <c r="AE3146" s="30">
        <v>46059.416666666664</v>
      </c>
      <c r="AF3146" s="30">
        <v>46069.375</v>
      </c>
      <c r="AG3146" t="s">
        <v>1266</v>
      </c>
      <c r="AK3146" t="s">
        <v>1265</v>
      </c>
      <c r="AL3146" t="s">
        <v>1482</v>
      </c>
      <c r="AM3146" t="s">
        <v>1263</v>
      </c>
      <c r="AN3146" t="s">
        <v>1262</v>
      </c>
      <c r="AO3146">
        <v>0</v>
      </c>
      <c r="AQ3146" t="s">
        <v>1261</v>
      </c>
      <c r="AR3146" t="s">
        <v>1260</v>
      </c>
      <c r="AS3146" t="s">
        <v>1259</v>
      </c>
      <c r="AT3146" s="30">
        <v>46076.713194444441</v>
      </c>
    </row>
    <row r="3147" spans="1:46" x14ac:dyDescent="0.25">
      <c r="A3147" t="s">
        <v>1248</v>
      </c>
      <c r="B3147">
        <v>255213</v>
      </c>
      <c r="C3147">
        <v>352344</v>
      </c>
      <c r="D3147">
        <v>405</v>
      </c>
      <c r="E3147" t="s">
        <v>1266</v>
      </c>
      <c r="G3147">
        <v>745</v>
      </c>
      <c r="H3147">
        <v>1857</v>
      </c>
      <c r="K3147" t="s">
        <v>1471</v>
      </c>
      <c r="L3147" t="s">
        <v>1471</v>
      </c>
      <c r="M3147" t="s">
        <v>1478</v>
      </c>
      <c r="N3147">
        <v>0</v>
      </c>
      <c r="O3147" t="s">
        <v>1478</v>
      </c>
      <c r="P3147">
        <v>0</v>
      </c>
      <c r="Q3147">
        <v>0</v>
      </c>
      <c r="R3147">
        <v>0</v>
      </c>
      <c r="T3147" s="29">
        <v>505000</v>
      </c>
      <c r="U3147" s="29">
        <v>11195850</v>
      </c>
      <c r="V3147" t="s">
        <v>1262</v>
      </c>
      <c r="W3147" t="s">
        <v>1262</v>
      </c>
      <c r="X3147" s="29">
        <v>11195850</v>
      </c>
      <c r="AA3147" s="30">
        <v>45838.433333333334</v>
      </c>
      <c r="AB3147" s="30">
        <v>45846.433333333334</v>
      </c>
      <c r="AC3147" s="30">
        <v>45838.433333333334</v>
      </c>
      <c r="AD3147" s="30">
        <v>45846.433333333334</v>
      </c>
      <c r="AE3147" s="30">
        <v>46043.375</v>
      </c>
      <c r="AF3147" s="30">
        <v>46051.375</v>
      </c>
      <c r="AG3147" t="s">
        <v>1266</v>
      </c>
      <c r="AK3147" t="s">
        <v>1265</v>
      </c>
      <c r="AL3147" t="s">
        <v>1481</v>
      </c>
      <c r="AM3147" t="s">
        <v>1263</v>
      </c>
      <c r="AN3147" t="s">
        <v>1262</v>
      </c>
      <c r="AO3147">
        <v>0</v>
      </c>
      <c r="AQ3147" t="s">
        <v>1261</v>
      </c>
      <c r="AR3147" t="s">
        <v>1260</v>
      </c>
      <c r="AS3147" t="s">
        <v>1259</v>
      </c>
      <c r="AT3147" s="30">
        <v>46076.713194444441</v>
      </c>
    </row>
    <row r="3148" spans="1:46" x14ac:dyDescent="0.25">
      <c r="A3148" t="s">
        <v>1248</v>
      </c>
      <c r="B3148">
        <v>255214</v>
      </c>
      <c r="C3148">
        <v>352351</v>
      </c>
      <c r="D3148">
        <v>405</v>
      </c>
      <c r="E3148" t="s">
        <v>1266</v>
      </c>
      <c r="G3148">
        <v>745</v>
      </c>
      <c r="H3148">
        <v>1857</v>
      </c>
      <c r="K3148" t="s">
        <v>1471</v>
      </c>
      <c r="L3148" t="s">
        <v>1471</v>
      </c>
      <c r="M3148" t="s">
        <v>1478</v>
      </c>
      <c r="N3148">
        <v>0</v>
      </c>
      <c r="O3148" t="s">
        <v>1478</v>
      </c>
      <c r="P3148">
        <v>0</v>
      </c>
      <c r="Q3148">
        <v>0</v>
      </c>
      <c r="R3148">
        <v>0</v>
      </c>
      <c r="T3148" s="29">
        <v>505000</v>
      </c>
      <c r="U3148" s="29">
        <v>11195850</v>
      </c>
      <c r="V3148" t="s">
        <v>1262</v>
      </c>
      <c r="W3148" t="s">
        <v>1262</v>
      </c>
      <c r="X3148" s="29">
        <v>11195850</v>
      </c>
      <c r="AA3148" s="30">
        <v>45828.39166666667</v>
      </c>
      <c r="AB3148" s="30">
        <v>45838.39166666667</v>
      </c>
      <c r="AC3148" s="30">
        <v>45828.39166666667</v>
      </c>
      <c r="AD3148" s="30">
        <v>45838.39166666667</v>
      </c>
      <c r="AE3148" s="30">
        <v>46022.333333333336</v>
      </c>
      <c r="AF3148" s="30">
        <v>46031.708333333336</v>
      </c>
      <c r="AG3148" t="s">
        <v>1266</v>
      </c>
      <c r="AK3148" t="s">
        <v>1265</v>
      </c>
      <c r="AL3148" t="s">
        <v>1480</v>
      </c>
      <c r="AM3148" t="s">
        <v>1263</v>
      </c>
      <c r="AN3148" t="s">
        <v>1262</v>
      </c>
      <c r="AO3148">
        <v>0</v>
      </c>
      <c r="AQ3148" t="s">
        <v>1261</v>
      </c>
      <c r="AR3148" t="s">
        <v>1260</v>
      </c>
      <c r="AS3148" t="s">
        <v>1259</v>
      </c>
      <c r="AT3148" s="30">
        <v>46076.713194444441</v>
      </c>
    </row>
    <row r="3149" spans="1:46" x14ac:dyDescent="0.25">
      <c r="A3149" t="s">
        <v>1248</v>
      </c>
      <c r="B3149">
        <v>255215</v>
      </c>
      <c r="C3149">
        <v>352358</v>
      </c>
      <c r="D3149">
        <v>405</v>
      </c>
      <c r="E3149" t="s">
        <v>1266</v>
      </c>
      <c r="G3149">
        <v>745</v>
      </c>
      <c r="H3149">
        <v>1857</v>
      </c>
      <c r="K3149" t="s">
        <v>1471</v>
      </c>
      <c r="L3149" t="s">
        <v>1471</v>
      </c>
      <c r="M3149" t="s">
        <v>1478</v>
      </c>
      <c r="N3149">
        <v>0</v>
      </c>
      <c r="O3149" t="s">
        <v>1478</v>
      </c>
      <c r="P3149">
        <v>0</v>
      </c>
      <c r="Q3149">
        <v>0</v>
      </c>
      <c r="R3149">
        <v>0</v>
      </c>
      <c r="T3149" s="29">
        <v>505000</v>
      </c>
      <c r="U3149" s="29">
        <v>11195850</v>
      </c>
      <c r="V3149" t="s">
        <v>1262</v>
      </c>
      <c r="W3149" t="s">
        <v>1262</v>
      </c>
      <c r="X3149" s="29">
        <v>11195850</v>
      </c>
      <c r="AA3149" s="30">
        <v>45827.433333333334</v>
      </c>
      <c r="AB3149" s="30">
        <v>45835.433333333334</v>
      </c>
      <c r="AC3149" s="30">
        <v>45827.433333333334</v>
      </c>
      <c r="AD3149" s="30">
        <v>45835.433333333334</v>
      </c>
      <c r="AE3149" s="30">
        <v>46016.333333333336</v>
      </c>
      <c r="AF3149" s="30">
        <v>46024.708333333336</v>
      </c>
      <c r="AG3149" t="s">
        <v>1266</v>
      </c>
      <c r="AK3149" t="s">
        <v>1265</v>
      </c>
      <c r="AL3149" t="s">
        <v>1479</v>
      </c>
      <c r="AM3149" t="s">
        <v>1263</v>
      </c>
      <c r="AN3149" t="s">
        <v>1262</v>
      </c>
      <c r="AO3149">
        <v>0</v>
      </c>
      <c r="AQ3149" t="s">
        <v>1261</v>
      </c>
      <c r="AR3149" t="s">
        <v>1260</v>
      </c>
      <c r="AS3149" t="s">
        <v>1259</v>
      </c>
      <c r="AT3149" s="30">
        <v>46076.713194444441</v>
      </c>
    </row>
    <row r="3150" spans="1:46" x14ac:dyDescent="0.25">
      <c r="A3150" t="s">
        <v>1248</v>
      </c>
      <c r="B3150">
        <v>255216</v>
      </c>
      <c r="C3150">
        <v>352365</v>
      </c>
      <c r="D3150">
        <v>405</v>
      </c>
      <c r="E3150" t="s">
        <v>1266</v>
      </c>
      <c r="G3150">
        <v>745</v>
      </c>
      <c r="H3150">
        <v>1857</v>
      </c>
      <c r="K3150" t="s">
        <v>1471</v>
      </c>
      <c r="L3150" t="s">
        <v>1471</v>
      </c>
      <c r="M3150" t="s">
        <v>1478</v>
      </c>
      <c r="N3150">
        <v>0</v>
      </c>
      <c r="O3150" t="s">
        <v>1478</v>
      </c>
      <c r="P3150">
        <v>0</v>
      </c>
      <c r="Q3150">
        <v>0</v>
      </c>
      <c r="R3150">
        <v>0</v>
      </c>
      <c r="T3150" s="29">
        <v>505000</v>
      </c>
      <c r="U3150" s="29">
        <v>11195850</v>
      </c>
      <c r="V3150" t="s">
        <v>1262</v>
      </c>
      <c r="W3150" t="s">
        <v>1262</v>
      </c>
      <c r="X3150" s="29">
        <v>11195850</v>
      </c>
      <c r="AA3150" s="30">
        <v>45826.474999999999</v>
      </c>
      <c r="AB3150" s="30">
        <v>45834.474999999999</v>
      </c>
      <c r="AC3150" s="30">
        <v>45826.474999999999</v>
      </c>
      <c r="AD3150" s="30">
        <v>45834.474999999999</v>
      </c>
      <c r="AE3150" s="30">
        <v>45883.375</v>
      </c>
      <c r="AF3150" s="30">
        <v>45891.375</v>
      </c>
      <c r="AG3150" t="s">
        <v>1266</v>
      </c>
      <c r="AK3150" t="s">
        <v>1265</v>
      </c>
      <c r="AL3150" t="s">
        <v>1477</v>
      </c>
      <c r="AM3150" t="s">
        <v>1263</v>
      </c>
      <c r="AN3150" t="s">
        <v>1262</v>
      </c>
      <c r="AO3150">
        <v>0</v>
      </c>
      <c r="AQ3150" t="s">
        <v>1261</v>
      </c>
      <c r="AR3150" t="s">
        <v>1260</v>
      </c>
      <c r="AS3150" t="s">
        <v>1259</v>
      </c>
      <c r="AT3150" s="30">
        <v>46076.713194444441</v>
      </c>
    </row>
    <row r="3151" spans="1:46" x14ac:dyDescent="0.25">
      <c r="A3151" t="s">
        <v>1248</v>
      </c>
      <c r="B3151">
        <v>255217</v>
      </c>
      <c r="C3151">
        <v>352203</v>
      </c>
      <c r="D3151">
        <v>405</v>
      </c>
      <c r="E3151" t="s">
        <v>1266</v>
      </c>
      <c r="G3151">
        <v>745</v>
      </c>
      <c r="H3151">
        <v>1858</v>
      </c>
      <c r="K3151" t="s">
        <v>1466</v>
      </c>
      <c r="L3151" t="s">
        <v>1466</v>
      </c>
      <c r="M3151" s="29">
        <v>13853125</v>
      </c>
      <c r="N3151">
        <v>0</v>
      </c>
      <c r="O3151" s="29">
        <v>13853125</v>
      </c>
      <c r="P3151">
        <v>0</v>
      </c>
      <c r="Q3151">
        <v>0</v>
      </c>
      <c r="R3151">
        <v>0</v>
      </c>
      <c r="T3151" s="29">
        <v>230000</v>
      </c>
      <c r="U3151" s="29">
        <v>10195900</v>
      </c>
      <c r="V3151" t="s">
        <v>1262</v>
      </c>
      <c r="W3151" t="s">
        <v>1262</v>
      </c>
      <c r="X3151" s="29">
        <v>10195900</v>
      </c>
      <c r="AA3151" s="30">
        <v>45904.380555555559</v>
      </c>
      <c r="AB3151" s="30">
        <v>45910.380555555559</v>
      </c>
      <c r="AC3151" s="30">
        <v>45904.380555555559</v>
      </c>
      <c r="AD3151" s="30">
        <v>45910.380555555559</v>
      </c>
      <c r="AE3151" s="30">
        <v>46379.416666666664</v>
      </c>
      <c r="AF3151" s="30">
        <v>46386.416666666664</v>
      </c>
      <c r="AG3151" t="s">
        <v>1266</v>
      </c>
      <c r="AK3151" t="s">
        <v>1265</v>
      </c>
      <c r="AL3151" t="s">
        <v>1476</v>
      </c>
      <c r="AM3151" t="s">
        <v>1263</v>
      </c>
      <c r="AN3151" t="s">
        <v>1262</v>
      </c>
      <c r="AO3151">
        <v>0</v>
      </c>
      <c r="AQ3151" t="s">
        <v>1261</v>
      </c>
      <c r="AR3151" t="s">
        <v>1260</v>
      </c>
      <c r="AS3151" t="s">
        <v>1259</v>
      </c>
      <c r="AT3151" s="30">
        <v>46076.73333333333</v>
      </c>
    </row>
    <row r="3152" spans="1:46" x14ac:dyDescent="0.25">
      <c r="A3152" t="s">
        <v>1248</v>
      </c>
      <c r="B3152">
        <v>255218</v>
      </c>
      <c r="C3152">
        <v>352203</v>
      </c>
      <c r="D3152">
        <v>405</v>
      </c>
      <c r="E3152" t="s">
        <v>1266</v>
      </c>
      <c r="G3152">
        <v>745</v>
      </c>
      <c r="H3152">
        <v>1856</v>
      </c>
      <c r="K3152" t="s">
        <v>1437</v>
      </c>
      <c r="L3152" t="s">
        <v>1437</v>
      </c>
      <c r="M3152" t="s">
        <v>1465</v>
      </c>
      <c r="N3152">
        <v>0</v>
      </c>
      <c r="O3152" t="s">
        <v>1465</v>
      </c>
      <c r="P3152">
        <v>0</v>
      </c>
      <c r="Q3152">
        <v>0</v>
      </c>
      <c r="R3152">
        <v>0</v>
      </c>
      <c r="T3152" s="29">
        <v>278500</v>
      </c>
      <c r="U3152" s="29">
        <v>5606205</v>
      </c>
      <c r="V3152" t="s">
        <v>1262</v>
      </c>
      <c r="W3152" t="s">
        <v>1262</v>
      </c>
      <c r="X3152" s="29">
        <v>5606205</v>
      </c>
      <c r="AA3152" s="30">
        <v>45904.380555555559</v>
      </c>
      <c r="AB3152" s="30">
        <v>45910.380555555559</v>
      </c>
      <c r="AC3152" s="30">
        <v>45904.380555555559</v>
      </c>
      <c r="AD3152" s="30">
        <v>45910.380555555559</v>
      </c>
      <c r="AE3152" s="30">
        <v>46379.416666666664</v>
      </c>
      <c r="AF3152" s="30">
        <v>46386.416666666664</v>
      </c>
      <c r="AG3152" t="s">
        <v>1266</v>
      </c>
      <c r="AK3152" t="s">
        <v>1265</v>
      </c>
      <c r="AL3152" t="s">
        <v>1475</v>
      </c>
      <c r="AM3152" t="s">
        <v>1263</v>
      </c>
      <c r="AN3152" t="s">
        <v>1262</v>
      </c>
      <c r="AO3152">
        <v>0</v>
      </c>
      <c r="AQ3152" t="s">
        <v>1261</v>
      </c>
      <c r="AR3152" t="s">
        <v>1260</v>
      </c>
      <c r="AS3152" t="s">
        <v>1259</v>
      </c>
      <c r="AT3152" s="30">
        <v>46076.73333333333</v>
      </c>
    </row>
    <row r="3153" spans="1:46" x14ac:dyDescent="0.25">
      <c r="A3153" t="s">
        <v>1248</v>
      </c>
      <c r="B3153">
        <v>255219</v>
      </c>
      <c r="C3153">
        <v>352203</v>
      </c>
      <c r="D3153">
        <v>405</v>
      </c>
      <c r="E3153" t="s">
        <v>1266</v>
      </c>
      <c r="G3153">
        <v>745</v>
      </c>
      <c r="H3153">
        <v>1824</v>
      </c>
      <c r="K3153" t="s">
        <v>1460</v>
      </c>
      <c r="L3153" t="s">
        <v>1460</v>
      </c>
      <c r="M3153" t="s">
        <v>1459</v>
      </c>
      <c r="N3153">
        <v>0</v>
      </c>
      <c r="O3153" t="s">
        <v>1459</v>
      </c>
      <c r="P3153">
        <v>0</v>
      </c>
      <c r="Q3153">
        <v>0</v>
      </c>
      <c r="R3153">
        <v>0</v>
      </c>
      <c r="T3153" s="29">
        <v>1668100</v>
      </c>
      <c r="U3153" s="29">
        <v>4637318</v>
      </c>
      <c r="V3153" t="s">
        <v>1262</v>
      </c>
      <c r="W3153" t="s">
        <v>1262</v>
      </c>
      <c r="X3153" s="29">
        <v>4637318</v>
      </c>
      <c r="AA3153" s="30">
        <v>45904.380555555559</v>
      </c>
      <c r="AB3153" s="30">
        <v>45910.380555555559</v>
      </c>
      <c r="AC3153" s="30">
        <v>45904.380555555559</v>
      </c>
      <c r="AD3153" s="30">
        <v>45910.380555555559</v>
      </c>
      <c r="AE3153" s="30">
        <v>46379.416666666664</v>
      </c>
      <c r="AF3153" s="30">
        <v>46386.416666666664</v>
      </c>
      <c r="AG3153" t="s">
        <v>1266</v>
      </c>
      <c r="AK3153" t="s">
        <v>1265</v>
      </c>
      <c r="AL3153" t="s">
        <v>1474</v>
      </c>
      <c r="AM3153" t="s">
        <v>1263</v>
      </c>
      <c r="AN3153" t="s">
        <v>1262</v>
      </c>
      <c r="AO3153">
        <v>0</v>
      </c>
      <c r="AQ3153" t="s">
        <v>1261</v>
      </c>
      <c r="AR3153" t="s">
        <v>1260</v>
      </c>
      <c r="AS3153" t="s">
        <v>1259</v>
      </c>
      <c r="AT3153" s="30">
        <v>46076.73333333333</v>
      </c>
    </row>
    <row r="3154" spans="1:46" x14ac:dyDescent="0.25">
      <c r="A3154" t="s">
        <v>1248</v>
      </c>
      <c r="B3154">
        <v>255220</v>
      </c>
      <c r="C3154">
        <v>352203</v>
      </c>
      <c r="D3154">
        <v>405</v>
      </c>
      <c r="E3154" t="s">
        <v>1266</v>
      </c>
      <c r="G3154">
        <v>745</v>
      </c>
      <c r="H3154">
        <v>1825</v>
      </c>
      <c r="K3154" t="s">
        <v>1462</v>
      </c>
      <c r="L3154" t="s">
        <v>1462</v>
      </c>
      <c r="M3154" s="29">
        <v>1449375</v>
      </c>
      <c r="N3154">
        <v>0</v>
      </c>
      <c r="O3154" s="29">
        <v>1449375</v>
      </c>
      <c r="P3154">
        <v>0</v>
      </c>
      <c r="Q3154">
        <v>0</v>
      </c>
      <c r="R3154">
        <v>0</v>
      </c>
      <c r="T3154" t="s">
        <v>1262</v>
      </c>
      <c r="U3154" t="s">
        <v>1262</v>
      </c>
      <c r="V3154" t="s">
        <v>1262</v>
      </c>
      <c r="W3154" t="s">
        <v>1262</v>
      </c>
      <c r="X3154" t="s">
        <v>1262</v>
      </c>
      <c r="AA3154" s="30">
        <v>45904.380555555559</v>
      </c>
      <c r="AB3154" s="30">
        <v>45910.380555555559</v>
      </c>
      <c r="AC3154" s="30">
        <v>45904.380555555559</v>
      </c>
      <c r="AD3154" s="30">
        <v>45910.380555555559</v>
      </c>
      <c r="AE3154" s="30">
        <v>46379.416666666664</v>
      </c>
      <c r="AF3154" s="30">
        <v>46386.416666666664</v>
      </c>
      <c r="AG3154" t="s">
        <v>1266</v>
      </c>
      <c r="AK3154" t="s">
        <v>1265</v>
      </c>
      <c r="AL3154" t="s">
        <v>1473</v>
      </c>
      <c r="AM3154" t="s">
        <v>1263</v>
      </c>
      <c r="AN3154" t="s">
        <v>1262</v>
      </c>
      <c r="AO3154">
        <v>0</v>
      </c>
      <c r="AQ3154" t="s">
        <v>1261</v>
      </c>
      <c r="AR3154" t="s">
        <v>1260</v>
      </c>
      <c r="AS3154" t="s">
        <v>1259</v>
      </c>
      <c r="AT3154" s="30">
        <v>46076.73333333333</v>
      </c>
    </row>
    <row r="3155" spans="1:46" x14ac:dyDescent="0.25">
      <c r="A3155" t="s">
        <v>1248</v>
      </c>
      <c r="B3155">
        <v>255221</v>
      </c>
      <c r="C3155">
        <v>352203</v>
      </c>
      <c r="D3155">
        <v>405</v>
      </c>
      <c r="E3155" t="s">
        <v>1266</v>
      </c>
      <c r="G3155">
        <v>745</v>
      </c>
      <c r="H3155">
        <v>1826</v>
      </c>
      <c r="K3155" t="s">
        <v>1462</v>
      </c>
      <c r="L3155" t="s">
        <v>1462</v>
      </c>
      <c r="M3155" s="29">
        <v>1449375</v>
      </c>
      <c r="N3155">
        <v>0</v>
      </c>
      <c r="O3155" s="29">
        <v>1449375</v>
      </c>
      <c r="P3155">
        <v>0</v>
      </c>
      <c r="Q3155">
        <v>0</v>
      </c>
      <c r="R3155">
        <v>0</v>
      </c>
      <c r="T3155" t="s">
        <v>1262</v>
      </c>
      <c r="U3155" t="s">
        <v>1262</v>
      </c>
      <c r="V3155" t="s">
        <v>1262</v>
      </c>
      <c r="W3155" t="s">
        <v>1262</v>
      </c>
      <c r="X3155" t="s">
        <v>1262</v>
      </c>
      <c r="AA3155" s="30">
        <v>45904.380555555559</v>
      </c>
      <c r="AB3155" s="30">
        <v>45910.380555555559</v>
      </c>
      <c r="AC3155" s="30">
        <v>45904.380555555559</v>
      </c>
      <c r="AD3155" s="30">
        <v>45910.380555555559</v>
      </c>
      <c r="AE3155" s="30">
        <v>46379.416666666664</v>
      </c>
      <c r="AF3155" s="30">
        <v>46386.416666666664</v>
      </c>
      <c r="AG3155" t="s">
        <v>1266</v>
      </c>
      <c r="AK3155" t="s">
        <v>1265</v>
      </c>
      <c r="AL3155" t="s">
        <v>1472</v>
      </c>
      <c r="AM3155" t="s">
        <v>1263</v>
      </c>
      <c r="AN3155" t="s">
        <v>1262</v>
      </c>
      <c r="AO3155">
        <v>0</v>
      </c>
      <c r="AQ3155" t="s">
        <v>1261</v>
      </c>
      <c r="AR3155" t="s">
        <v>1260</v>
      </c>
      <c r="AS3155" t="s">
        <v>1259</v>
      </c>
      <c r="AT3155" s="30">
        <v>46076.73333333333</v>
      </c>
    </row>
    <row r="3156" spans="1:46" x14ac:dyDescent="0.25">
      <c r="A3156" t="s">
        <v>1248</v>
      </c>
      <c r="B3156">
        <v>255222</v>
      </c>
      <c r="C3156">
        <v>352197</v>
      </c>
      <c r="D3156">
        <v>405</v>
      </c>
      <c r="E3156" t="s">
        <v>1266</v>
      </c>
      <c r="G3156">
        <v>745</v>
      </c>
      <c r="H3156">
        <v>1857</v>
      </c>
      <c r="K3156" t="s">
        <v>1471</v>
      </c>
      <c r="L3156" t="s">
        <v>1471</v>
      </c>
      <c r="M3156" t="s">
        <v>1470</v>
      </c>
      <c r="N3156">
        <v>0</v>
      </c>
      <c r="O3156" t="s">
        <v>1470</v>
      </c>
      <c r="P3156">
        <v>0</v>
      </c>
      <c r="Q3156">
        <v>0</v>
      </c>
      <c r="R3156">
        <v>0</v>
      </c>
      <c r="T3156" s="29">
        <v>505000</v>
      </c>
      <c r="U3156" s="29">
        <v>11195850</v>
      </c>
      <c r="V3156" t="s">
        <v>1262</v>
      </c>
      <c r="W3156" t="s">
        <v>1262</v>
      </c>
      <c r="X3156" s="29">
        <v>11195850</v>
      </c>
      <c r="AA3156" s="30">
        <v>45915.380555555559</v>
      </c>
      <c r="AB3156" s="30">
        <v>45923.338888888888</v>
      </c>
      <c r="AC3156" s="30">
        <v>45915.380555555559</v>
      </c>
      <c r="AD3156" s="30">
        <v>45923.338888888888</v>
      </c>
      <c r="AE3156" s="30">
        <v>46406.416666666664</v>
      </c>
      <c r="AF3156" s="30">
        <v>46414.375</v>
      </c>
      <c r="AG3156" t="s">
        <v>1266</v>
      </c>
      <c r="AK3156" t="s">
        <v>1265</v>
      </c>
      <c r="AL3156" t="s">
        <v>1469</v>
      </c>
      <c r="AM3156" t="s">
        <v>1263</v>
      </c>
      <c r="AN3156" t="s">
        <v>1262</v>
      </c>
      <c r="AO3156">
        <v>0</v>
      </c>
      <c r="AQ3156" t="s">
        <v>1261</v>
      </c>
      <c r="AR3156" t="s">
        <v>1260</v>
      </c>
      <c r="AS3156" t="s">
        <v>1259</v>
      </c>
      <c r="AT3156" s="30">
        <v>46076.73333333333</v>
      </c>
    </row>
    <row r="3157" spans="1:46" x14ac:dyDescent="0.25">
      <c r="A3157" t="s">
        <v>1248</v>
      </c>
      <c r="B3157">
        <v>255223</v>
      </c>
      <c r="C3157">
        <v>352197</v>
      </c>
      <c r="D3157">
        <v>405</v>
      </c>
      <c r="E3157" t="s">
        <v>1266</v>
      </c>
      <c r="G3157">
        <v>745</v>
      </c>
      <c r="H3157">
        <v>1856</v>
      </c>
      <c r="K3157" t="s">
        <v>1437</v>
      </c>
      <c r="L3157" t="s">
        <v>1437</v>
      </c>
      <c r="M3157" t="s">
        <v>1442</v>
      </c>
      <c r="N3157">
        <v>0</v>
      </c>
      <c r="O3157" t="s">
        <v>1442</v>
      </c>
      <c r="P3157">
        <v>0</v>
      </c>
      <c r="Q3157">
        <v>0</v>
      </c>
      <c r="R3157">
        <v>0</v>
      </c>
      <c r="T3157" s="29">
        <v>278500</v>
      </c>
      <c r="U3157" s="29">
        <v>5606205</v>
      </c>
      <c r="V3157" t="s">
        <v>1262</v>
      </c>
      <c r="W3157" t="s">
        <v>1262</v>
      </c>
      <c r="X3157" s="29">
        <v>5606205</v>
      </c>
      <c r="AA3157" s="30">
        <v>45915.380555555559</v>
      </c>
      <c r="AB3157" s="30">
        <v>45923.338888888888</v>
      </c>
      <c r="AC3157" s="30">
        <v>45915.380555555559</v>
      </c>
      <c r="AD3157" s="30">
        <v>45923.338888888888</v>
      </c>
      <c r="AE3157" s="30">
        <v>46406.416666666664</v>
      </c>
      <c r="AF3157" s="30">
        <v>46414.375</v>
      </c>
      <c r="AG3157" t="s">
        <v>1266</v>
      </c>
      <c r="AK3157" t="s">
        <v>1265</v>
      </c>
      <c r="AL3157" t="s">
        <v>1468</v>
      </c>
      <c r="AM3157" t="s">
        <v>1263</v>
      </c>
      <c r="AN3157" t="s">
        <v>1262</v>
      </c>
      <c r="AO3157">
        <v>0</v>
      </c>
      <c r="AQ3157" t="s">
        <v>1261</v>
      </c>
      <c r="AR3157" t="s">
        <v>1260</v>
      </c>
      <c r="AS3157" t="s">
        <v>1259</v>
      </c>
      <c r="AT3157" s="30">
        <v>46076.734027777777</v>
      </c>
    </row>
    <row r="3158" spans="1:46" x14ac:dyDescent="0.25">
      <c r="A3158" t="s">
        <v>1248</v>
      </c>
      <c r="B3158">
        <v>255224</v>
      </c>
      <c r="C3158">
        <v>352211</v>
      </c>
      <c r="D3158">
        <v>405</v>
      </c>
      <c r="E3158" t="s">
        <v>1266</v>
      </c>
      <c r="G3158">
        <v>745</v>
      </c>
      <c r="H3158">
        <v>1856</v>
      </c>
      <c r="K3158" t="s">
        <v>1437</v>
      </c>
      <c r="L3158" t="s">
        <v>1437</v>
      </c>
      <c r="M3158" t="s">
        <v>1442</v>
      </c>
      <c r="N3158">
        <v>0</v>
      </c>
      <c r="O3158" t="s">
        <v>1442</v>
      </c>
      <c r="P3158">
        <v>0</v>
      </c>
      <c r="Q3158">
        <v>0</v>
      </c>
      <c r="R3158">
        <v>0</v>
      </c>
      <c r="T3158" s="29">
        <v>278500</v>
      </c>
      <c r="U3158" s="29">
        <v>5606205</v>
      </c>
      <c r="V3158" t="s">
        <v>1262</v>
      </c>
      <c r="W3158" t="s">
        <v>1262</v>
      </c>
      <c r="X3158" s="29">
        <v>5606205</v>
      </c>
      <c r="AA3158" s="30">
        <v>45905.380555555559</v>
      </c>
      <c r="AB3158" s="30">
        <v>45915.338888888888</v>
      </c>
      <c r="AC3158" s="30">
        <v>45905.380555555559</v>
      </c>
      <c r="AD3158" s="30">
        <v>45915.338888888888</v>
      </c>
      <c r="AE3158" s="30">
        <v>46367.416666666664</v>
      </c>
      <c r="AF3158" s="30">
        <v>46377.375</v>
      </c>
      <c r="AG3158" t="s">
        <v>1266</v>
      </c>
      <c r="AK3158" t="s">
        <v>1265</v>
      </c>
      <c r="AL3158" t="s">
        <v>1467</v>
      </c>
      <c r="AM3158" t="s">
        <v>1263</v>
      </c>
      <c r="AN3158" t="s">
        <v>1262</v>
      </c>
      <c r="AO3158">
        <v>0</v>
      </c>
      <c r="AQ3158" t="s">
        <v>1261</v>
      </c>
      <c r="AR3158" t="s">
        <v>1260</v>
      </c>
      <c r="AS3158" t="s">
        <v>1259</v>
      </c>
      <c r="AT3158" s="30">
        <v>46076.73541666667</v>
      </c>
    </row>
    <row r="3159" spans="1:46" x14ac:dyDescent="0.25">
      <c r="A3159" t="s">
        <v>1248</v>
      </c>
      <c r="B3159">
        <v>255225</v>
      </c>
      <c r="C3159">
        <v>352217</v>
      </c>
      <c r="D3159">
        <v>405</v>
      </c>
      <c r="E3159" t="s">
        <v>1266</v>
      </c>
      <c r="G3159">
        <v>745</v>
      </c>
      <c r="H3159">
        <v>1858</v>
      </c>
      <c r="K3159" t="s">
        <v>1466</v>
      </c>
      <c r="L3159" t="s">
        <v>1466</v>
      </c>
      <c r="M3159" s="29">
        <v>13853125</v>
      </c>
      <c r="N3159">
        <v>0</v>
      </c>
      <c r="O3159" s="29">
        <v>13853125</v>
      </c>
      <c r="P3159">
        <v>0</v>
      </c>
      <c r="Q3159">
        <v>0</v>
      </c>
      <c r="R3159">
        <v>0</v>
      </c>
      <c r="T3159" s="29">
        <v>230000</v>
      </c>
      <c r="U3159" s="29">
        <v>10195900</v>
      </c>
      <c r="V3159" t="s">
        <v>1262</v>
      </c>
      <c r="W3159" t="s">
        <v>1262</v>
      </c>
      <c r="X3159" s="29">
        <v>10195900</v>
      </c>
      <c r="AA3159" s="30">
        <v>45904.338888888888</v>
      </c>
      <c r="AB3159" s="30">
        <v>45910.338888888888</v>
      </c>
      <c r="AC3159" s="30">
        <v>45904.338888888888</v>
      </c>
      <c r="AD3159" s="30">
        <v>45910.338888888888</v>
      </c>
      <c r="AE3159" s="30">
        <v>46352.375</v>
      </c>
      <c r="AF3159" s="30">
        <v>46358.375</v>
      </c>
      <c r="AG3159" t="s">
        <v>1266</v>
      </c>
      <c r="AK3159" t="s">
        <v>1265</v>
      </c>
      <c r="AL3159" t="e">
        <f>+vcarBuKXUqmEvF4qooiIA</f>
        <v>#NAME?</v>
      </c>
      <c r="AM3159" t="s">
        <v>1263</v>
      </c>
      <c r="AN3159" t="s">
        <v>1262</v>
      </c>
      <c r="AO3159">
        <v>0</v>
      </c>
      <c r="AQ3159" t="s">
        <v>1261</v>
      </c>
      <c r="AR3159" t="s">
        <v>1260</v>
      </c>
      <c r="AS3159" t="s">
        <v>1259</v>
      </c>
      <c r="AT3159" s="30">
        <v>46076.73541666667</v>
      </c>
    </row>
    <row r="3160" spans="1:46" x14ac:dyDescent="0.25">
      <c r="A3160" t="s">
        <v>1248</v>
      </c>
      <c r="B3160">
        <v>255226</v>
      </c>
      <c r="C3160">
        <v>352217</v>
      </c>
      <c r="D3160">
        <v>405</v>
      </c>
      <c r="E3160" t="s">
        <v>1266</v>
      </c>
      <c r="G3160">
        <v>745</v>
      </c>
      <c r="H3160">
        <v>1856</v>
      </c>
      <c r="K3160" t="s">
        <v>1437</v>
      </c>
      <c r="L3160" t="s">
        <v>1437</v>
      </c>
      <c r="M3160" t="s">
        <v>1465</v>
      </c>
      <c r="N3160">
        <v>0</v>
      </c>
      <c r="O3160" t="s">
        <v>1465</v>
      </c>
      <c r="P3160">
        <v>0</v>
      </c>
      <c r="Q3160">
        <v>0</v>
      </c>
      <c r="R3160">
        <v>0</v>
      </c>
      <c r="T3160" s="29">
        <v>278500</v>
      </c>
      <c r="U3160" s="29">
        <v>5606205</v>
      </c>
      <c r="V3160" t="s">
        <v>1262</v>
      </c>
      <c r="W3160" t="s">
        <v>1262</v>
      </c>
      <c r="X3160" s="29">
        <v>5606205</v>
      </c>
      <c r="AA3160" s="30">
        <v>45904.338888888888</v>
      </c>
      <c r="AB3160" s="30">
        <v>45910.338888888888</v>
      </c>
      <c r="AC3160" s="30">
        <v>45904.338888888888</v>
      </c>
      <c r="AD3160" s="30">
        <v>45910.338888888888</v>
      </c>
      <c r="AE3160" s="30">
        <v>46352.375</v>
      </c>
      <c r="AF3160" s="30">
        <v>46358.375</v>
      </c>
      <c r="AG3160" t="s">
        <v>1266</v>
      </c>
      <c r="AK3160" t="s">
        <v>1265</v>
      </c>
      <c r="AL3160" t="s">
        <v>1464</v>
      </c>
      <c r="AM3160" t="s">
        <v>1263</v>
      </c>
      <c r="AN3160" t="s">
        <v>1262</v>
      </c>
      <c r="AO3160">
        <v>0</v>
      </c>
      <c r="AQ3160" t="s">
        <v>1261</v>
      </c>
      <c r="AR3160" t="s">
        <v>1260</v>
      </c>
      <c r="AS3160" t="s">
        <v>1259</v>
      </c>
      <c r="AT3160" s="30">
        <v>46076.73541666667</v>
      </c>
    </row>
    <row r="3161" spans="1:46" x14ac:dyDescent="0.25">
      <c r="A3161" t="s">
        <v>1248</v>
      </c>
      <c r="B3161">
        <v>255227</v>
      </c>
      <c r="C3161">
        <v>352217</v>
      </c>
      <c r="D3161">
        <v>405</v>
      </c>
      <c r="E3161" t="s">
        <v>1266</v>
      </c>
      <c r="G3161">
        <v>745</v>
      </c>
      <c r="H3161">
        <v>1825</v>
      </c>
      <c r="K3161" t="s">
        <v>1462</v>
      </c>
      <c r="L3161" t="s">
        <v>1462</v>
      </c>
      <c r="M3161" s="29">
        <v>1449375</v>
      </c>
      <c r="N3161">
        <v>0</v>
      </c>
      <c r="O3161" s="29">
        <v>1449375</v>
      </c>
      <c r="P3161">
        <v>0</v>
      </c>
      <c r="Q3161">
        <v>0</v>
      </c>
      <c r="R3161">
        <v>0</v>
      </c>
      <c r="T3161" t="s">
        <v>1262</v>
      </c>
      <c r="U3161" t="s">
        <v>1262</v>
      </c>
      <c r="V3161" t="s">
        <v>1262</v>
      </c>
      <c r="W3161" t="s">
        <v>1262</v>
      </c>
      <c r="X3161" t="s">
        <v>1262</v>
      </c>
      <c r="AA3161" s="30">
        <v>45904.338888888888</v>
      </c>
      <c r="AB3161" s="30">
        <v>45910.338888888888</v>
      </c>
      <c r="AC3161" s="30">
        <v>45904.338888888888</v>
      </c>
      <c r="AD3161" s="30">
        <v>45910.338888888888</v>
      </c>
      <c r="AE3161" s="30">
        <v>46352.375</v>
      </c>
      <c r="AF3161" s="30">
        <v>46358.375</v>
      </c>
      <c r="AG3161" t="s">
        <v>1266</v>
      </c>
      <c r="AK3161" t="s">
        <v>1265</v>
      </c>
      <c r="AL3161" t="s">
        <v>1463</v>
      </c>
      <c r="AM3161" t="s">
        <v>1263</v>
      </c>
      <c r="AN3161" t="s">
        <v>1262</v>
      </c>
      <c r="AO3161">
        <v>0</v>
      </c>
      <c r="AQ3161" t="s">
        <v>1261</v>
      </c>
      <c r="AR3161" t="s">
        <v>1260</v>
      </c>
      <c r="AS3161" t="s">
        <v>1259</v>
      </c>
      <c r="AT3161" s="30">
        <v>46076.73541666667</v>
      </c>
    </row>
    <row r="3162" spans="1:46" x14ac:dyDescent="0.25">
      <c r="A3162" t="s">
        <v>1248</v>
      </c>
      <c r="B3162">
        <v>255228</v>
      </c>
      <c r="C3162">
        <v>352217</v>
      </c>
      <c r="D3162">
        <v>405</v>
      </c>
      <c r="E3162" t="s">
        <v>1266</v>
      </c>
      <c r="G3162">
        <v>745</v>
      </c>
      <c r="H3162">
        <v>1826</v>
      </c>
      <c r="K3162" t="s">
        <v>1462</v>
      </c>
      <c r="L3162" t="s">
        <v>1462</v>
      </c>
      <c r="M3162" s="29">
        <v>1449375</v>
      </c>
      <c r="N3162">
        <v>0</v>
      </c>
      <c r="O3162" s="29">
        <v>1449375</v>
      </c>
      <c r="P3162">
        <v>0</v>
      </c>
      <c r="Q3162">
        <v>0</v>
      </c>
      <c r="R3162">
        <v>0</v>
      </c>
      <c r="T3162" t="s">
        <v>1262</v>
      </c>
      <c r="U3162" t="s">
        <v>1262</v>
      </c>
      <c r="V3162" t="s">
        <v>1262</v>
      </c>
      <c r="W3162" t="s">
        <v>1262</v>
      </c>
      <c r="X3162" t="s">
        <v>1262</v>
      </c>
      <c r="AA3162" s="30">
        <v>45904.338888888888</v>
      </c>
      <c r="AB3162" s="30">
        <v>45910.338888888888</v>
      </c>
      <c r="AC3162" s="30">
        <v>45904.338888888888</v>
      </c>
      <c r="AD3162" s="30">
        <v>45910.338888888888</v>
      </c>
      <c r="AE3162" s="30">
        <v>46352.375</v>
      </c>
      <c r="AF3162" s="30">
        <v>46358.375</v>
      </c>
      <c r="AG3162" t="s">
        <v>1266</v>
      </c>
      <c r="AK3162" t="s">
        <v>1265</v>
      </c>
      <c r="AL3162" t="s">
        <v>1461</v>
      </c>
      <c r="AM3162" t="s">
        <v>1263</v>
      </c>
      <c r="AN3162" t="s">
        <v>1262</v>
      </c>
      <c r="AO3162">
        <v>0</v>
      </c>
      <c r="AQ3162" t="s">
        <v>1261</v>
      </c>
      <c r="AR3162" t="s">
        <v>1260</v>
      </c>
      <c r="AS3162" t="s">
        <v>1259</v>
      </c>
      <c r="AT3162" s="30">
        <v>46076.73541666667</v>
      </c>
    </row>
    <row r="3163" spans="1:46" x14ac:dyDescent="0.25">
      <c r="A3163" t="s">
        <v>1248</v>
      </c>
      <c r="B3163">
        <v>255229</v>
      </c>
      <c r="C3163">
        <v>352217</v>
      </c>
      <c r="D3163">
        <v>405</v>
      </c>
      <c r="E3163" t="s">
        <v>1266</v>
      </c>
      <c r="G3163">
        <v>745</v>
      </c>
      <c r="H3163">
        <v>1824</v>
      </c>
      <c r="K3163" t="s">
        <v>1460</v>
      </c>
      <c r="L3163" t="s">
        <v>1460</v>
      </c>
      <c r="M3163" t="s">
        <v>1459</v>
      </c>
      <c r="N3163">
        <v>0</v>
      </c>
      <c r="O3163" t="s">
        <v>1459</v>
      </c>
      <c r="P3163">
        <v>0</v>
      </c>
      <c r="Q3163">
        <v>0</v>
      </c>
      <c r="R3163">
        <v>0</v>
      </c>
      <c r="T3163" s="29">
        <v>1668100</v>
      </c>
      <c r="U3163" s="29">
        <v>4637318</v>
      </c>
      <c r="V3163" t="s">
        <v>1262</v>
      </c>
      <c r="W3163" t="s">
        <v>1262</v>
      </c>
      <c r="X3163" s="29">
        <v>4637318</v>
      </c>
      <c r="AA3163" s="30">
        <v>45904.338888888888</v>
      </c>
      <c r="AB3163" s="30">
        <v>45910.338888888888</v>
      </c>
      <c r="AC3163" s="30">
        <v>45904.338888888888</v>
      </c>
      <c r="AD3163" s="30">
        <v>45910.338888888888</v>
      </c>
      <c r="AE3163" s="30">
        <v>46352.375</v>
      </c>
      <c r="AF3163" s="30">
        <v>46358.375</v>
      </c>
      <c r="AG3163" t="s">
        <v>1266</v>
      </c>
      <c r="AK3163" t="s">
        <v>1265</v>
      </c>
      <c r="AL3163" t="s">
        <v>1458</v>
      </c>
      <c r="AM3163" t="s">
        <v>1263</v>
      </c>
      <c r="AN3163" t="s">
        <v>1262</v>
      </c>
      <c r="AO3163">
        <v>0</v>
      </c>
      <c r="AQ3163" t="s">
        <v>1261</v>
      </c>
      <c r="AR3163" t="s">
        <v>1260</v>
      </c>
      <c r="AS3163" t="s">
        <v>1259</v>
      </c>
      <c r="AT3163" s="30">
        <v>46076.736111111109</v>
      </c>
    </row>
    <row r="3164" spans="1:46" x14ac:dyDescent="0.25">
      <c r="A3164" t="s">
        <v>1248</v>
      </c>
      <c r="B3164">
        <v>255230</v>
      </c>
      <c r="C3164">
        <v>352225</v>
      </c>
      <c r="D3164">
        <v>405</v>
      </c>
      <c r="E3164" t="s">
        <v>1266</v>
      </c>
      <c r="G3164">
        <v>745</v>
      </c>
      <c r="H3164">
        <v>1856</v>
      </c>
      <c r="K3164" t="s">
        <v>1437</v>
      </c>
      <c r="L3164" t="s">
        <v>1437</v>
      </c>
      <c r="M3164" t="s">
        <v>1442</v>
      </c>
      <c r="N3164">
        <v>0</v>
      </c>
      <c r="O3164" t="s">
        <v>1442</v>
      </c>
      <c r="P3164">
        <v>0</v>
      </c>
      <c r="Q3164">
        <v>0</v>
      </c>
      <c r="R3164">
        <v>0</v>
      </c>
      <c r="T3164" s="29">
        <v>278500</v>
      </c>
      <c r="U3164" s="29">
        <v>5606205</v>
      </c>
      <c r="V3164" t="s">
        <v>1262</v>
      </c>
      <c r="W3164" t="s">
        <v>1262</v>
      </c>
      <c r="X3164" s="29">
        <v>5606205</v>
      </c>
      <c r="AA3164" s="30">
        <v>45897.547222222223</v>
      </c>
      <c r="AB3164" s="30">
        <v>45905.463888888888</v>
      </c>
      <c r="AC3164" s="30">
        <v>45897.547222222223</v>
      </c>
      <c r="AD3164" s="30">
        <v>45905.463888888888</v>
      </c>
      <c r="AE3164" s="30">
        <v>46332.416666666664</v>
      </c>
      <c r="AF3164" s="30">
        <v>46342.375</v>
      </c>
      <c r="AG3164" t="s">
        <v>1266</v>
      </c>
      <c r="AK3164" t="s">
        <v>1265</v>
      </c>
      <c r="AL3164" t="s">
        <v>1457</v>
      </c>
      <c r="AM3164" t="s">
        <v>1263</v>
      </c>
      <c r="AN3164" t="s">
        <v>1262</v>
      </c>
      <c r="AO3164">
        <v>0</v>
      </c>
      <c r="AQ3164" t="s">
        <v>1261</v>
      </c>
      <c r="AR3164" t="s">
        <v>1260</v>
      </c>
      <c r="AS3164" t="s">
        <v>1259</v>
      </c>
      <c r="AT3164" s="30">
        <v>46076.736111111109</v>
      </c>
    </row>
    <row r="3165" spans="1:46" x14ac:dyDescent="0.25">
      <c r="A3165" t="s">
        <v>1248</v>
      </c>
      <c r="B3165">
        <v>255231</v>
      </c>
      <c r="C3165">
        <v>352232</v>
      </c>
      <c r="D3165">
        <v>405</v>
      </c>
      <c r="E3165" t="s">
        <v>1266</v>
      </c>
      <c r="G3165">
        <v>745</v>
      </c>
      <c r="H3165">
        <v>1856</v>
      </c>
      <c r="K3165" t="s">
        <v>1437</v>
      </c>
      <c r="L3165" t="s">
        <v>1437</v>
      </c>
      <c r="M3165" t="s">
        <v>1442</v>
      </c>
      <c r="N3165">
        <v>0</v>
      </c>
      <c r="O3165" t="s">
        <v>1442</v>
      </c>
      <c r="P3165">
        <v>0</v>
      </c>
      <c r="Q3165">
        <v>0</v>
      </c>
      <c r="R3165">
        <v>0</v>
      </c>
      <c r="T3165" s="29">
        <v>278500</v>
      </c>
      <c r="U3165" s="29">
        <v>5606205</v>
      </c>
      <c r="V3165" t="s">
        <v>1262</v>
      </c>
      <c r="W3165" t="s">
        <v>1262</v>
      </c>
      <c r="X3165" s="29">
        <v>5606205</v>
      </c>
      <c r="AA3165" s="30">
        <v>45895.588888888888</v>
      </c>
      <c r="AB3165" s="30">
        <v>45903.547222222223</v>
      </c>
      <c r="AC3165" s="30">
        <v>45895.588888888888</v>
      </c>
      <c r="AD3165" s="30">
        <v>45903.547222222223</v>
      </c>
      <c r="AE3165" s="30">
        <v>46316.416666666664</v>
      </c>
      <c r="AF3165" s="30">
        <v>46324.375</v>
      </c>
      <c r="AG3165" t="s">
        <v>1266</v>
      </c>
      <c r="AK3165" t="s">
        <v>1265</v>
      </c>
      <c r="AL3165" t="s">
        <v>1456</v>
      </c>
      <c r="AM3165" t="s">
        <v>1263</v>
      </c>
      <c r="AN3165" t="s">
        <v>1262</v>
      </c>
      <c r="AO3165">
        <v>0</v>
      </c>
      <c r="AQ3165" t="s">
        <v>1261</v>
      </c>
      <c r="AR3165" t="s">
        <v>1260</v>
      </c>
      <c r="AS3165" t="s">
        <v>1259</v>
      </c>
      <c r="AT3165" s="30">
        <v>46076.736111111109</v>
      </c>
    </row>
    <row r="3166" spans="1:46" x14ac:dyDescent="0.25">
      <c r="A3166" t="s">
        <v>1248</v>
      </c>
      <c r="B3166">
        <v>255232</v>
      </c>
      <c r="C3166">
        <v>352239</v>
      </c>
      <c r="D3166">
        <v>405</v>
      </c>
      <c r="E3166" t="s">
        <v>1266</v>
      </c>
      <c r="G3166">
        <v>745</v>
      </c>
      <c r="H3166">
        <v>1856</v>
      </c>
      <c r="K3166" t="s">
        <v>1437</v>
      </c>
      <c r="L3166" t="s">
        <v>1437</v>
      </c>
      <c r="M3166" t="s">
        <v>1442</v>
      </c>
      <c r="N3166">
        <v>0</v>
      </c>
      <c r="O3166" t="s">
        <v>1442</v>
      </c>
      <c r="P3166">
        <v>0</v>
      </c>
      <c r="Q3166">
        <v>0</v>
      </c>
      <c r="R3166">
        <v>0</v>
      </c>
      <c r="T3166" s="29">
        <v>278500</v>
      </c>
      <c r="U3166" s="29">
        <v>5606205</v>
      </c>
      <c r="V3166" t="s">
        <v>1262</v>
      </c>
      <c r="W3166" t="s">
        <v>1262</v>
      </c>
      <c r="X3166" s="29">
        <v>5606205</v>
      </c>
      <c r="AA3166" s="30">
        <v>45891.630555555559</v>
      </c>
      <c r="AB3166" s="30">
        <v>45901.588888888888</v>
      </c>
      <c r="AC3166" s="30">
        <v>45891.630555555559</v>
      </c>
      <c r="AD3166" s="30">
        <v>45901.588888888888</v>
      </c>
      <c r="AE3166" s="30">
        <v>46300.416666666664</v>
      </c>
      <c r="AF3166" s="30">
        <v>46308.375</v>
      </c>
      <c r="AG3166" t="s">
        <v>1266</v>
      </c>
      <c r="AK3166" t="s">
        <v>1265</v>
      </c>
      <c r="AL3166" t="s">
        <v>1455</v>
      </c>
      <c r="AM3166" t="s">
        <v>1263</v>
      </c>
      <c r="AN3166" t="s">
        <v>1262</v>
      </c>
      <c r="AO3166">
        <v>0</v>
      </c>
      <c r="AQ3166" t="s">
        <v>1261</v>
      </c>
      <c r="AR3166" t="s">
        <v>1260</v>
      </c>
      <c r="AS3166" t="s">
        <v>1259</v>
      </c>
      <c r="AT3166" s="30">
        <v>46076.736111111109</v>
      </c>
    </row>
    <row r="3167" spans="1:46" x14ac:dyDescent="0.25">
      <c r="A3167" t="s">
        <v>1248</v>
      </c>
      <c r="B3167">
        <v>255233</v>
      </c>
      <c r="C3167">
        <v>352246</v>
      </c>
      <c r="D3167">
        <v>405</v>
      </c>
      <c r="E3167" t="s">
        <v>1266</v>
      </c>
      <c r="G3167">
        <v>745</v>
      </c>
      <c r="H3167">
        <v>1856</v>
      </c>
      <c r="K3167" t="s">
        <v>1437</v>
      </c>
      <c r="L3167" t="s">
        <v>1437</v>
      </c>
      <c r="M3167" t="s">
        <v>1442</v>
      </c>
      <c r="N3167">
        <v>0</v>
      </c>
      <c r="O3167" t="s">
        <v>1442</v>
      </c>
      <c r="P3167">
        <v>0</v>
      </c>
      <c r="Q3167">
        <v>0</v>
      </c>
      <c r="R3167">
        <v>0</v>
      </c>
      <c r="T3167" s="29">
        <v>278500</v>
      </c>
      <c r="U3167" s="29">
        <v>5606205</v>
      </c>
      <c r="V3167" t="s">
        <v>1262</v>
      </c>
      <c r="W3167" t="s">
        <v>1262</v>
      </c>
      <c r="X3167" s="29">
        <v>5606205</v>
      </c>
      <c r="AA3167" s="30">
        <v>45895.35</v>
      </c>
      <c r="AB3167" s="30">
        <v>45902.683333333334</v>
      </c>
      <c r="AC3167" s="30">
        <v>45895.35</v>
      </c>
      <c r="AD3167" s="30">
        <v>45902.683333333334</v>
      </c>
      <c r="AE3167" s="30">
        <v>46282.416666666664</v>
      </c>
      <c r="AF3167" s="30">
        <v>46290.375</v>
      </c>
      <c r="AG3167" t="s">
        <v>1266</v>
      </c>
      <c r="AK3167" t="s">
        <v>1265</v>
      </c>
      <c r="AL3167" t="s">
        <v>1454</v>
      </c>
      <c r="AM3167" t="s">
        <v>1263</v>
      </c>
      <c r="AN3167" t="s">
        <v>1262</v>
      </c>
      <c r="AO3167">
        <v>0</v>
      </c>
      <c r="AQ3167" t="s">
        <v>1261</v>
      </c>
      <c r="AR3167" t="s">
        <v>1260</v>
      </c>
      <c r="AS3167" t="s">
        <v>1259</v>
      </c>
      <c r="AT3167" s="30">
        <v>46076.736111111109</v>
      </c>
    </row>
    <row r="3168" spans="1:46" x14ac:dyDescent="0.25">
      <c r="A3168" t="s">
        <v>1248</v>
      </c>
      <c r="B3168">
        <v>255234</v>
      </c>
      <c r="C3168">
        <v>352253</v>
      </c>
      <c r="D3168">
        <v>405</v>
      </c>
      <c r="E3168" t="s">
        <v>1266</v>
      </c>
      <c r="G3168">
        <v>745</v>
      </c>
      <c r="H3168">
        <v>1856</v>
      </c>
      <c r="K3168" t="s">
        <v>1437</v>
      </c>
      <c r="L3168" t="s">
        <v>1437</v>
      </c>
      <c r="M3168" t="s">
        <v>1442</v>
      </c>
      <c r="N3168">
        <v>0</v>
      </c>
      <c r="O3168" t="s">
        <v>1442</v>
      </c>
      <c r="P3168">
        <v>0</v>
      </c>
      <c r="Q3168">
        <v>0</v>
      </c>
      <c r="R3168">
        <v>0</v>
      </c>
      <c r="T3168" s="29">
        <v>278500</v>
      </c>
      <c r="U3168" s="29">
        <v>5606205</v>
      </c>
      <c r="V3168" t="s">
        <v>1262</v>
      </c>
      <c r="W3168" t="s">
        <v>1262</v>
      </c>
      <c r="X3168" s="29">
        <v>5606205</v>
      </c>
      <c r="AA3168" s="30">
        <v>45891.39166666667</v>
      </c>
      <c r="AB3168" s="30">
        <v>45901.35</v>
      </c>
      <c r="AC3168" s="30">
        <v>45891.39166666667</v>
      </c>
      <c r="AD3168" s="30">
        <v>45901.35</v>
      </c>
      <c r="AE3168" s="30">
        <v>46266.416666666664</v>
      </c>
      <c r="AF3168" s="30">
        <v>46274.375</v>
      </c>
      <c r="AG3168" t="s">
        <v>1266</v>
      </c>
      <c r="AK3168" t="s">
        <v>1265</v>
      </c>
      <c r="AL3168" t="s">
        <v>1453</v>
      </c>
      <c r="AM3168" t="s">
        <v>1263</v>
      </c>
      <c r="AN3168" t="s">
        <v>1262</v>
      </c>
      <c r="AO3168">
        <v>0</v>
      </c>
      <c r="AQ3168" t="s">
        <v>1261</v>
      </c>
      <c r="AR3168" t="s">
        <v>1260</v>
      </c>
      <c r="AS3168" t="s">
        <v>1259</v>
      </c>
      <c r="AT3168" s="30">
        <v>46076.736111111109</v>
      </c>
    </row>
    <row r="3169" spans="1:46" x14ac:dyDescent="0.25">
      <c r="A3169" t="s">
        <v>1248</v>
      </c>
      <c r="B3169">
        <v>255235</v>
      </c>
      <c r="C3169">
        <v>352260</v>
      </c>
      <c r="D3169">
        <v>405</v>
      </c>
      <c r="E3169" t="s">
        <v>1266</v>
      </c>
      <c r="G3169">
        <v>745</v>
      </c>
      <c r="H3169">
        <v>1856</v>
      </c>
      <c r="K3169" t="s">
        <v>1437</v>
      </c>
      <c r="L3169" t="s">
        <v>1437</v>
      </c>
      <c r="M3169" t="s">
        <v>1442</v>
      </c>
      <c r="N3169">
        <v>0</v>
      </c>
      <c r="O3169" t="s">
        <v>1442</v>
      </c>
      <c r="P3169">
        <v>0</v>
      </c>
      <c r="Q3169">
        <v>0</v>
      </c>
      <c r="R3169">
        <v>0</v>
      </c>
      <c r="T3169" s="29">
        <v>278500</v>
      </c>
      <c r="U3169" s="29">
        <v>5606205</v>
      </c>
      <c r="V3169" t="s">
        <v>1262</v>
      </c>
      <c r="W3169" t="s">
        <v>1262</v>
      </c>
      <c r="X3169" s="29">
        <v>5606205</v>
      </c>
      <c r="AA3169" s="30">
        <v>45889.433333333334</v>
      </c>
      <c r="AB3169" s="30">
        <v>45897.39166666667</v>
      </c>
      <c r="AC3169" s="30">
        <v>45889.433333333334</v>
      </c>
      <c r="AD3169" s="30">
        <v>45897.39166666667</v>
      </c>
      <c r="AE3169" s="30">
        <v>46248.416666666664</v>
      </c>
      <c r="AF3169" s="30">
        <v>46258.375</v>
      </c>
      <c r="AG3169" t="s">
        <v>1266</v>
      </c>
      <c r="AK3169" t="s">
        <v>1265</v>
      </c>
      <c r="AL3169" t="s">
        <v>1452</v>
      </c>
      <c r="AM3169" t="s">
        <v>1263</v>
      </c>
      <c r="AN3169" t="s">
        <v>1262</v>
      </c>
      <c r="AO3169">
        <v>0</v>
      </c>
      <c r="AQ3169" t="s">
        <v>1261</v>
      </c>
      <c r="AR3169" t="s">
        <v>1260</v>
      </c>
      <c r="AS3169" t="s">
        <v>1259</v>
      </c>
      <c r="AT3169" s="30">
        <v>46076.736805555556</v>
      </c>
    </row>
    <row r="3170" spans="1:46" x14ac:dyDescent="0.25">
      <c r="A3170" t="s">
        <v>1248</v>
      </c>
      <c r="B3170">
        <v>255236</v>
      </c>
      <c r="C3170">
        <v>352267</v>
      </c>
      <c r="D3170">
        <v>405</v>
      </c>
      <c r="E3170" t="s">
        <v>1266</v>
      </c>
      <c r="G3170">
        <v>745</v>
      </c>
      <c r="H3170">
        <v>1856</v>
      </c>
      <c r="K3170" t="s">
        <v>1437</v>
      </c>
      <c r="L3170" t="s">
        <v>1437</v>
      </c>
      <c r="M3170" t="s">
        <v>1442</v>
      </c>
      <c r="N3170">
        <v>0</v>
      </c>
      <c r="O3170" t="s">
        <v>1442</v>
      </c>
      <c r="P3170">
        <v>0</v>
      </c>
      <c r="Q3170">
        <v>0</v>
      </c>
      <c r="R3170">
        <v>0</v>
      </c>
      <c r="T3170" s="29">
        <v>278500</v>
      </c>
      <c r="U3170" s="29">
        <v>5606205</v>
      </c>
      <c r="V3170" t="s">
        <v>1262</v>
      </c>
      <c r="W3170" t="s">
        <v>1262</v>
      </c>
      <c r="X3170" s="29">
        <v>5606205</v>
      </c>
      <c r="AA3170" s="30">
        <v>45877.7</v>
      </c>
      <c r="AB3170" s="30">
        <v>45887.658333333333</v>
      </c>
      <c r="AC3170" s="30">
        <v>45877.7</v>
      </c>
      <c r="AD3170" s="30">
        <v>45887.658333333333</v>
      </c>
      <c r="AE3170" s="30">
        <v>46232.416666666664</v>
      </c>
      <c r="AF3170" s="30">
        <v>46240.375</v>
      </c>
      <c r="AG3170" t="s">
        <v>1266</v>
      </c>
      <c r="AK3170" t="s">
        <v>1265</v>
      </c>
      <c r="AL3170" t="s">
        <v>1451</v>
      </c>
      <c r="AM3170" t="s">
        <v>1263</v>
      </c>
      <c r="AN3170" t="s">
        <v>1262</v>
      </c>
      <c r="AO3170">
        <v>0</v>
      </c>
      <c r="AQ3170" t="s">
        <v>1261</v>
      </c>
      <c r="AR3170" t="s">
        <v>1260</v>
      </c>
      <c r="AS3170" t="s">
        <v>1259</v>
      </c>
      <c r="AT3170" s="30">
        <v>46076.736805555556</v>
      </c>
    </row>
    <row r="3171" spans="1:46" x14ac:dyDescent="0.25">
      <c r="A3171" t="s">
        <v>1248</v>
      </c>
      <c r="B3171">
        <v>255237</v>
      </c>
      <c r="C3171">
        <v>352274</v>
      </c>
      <c r="D3171">
        <v>405</v>
      </c>
      <c r="E3171" t="s">
        <v>1266</v>
      </c>
      <c r="G3171">
        <v>745</v>
      </c>
      <c r="H3171">
        <v>1856</v>
      </c>
      <c r="K3171" t="s">
        <v>1437</v>
      </c>
      <c r="L3171" t="s">
        <v>1437</v>
      </c>
      <c r="M3171" t="s">
        <v>1442</v>
      </c>
      <c r="N3171">
        <v>0</v>
      </c>
      <c r="O3171" t="s">
        <v>1442</v>
      </c>
      <c r="P3171">
        <v>0</v>
      </c>
      <c r="Q3171">
        <v>0</v>
      </c>
      <c r="R3171">
        <v>0</v>
      </c>
      <c r="T3171" s="29">
        <v>278500</v>
      </c>
      <c r="U3171" s="29">
        <v>5606205</v>
      </c>
      <c r="V3171" t="s">
        <v>1262</v>
      </c>
      <c r="W3171" t="s">
        <v>1262</v>
      </c>
      <c r="X3171" s="29">
        <v>5606205</v>
      </c>
      <c r="AA3171" s="30">
        <v>45876.366666666669</v>
      </c>
      <c r="AB3171" s="30">
        <v>45883.7</v>
      </c>
      <c r="AC3171" s="30">
        <v>45876.366666666669</v>
      </c>
      <c r="AD3171" s="30">
        <v>45883.7</v>
      </c>
      <c r="AE3171" s="30">
        <v>46216.416666666664</v>
      </c>
      <c r="AF3171" s="30">
        <v>46224.375</v>
      </c>
      <c r="AG3171" t="s">
        <v>1266</v>
      </c>
      <c r="AK3171" t="s">
        <v>1265</v>
      </c>
      <c r="AL3171" t="s">
        <v>1450</v>
      </c>
      <c r="AM3171" t="s">
        <v>1263</v>
      </c>
      <c r="AN3171" t="s">
        <v>1262</v>
      </c>
      <c r="AO3171">
        <v>0</v>
      </c>
      <c r="AQ3171" t="s">
        <v>1261</v>
      </c>
      <c r="AR3171" t="s">
        <v>1260</v>
      </c>
      <c r="AS3171" t="s">
        <v>1259</v>
      </c>
      <c r="AT3171" s="30">
        <v>46076.736805555556</v>
      </c>
    </row>
    <row r="3172" spans="1:46" x14ac:dyDescent="0.25">
      <c r="A3172" t="s">
        <v>1248</v>
      </c>
      <c r="B3172">
        <v>255238</v>
      </c>
      <c r="C3172">
        <v>352281</v>
      </c>
      <c r="D3172">
        <v>405</v>
      </c>
      <c r="E3172" t="s">
        <v>1266</v>
      </c>
      <c r="G3172">
        <v>745</v>
      </c>
      <c r="H3172">
        <v>1856</v>
      </c>
      <c r="K3172" t="s">
        <v>1437</v>
      </c>
      <c r="L3172" t="s">
        <v>1437</v>
      </c>
      <c r="M3172" t="s">
        <v>1442</v>
      </c>
      <c r="N3172">
        <v>0</v>
      </c>
      <c r="O3172" t="s">
        <v>1442</v>
      </c>
      <c r="P3172">
        <v>0</v>
      </c>
      <c r="Q3172">
        <v>0</v>
      </c>
      <c r="R3172">
        <v>0</v>
      </c>
      <c r="T3172" s="29">
        <v>278500</v>
      </c>
      <c r="U3172" s="29">
        <v>5606205</v>
      </c>
      <c r="V3172" t="s">
        <v>1262</v>
      </c>
      <c r="W3172" t="s">
        <v>1262</v>
      </c>
      <c r="X3172" s="29">
        <v>5606205</v>
      </c>
      <c r="AA3172" s="30">
        <v>45874.408333333333</v>
      </c>
      <c r="AB3172" s="30">
        <v>45882.366666666669</v>
      </c>
      <c r="AC3172" s="30">
        <v>45874.408333333333</v>
      </c>
      <c r="AD3172" s="30">
        <v>45882.366666666669</v>
      </c>
      <c r="AE3172" s="30">
        <v>46198.416666666664</v>
      </c>
      <c r="AF3172" s="30">
        <v>46206.375</v>
      </c>
      <c r="AG3172" t="s">
        <v>1266</v>
      </c>
      <c r="AK3172" t="s">
        <v>1265</v>
      </c>
      <c r="AL3172" t="s">
        <v>1449</v>
      </c>
      <c r="AM3172" t="s">
        <v>1263</v>
      </c>
      <c r="AN3172" t="s">
        <v>1262</v>
      </c>
      <c r="AO3172">
        <v>0</v>
      </c>
      <c r="AQ3172" t="s">
        <v>1261</v>
      </c>
      <c r="AR3172" t="s">
        <v>1260</v>
      </c>
      <c r="AS3172" t="s">
        <v>1259</v>
      </c>
      <c r="AT3172" s="30">
        <v>46076.736805555556</v>
      </c>
    </row>
    <row r="3173" spans="1:46" x14ac:dyDescent="0.25">
      <c r="A3173" t="s">
        <v>1248</v>
      </c>
      <c r="B3173">
        <v>255239</v>
      </c>
      <c r="C3173">
        <v>352288</v>
      </c>
      <c r="D3173">
        <v>405</v>
      </c>
      <c r="E3173" t="s">
        <v>1266</v>
      </c>
      <c r="G3173">
        <v>745</v>
      </c>
      <c r="H3173">
        <v>1856</v>
      </c>
      <c r="K3173" t="s">
        <v>1437</v>
      </c>
      <c r="L3173" t="s">
        <v>1437</v>
      </c>
      <c r="M3173" t="s">
        <v>1442</v>
      </c>
      <c r="N3173">
        <v>0</v>
      </c>
      <c r="O3173" t="s">
        <v>1442</v>
      </c>
      <c r="P3173">
        <v>0</v>
      </c>
      <c r="Q3173">
        <v>0</v>
      </c>
      <c r="R3173">
        <v>0</v>
      </c>
      <c r="T3173" s="29">
        <v>278500</v>
      </c>
      <c r="U3173" s="29">
        <v>5606205</v>
      </c>
      <c r="V3173" t="s">
        <v>1262</v>
      </c>
      <c r="W3173" t="s">
        <v>1262</v>
      </c>
      <c r="X3173" s="29">
        <v>5606205</v>
      </c>
      <c r="AA3173" s="30">
        <v>45870.45</v>
      </c>
      <c r="AB3173" s="30">
        <v>45880.408333333333</v>
      </c>
      <c r="AC3173" s="30">
        <v>45870.45</v>
      </c>
      <c r="AD3173" s="30">
        <v>45880.408333333333</v>
      </c>
      <c r="AE3173" s="30">
        <v>46182.416666666664</v>
      </c>
      <c r="AF3173" s="30">
        <v>46190.375</v>
      </c>
      <c r="AG3173" t="s">
        <v>1266</v>
      </c>
      <c r="AK3173" t="s">
        <v>1265</v>
      </c>
      <c r="AL3173" t="s">
        <v>1448</v>
      </c>
      <c r="AM3173" t="s">
        <v>1263</v>
      </c>
      <c r="AN3173" t="s">
        <v>1262</v>
      </c>
      <c r="AO3173">
        <v>0</v>
      </c>
      <c r="AQ3173" t="s">
        <v>1261</v>
      </c>
      <c r="AR3173" t="s">
        <v>1260</v>
      </c>
      <c r="AS3173" t="s">
        <v>1259</v>
      </c>
      <c r="AT3173" s="30">
        <v>46076.736805555556</v>
      </c>
    </row>
    <row r="3174" spans="1:46" x14ac:dyDescent="0.25">
      <c r="A3174" t="s">
        <v>1248</v>
      </c>
      <c r="B3174">
        <v>255240</v>
      </c>
      <c r="C3174">
        <v>352295</v>
      </c>
      <c r="D3174">
        <v>405</v>
      </c>
      <c r="E3174" t="s">
        <v>1266</v>
      </c>
      <c r="G3174">
        <v>745</v>
      </c>
      <c r="H3174">
        <v>1856</v>
      </c>
      <c r="K3174" t="s">
        <v>1437</v>
      </c>
      <c r="L3174" t="s">
        <v>1437</v>
      </c>
      <c r="M3174" t="s">
        <v>1442</v>
      </c>
      <c r="N3174">
        <v>0</v>
      </c>
      <c r="O3174" t="s">
        <v>1442</v>
      </c>
      <c r="P3174">
        <v>0</v>
      </c>
      <c r="Q3174">
        <v>0</v>
      </c>
      <c r="R3174">
        <v>0</v>
      </c>
      <c r="T3174" s="29">
        <v>278500</v>
      </c>
      <c r="U3174" s="29">
        <v>5606205</v>
      </c>
      <c r="V3174" t="s">
        <v>1262</v>
      </c>
      <c r="W3174" t="s">
        <v>1262</v>
      </c>
      <c r="X3174" s="29">
        <v>5606205</v>
      </c>
      <c r="AA3174" s="30">
        <v>45868.491666666669</v>
      </c>
      <c r="AB3174" s="30">
        <v>45876.45</v>
      </c>
      <c r="AC3174" s="30">
        <v>45868.491666666669</v>
      </c>
      <c r="AD3174" s="30">
        <v>45876.45</v>
      </c>
      <c r="AE3174" s="30">
        <v>46163.416666666664</v>
      </c>
      <c r="AF3174" s="30">
        <v>46171.375</v>
      </c>
      <c r="AG3174" t="s">
        <v>1266</v>
      </c>
      <c r="AK3174" t="s">
        <v>1265</v>
      </c>
      <c r="AL3174" t="s">
        <v>1447</v>
      </c>
      <c r="AM3174" t="s">
        <v>1263</v>
      </c>
      <c r="AN3174" t="s">
        <v>1262</v>
      </c>
      <c r="AO3174">
        <v>0</v>
      </c>
      <c r="AQ3174" t="s">
        <v>1261</v>
      </c>
      <c r="AR3174" t="s">
        <v>1260</v>
      </c>
      <c r="AS3174" t="s">
        <v>1259</v>
      </c>
      <c r="AT3174" s="30">
        <v>46076.736805555556</v>
      </c>
    </row>
    <row r="3175" spans="1:46" x14ac:dyDescent="0.25">
      <c r="A3175" t="s">
        <v>1248</v>
      </c>
      <c r="B3175">
        <v>255241</v>
      </c>
      <c r="C3175">
        <v>352302</v>
      </c>
      <c r="D3175">
        <v>405</v>
      </c>
      <c r="E3175" t="s">
        <v>1266</v>
      </c>
      <c r="G3175">
        <v>745</v>
      </c>
      <c r="H3175">
        <v>1856</v>
      </c>
      <c r="K3175" t="s">
        <v>1437</v>
      </c>
      <c r="L3175" t="s">
        <v>1437</v>
      </c>
      <c r="M3175" t="s">
        <v>1442</v>
      </c>
      <c r="N3175">
        <v>0</v>
      </c>
      <c r="O3175" t="s">
        <v>1442</v>
      </c>
      <c r="P3175">
        <v>0</v>
      </c>
      <c r="Q3175">
        <v>0</v>
      </c>
      <c r="R3175">
        <v>0</v>
      </c>
      <c r="T3175" s="29">
        <v>278500</v>
      </c>
      <c r="U3175" s="29">
        <v>5606205</v>
      </c>
      <c r="V3175" t="s">
        <v>1262</v>
      </c>
      <c r="W3175" t="s">
        <v>1262</v>
      </c>
      <c r="X3175" s="29">
        <v>5606205</v>
      </c>
      <c r="AA3175" s="30">
        <v>45866.574999999997</v>
      </c>
      <c r="AB3175" s="30">
        <v>45874.491666666669</v>
      </c>
      <c r="AC3175" s="30">
        <v>45866.574999999997</v>
      </c>
      <c r="AD3175" s="30">
        <v>45874.491666666669</v>
      </c>
      <c r="AE3175" s="30">
        <v>46147.416666666664</v>
      </c>
      <c r="AF3175" s="30">
        <v>46155.375</v>
      </c>
      <c r="AG3175" t="s">
        <v>1266</v>
      </c>
      <c r="AK3175" t="s">
        <v>1265</v>
      </c>
      <c r="AL3175" t="e">
        <f>+uSD6ljGgE+JVDpuYRLyJw</f>
        <v>#NAME?</v>
      </c>
      <c r="AM3175" t="s">
        <v>1263</v>
      </c>
      <c r="AN3175" t="s">
        <v>1262</v>
      </c>
      <c r="AO3175">
        <v>0</v>
      </c>
      <c r="AQ3175" t="s">
        <v>1261</v>
      </c>
      <c r="AR3175" t="s">
        <v>1260</v>
      </c>
      <c r="AS3175" t="s">
        <v>1259</v>
      </c>
      <c r="AT3175" s="30">
        <v>46076.736805555556</v>
      </c>
    </row>
    <row r="3176" spans="1:46" x14ac:dyDescent="0.25">
      <c r="A3176" t="s">
        <v>1248</v>
      </c>
      <c r="B3176">
        <v>255242</v>
      </c>
      <c r="C3176">
        <v>352309</v>
      </c>
      <c r="D3176">
        <v>405</v>
      </c>
      <c r="E3176" t="s">
        <v>1266</v>
      </c>
      <c r="G3176">
        <v>745</v>
      </c>
      <c r="H3176">
        <v>1856</v>
      </c>
      <c r="K3176" t="s">
        <v>1437</v>
      </c>
      <c r="L3176" t="s">
        <v>1437</v>
      </c>
      <c r="M3176" t="s">
        <v>1442</v>
      </c>
      <c r="N3176">
        <v>0</v>
      </c>
      <c r="O3176" t="s">
        <v>1442</v>
      </c>
      <c r="P3176">
        <v>0</v>
      </c>
      <c r="Q3176">
        <v>0</v>
      </c>
      <c r="R3176">
        <v>0</v>
      </c>
      <c r="T3176" s="29">
        <v>278500</v>
      </c>
      <c r="U3176" s="29">
        <v>5606205</v>
      </c>
      <c r="V3176" t="s">
        <v>1262</v>
      </c>
      <c r="W3176" t="s">
        <v>1262</v>
      </c>
      <c r="X3176" s="29">
        <v>5606205</v>
      </c>
      <c r="AA3176" s="30">
        <v>45852.433333333334</v>
      </c>
      <c r="AB3176" s="30">
        <v>45860.39166666667</v>
      </c>
      <c r="AC3176" s="30">
        <v>45852.433333333334</v>
      </c>
      <c r="AD3176" s="30">
        <v>45860.39166666667</v>
      </c>
      <c r="AE3176" s="30">
        <v>46128.416666666664</v>
      </c>
      <c r="AF3176" s="30">
        <v>46136.375</v>
      </c>
      <c r="AG3176" t="s">
        <v>1266</v>
      </c>
      <c r="AK3176" t="s">
        <v>1265</v>
      </c>
      <c r="AL3176" t="s">
        <v>1446</v>
      </c>
      <c r="AM3176" t="s">
        <v>1263</v>
      </c>
      <c r="AN3176" t="s">
        <v>1262</v>
      </c>
      <c r="AO3176">
        <v>0</v>
      </c>
      <c r="AQ3176" t="s">
        <v>1261</v>
      </c>
      <c r="AR3176" t="s">
        <v>1260</v>
      </c>
      <c r="AS3176" t="s">
        <v>1259</v>
      </c>
      <c r="AT3176" s="30">
        <v>46076.736805555556</v>
      </c>
    </row>
    <row r="3177" spans="1:46" x14ac:dyDescent="0.25">
      <c r="A3177" t="s">
        <v>1248</v>
      </c>
      <c r="B3177">
        <v>255243</v>
      </c>
      <c r="C3177">
        <v>352316</v>
      </c>
      <c r="D3177">
        <v>405</v>
      </c>
      <c r="E3177" t="s">
        <v>1266</v>
      </c>
      <c r="G3177">
        <v>745</v>
      </c>
      <c r="H3177">
        <v>1856</v>
      </c>
      <c r="K3177" t="s">
        <v>1437</v>
      </c>
      <c r="L3177" t="s">
        <v>1437</v>
      </c>
      <c r="M3177" t="s">
        <v>1442</v>
      </c>
      <c r="N3177">
        <v>0</v>
      </c>
      <c r="O3177" t="s">
        <v>1442</v>
      </c>
      <c r="P3177">
        <v>0</v>
      </c>
      <c r="Q3177">
        <v>0</v>
      </c>
      <c r="R3177">
        <v>0</v>
      </c>
      <c r="T3177" s="29">
        <v>278500</v>
      </c>
      <c r="U3177" s="29">
        <v>5606205</v>
      </c>
      <c r="V3177" t="s">
        <v>1262</v>
      </c>
      <c r="W3177" t="s">
        <v>1262</v>
      </c>
      <c r="X3177" s="29">
        <v>5606205</v>
      </c>
      <c r="AA3177" s="30">
        <v>45847.64166666667</v>
      </c>
      <c r="AB3177" s="30">
        <v>45855.6</v>
      </c>
      <c r="AC3177" s="30">
        <v>45847.64166666667</v>
      </c>
      <c r="AD3177" s="30">
        <v>45855.6</v>
      </c>
      <c r="AE3177" s="30">
        <v>46111.416666666664</v>
      </c>
      <c r="AF3177" s="30">
        <v>46120.375</v>
      </c>
      <c r="AG3177" t="s">
        <v>1266</v>
      </c>
      <c r="AK3177" t="s">
        <v>1265</v>
      </c>
      <c r="AL3177" t="s">
        <v>1445</v>
      </c>
      <c r="AM3177" t="s">
        <v>1263</v>
      </c>
      <c r="AN3177" t="s">
        <v>1262</v>
      </c>
      <c r="AO3177">
        <v>0</v>
      </c>
      <c r="AQ3177" t="s">
        <v>1261</v>
      </c>
      <c r="AR3177" t="s">
        <v>1260</v>
      </c>
      <c r="AS3177" t="s">
        <v>1259</v>
      </c>
      <c r="AT3177" s="30">
        <v>46076.736805555556</v>
      </c>
    </row>
    <row r="3178" spans="1:46" x14ac:dyDescent="0.25">
      <c r="A3178" t="s">
        <v>1248</v>
      </c>
      <c r="B3178">
        <v>255244</v>
      </c>
      <c r="C3178">
        <v>352323</v>
      </c>
      <c r="D3178">
        <v>405</v>
      </c>
      <c r="E3178" t="s">
        <v>1266</v>
      </c>
      <c r="G3178">
        <v>745</v>
      </c>
      <c r="H3178">
        <v>1856</v>
      </c>
      <c r="K3178" t="s">
        <v>1437</v>
      </c>
      <c r="L3178" t="s">
        <v>1437</v>
      </c>
      <c r="M3178" t="s">
        <v>1442</v>
      </c>
      <c r="N3178">
        <v>0</v>
      </c>
      <c r="O3178" t="s">
        <v>1442</v>
      </c>
      <c r="P3178">
        <v>0</v>
      </c>
      <c r="Q3178">
        <v>0</v>
      </c>
      <c r="R3178">
        <v>0</v>
      </c>
      <c r="T3178" s="29">
        <v>278500</v>
      </c>
      <c r="U3178" s="29">
        <v>5606205</v>
      </c>
      <c r="V3178" t="s">
        <v>1262</v>
      </c>
      <c r="W3178" t="s">
        <v>1262</v>
      </c>
      <c r="X3178" s="29">
        <v>5606205</v>
      </c>
      <c r="AA3178" s="30">
        <v>45845.683333333334</v>
      </c>
      <c r="AB3178" s="30">
        <v>45853.64166666667</v>
      </c>
      <c r="AC3178" s="30">
        <v>45845.683333333334</v>
      </c>
      <c r="AD3178" s="30">
        <v>45853.64166666667</v>
      </c>
      <c r="AE3178" s="30">
        <v>46093.416666666664</v>
      </c>
      <c r="AF3178" s="30">
        <v>46101.375</v>
      </c>
      <c r="AG3178" t="s">
        <v>1266</v>
      </c>
      <c r="AK3178" t="s">
        <v>1265</v>
      </c>
      <c r="AL3178" t="s">
        <v>1444</v>
      </c>
      <c r="AM3178" t="s">
        <v>1263</v>
      </c>
      <c r="AN3178" t="s">
        <v>1262</v>
      </c>
      <c r="AO3178">
        <v>0</v>
      </c>
      <c r="AQ3178" t="s">
        <v>1261</v>
      </c>
      <c r="AR3178" t="s">
        <v>1260</v>
      </c>
      <c r="AS3178" t="s">
        <v>1259</v>
      </c>
      <c r="AT3178" s="30">
        <v>46076.736805555556</v>
      </c>
    </row>
    <row r="3179" spans="1:46" x14ac:dyDescent="0.25">
      <c r="A3179" t="s">
        <v>1248</v>
      </c>
      <c r="B3179">
        <v>255245</v>
      </c>
      <c r="C3179">
        <v>352330</v>
      </c>
      <c r="D3179">
        <v>405</v>
      </c>
      <c r="E3179" t="s">
        <v>1266</v>
      </c>
      <c r="G3179">
        <v>745</v>
      </c>
      <c r="H3179">
        <v>1856</v>
      </c>
      <c r="K3179" t="s">
        <v>1437</v>
      </c>
      <c r="L3179" t="s">
        <v>1437</v>
      </c>
      <c r="M3179" t="s">
        <v>1442</v>
      </c>
      <c r="N3179">
        <v>0</v>
      </c>
      <c r="O3179" t="s">
        <v>1442</v>
      </c>
      <c r="P3179">
        <v>0</v>
      </c>
      <c r="Q3179">
        <v>0</v>
      </c>
      <c r="R3179">
        <v>0</v>
      </c>
      <c r="T3179" s="29">
        <v>278500</v>
      </c>
      <c r="U3179" s="29">
        <v>5606205</v>
      </c>
      <c r="V3179" t="s">
        <v>1262</v>
      </c>
      <c r="W3179" t="s">
        <v>1262</v>
      </c>
      <c r="X3179" s="29">
        <v>5606205</v>
      </c>
      <c r="AA3179" s="30">
        <v>45842.35</v>
      </c>
      <c r="AB3179" s="30">
        <v>45849.683333333334</v>
      </c>
      <c r="AC3179" s="30">
        <v>45842.35</v>
      </c>
      <c r="AD3179" s="30">
        <v>45849.683333333334</v>
      </c>
      <c r="AE3179" s="30">
        <v>46077.416666666664</v>
      </c>
      <c r="AF3179" s="30">
        <v>46085.375</v>
      </c>
      <c r="AG3179" t="s">
        <v>1266</v>
      </c>
      <c r="AK3179" t="s">
        <v>1265</v>
      </c>
      <c r="AL3179" t="s">
        <v>1443</v>
      </c>
      <c r="AM3179" t="s">
        <v>1263</v>
      </c>
      <c r="AN3179" t="s">
        <v>1262</v>
      </c>
      <c r="AO3179">
        <v>0</v>
      </c>
      <c r="AQ3179" t="s">
        <v>1261</v>
      </c>
      <c r="AR3179" t="s">
        <v>1260</v>
      </c>
      <c r="AS3179" t="s">
        <v>1259</v>
      </c>
      <c r="AT3179" s="30">
        <v>46076.736805555556</v>
      </c>
    </row>
    <row r="3180" spans="1:46" x14ac:dyDescent="0.25">
      <c r="A3180" t="s">
        <v>1248</v>
      </c>
      <c r="B3180">
        <v>255246</v>
      </c>
      <c r="C3180">
        <v>352337</v>
      </c>
      <c r="D3180">
        <v>405</v>
      </c>
      <c r="E3180" t="s">
        <v>1266</v>
      </c>
      <c r="G3180">
        <v>745</v>
      </c>
      <c r="H3180">
        <v>1856</v>
      </c>
      <c r="K3180" t="s">
        <v>1437</v>
      </c>
      <c r="L3180" t="s">
        <v>1437</v>
      </c>
      <c r="M3180" t="s">
        <v>1442</v>
      </c>
      <c r="N3180">
        <v>0</v>
      </c>
      <c r="O3180" t="s">
        <v>1442</v>
      </c>
      <c r="P3180">
        <v>0</v>
      </c>
      <c r="Q3180">
        <v>0</v>
      </c>
      <c r="R3180">
        <v>0</v>
      </c>
      <c r="T3180" s="29">
        <v>278500</v>
      </c>
      <c r="U3180" s="29">
        <v>5606205</v>
      </c>
      <c r="V3180" t="s">
        <v>1262</v>
      </c>
      <c r="W3180" t="s">
        <v>1262</v>
      </c>
      <c r="X3180" s="29">
        <v>5606205</v>
      </c>
      <c r="AA3180" s="30">
        <v>45840.39166666667</v>
      </c>
      <c r="AB3180" s="30">
        <v>45848.35</v>
      </c>
      <c r="AC3180" s="30">
        <v>45840.39166666667</v>
      </c>
      <c r="AD3180" s="30">
        <v>45848.35</v>
      </c>
      <c r="AE3180" s="30">
        <v>46059.416666666664</v>
      </c>
      <c r="AF3180" s="30">
        <v>46069.375</v>
      </c>
      <c r="AG3180" t="s">
        <v>1266</v>
      </c>
      <c r="AK3180" t="s">
        <v>1265</v>
      </c>
      <c r="AL3180" t="s">
        <v>1441</v>
      </c>
      <c r="AM3180" t="s">
        <v>1263</v>
      </c>
      <c r="AN3180" t="s">
        <v>1262</v>
      </c>
      <c r="AO3180">
        <v>0</v>
      </c>
      <c r="AQ3180" t="s">
        <v>1261</v>
      </c>
      <c r="AR3180" t="s">
        <v>1260</v>
      </c>
      <c r="AS3180" t="s">
        <v>1259</v>
      </c>
      <c r="AT3180" s="30">
        <v>46076.736805555556</v>
      </c>
    </row>
    <row r="3181" spans="1:46" x14ac:dyDescent="0.25">
      <c r="A3181" t="s">
        <v>1248</v>
      </c>
      <c r="B3181">
        <v>255247</v>
      </c>
      <c r="C3181">
        <v>352344</v>
      </c>
      <c r="D3181">
        <v>405</v>
      </c>
      <c r="E3181" t="s">
        <v>1266</v>
      </c>
      <c r="G3181">
        <v>745</v>
      </c>
      <c r="H3181">
        <v>1856</v>
      </c>
      <c r="K3181" t="s">
        <v>1437</v>
      </c>
      <c r="L3181" t="s">
        <v>1437</v>
      </c>
      <c r="M3181" t="s">
        <v>1436</v>
      </c>
      <c r="N3181">
        <v>0</v>
      </c>
      <c r="O3181" t="s">
        <v>1436</v>
      </c>
      <c r="P3181">
        <v>0</v>
      </c>
      <c r="Q3181">
        <v>0</v>
      </c>
      <c r="R3181">
        <v>0</v>
      </c>
      <c r="T3181" s="29">
        <v>278500</v>
      </c>
      <c r="U3181" s="29">
        <v>5606205</v>
      </c>
      <c r="V3181" t="s">
        <v>1262</v>
      </c>
      <c r="W3181" t="s">
        <v>1262</v>
      </c>
      <c r="X3181" s="29">
        <v>5606205</v>
      </c>
      <c r="AA3181" s="30">
        <v>45838.433333333334</v>
      </c>
      <c r="AB3181" s="30">
        <v>45846.433333333334</v>
      </c>
      <c r="AC3181" s="30">
        <v>45838.433333333334</v>
      </c>
      <c r="AD3181" s="30">
        <v>45846.433333333334</v>
      </c>
      <c r="AE3181" s="30">
        <v>46043.375</v>
      </c>
      <c r="AF3181" s="30">
        <v>46051.375</v>
      </c>
      <c r="AG3181" t="s">
        <v>1266</v>
      </c>
      <c r="AK3181" t="s">
        <v>1265</v>
      </c>
      <c r="AL3181" t="s">
        <v>1440</v>
      </c>
      <c r="AM3181" t="s">
        <v>1263</v>
      </c>
      <c r="AN3181" t="s">
        <v>1262</v>
      </c>
      <c r="AO3181">
        <v>0</v>
      </c>
      <c r="AQ3181" t="s">
        <v>1261</v>
      </c>
      <c r="AR3181" t="s">
        <v>1260</v>
      </c>
      <c r="AS3181" t="s">
        <v>1259</v>
      </c>
      <c r="AT3181" s="30">
        <v>46076.736805555556</v>
      </c>
    </row>
    <row r="3182" spans="1:46" x14ac:dyDescent="0.25">
      <c r="A3182" t="s">
        <v>1248</v>
      </c>
      <c r="B3182">
        <v>255248</v>
      </c>
      <c r="C3182">
        <v>352351</v>
      </c>
      <c r="D3182">
        <v>405</v>
      </c>
      <c r="E3182" t="s">
        <v>1266</v>
      </c>
      <c r="G3182">
        <v>745</v>
      </c>
      <c r="H3182">
        <v>1856</v>
      </c>
      <c r="K3182" t="s">
        <v>1437</v>
      </c>
      <c r="L3182" t="s">
        <v>1437</v>
      </c>
      <c r="M3182" t="s">
        <v>1436</v>
      </c>
      <c r="N3182">
        <v>0</v>
      </c>
      <c r="O3182" t="s">
        <v>1436</v>
      </c>
      <c r="P3182">
        <v>0</v>
      </c>
      <c r="Q3182">
        <v>0</v>
      </c>
      <c r="R3182">
        <v>0</v>
      </c>
      <c r="T3182" s="29">
        <v>278500</v>
      </c>
      <c r="U3182" s="29">
        <v>5606205</v>
      </c>
      <c r="V3182" t="s">
        <v>1262</v>
      </c>
      <c r="W3182" t="s">
        <v>1262</v>
      </c>
      <c r="X3182" s="29">
        <v>5606205</v>
      </c>
      <c r="AA3182" s="30">
        <v>45828.39166666667</v>
      </c>
      <c r="AB3182" s="30">
        <v>45838.39166666667</v>
      </c>
      <c r="AC3182" s="30">
        <v>45828.39166666667</v>
      </c>
      <c r="AD3182" s="30">
        <v>45838.39166666667</v>
      </c>
      <c r="AE3182" s="30">
        <v>46022.333333333336</v>
      </c>
      <c r="AF3182" s="30">
        <v>46031.708333333336</v>
      </c>
      <c r="AG3182" t="s">
        <v>1266</v>
      </c>
      <c r="AK3182" t="s">
        <v>1265</v>
      </c>
      <c r="AL3182" t="s">
        <v>1439</v>
      </c>
      <c r="AM3182" t="s">
        <v>1263</v>
      </c>
      <c r="AN3182" t="s">
        <v>1262</v>
      </c>
      <c r="AO3182">
        <v>0</v>
      </c>
      <c r="AQ3182" t="s">
        <v>1261</v>
      </c>
      <c r="AR3182" t="s">
        <v>1260</v>
      </c>
      <c r="AS3182" t="s">
        <v>1259</v>
      </c>
      <c r="AT3182" s="30">
        <v>46076.736805555556</v>
      </c>
    </row>
    <row r="3183" spans="1:46" x14ac:dyDescent="0.25">
      <c r="A3183" t="s">
        <v>1248</v>
      </c>
      <c r="B3183">
        <v>255249</v>
      </c>
      <c r="C3183">
        <v>352358</v>
      </c>
      <c r="D3183">
        <v>405</v>
      </c>
      <c r="E3183" t="s">
        <v>1266</v>
      </c>
      <c r="G3183">
        <v>745</v>
      </c>
      <c r="H3183">
        <v>1856</v>
      </c>
      <c r="K3183" t="s">
        <v>1437</v>
      </c>
      <c r="L3183" t="s">
        <v>1437</v>
      </c>
      <c r="M3183" t="s">
        <v>1436</v>
      </c>
      <c r="N3183">
        <v>0</v>
      </c>
      <c r="O3183" t="s">
        <v>1436</v>
      </c>
      <c r="P3183">
        <v>0</v>
      </c>
      <c r="Q3183">
        <v>0</v>
      </c>
      <c r="R3183">
        <v>0</v>
      </c>
      <c r="T3183" s="29">
        <v>278500</v>
      </c>
      <c r="U3183" s="29">
        <v>5606205</v>
      </c>
      <c r="V3183" t="s">
        <v>1262</v>
      </c>
      <c r="W3183" t="s">
        <v>1262</v>
      </c>
      <c r="X3183" s="29">
        <v>5606205</v>
      </c>
      <c r="AA3183" s="30">
        <v>45827.433333333334</v>
      </c>
      <c r="AB3183" s="30">
        <v>45835.433333333334</v>
      </c>
      <c r="AC3183" s="30">
        <v>45827.433333333334</v>
      </c>
      <c r="AD3183" s="30">
        <v>45835.433333333334</v>
      </c>
      <c r="AE3183" s="30">
        <v>46016.333333333336</v>
      </c>
      <c r="AF3183" s="30">
        <v>46024.708333333336</v>
      </c>
      <c r="AG3183" t="s">
        <v>1266</v>
      </c>
      <c r="AK3183" t="s">
        <v>1265</v>
      </c>
      <c r="AL3183" t="s">
        <v>1438</v>
      </c>
      <c r="AM3183" t="s">
        <v>1263</v>
      </c>
      <c r="AN3183" t="s">
        <v>1262</v>
      </c>
      <c r="AO3183">
        <v>0</v>
      </c>
      <c r="AQ3183" t="s">
        <v>1261</v>
      </c>
      <c r="AR3183" t="s">
        <v>1260</v>
      </c>
      <c r="AS3183" t="s">
        <v>1259</v>
      </c>
      <c r="AT3183" s="30">
        <v>46076.736805555556</v>
      </c>
    </row>
    <row r="3184" spans="1:46" x14ac:dyDescent="0.25">
      <c r="A3184" t="s">
        <v>1248</v>
      </c>
      <c r="B3184">
        <v>255250</v>
      </c>
      <c r="C3184">
        <v>352365</v>
      </c>
      <c r="D3184">
        <v>405</v>
      </c>
      <c r="E3184" t="s">
        <v>1266</v>
      </c>
      <c r="G3184">
        <v>745</v>
      </c>
      <c r="H3184">
        <v>1856</v>
      </c>
      <c r="K3184" t="s">
        <v>1437</v>
      </c>
      <c r="L3184" t="s">
        <v>1437</v>
      </c>
      <c r="M3184" t="s">
        <v>1436</v>
      </c>
      <c r="N3184">
        <v>0</v>
      </c>
      <c r="O3184" t="s">
        <v>1436</v>
      </c>
      <c r="P3184">
        <v>0</v>
      </c>
      <c r="Q3184">
        <v>0</v>
      </c>
      <c r="R3184">
        <v>0</v>
      </c>
      <c r="T3184" s="29">
        <v>278500</v>
      </c>
      <c r="U3184" s="29">
        <v>5606205</v>
      </c>
      <c r="V3184" t="s">
        <v>1262</v>
      </c>
      <c r="W3184" t="s">
        <v>1262</v>
      </c>
      <c r="X3184" s="29">
        <v>5606205</v>
      </c>
      <c r="AA3184" s="30">
        <v>45826.474999999999</v>
      </c>
      <c r="AB3184" s="30">
        <v>45834.474999999999</v>
      </c>
      <c r="AC3184" s="30">
        <v>45826.474999999999</v>
      </c>
      <c r="AD3184" s="30">
        <v>45834.474999999999</v>
      </c>
      <c r="AE3184" s="30">
        <v>45883.375</v>
      </c>
      <c r="AF3184" s="30">
        <v>45891.375</v>
      </c>
      <c r="AG3184" t="s">
        <v>1266</v>
      </c>
      <c r="AK3184" t="s">
        <v>1265</v>
      </c>
      <c r="AL3184" t="s">
        <v>1435</v>
      </c>
      <c r="AM3184" t="s">
        <v>1263</v>
      </c>
      <c r="AN3184" t="s">
        <v>1262</v>
      </c>
      <c r="AO3184">
        <v>0</v>
      </c>
      <c r="AQ3184" t="s">
        <v>1261</v>
      </c>
      <c r="AR3184" t="s">
        <v>1260</v>
      </c>
      <c r="AS3184" t="s">
        <v>1259</v>
      </c>
      <c r="AT3184" s="30">
        <v>46076.736805555556</v>
      </c>
    </row>
    <row r="3185" spans="1:46" x14ac:dyDescent="0.25">
      <c r="A3185" t="s">
        <v>1248</v>
      </c>
      <c r="B3185">
        <v>255251</v>
      </c>
      <c r="C3185">
        <v>120011</v>
      </c>
      <c r="D3185">
        <v>405</v>
      </c>
      <c r="E3185" t="s">
        <v>1266</v>
      </c>
      <c r="G3185">
        <v>745</v>
      </c>
      <c r="H3185">
        <v>1862</v>
      </c>
      <c r="K3185" t="s">
        <v>1434</v>
      </c>
      <c r="L3185" t="s">
        <v>1434</v>
      </c>
      <c r="M3185" s="29">
        <v>124222222</v>
      </c>
      <c r="N3185">
        <v>0</v>
      </c>
      <c r="O3185" s="29">
        <v>124222222</v>
      </c>
      <c r="P3185">
        <v>0</v>
      </c>
      <c r="Q3185">
        <v>0</v>
      </c>
      <c r="R3185">
        <v>0</v>
      </c>
      <c r="T3185" s="29">
        <v>2162550</v>
      </c>
      <c r="U3185" s="29">
        <v>1160510832</v>
      </c>
      <c r="V3185" t="s">
        <v>1262</v>
      </c>
      <c r="W3185" t="s">
        <v>1262</v>
      </c>
      <c r="X3185" s="29">
        <v>1160510832</v>
      </c>
      <c r="AA3185" s="30">
        <v>46240.333333333336</v>
      </c>
      <c r="AB3185" s="30">
        <v>46315.708333333336</v>
      </c>
      <c r="AC3185" s="30">
        <v>46240.333333333336</v>
      </c>
      <c r="AD3185" s="30">
        <v>46315.708333333336</v>
      </c>
      <c r="AE3185" s="30">
        <v>46392.333333333336</v>
      </c>
      <c r="AF3185" s="30">
        <v>46468.708333333336</v>
      </c>
      <c r="AG3185" t="s">
        <v>1266</v>
      </c>
      <c r="AK3185" t="s">
        <v>1265</v>
      </c>
      <c r="AL3185" t="s">
        <v>1433</v>
      </c>
      <c r="AM3185" t="s">
        <v>1263</v>
      </c>
      <c r="AN3185" t="s">
        <v>1262</v>
      </c>
      <c r="AO3185">
        <v>0</v>
      </c>
      <c r="AQ3185" t="s">
        <v>1261</v>
      </c>
      <c r="AR3185" t="s">
        <v>1260</v>
      </c>
      <c r="AS3185" t="s">
        <v>1259</v>
      </c>
      <c r="AT3185" s="30">
        <v>46077.414583333331</v>
      </c>
    </row>
    <row r="3186" spans="1:46" x14ac:dyDescent="0.25">
      <c r="A3186" t="s">
        <v>1248</v>
      </c>
      <c r="B3186">
        <v>255252</v>
      </c>
      <c r="C3186">
        <v>120011</v>
      </c>
      <c r="D3186">
        <v>405</v>
      </c>
      <c r="E3186" t="s">
        <v>1266</v>
      </c>
      <c r="G3186">
        <v>745</v>
      </c>
      <c r="H3186">
        <v>1863</v>
      </c>
      <c r="K3186" t="s">
        <v>1432</v>
      </c>
      <c r="L3186" t="s">
        <v>1432</v>
      </c>
      <c r="M3186" t="s">
        <v>1431</v>
      </c>
      <c r="N3186">
        <v>0</v>
      </c>
      <c r="O3186" t="s">
        <v>1431</v>
      </c>
      <c r="P3186">
        <v>0</v>
      </c>
      <c r="Q3186">
        <v>0</v>
      </c>
      <c r="R3186">
        <v>0</v>
      </c>
      <c r="T3186" s="29">
        <v>2284750</v>
      </c>
      <c r="U3186" s="29">
        <v>799616805</v>
      </c>
      <c r="V3186" t="s">
        <v>1262</v>
      </c>
      <c r="W3186" t="s">
        <v>1262</v>
      </c>
      <c r="X3186" s="29">
        <v>799616805</v>
      </c>
      <c r="AA3186" s="30">
        <v>46240.333333333336</v>
      </c>
      <c r="AB3186" s="30">
        <v>46315.708333333336</v>
      </c>
      <c r="AC3186" s="30">
        <v>46240.333333333336</v>
      </c>
      <c r="AD3186" s="30">
        <v>46315.708333333336</v>
      </c>
      <c r="AE3186" s="30">
        <v>46392.333333333336</v>
      </c>
      <c r="AF3186" s="30">
        <v>46468.708333333336</v>
      </c>
      <c r="AG3186" t="s">
        <v>1266</v>
      </c>
      <c r="AK3186" t="s">
        <v>1265</v>
      </c>
      <c r="AL3186" t="s">
        <v>1430</v>
      </c>
      <c r="AM3186" t="s">
        <v>1263</v>
      </c>
      <c r="AN3186" t="s">
        <v>1262</v>
      </c>
      <c r="AO3186">
        <v>0</v>
      </c>
      <c r="AQ3186" t="s">
        <v>1261</v>
      </c>
      <c r="AR3186" t="s">
        <v>1260</v>
      </c>
      <c r="AS3186" t="s">
        <v>1259</v>
      </c>
      <c r="AT3186" s="30">
        <v>46077.414583333331</v>
      </c>
    </row>
    <row r="3187" spans="1:46" x14ac:dyDescent="0.25">
      <c r="A3187" t="s">
        <v>1248</v>
      </c>
      <c r="B3187">
        <v>255253</v>
      </c>
      <c r="C3187">
        <v>120011</v>
      </c>
      <c r="D3187">
        <v>405</v>
      </c>
      <c r="E3187" t="s">
        <v>1266</v>
      </c>
      <c r="G3187">
        <v>745</v>
      </c>
      <c r="H3187">
        <v>1864</v>
      </c>
      <c r="K3187" t="s">
        <v>1429</v>
      </c>
      <c r="L3187" t="s">
        <v>1429</v>
      </c>
      <c r="M3187" s="29">
        <v>2025363425</v>
      </c>
      <c r="N3187">
        <v>0</v>
      </c>
      <c r="O3187" s="29">
        <v>2025363425</v>
      </c>
      <c r="P3187">
        <v>0</v>
      </c>
      <c r="Q3187">
        <v>0</v>
      </c>
      <c r="R3187">
        <v>0</v>
      </c>
      <c r="T3187" s="29">
        <v>11400</v>
      </c>
      <c r="U3187" s="29">
        <v>99745098</v>
      </c>
      <c r="V3187" t="s">
        <v>1262</v>
      </c>
      <c r="W3187" t="s">
        <v>1262</v>
      </c>
      <c r="X3187" s="29">
        <v>99745098</v>
      </c>
      <c r="AA3187" s="30">
        <v>46240.333333333336</v>
      </c>
      <c r="AB3187" s="30">
        <v>46315.708333333336</v>
      </c>
      <c r="AC3187" s="30">
        <v>46240.333333333336</v>
      </c>
      <c r="AD3187" s="30">
        <v>46315.708333333336</v>
      </c>
      <c r="AE3187" s="30">
        <v>46392.333333333336</v>
      </c>
      <c r="AF3187" s="30">
        <v>46468.708333333336</v>
      </c>
      <c r="AG3187" t="s">
        <v>1266</v>
      </c>
      <c r="AK3187" t="s">
        <v>1265</v>
      </c>
      <c r="AL3187" t="s">
        <v>1428</v>
      </c>
      <c r="AM3187" t="s">
        <v>1263</v>
      </c>
      <c r="AN3187" t="s">
        <v>1262</v>
      </c>
      <c r="AO3187">
        <v>0</v>
      </c>
      <c r="AQ3187" t="s">
        <v>1261</v>
      </c>
      <c r="AR3187" t="s">
        <v>1260</v>
      </c>
      <c r="AS3187" t="s">
        <v>1259</v>
      </c>
      <c r="AT3187" s="30">
        <v>46077.414583333331</v>
      </c>
    </row>
    <row r="3188" spans="1:46" x14ac:dyDescent="0.25">
      <c r="A3188" t="s">
        <v>1248</v>
      </c>
      <c r="B3188">
        <v>255254</v>
      </c>
      <c r="C3188">
        <v>119814</v>
      </c>
      <c r="D3188">
        <v>405</v>
      </c>
      <c r="E3188" t="s">
        <v>1266</v>
      </c>
      <c r="G3188">
        <v>745</v>
      </c>
      <c r="H3188">
        <v>1862</v>
      </c>
      <c r="K3188" t="s">
        <v>1427</v>
      </c>
      <c r="L3188" t="s">
        <v>1427</v>
      </c>
      <c r="M3188" s="29">
        <v>149140909</v>
      </c>
      <c r="N3188">
        <v>0</v>
      </c>
      <c r="O3188" s="29">
        <v>149140909</v>
      </c>
      <c r="P3188">
        <v>0</v>
      </c>
      <c r="Q3188">
        <v>0</v>
      </c>
      <c r="R3188">
        <v>0</v>
      </c>
      <c r="T3188" s="29">
        <v>2162550</v>
      </c>
      <c r="U3188" s="29">
        <v>1419108561</v>
      </c>
      <c r="V3188" t="s">
        <v>1262</v>
      </c>
      <c r="W3188" t="s">
        <v>1262</v>
      </c>
      <c r="X3188" s="29">
        <v>1419108561</v>
      </c>
      <c r="AA3188" s="30">
        <v>46416.333333333336</v>
      </c>
      <c r="AB3188" s="30">
        <v>46493.708333333336</v>
      </c>
      <c r="AC3188" s="30">
        <v>46416.333333333336</v>
      </c>
      <c r="AD3188" s="30">
        <v>46493.708333333336</v>
      </c>
      <c r="AE3188" s="30">
        <v>46416.333333333336</v>
      </c>
      <c r="AF3188" s="30">
        <v>46493.708333333336</v>
      </c>
      <c r="AG3188" t="s">
        <v>1266</v>
      </c>
      <c r="AK3188" t="s">
        <v>1265</v>
      </c>
      <c r="AL3188" t="s">
        <v>1426</v>
      </c>
      <c r="AM3188" t="s">
        <v>1263</v>
      </c>
      <c r="AN3188" t="s">
        <v>1262</v>
      </c>
      <c r="AO3188">
        <v>0</v>
      </c>
      <c r="AQ3188" t="s">
        <v>1261</v>
      </c>
      <c r="AR3188" t="s">
        <v>1260</v>
      </c>
      <c r="AS3188" t="s">
        <v>1259</v>
      </c>
      <c r="AT3188" s="30">
        <v>46077.414583333331</v>
      </c>
    </row>
    <row r="3189" spans="1:46" x14ac:dyDescent="0.25">
      <c r="A3189" t="s">
        <v>1248</v>
      </c>
      <c r="B3189">
        <v>255255</v>
      </c>
      <c r="C3189">
        <v>119814</v>
      </c>
      <c r="D3189">
        <v>405</v>
      </c>
      <c r="E3189" t="s">
        <v>1266</v>
      </c>
      <c r="G3189">
        <v>745</v>
      </c>
      <c r="H3189">
        <v>1863</v>
      </c>
      <c r="K3189" t="s">
        <v>1425</v>
      </c>
      <c r="L3189" t="s">
        <v>1425</v>
      </c>
      <c r="M3189" t="s">
        <v>1424</v>
      </c>
      <c r="N3189">
        <v>0</v>
      </c>
      <c r="O3189" t="s">
        <v>1424</v>
      </c>
      <c r="P3189">
        <v>0</v>
      </c>
      <c r="Q3189">
        <v>0</v>
      </c>
      <c r="R3189">
        <v>0</v>
      </c>
      <c r="T3189" s="29">
        <v>2284750</v>
      </c>
      <c r="U3189" s="29">
        <v>999532430</v>
      </c>
      <c r="V3189" t="s">
        <v>1262</v>
      </c>
      <c r="W3189" t="s">
        <v>1262</v>
      </c>
      <c r="X3189" s="29">
        <v>999532430</v>
      </c>
      <c r="AA3189" s="30">
        <v>46416.333333333336</v>
      </c>
      <c r="AB3189" s="30">
        <v>46493.708333333336</v>
      </c>
      <c r="AC3189" s="30">
        <v>46416.333333333336</v>
      </c>
      <c r="AD3189" s="30">
        <v>46493.708333333336</v>
      </c>
      <c r="AE3189" s="30">
        <v>46416.333333333336</v>
      </c>
      <c r="AF3189" s="30">
        <v>46493.708333333336</v>
      </c>
      <c r="AG3189" t="s">
        <v>1266</v>
      </c>
      <c r="AK3189" t="s">
        <v>1265</v>
      </c>
      <c r="AL3189" t="s">
        <v>1423</v>
      </c>
      <c r="AM3189" t="s">
        <v>1263</v>
      </c>
      <c r="AN3189" t="s">
        <v>1262</v>
      </c>
      <c r="AO3189">
        <v>0</v>
      </c>
      <c r="AQ3189" t="s">
        <v>1261</v>
      </c>
      <c r="AR3189" t="s">
        <v>1260</v>
      </c>
      <c r="AS3189" t="s">
        <v>1259</v>
      </c>
      <c r="AT3189" s="30">
        <v>46077.414583333331</v>
      </c>
    </row>
    <row r="3190" spans="1:46" x14ac:dyDescent="0.25">
      <c r="A3190" t="s">
        <v>1248</v>
      </c>
      <c r="B3190">
        <v>255256</v>
      </c>
      <c r="C3190">
        <v>119814</v>
      </c>
      <c r="D3190">
        <v>405</v>
      </c>
      <c r="E3190" t="s">
        <v>1266</v>
      </c>
      <c r="G3190">
        <v>745</v>
      </c>
      <c r="H3190">
        <v>1864</v>
      </c>
      <c r="K3190" t="s">
        <v>1422</v>
      </c>
      <c r="L3190" t="s">
        <v>1422</v>
      </c>
      <c r="M3190" s="29">
        <v>2485672727</v>
      </c>
      <c r="N3190">
        <v>0</v>
      </c>
      <c r="O3190" s="29">
        <v>2485672727</v>
      </c>
      <c r="P3190">
        <v>0</v>
      </c>
      <c r="Q3190">
        <v>0</v>
      </c>
      <c r="R3190">
        <v>0</v>
      </c>
      <c r="T3190" s="29">
        <v>11400</v>
      </c>
      <c r="U3190" s="29">
        <v>124681344</v>
      </c>
      <c r="V3190" t="s">
        <v>1262</v>
      </c>
      <c r="W3190" t="s">
        <v>1262</v>
      </c>
      <c r="X3190" s="29">
        <v>124681344</v>
      </c>
      <c r="AA3190" s="30">
        <v>46416.333333333336</v>
      </c>
      <c r="AB3190" s="30">
        <v>46493.708333333336</v>
      </c>
      <c r="AC3190" s="30">
        <v>46416.333333333336</v>
      </c>
      <c r="AD3190" s="30">
        <v>46493.708333333336</v>
      </c>
      <c r="AE3190" s="30">
        <v>46416.333333333336</v>
      </c>
      <c r="AF3190" s="30">
        <v>46493.708333333336</v>
      </c>
      <c r="AG3190" t="s">
        <v>1266</v>
      </c>
      <c r="AK3190" t="s">
        <v>1265</v>
      </c>
      <c r="AL3190" t="s">
        <v>1421</v>
      </c>
      <c r="AM3190" t="s">
        <v>1263</v>
      </c>
      <c r="AN3190" t="s">
        <v>1262</v>
      </c>
      <c r="AO3190">
        <v>0</v>
      </c>
      <c r="AQ3190" t="s">
        <v>1261</v>
      </c>
      <c r="AR3190" t="s">
        <v>1260</v>
      </c>
      <c r="AS3190" t="s">
        <v>1259</v>
      </c>
      <c r="AT3190" s="30">
        <v>46077.414583333331</v>
      </c>
    </row>
    <row r="3191" spans="1:46" x14ac:dyDescent="0.25">
      <c r="A3191" t="s">
        <v>1248</v>
      </c>
      <c r="B3191">
        <v>255257</v>
      </c>
      <c r="C3191">
        <v>120009</v>
      </c>
      <c r="D3191">
        <v>405</v>
      </c>
      <c r="E3191" t="s">
        <v>1266</v>
      </c>
      <c r="G3191">
        <v>745</v>
      </c>
      <c r="H3191">
        <v>1835</v>
      </c>
      <c r="K3191">
        <v>9312</v>
      </c>
      <c r="L3191">
        <v>9312</v>
      </c>
      <c r="M3191" t="s">
        <v>1420</v>
      </c>
      <c r="N3191">
        <v>0</v>
      </c>
      <c r="O3191" t="s">
        <v>1420</v>
      </c>
      <c r="P3191">
        <v>0</v>
      </c>
      <c r="Q3191">
        <v>0</v>
      </c>
      <c r="R3191">
        <v>0</v>
      </c>
      <c r="T3191" s="29">
        <v>244700</v>
      </c>
      <c r="U3191" s="29">
        <v>2278646399</v>
      </c>
      <c r="V3191" t="s">
        <v>1262</v>
      </c>
      <c r="W3191" t="s">
        <v>1262</v>
      </c>
      <c r="X3191" s="29">
        <v>2278646399</v>
      </c>
      <c r="AA3191" s="30">
        <v>46226.333333333336</v>
      </c>
      <c r="AB3191" s="30">
        <v>46281.708333333336</v>
      </c>
      <c r="AC3191" s="30">
        <v>46226.333333333336</v>
      </c>
      <c r="AD3191" s="30">
        <v>46281.708333333336</v>
      </c>
      <c r="AE3191" s="30">
        <v>46374.333333333336</v>
      </c>
      <c r="AF3191" s="30">
        <v>46434.708333333336</v>
      </c>
      <c r="AG3191" t="s">
        <v>1266</v>
      </c>
      <c r="AK3191" t="s">
        <v>1265</v>
      </c>
      <c r="AL3191" t="s">
        <v>1419</v>
      </c>
      <c r="AM3191" t="s">
        <v>1263</v>
      </c>
      <c r="AN3191" t="s">
        <v>1262</v>
      </c>
      <c r="AO3191">
        <v>0</v>
      </c>
      <c r="AQ3191" t="s">
        <v>1261</v>
      </c>
      <c r="AR3191" t="s">
        <v>1260</v>
      </c>
      <c r="AS3191" t="s">
        <v>1259</v>
      </c>
      <c r="AT3191" s="30">
        <v>46077.418055555558</v>
      </c>
    </row>
    <row r="3192" spans="1:46" x14ac:dyDescent="0.25">
      <c r="A3192" t="s">
        <v>1248</v>
      </c>
      <c r="B3192">
        <v>255258</v>
      </c>
      <c r="C3192">
        <v>119812</v>
      </c>
      <c r="D3192">
        <v>405</v>
      </c>
      <c r="E3192" t="s">
        <v>1266</v>
      </c>
      <c r="G3192">
        <v>745</v>
      </c>
      <c r="H3192">
        <v>1835</v>
      </c>
      <c r="K3192" t="s">
        <v>1418</v>
      </c>
      <c r="L3192" t="s">
        <v>1418</v>
      </c>
      <c r="M3192" s="29">
        <v>3558425</v>
      </c>
      <c r="N3192">
        <v>0</v>
      </c>
      <c r="O3192" s="29">
        <v>3558425</v>
      </c>
      <c r="P3192">
        <v>0</v>
      </c>
      <c r="Q3192">
        <v>0</v>
      </c>
      <c r="R3192">
        <v>0</v>
      </c>
      <c r="T3192" s="29">
        <v>244700</v>
      </c>
      <c r="U3192" s="29">
        <v>2786389111</v>
      </c>
      <c r="V3192" t="s">
        <v>1262</v>
      </c>
      <c r="W3192" t="s">
        <v>1262</v>
      </c>
      <c r="X3192" s="29">
        <v>2786389111</v>
      </c>
      <c r="AA3192" s="30">
        <v>46409.333333333336</v>
      </c>
      <c r="AB3192" s="30">
        <v>46464.708333333336</v>
      </c>
      <c r="AC3192" s="30">
        <v>46409.333333333336</v>
      </c>
      <c r="AD3192" s="30">
        <v>46464.708333333336</v>
      </c>
      <c r="AE3192" s="30">
        <v>46409.333333333336</v>
      </c>
      <c r="AF3192" s="30">
        <v>46464.708333333336</v>
      </c>
      <c r="AG3192" t="s">
        <v>1266</v>
      </c>
      <c r="AK3192" t="s">
        <v>1265</v>
      </c>
      <c r="AL3192" t="s">
        <v>1417</v>
      </c>
      <c r="AM3192" t="s">
        <v>1263</v>
      </c>
      <c r="AN3192" t="s">
        <v>1262</v>
      </c>
      <c r="AO3192">
        <v>0</v>
      </c>
      <c r="AQ3192" t="s">
        <v>1261</v>
      </c>
      <c r="AR3192" t="s">
        <v>1260</v>
      </c>
      <c r="AS3192" t="s">
        <v>1259</v>
      </c>
      <c r="AT3192" s="30">
        <v>46077.418055555558</v>
      </c>
    </row>
    <row r="3193" spans="1:46" x14ac:dyDescent="0.25">
      <c r="A3193" t="s">
        <v>1248</v>
      </c>
      <c r="B3193">
        <v>255259</v>
      </c>
      <c r="C3193">
        <v>119815</v>
      </c>
      <c r="D3193">
        <v>405</v>
      </c>
      <c r="E3193" t="s">
        <v>1266</v>
      </c>
      <c r="G3193">
        <v>745</v>
      </c>
      <c r="H3193">
        <v>1843</v>
      </c>
      <c r="K3193" t="s">
        <v>1416</v>
      </c>
      <c r="L3193" t="s">
        <v>1416</v>
      </c>
      <c r="M3193" s="29">
        <v>1352608333</v>
      </c>
      <c r="N3193">
        <v>0</v>
      </c>
      <c r="O3193" s="29">
        <v>1352608333</v>
      </c>
      <c r="P3193">
        <v>0</v>
      </c>
      <c r="Q3193">
        <v>0</v>
      </c>
      <c r="R3193">
        <v>0</v>
      </c>
      <c r="T3193" s="29">
        <v>36380</v>
      </c>
      <c r="U3193" s="29">
        <v>118098939</v>
      </c>
      <c r="V3193" t="s">
        <v>1262</v>
      </c>
      <c r="W3193" t="s">
        <v>1262</v>
      </c>
      <c r="X3193" s="29">
        <v>118098939</v>
      </c>
      <c r="AA3193" s="30">
        <v>46423.333333333336</v>
      </c>
      <c r="AB3193" s="30">
        <v>46464.708333333336</v>
      </c>
      <c r="AC3193" s="30">
        <v>46423.333333333336</v>
      </c>
      <c r="AD3193" s="30">
        <v>46464.708333333336</v>
      </c>
      <c r="AE3193" s="30">
        <v>46423.333333333336</v>
      </c>
      <c r="AF3193" s="30">
        <v>46464.708333333336</v>
      </c>
      <c r="AG3193" t="s">
        <v>1266</v>
      </c>
      <c r="AK3193" t="s">
        <v>1265</v>
      </c>
      <c r="AL3193" t="s">
        <v>1415</v>
      </c>
      <c r="AM3193" t="s">
        <v>1263</v>
      </c>
      <c r="AN3193" t="s">
        <v>1262</v>
      </c>
      <c r="AO3193">
        <v>0</v>
      </c>
      <c r="AQ3193" t="s">
        <v>1261</v>
      </c>
      <c r="AR3193" t="s">
        <v>1260</v>
      </c>
      <c r="AS3193" t="s">
        <v>1259</v>
      </c>
      <c r="AT3193" s="30">
        <v>46077.421527777777</v>
      </c>
    </row>
    <row r="3194" spans="1:46" x14ac:dyDescent="0.25">
      <c r="A3194" t="s">
        <v>1248</v>
      </c>
      <c r="B3194">
        <v>255260</v>
      </c>
      <c r="C3194">
        <v>120012</v>
      </c>
      <c r="D3194">
        <v>405</v>
      </c>
      <c r="E3194" t="s">
        <v>1266</v>
      </c>
      <c r="G3194">
        <v>745</v>
      </c>
      <c r="H3194">
        <v>1843</v>
      </c>
      <c r="K3194" t="s">
        <v>1414</v>
      </c>
      <c r="L3194" t="s">
        <v>1414</v>
      </c>
      <c r="M3194" s="29">
        <v>1106133333</v>
      </c>
      <c r="N3194">
        <v>0</v>
      </c>
      <c r="O3194" s="29">
        <v>1106133333</v>
      </c>
      <c r="P3194">
        <v>0</v>
      </c>
      <c r="Q3194">
        <v>0</v>
      </c>
      <c r="R3194">
        <v>0</v>
      </c>
      <c r="T3194" s="29">
        <v>36380</v>
      </c>
      <c r="U3194" s="29">
        <v>96578713</v>
      </c>
      <c r="V3194" t="s">
        <v>1262</v>
      </c>
      <c r="W3194" t="s">
        <v>1262</v>
      </c>
      <c r="X3194" s="29">
        <v>96578713</v>
      </c>
      <c r="AA3194" s="30">
        <v>46247.333333333336</v>
      </c>
      <c r="AB3194" s="30">
        <v>46288.708333333336</v>
      </c>
      <c r="AC3194" s="30">
        <v>46247.333333333336</v>
      </c>
      <c r="AD3194" s="30">
        <v>46288.708333333336</v>
      </c>
      <c r="AE3194" s="30">
        <v>46400.333333333336</v>
      </c>
      <c r="AF3194" s="30">
        <v>46441.708333333336</v>
      </c>
      <c r="AG3194" t="s">
        <v>1266</v>
      </c>
      <c r="AK3194" t="s">
        <v>1265</v>
      </c>
      <c r="AL3194" t="s">
        <v>1413</v>
      </c>
      <c r="AM3194" t="s">
        <v>1263</v>
      </c>
      <c r="AN3194" t="s">
        <v>1262</v>
      </c>
      <c r="AO3194">
        <v>0</v>
      </c>
      <c r="AQ3194" t="s">
        <v>1261</v>
      </c>
      <c r="AR3194" t="s">
        <v>1260</v>
      </c>
      <c r="AS3194" t="s">
        <v>1259</v>
      </c>
      <c r="AT3194" s="30">
        <v>46077.421527777777</v>
      </c>
    </row>
    <row r="3195" spans="1:46" x14ac:dyDescent="0.25">
      <c r="A3195" t="s">
        <v>1248</v>
      </c>
      <c r="B3195">
        <v>255261</v>
      </c>
      <c r="C3195">
        <v>119815</v>
      </c>
      <c r="D3195">
        <v>405</v>
      </c>
      <c r="E3195" t="s">
        <v>1266</v>
      </c>
      <c r="G3195">
        <v>745</v>
      </c>
      <c r="H3195">
        <v>1845</v>
      </c>
      <c r="K3195" t="s">
        <v>1412</v>
      </c>
      <c r="L3195" t="s">
        <v>1412</v>
      </c>
      <c r="M3195" t="s">
        <v>1411</v>
      </c>
      <c r="N3195">
        <v>0</v>
      </c>
      <c r="O3195" t="s">
        <v>1411</v>
      </c>
      <c r="P3195">
        <v>0</v>
      </c>
      <c r="Q3195">
        <v>0</v>
      </c>
      <c r="R3195">
        <v>0</v>
      </c>
      <c r="T3195" s="29">
        <v>3485765</v>
      </c>
      <c r="U3195" s="29">
        <v>545591938</v>
      </c>
      <c r="V3195" t="s">
        <v>1262</v>
      </c>
      <c r="W3195" t="s">
        <v>1262</v>
      </c>
      <c r="X3195" s="29">
        <v>545591938</v>
      </c>
      <c r="AA3195" s="30">
        <v>46423.333333333336</v>
      </c>
      <c r="AB3195" s="30">
        <v>46464.708333333336</v>
      </c>
      <c r="AC3195" s="30">
        <v>46423.333333333336</v>
      </c>
      <c r="AD3195" s="30">
        <v>46464.708333333336</v>
      </c>
      <c r="AE3195" s="30">
        <v>46423.333333333336</v>
      </c>
      <c r="AF3195" s="30">
        <v>46464.708333333336</v>
      </c>
      <c r="AG3195" t="s">
        <v>1266</v>
      </c>
      <c r="AK3195" t="s">
        <v>1265</v>
      </c>
      <c r="AL3195" t="s">
        <v>1410</v>
      </c>
      <c r="AM3195" t="s">
        <v>1263</v>
      </c>
      <c r="AN3195" t="s">
        <v>1262</v>
      </c>
      <c r="AO3195">
        <v>0</v>
      </c>
      <c r="AQ3195" t="s">
        <v>1261</v>
      </c>
      <c r="AR3195" t="s">
        <v>1260</v>
      </c>
      <c r="AS3195" t="s">
        <v>1259</v>
      </c>
      <c r="AT3195" s="30">
        <v>46077.421527777777</v>
      </c>
    </row>
    <row r="3196" spans="1:46" x14ac:dyDescent="0.25">
      <c r="A3196" t="s">
        <v>1248</v>
      </c>
      <c r="B3196">
        <v>255262</v>
      </c>
      <c r="C3196">
        <v>120012</v>
      </c>
      <c r="D3196">
        <v>405</v>
      </c>
      <c r="E3196" t="s">
        <v>1266</v>
      </c>
      <c r="G3196">
        <v>745</v>
      </c>
      <c r="H3196">
        <v>1845</v>
      </c>
      <c r="K3196">
        <v>128</v>
      </c>
      <c r="L3196">
        <v>128</v>
      </c>
      <c r="M3196" t="s">
        <v>1409</v>
      </c>
      <c r="N3196">
        <v>0</v>
      </c>
      <c r="O3196" t="s">
        <v>1409</v>
      </c>
      <c r="P3196">
        <v>0</v>
      </c>
      <c r="Q3196">
        <v>0</v>
      </c>
      <c r="R3196">
        <v>0</v>
      </c>
      <c r="T3196" s="29">
        <v>3485765</v>
      </c>
      <c r="U3196" s="29">
        <v>446177920</v>
      </c>
      <c r="V3196" t="s">
        <v>1262</v>
      </c>
      <c r="W3196" t="s">
        <v>1262</v>
      </c>
      <c r="X3196" s="29">
        <v>446177920</v>
      </c>
      <c r="AA3196" s="30">
        <v>46247.333333333336</v>
      </c>
      <c r="AB3196" s="30">
        <v>46288.708333333336</v>
      </c>
      <c r="AC3196" s="30">
        <v>46247.333333333336</v>
      </c>
      <c r="AD3196" s="30">
        <v>46288.708333333336</v>
      </c>
      <c r="AE3196" s="30">
        <v>46400.333333333336</v>
      </c>
      <c r="AF3196" s="30">
        <v>46441.708333333336</v>
      </c>
      <c r="AG3196" t="s">
        <v>1266</v>
      </c>
      <c r="AK3196" t="s">
        <v>1265</v>
      </c>
      <c r="AL3196" t="s">
        <v>1408</v>
      </c>
      <c r="AM3196" t="s">
        <v>1263</v>
      </c>
      <c r="AN3196" t="s">
        <v>1262</v>
      </c>
      <c r="AO3196">
        <v>0</v>
      </c>
      <c r="AQ3196" t="s">
        <v>1261</v>
      </c>
      <c r="AR3196" t="s">
        <v>1260</v>
      </c>
      <c r="AS3196" t="s">
        <v>1259</v>
      </c>
      <c r="AT3196" s="30">
        <v>46077.421527777777</v>
      </c>
    </row>
    <row r="3197" spans="1:46" x14ac:dyDescent="0.25">
      <c r="A3197" t="s">
        <v>1248</v>
      </c>
      <c r="B3197">
        <v>255263</v>
      </c>
      <c r="C3197">
        <v>119815</v>
      </c>
      <c r="D3197">
        <v>405</v>
      </c>
      <c r="E3197" t="s">
        <v>1266</v>
      </c>
      <c r="G3197">
        <v>745</v>
      </c>
      <c r="H3197">
        <v>1846</v>
      </c>
      <c r="K3197" t="s">
        <v>1407</v>
      </c>
      <c r="L3197" t="s">
        <v>1407</v>
      </c>
      <c r="M3197" s="29">
        <v>2608695833</v>
      </c>
      <c r="N3197">
        <v>0</v>
      </c>
      <c r="O3197" s="29">
        <v>2608695833</v>
      </c>
      <c r="P3197">
        <v>0</v>
      </c>
      <c r="Q3197">
        <v>0</v>
      </c>
      <c r="R3197">
        <v>0</v>
      </c>
      <c r="T3197" s="29">
        <v>694100</v>
      </c>
      <c r="U3197" s="29">
        <v>4345672872</v>
      </c>
      <c r="V3197" t="s">
        <v>1262</v>
      </c>
      <c r="W3197" t="s">
        <v>1262</v>
      </c>
      <c r="X3197" s="29">
        <v>4345672872</v>
      </c>
      <c r="AA3197" s="30">
        <v>46423.333333333336</v>
      </c>
      <c r="AB3197" s="30">
        <v>46464.708333333336</v>
      </c>
      <c r="AC3197" s="30">
        <v>46423.333333333336</v>
      </c>
      <c r="AD3197" s="30">
        <v>46464.708333333336</v>
      </c>
      <c r="AE3197" s="30">
        <v>46423.333333333336</v>
      </c>
      <c r="AF3197" s="30">
        <v>46464.708333333336</v>
      </c>
      <c r="AG3197" t="s">
        <v>1266</v>
      </c>
      <c r="AK3197" t="s">
        <v>1265</v>
      </c>
      <c r="AL3197" t="s">
        <v>1406</v>
      </c>
      <c r="AM3197" t="s">
        <v>1263</v>
      </c>
      <c r="AN3197" t="s">
        <v>1262</v>
      </c>
      <c r="AO3197">
        <v>0</v>
      </c>
      <c r="AQ3197" t="s">
        <v>1261</v>
      </c>
      <c r="AR3197" t="s">
        <v>1260</v>
      </c>
      <c r="AS3197" t="s">
        <v>1259</v>
      </c>
      <c r="AT3197" s="30">
        <v>46077.422222222223</v>
      </c>
    </row>
    <row r="3198" spans="1:46" x14ac:dyDescent="0.25">
      <c r="A3198" t="s">
        <v>1248</v>
      </c>
      <c r="B3198">
        <v>255264</v>
      </c>
      <c r="C3198">
        <v>120012</v>
      </c>
      <c r="D3198">
        <v>405</v>
      </c>
      <c r="E3198" t="s">
        <v>1266</v>
      </c>
      <c r="G3198">
        <v>745</v>
      </c>
      <c r="H3198">
        <v>1846</v>
      </c>
      <c r="K3198">
        <v>5120</v>
      </c>
      <c r="L3198">
        <v>5120</v>
      </c>
      <c r="M3198" s="29">
        <v>2133333333</v>
      </c>
      <c r="N3198">
        <v>0</v>
      </c>
      <c r="O3198" s="29">
        <v>2133333333</v>
      </c>
      <c r="P3198">
        <v>0</v>
      </c>
      <c r="Q3198">
        <v>0</v>
      </c>
      <c r="R3198">
        <v>0</v>
      </c>
      <c r="T3198" s="29">
        <v>694100</v>
      </c>
      <c r="U3198" s="29">
        <v>3553794457</v>
      </c>
      <c r="V3198" t="s">
        <v>1262</v>
      </c>
      <c r="W3198" t="s">
        <v>1262</v>
      </c>
      <c r="X3198" s="29">
        <v>3553794457</v>
      </c>
      <c r="AA3198" s="30">
        <v>46247.333333333336</v>
      </c>
      <c r="AB3198" s="30">
        <v>46288.708333333336</v>
      </c>
      <c r="AC3198" s="30">
        <v>46247.333333333336</v>
      </c>
      <c r="AD3198" s="30">
        <v>46288.708333333336</v>
      </c>
      <c r="AE3198" s="30">
        <v>46400.333333333336</v>
      </c>
      <c r="AF3198" s="30">
        <v>46441.708333333336</v>
      </c>
      <c r="AG3198" t="s">
        <v>1266</v>
      </c>
      <c r="AK3198" t="s">
        <v>1265</v>
      </c>
      <c r="AL3198" t="s">
        <v>1405</v>
      </c>
      <c r="AM3198" t="s">
        <v>1263</v>
      </c>
      <c r="AN3198" t="s">
        <v>1262</v>
      </c>
      <c r="AO3198">
        <v>0</v>
      </c>
      <c r="AQ3198" t="s">
        <v>1261</v>
      </c>
      <c r="AR3198" t="s">
        <v>1260</v>
      </c>
      <c r="AS3198" t="s">
        <v>1259</v>
      </c>
      <c r="AT3198" s="30">
        <v>46077.422222222223</v>
      </c>
    </row>
    <row r="3199" spans="1:46" x14ac:dyDescent="0.25">
      <c r="A3199" t="s">
        <v>1248</v>
      </c>
      <c r="B3199">
        <v>255267</v>
      </c>
      <c r="C3199">
        <v>119815</v>
      </c>
      <c r="D3199">
        <v>405</v>
      </c>
      <c r="E3199" t="s">
        <v>1266</v>
      </c>
      <c r="G3199">
        <v>745</v>
      </c>
      <c r="H3199">
        <v>1848</v>
      </c>
      <c r="K3199">
        <v>15</v>
      </c>
      <c r="L3199">
        <v>15</v>
      </c>
      <c r="M3199" t="s">
        <v>1404</v>
      </c>
      <c r="N3199">
        <v>0</v>
      </c>
      <c r="O3199" t="s">
        <v>1404</v>
      </c>
      <c r="P3199">
        <v>0</v>
      </c>
      <c r="Q3199">
        <v>0</v>
      </c>
      <c r="R3199">
        <v>0</v>
      </c>
      <c r="T3199" s="29">
        <v>17845700</v>
      </c>
      <c r="U3199" s="29">
        <v>267685500</v>
      </c>
      <c r="V3199" t="s">
        <v>1262</v>
      </c>
      <c r="W3199" t="s">
        <v>1262</v>
      </c>
      <c r="X3199" s="29">
        <v>267685500</v>
      </c>
      <c r="AA3199" s="30">
        <v>46423.333333333336</v>
      </c>
      <c r="AB3199" s="30">
        <v>46464.708333333336</v>
      </c>
      <c r="AC3199" s="30">
        <v>46423.333333333336</v>
      </c>
      <c r="AD3199" s="30">
        <v>46464.708333333336</v>
      </c>
      <c r="AE3199" s="30">
        <v>46423.333333333336</v>
      </c>
      <c r="AF3199" s="30">
        <v>46464.708333333336</v>
      </c>
      <c r="AG3199" t="s">
        <v>1266</v>
      </c>
      <c r="AK3199" t="s">
        <v>1265</v>
      </c>
      <c r="AL3199" t="s">
        <v>1403</v>
      </c>
      <c r="AM3199" t="s">
        <v>1263</v>
      </c>
      <c r="AN3199" t="s">
        <v>1262</v>
      </c>
      <c r="AO3199">
        <v>0</v>
      </c>
      <c r="AQ3199" t="s">
        <v>1261</v>
      </c>
      <c r="AR3199" t="s">
        <v>1260</v>
      </c>
      <c r="AS3199" t="s">
        <v>1259</v>
      </c>
      <c r="AT3199" s="30">
        <v>46077.422222222223</v>
      </c>
    </row>
    <row r="3200" spans="1:46" x14ac:dyDescent="0.25">
      <c r="A3200" t="s">
        <v>1248</v>
      </c>
      <c r="B3200">
        <v>255268</v>
      </c>
      <c r="C3200">
        <v>120012</v>
      </c>
      <c r="D3200">
        <v>405</v>
      </c>
      <c r="E3200" t="s">
        <v>1266</v>
      </c>
      <c r="G3200">
        <v>745</v>
      </c>
      <c r="H3200">
        <v>1848</v>
      </c>
      <c r="K3200" t="s">
        <v>1402</v>
      </c>
      <c r="L3200" t="s">
        <v>1402</v>
      </c>
      <c r="M3200" t="s">
        <v>1401</v>
      </c>
      <c r="N3200">
        <v>0</v>
      </c>
      <c r="O3200" t="s">
        <v>1401</v>
      </c>
      <c r="P3200">
        <v>0</v>
      </c>
      <c r="Q3200">
        <v>0</v>
      </c>
      <c r="R3200">
        <v>0</v>
      </c>
      <c r="T3200" s="29">
        <v>17845700</v>
      </c>
      <c r="U3200" s="29">
        <v>218966739</v>
      </c>
      <c r="V3200" t="s">
        <v>1262</v>
      </c>
      <c r="W3200" t="s">
        <v>1262</v>
      </c>
      <c r="X3200" s="29">
        <v>218966739</v>
      </c>
      <c r="AA3200" s="30">
        <v>46247.333333333336</v>
      </c>
      <c r="AB3200" s="30">
        <v>46288.708333333336</v>
      </c>
      <c r="AC3200" s="30">
        <v>46247.333333333336</v>
      </c>
      <c r="AD3200" s="30">
        <v>46288.708333333336</v>
      </c>
      <c r="AE3200" s="30">
        <v>46400.333333333336</v>
      </c>
      <c r="AF3200" s="30">
        <v>46441.708333333336</v>
      </c>
      <c r="AG3200" t="s">
        <v>1266</v>
      </c>
      <c r="AK3200" t="s">
        <v>1265</v>
      </c>
      <c r="AL3200" t="s">
        <v>1400</v>
      </c>
      <c r="AM3200" t="s">
        <v>1263</v>
      </c>
      <c r="AN3200" t="s">
        <v>1262</v>
      </c>
      <c r="AO3200">
        <v>0</v>
      </c>
      <c r="AQ3200" t="s">
        <v>1261</v>
      </c>
      <c r="AR3200" t="s">
        <v>1260</v>
      </c>
      <c r="AS3200" t="s">
        <v>1259</v>
      </c>
      <c r="AT3200" s="30">
        <v>46077.422222222223</v>
      </c>
    </row>
    <row r="3201" spans="1:46" x14ac:dyDescent="0.25">
      <c r="A3201" t="s">
        <v>1248</v>
      </c>
      <c r="B3201">
        <v>255269</v>
      </c>
      <c r="C3201">
        <v>119815</v>
      </c>
      <c r="D3201">
        <v>405</v>
      </c>
      <c r="E3201" t="s">
        <v>1266</v>
      </c>
      <c r="G3201">
        <v>745</v>
      </c>
      <c r="H3201">
        <v>1849</v>
      </c>
      <c r="K3201">
        <v>63779</v>
      </c>
      <c r="L3201">
        <v>63779</v>
      </c>
      <c r="M3201" s="29">
        <v>26574583333</v>
      </c>
      <c r="N3201">
        <v>0</v>
      </c>
      <c r="O3201" s="29">
        <v>26574583333</v>
      </c>
      <c r="P3201">
        <v>0</v>
      </c>
      <c r="Q3201">
        <v>0</v>
      </c>
      <c r="R3201">
        <v>0</v>
      </c>
      <c r="T3201" t="s">
        <v>1262</v>
      </c>
      <c r="U3201" t="s">
        <v>1262</v>
      </c>
      <c r="V3201" t="s">
        <v>1262</v>
      </c>
      <c r="W3201" t="s">
        <v>1262</v>
      </c>
      <c r="X3201" t="s">
        <v>1262</v>
      </c>
      <c r="AA3201" s="30">
        <v>46423.333333333336</v>
      </c>
      <c r="AB3201" s="30">
        <v>46464.708333333336</v>
      </c>
      <c r="AC3201" s="30">
        <v>46423.333333333336</v>
      </c>
      <c r="AD3201" s="30">
        <v>46464.708333333336</v>
      </c>
      <c r="AE3201" s="30">
        <v>46423.333333333336</v>
      </c>
      <c r="AF3201" s="30">
        <v>46464.708333333336</v>
      </c>
      <c r="AG3201" t="s">
        <v>1266</v>
      </c>
      <c r="AK3201" t="s">
        <v>1265</v>
      </c>
      <c r="AL3201" t="s">
        <v>1399</v>
      </c>
      <c r="AM3201" t="s">
        <v>1263</v>
      </c>
      <c r="AN3201" t="s">
        <v>1262</v>
      </c>
      <c r="AO3201">
        <v>0</v>
      </c>
      <c r="AQ3201" t="s">
        <v>1261</v>
      </c>
      <c r="AR3201" t="s">
        <v>1260</v>
      </c>
      <c r="AS3201" t="s">
        <v>1259</v>
      </c>
      <c r="AT3201" s="30">
        <v>46077.422222222223</v>
      </c>
    </row>
    <row r="3202" spans="1:46" x14ac:dyDescent="0.25">
      <c r="A3202" t="s">
        <v>1248</v>
      </c>
      <c r="B3202">
        <v>255270</v>
      </c>
      <c r="C3202">
        <v>120012</v>
      </c>
      <c r="D3202">
        <v>405</v>
      </c>
      <c r="E3202" t="s">
        <v>1266</v>
      </c>
      <c r="G3202">
        <v>745</v>
      </c>
      <c r="H3202">
        <v>1849</v>
      </c>
      <c r="K3202" t="s">
        <v>1398</v>
      </c>
      <c r="L3202" t="s">
        <v>1398</v>
      </c>
      <c r="M3202" s="29">
        <v>217321375</v>
      </c>
      <c r="N3202">
        <v>0</v>
      </c>
      <c r="O3202" s="29">
        <v>217321375</v>
      </c>
      <c r="P3202">
        <v>0</v>
      </c>
      <c r="Q3202">
        <v>0</v>
      </c>
      <c r="R3202">
        <v>0</v>
      </c>
      <c r="T3202" t="s">
        <v>1262</v>
      </c>
      <c r="U3202" t="s">
        <v>1262</v>
      </c>
      <c r="V3202" t="s">
        <v>1262</v>
      </c>
      <c r="W3202" t="s">
        <v>1262</v>
      </c>
      <c r="X3202" t="s">
        <v>1262</v>
      </c>
      <c r="AA3202" s="30">
        <v>46247.333333333336</v>
      </c>
      <c r="AB3202" s="30">
        <v>46288.708333333336</v>
      </c>
      <c r="AC3202" s="30">
        <v>46247.333333333336</v>
      </c>
      <c r="AD3202" s="30">
        <v>46288.708333333336</v>
      </c>
      <c r="AE3202" s="30">
        <v>46400.333333333336</v>
      </c>
      <c r="AF3202" s="30">
        <v>46441.708333333336</v>
      </c>
      <c r="AG3202" t="s">
        <v>1266</v>
      </c>
      <c r="AK3202" t="s">
        <v>1265</v>
      </c>
      <c r="AL3202" t="s">
        <v>1397</v>
      </c>
      <c r="AM3202" t="s">
        <v>1263</v>
      </c>
      <c r="AN3202" t="s">
        <v>1262</v>
      </c>
      <c r="AO3202">
        <v>0</v>
      </c>
      <c r="AQ3202" t="s">
        <v>1261</v>
      </c>
      <c r="AR3202" t="s">
        <v>1260</v>
      </c>
      <c r="AS3202" t="s">
        <v>1259</v>
      </c>
      <c r="AT3202" s="30">
        <v>46077.422222222223</v>
      </c>
    </row>
    <row r="3203" spans="1:46" x14ac:dyDescent="0.25">
      <c r="A3203" t="s">
        <v>1248</v>
      </c>
      <c r="B3203">
        <v>255271</v>
      </c>
      <c r="C3203">
        <v>119815</v>
      </c>
      <c r="D3203">
        <v>405</v>
      </c>
      <c r="E3203" t="s">
        <v>1266</v>
      </c>
      <c r="G3203">
        <v>745</v>
      </c>
      <c r="H3203">
        <v>1850</v>
      </c>
      <c r="K3203" t="s">
        <v>1396</v>
      </c>
      <c r="L3203" t="s">
        <v>1396</v>
      </c>
      <c r="M3203" t="s">
        <v>1395</v>
      </c>
      <c r="N3203">
        <v>0</v>
      </c>
      <c r="O3203" t="s">
        <v>1395</v>
      </c>
      <c r="P3203">
        <v>0</v>
      </c>
      <c r="Q3203">
        <v>0</v>
      </c>
      <c r="R3203">
        <v>0</v>
      </c>
      <c r="T3203" s="29">
        <v>5928400</v>
      </c>
      <c r="U3203" s="29">
        <v>11619664</v>
      </c>
      <c r="V3203" t="s">
        <v>1262</v>
      </c>
      <c r="W3203" t="s">
        <v>1262</v>
      </c>
      <c r="X3203" s="29">
        <v>11619664</v>
      </c>
      <c r="AA3203" s="30">
        <v>46423.333333333336</v>
      </c>
      <c r="AB3203" s="30">
        <v>46464.708333333336</v>
      </c>
      <c r="AC3203" s="30">
        <v>46423.333333333336</v>
      </c>
      <c r="AD3203" s="30">
        <v>46464.708333333336</v>
      </c>
      <c r="AE3203" s="30">
        <v>46423.333333333336</v>
      </c>
      <c r="AF3203" s="30">
        <v>46464.708333333336</v>
      </c>
      <c r="AG3203" t="s">
        <v>1266</v>
      </c>
      <c r="AK3203" t="s">
        <v>1265</v>
      </c>
      <c r="AL3203" t="s">
        <v>1394</v>
      </c>
      <c r="AM3203" t="s">
        <v>1263</v>
      </c>
      <c r="AN3203" t="s">
        <v>1262</v>
      </c>
      <c r="AO3203">
        <v>0</v>
      </c>
      <c r="AQ3203" t="s">
        <v>1261</v>
      </c>
      <c r="AR3203" t="s">
        <v>1260</v>
      </c>
      <c r="AS3203" t="s">
        <v>1259</v>
      </c>
      <c r="AT3203" s="30">
        <v>46077.422222222223</v>
      </c>
    </row>
    <row r="3204" spans="1:46" x14ac:dyDescent="0.25">
      <c r="A3204" t="s">
        <v>1248</v>
      </c>
      <c r="B3204">
        <v>255272</v>
      </c>
      <c r="C3204">
        <v>120012</v>
      </c>
      <c r="D3204">
        <v>405</v>
      </c>
      <c r="E3204" t="s">
        <v>1266</v>
      </c>
      <c r="G3204">
        <v>745</v>
      </c>
      <c r="H3204">
        <v>1850</v>
      </c>
      <c r="K3204" t="s">
        <v>1393</v>
      </c>
      <c r="L3204" t="s">
        <v>1393</v>
      </c>
      <c r="M3204" t="s">
        <v>1392</v>
      </c>
      <c r="N3204">
        <v>0</v>
      </c>
      <c r="O3204" t="s">
        <v>1392</v>
      </c>
      <c r="P3204">
        <v>0</v>
      </c>
      <c r="Q3204">
        <v>0</v>
      </c>
      <c r="R3204">
        <v>0</v>
      </c>
      <c r="T3204" s="29">
        <v>5928400</v>
      </c>
      <c r="U3204" s="29">
        <v>9485440</v>
      </c>
      <c r="V3204" t="s">
        <v>1262</v>
      </c>
      <c r="W3204" t="s">
        <v>1262</v>
      </c>
      <c r="X3204" s="29">
        <v>9485440</v>
      </c>
      <c r="AA3204" s="30">
        <v>46247.333333333336</v>
      </c>
      <c r="AB3204" s="30">
        <v>46288.708333333336</v>
      </c>
      <c r="AC3204" s="30">
        <v>46247.333333333336</v>
      </c>
      <c r="AD3204" s="30">
        <v>46288.708333333336</v>
      </c>
      <c r="AE3204" s="30">
        <v>46400.333333333336</v>
      </c>
      <c r="AF3204" s="30">
        <v>46441.708333333336</v>
      </c>
      <c r="AG3204" t="s">
        <v>1266</v>
      </c>
      <c r="AK3204" t="s">
        <v>1265</v>
      </c>
      <c r="AL3204" t="s">
        <v>1391</v>
      </c>
      <c r="AM3204" t="s">
        <v>1263</v>
      </c>
      <c r="AN3204" t="s">
        <v>1262</v>
      </c>
      <c r="AO3204">
        <v>0</v>
      </c>
      <c r="AQ3204" t="s">
        <v>1261</v>
      </c>
      <c r="AR3204" t="s">
        <v>1260</v>
      </c>
      <c r="AS3204" t="s">
        <v>1259</v>
      </c>
      <c r="AT3204" s="30">
        <v>46077.422222222223</v>
      </c>
    </row>
    <row r="3205" spans="1:46" x14ac:dyDescent="0.25">
      <c r="A3205" t="s">
        <v>1248</v>
      </c>
      <c r="B3205">
        <v>255273</v>
      </c>
      <c r="C3205">
        <v>119816</v>
      </c>
      <c r="D3205">
        <v>405</v>
      </c>
      <c r="E3205" t="s">
        <v>1266</v>
      </c>
      <c r="G3205">
        <v>745</v>
      </c>
      <c r="H3205">
        <v>1880</v>
      </c>
      <c r="K3205" t="s">
        <v>1390</v>
      </c>
      <c r="L3205" t="s">
        <v>1390</v>
      </c>
      <c r="M3205" s="29">
        <v>942933333</v>
      </c>
      <c r="N3205">
        <v>0</v>
      </c>
      <c r="O3205" s="29">
        <v>942933333</v>
      </c>
      <c r="P3205">
        <v>0</v>
      </c>
      <c r="Q3205">
        <v>0</v>
      </c>
      <c r="R3205">
        <v>0</v>
      </c>
      <c r="T3205" s="29">
        <v>1650000</v>
      </c>
      <c r="U3205" s="29">
        <v>3734016000</v>
      </c>
      <c r="V3205" t="s">
        <v>1262</v>
      </c>
      <c r="W3205" t="s">
        <v>1262</v>
      </c>
      <c r="X3205" s="29">
        <v>3734016000</v>
      </c>
      <c r="AA3205" s="30">
        <v>46430.333333333336</v>
      </c>
      <c r="AB3205" s="30">
        <v>46471.708333333336</v>
      </c>
      <c r="AC3205" s="30">
        <v>46430.333333333336</v>
      </c>
      <c r="AD3205" s="30">
        <v>46471.708333333336</v>
      </c>
      <c r="AE3205" s="30">
        <v>46478.333333333336</v>
      </c>
      <c r="AF3205" s="30">
        <v>46519.708333333336</v>
      </c>
      <c r="AG3205" t="s">
        <v>1266</v>
      </c>
      <c r="AK3205" t="s">
        <v>1265</v>
      </c>
      <c r="AL3205" t="s">
        <v>1389</v>
      </c>
      <c r="AM3205" t="s">
        <v>1263</v>
      </c>
      <c r="AN3205" t="s">
        <v>1262</v>
      </c>
      <c r="AO3205">
        <v>0</v>
      </c>
      <c r="AQ3205" t="s">
        <v>1261</v>
      </c>
      <c r="AR3205" t="s">
        <v>1260</v>
      </c>
      <c r="AS3205" t="s">
        <v>1259</v>
      </c>
      <c r="AT3205" s="30">
        <v>46077.426388888889</v>
      </c>
    </row>
    <row r="3206" spans="1:46" x14ac:dyDescent="0.25">
      <c r="A3206" t="s">
        <v>1248</v>
      </c>
      <c r="B3206">
        <v>255274</v>
      </c>
      <c r="C3206">
        <v>120013</v>
      </c>
      <c r="D3206">
        <v>405</v>
      </c>
      <c r="E3206" t="s">
        <v>1266</v>
      </c>
      <c r="G3206">
        <v>745</v>
      </c>
      <c r="H3206">
        <v>1880</v>
      </c>
      <c r="K3206" t="s">
        <v>1388</v>
      </c>
      <c r="L3206" t="s">
        <v>1388</v>
      </c>
      <c r="M3206" s="29">
        <v>722917968</v>
      </c>
      <c r="N3206">
        <v>0</v>
      </c>
      <c r="O3206" s="29">
        <v>722917968</v>
      </c>
      <c r="P3206">
        <v>0</v>
      </c>
      <c r="Q3206">
        <v>0</v>
      </c>
      <c r="R3206">
        <v>0</v>
      </c>
      <c r="T3206" s="29">
        <v>1650000</v>
      </c>
      <c r="U3206" s="29">
        <v>3053605500</v>
      </c>
      <c r="V3206" t="s">
        <v>1262</v>
      </c>
      <c r="W3206" t="s">
        <v>1262</v>
      </c>
      <c r="X3206" s="29">
        <v>3053605500</v>
      </c>
      <c r="AA3206" s="30">
        <v>46268.333333333336</v>
      </c>
      <c r="AB3206" s="30">
        <v>46311.708333333336</v>
      </c>
      <c r="AC3206" s="30">
        <v>46268.333333333336</v>
      </c>
      <c r="AD3206" s="30">
        <v>46311.708333333336</v>
      </c>
      <c r="AE3206" s="30">
        <v>46421.333333333336</v>
      </c>
      <c r="AF3206" s="30">
        <v>46464.708333333336</v>
      </c>
      <c r="AG3206" t="s">
        <v>1266</v>
      </c>
      <c r="AK3206" t="s">
        <v>1265</v>
      </c>
      <c r="AL3206" t="s">
        <v>1387</v>
      </c>
      <c r="AM3206" t="s">
        <v>1263</v>
      </c>
      <c r="AN3206" t="s">
        <v>1262</v>
      </c>
      <c r="AO3206">
        <v>0</v>
      </c>
      <c r="AQ3206" t="s">
        <v>1261</v>
      </c>
      <c r="AR3206" t="s">
        <v>1260</v>
      </c>
      <c r="AS3206" t="s">
        <v>1259</v>
      </c>
      <c r="AT3206" s="30">
        <v>46077.426388888889</v>
      </c>
    </row>
    <row r="3207" spans="1:46" x14ac:dyDescent="0.25">
      <c r="A3207" t="s">
        <v>1248</v>
      </c>
      <c r="B3207">
        <v>255275</v>
      </c>
      <c r="C3207">
        <v>119816</v>
      </c>
      <c r="D3207">
        <v>405</v>
      </c>
      <c r="E3207" t="s">
        <v>1266</v>
      </c>
      <c r="G3207">
        <v>745</v>
      </c>
      <c r="H3207">
        <v>1881</v>
      </c>
      <c r="K3207" t="s">
        <v>1386</v>
      </c>
      <c r="L3207" t="s">
        <v>1386</v>
      </c>
      <c r="M3207" t="s">
        <v>1385</v>
      </c>
      <c r="N3207">
        <v>0</v>
      </c>
      <c r="O3207" t="s">
        <v>1385</v>
      </c>
      <c r="P3207">
        <v>0</v>
      </c>
      <c r="Q3207">
        <v>0</v>
      </c>
      <c r="R3207">
        <v>0</v>
      </c>
      <c r="T3207" s="29">
        <v>12003300</v>
      </c>
      <c r="U3207" s="29">
        <v>802420605</v>
      </c>
      <c r="V3207" t="s">
        <v>1262</v>
      </c>
      <c r="W3207" t="s">
        <v>1262</v>
      </c>
      <c r="X3207" s="29">
        <v>802420605</v>
      </c>
      <c r="AA3207" s="30">
        <v>46430.333333333336</v>
      </c>
      <c r="AB3207" s="30">
        <v>46471.708333333336</v>
      </c>
      <c r="AC3207" s="30">
        <v>46430.333333333336</v>
      </c>
      <c r="AD3207" s="30">
        <v>46471.708333333336</v>
      </c>
      <c r="AE3207" s="30">
        <v>46478.333333333336</v>
      </c>
      <c r="AF3207" s="30">
        <v>46519.708333333336</v>
      </c>
      <c r="AG3207" t="s">
        <v>1266</v>
      </c>
      <c r="AK3207" t="s">
        <v>1265</v>
      </c>
      <c r="AL3207" t="s">
        <v>1384</v>
      </c>
      <c r="AM3207" t="s">
        <v>1263</v>
      </c>
      <c r="AN3207" t="s">
        <v>1262</v>
      </c>
      <c r="AO3207">
        <v>0</v>
      </c>
      <c r="AQ3207" t="s">
        <v>1261</v>
      </c>
      <c r="AR3207" t="s">
        <v>1260</v>
      </c>
      <c r="AS3207" t="s">
        <v>1259</v>
      </c>
      <c r="AT3207" s="30">
        <v>46077.426388888889</v>
      </c>
    </row>
    <row r="3208" spans="1:46" x14ac:dyDescent="0.25">
      <c r="A3208" t="s">
        <v>1248</v>
      </c>
      <c r="B3208">
        <v>255276</v>
      </c>
      <c r="C3208">
        <v>120013</v>
      </c>
      <c r="D3208">
        <v>405</v>
      </c>
      <c r="E3208" t="s">
        <v>1266</v>
      </c>
      <c r="G3208">
        <v>745</v>
      </c>
      <c r="H3208">
        <v>1881</v>
      </c>
      <c r="K3208" t="s">
        <v>1383</v>
      </c>
      <c r="L3208" t="s">
        <v>1383</v>
      </c>
      <c r="M3208" t="s">
        <v>1382</v>
      </c>
      <c r="N3208">
        <v>0</v>
      </c>
      <c r="O3208" t="s">
        <v>1382</v>
      </c>
      <c r="P3208">
        <v>0</v>
      </c>
      <c r="Q3208">
        <v>0</v>
      </c>
      <c r="R3208">
        <v>0</v>
      </c>
      <c r="T3208" s="29">
        <v>12003300</v>
      </c>
      <c r="U3208" s="29">
        <v>656220411</v>
      </c>
      <c r="V3208" t="s">
        <v>1262</v>
      </c>
      <c r="W3208" t="s">
        <v>1262</v>
      </c>
      <c r="X3208" s="29">
        <v>656220411</v>
      </c>
      <c r="AA3208" s="30">
        <v>46268.333333333336</v>
      </c>
      <c r="AB3208" s="30">
        <v>46311.708333333336</v>
      </c>
      <c r="AC3208" s="30">
        <v>46268.333333333336</v>
      </c>
      <c r="AD3208" s="30">
        <v>46311.708333333336</v>
      </c>
      <c r="AE3208" s="30">
        <v>46421.333333333336</v>
      </c>
      <c r="AF3208" s="30">
        <v>46464.708333333336</v>
      </c>
      <c r="AG3208" t="s">
        <v>1266</v>
      </c>
      <c r="AK3208" t="s">
        <v>1265</v>
      </c>
      <c r="AL3208" t="s">
        <v>1381</v>
      </c>
      <c r="AM3208" t="s">
        <v>1263</v>
      </c>
      <c r="AN3208" t="s">
        <v>1262</v>
      </c>
      <c r="AO3208">
        <v>0</v>
      </c>
      <c r="AQ3208" t="s">
        <v>1261</v>
      </c>
      <c r="AR3208" t="s">
        <v>1260</v>
      </c>
      <c r="AS3208" t="s">
        <v>1259</v>
      </c>
      <c r="AT3208" s="30">
        <v>46077.426388888889</v>
      </c>
    </row>
    <row r="3209" spans="1:46" x14ac:dyDescent="0.25">
      <c r="A3209" t="s">
        <v>1248</v>
      </c>
      <c r="B3209">
        <v>255277</v>
      </c>
      <c r="C3209">
        <v>120012</v>
      </c>
      <c r="D3209">
        <v>405</v>
      </c>
      <c r="E3209" t="s">
        <v>1266</v>
      </c>
      <c r="G3209">
        <v>745</v>
      </c>
      <c r="H3209">
        <v>1847</v>
      </c>
      <c r="K3209">
        <v>80</v>
      </c>
      <c r="L3209">
        <v>80</v>
      </c>
      <c r="M3209" t="s">
        <v>1380</v>
      </c>
      <c r="N3209">
        <v>0</v>
      </c>
      <c r="O3209" t="s">
        <v>1380</v>
      </c>
      <c r="P3209">
        <v>0</v>
      </c>
      <c r="Q3209">
        <v>0</v>
      </c>
      <c r="R3209">
        <v>0</v>
      </c>
      <c r="T3209" s="29">
        <v>11093500</v>
      </c>
      <c r="U3209" s="29">
        <v>887480000</v>
      </c>
      <c r="V3209" t="s">
        <v>1262</v>
      </c>
      <c r="W3209" t="s">
        <v>1262</v>
      </c>
      <c r="X3209" s="29">
        <v>887480000</v>
      </c>
      <c r="AA3209" s="30">
        <v>46247.333333333336</v>
      </c>
      <c r="AB3209" s="30">
        <v>46288.708333333336</v>
      </c>
      <c r="AC3209" s="30">
        <v>46247.333333333336</v>
      </c>
      <c r="AD3209" s="30">
        <v>46288.708333333336</v>
      </c>
      <c r="AE3209" s="30">
        <v>46400.333333333336</v>
      </c>
      <c r="AF3209" s="30">
        <v>46441.708333333336</v>
      </c>
      <c r="AG3209" t="s">
        <v>1266</v>
      </c>
      <c r="AK3209" t="s">
        <v>1265</v>
      </c>
      <c r="AL3209" t="s">
        <v>1379</v>
      </c>
      <c r="AM3209" t="s">
        <v>1263</v>
      </c>
      <c r="AN3209" t="s">
        <v>1262</v>
      </c>
      <c r="AO3209">
        <v>0</v>
      </c>
      <c r="AQ3209" t="s">
        <v>1261</v>
      </c>
      <c r="AR3209" t="s">
        <v>1260</v>
      </c>
      <c r="AS3209" t="s">
        <v>1259</v>
      </c>
      <c r="AT3209" s="30">
        <v>46077.45</v>
      </c>
    </row>
    <row r="3210" spans="1:46" x14ac:dyDescent="0.25">
      <c r="A3210" t="s">
        <v>1248</v>
      </c>
      <c r="B3210">
        <v>255278</v>
      </c>
      <c r="C3210">
        <v>119815</v>
      </c>
      <c r="D3210">
        <v>405</v>
      </c>
      <c r="E3210" t="s">
        <v>1266</v>
      </c>
      <c r="G3210">
        <v>745</v>
      </c>
      <c r="H3210">
        <v>1847</v>
      </c>
      <c r="K3210">
        <v>98</v>
      </c>
      <c r="L3210">
        <v>98</v>
      </c>
      <c r="M3210" t="s">
        <v>1378</v>
      </c>
      <c r="N3210">
        <v>0</v>
      </c>
      <c r="O3210" t="s">
        <v>1378</v>
      </c>
      <c r="P3210">
        <v>0</v>
      </c>
      <c r="Q3210">
        <v>0</v>
      </c>
      <c r="R3210">
        <v>0</v>
      </c>
      <c r="T3210" s="29">
        <v>11093500</v>
      </c>
      <c r="U3210" s="29">
        <v>1087163000</v>
      </c>
      <c r="V3210" t="s">
        <v>1262</v>
      </c>
      <c r="W3210" t="s">
        <v>1262</v>
      </c>
      <c r="X3210" s="29">
        <v>1087163000</v>
      </c>
      <c r="AA3210" s="30">
        <v>46423.333333333336</v>
      </c>
      <c r="AB3210" s="30">
        <v>46464.708333333336</v>
      </c>
      <c r="AC3210" s="30">
        <v>46423.333333333336</v>
      </c>
      <c r="AD3210" s="30">
        <v>46464.708333333336</v>
      </c>
      <c r="AE3210" s="30">
        <v>46423.333333333336</v>
      </c>
      <c r="AF3210" s="30">
        <v>46464.708333333336</v>
      </c>
      <c r="AG3210" t="s">
        <v>1266</v>
      </c>
      <c r="AK3210" t="s">
        <v>1265</v>
      </c>
      <c r="AL3210" t="s">
        <v>1377</v>
      </c>
      <c r="AM3210" t="s">
        <v>1263</v>
      </c>
      <c r="AN3210" t="s">
        <v>1262</v>
      </c>
      <c r="AO3210">
        <v>0</v>
      </c>
      <c r="AQ3210" t="s">
        <v>1261</v>
      </c>
      <c r="AR3210" t="s">
        <v>1260</v>
      </c>
      <c r="AS3210" t="s">
        <v>1259</v>
      </c>
      <c r="AT3210" s="30">
        <v>46077.450694444444</v>
      </c>
    </row>
    <row r="3211" spans="1:46" x14ac:dyDescent="0.25">
      <c r="A3211" t="s">
        <v>1248</v>
      </c>
      <c r="B3211">
        <v>259481</v>
      </c>
      <c r="C3211">
        <v>360981</v>
      </c>
      <c r="D3211">
        <v>405</v>
      </c>
      <c r="E3211" t="s">
        <v>1266</v>
      </c>
      <c r="G3211">
        <v>745</v>
      </c>
      <c r="H3211">
        <v>1901</v>
      </c>
      <c r="K3211">
        <v>2</v>
      </c>
      <c r="L3211">
        <v>2</v>
      </c>
      <c r="M3211" t="s">
        <v>1343</v>
      </c>
      <c r="N3211">
        <v>0</v>
      </c>
      <c r="O3211" t="s">
        <v>1343</v>
      </c>
      <c r="P3211">
        <v>0</v>
      </c>
      <c r="Q3211">
        <v>0</v>
      </c>
      <c r="R3211">
        <v>0</v>
      </c>
      <c r="T3211" s="29">
        <v>1152900</v>
      </c>
      <c r="U3211" s="29">
        <v>2305800</v>
      </c>
      <c r="V3211" t="s">
        <v>1262</v>
      </c>
      <c r="W3211" t="s">
        <v>1262</v>
      </c>
      <c r="X3211" s="29">
        <v>2305800</v>
      </c>
      <c r="AA3211" s="30">
        <v>45699.333333333336</v>
      </c>
      <c r="AB3211" s="30">
        <v>45705.708333333336</v>
      </c>
      <c r="AC3211" s="30">
        <v>45699.333333333336</v>
      </c>
      <c r="AD3211" s="30">
        <v>45705.708333333336</v>
      </c>
      <c r="AE3211" s="30">
        <v>46492.333333333336</v>
      </c>
      <c r="AF3211" s="30">
        <v>46498.708333333336</v>
      </c>
      <c r="AG3211" t="s">
        <v>1266</v>
      </c>
      <c r="AK3211" t="s">
        <v>1265</v>
      </c>
      <c r="AL3211" t="s">
        <v>1376</v>
      </c>
      <c r="AM3211" t="s">
        <v>1263</v>
      </c>
      <c r="AN3211" t="s">
        <v>1262</v>
      </c>
      <c r="AO3211">
        <v>0</v>
      </c>
      <c r="AQ3211" t="s">
        <v>1261</v>
      </c>
      <c r="AR3211" t="s">
        <v>1260</v>
      </c>
      <c r="AS3211" t="s">
        <v>1259</v>
      </c>
      <c r="AT3211" s="30">
        <v>46086.464583333334</v>
      </c>
    </row>
    <row r="3212" spans="1:46" x14ac:dyDescent="0.25">
      <c r="A3212" t="s">
        <v>1248</v>
      </c>
      <c r="B3212">
        <v>259482</v>
      </c>
      <c r="C3212">
        <v>360981</v>
      </c>
      <c r="D3212">
        <v>405</v>
      </c>
      <c r="E3212" t="s">
        <v>1266</v>
      </c>
      <c r="G3212">
        <v>745</v>
      </c>
      <c r="H3212">
        <v>1902</v>
      </c>
      <c r="K3212">
        <v>2</v>
      </c>
      <c r="L3212">
        <v>2</v>
      </c>
      <c r="M3212" t="s">
        <v>1343</v>
      </c>
      <c r="N3212">
        <v>0</v>
      </c>
      <c r="O3212" t="s">
        <v>1343</v>
      </c>
      <c r="P3212">
        <v>0</v>
      </c>
      <c r="Q3212">
        <v>0</v>
      </c>
      <c r="R3212">
        <v>0</v>
      </c>
      <c r="T3212" s="29">
        <v>354000</v>
      </c>
      <c r="U3212" s="29">
        <v>708000</v>
      </c>
      <c r="V3212" t="s">
        <v>1262</v>
      </c>
      <c r="W3212" t="s">
        <v>1262</v>
      </c>
      <c r="X3212" s="29">
        <v>708000</v>
      </c>
      <c r="AA3212" s="30">
        <v>45699.333333333336</v>
      </c>
      <c r="AB3212" s="30">
        <v>45705.708333333336</v>
      </c>
      <c r="AC3212" s="30">
        <v>45699.333333333336</v>
      </c>
      <c r="AD3212" s="30">
        <v>45705.708333333336</v>
      </c>
      <c r="AE3212" s="30">
        <v>46492.333333333336</v>
      </c>
      <c r="AF3212" s="30">
        <v>46498.708333333336</v>
      </c>
      <c r="AG3212" t="s">
        <v>1266</v>
      </c>
      <c r="AK3212" t="s">
        <v>1265</v>
      </c>
      <c r="AL3212" t="s">
        <v>1375</v>
      </c>
      <c r="AM3212" t="s">
        <v>1263</v>
      </c>
      <c r="AN3212" t="s">
        <v>1262</v>
      </c>
      <c r="AO3212">
        <v>0</v>
      </c>
      <c r="AQ3212" t="s">
        <v>1261</v>
      </c>
      <c r="AR3212" t="s">
        <v>1260</v>
      </c>
      <c r="AS3212" t="s">
        <v>1259</v>
      </c>
      <c r="AT3212" s="30">
        <v>46086.464583333334</v>
      </c>
    </row>
    <row r="3213" spans="1:46" x14ac:dyDescent="0.25">
      <c r="A3213" t="s">
        <v>1248</v>
      </c>
      <c r="B3213">
        <v>259483</v>
      </c>
      <c r="C3213">
        <v>360981</v>
      </c>
      <c r="D3213">
        <v>405</v>
      </c>
      <c r="E3213" t="s">
        <v>1266</v>
      </c>
      <c r="G3213">
        <v>745</v>
      </c>
      <c r="H3213">
        <v>1811</v>
      </c>
      <c r="K3213" t="s">
        <v>1354</v>
      </c>
      <c r="L3213" t="s">
        <v>1354</v>
      </c>
      <c r="M3213" s="29">
        <v>129125</v>
      </c>
      <c r="N3213">
        <v>0</v>
      </c>
      <c r="O3213" s="29">
        <v>129125</v>
      </c>
      <c r="P3213">
        <v>0</v>
      </c>
      <c r="Q3213">
        <v>0</v>
      </c>
      <c r="R3213">
        <v>0</v>
      </c>
      <c r="T3213" s="29">
        <v>238400</v>
      </c>
      <c r="U3213" s="29">
        <v>12313360</v>
      </c>
      <c r="V3213" t="s">
        <v>1262</v>
      </c>
      <c r="W3213" t="s">
        <v>1262</v>
      </c>
      <c r="X3213" s="29">
        <v>12313360</v>
      </c>
      <c r="AA3213" s="30">
        <v>45699.333333333336</v>
      </c>
      <c r="AB3213" s="30">
        <v>45705.708333333336</v>
      </c>
      <c r="AC3213" s="30">
        <v>45699.333333333336</v>
      </c>
      <c r="AD3213" s="30">
        <v>45705.708333333336</v>
      </c>
      <c r="AE3213" s="30">
        <v>46492.333333333336</v>
      </c>
      <c r="AF3213" s="30">
        <v>46498.708333333336</v>
      </c>
      <c r="AG3213" t="s">
        <v>1266</v>
      </c>
      <c r="AK3213" t="s">
        <v>1265</v>
      </c>
      <c r="AL3213" t="s">
        <v>1374</v>
      </c>
      <c r="AM3213" t="s">
        <v>1263</v>
      </c>
      <c r="AN3213" t="s">
        <v>1262</v>
      </c>
      <c r="AO3213">
        <v>0</v>
      </c>
      <c r="AQ3213" t="s">
        <v>1261</v>
      </c>
      <c r="AR3213" t="s">
        <v>1260</v>
      </c>
      <c r="AS3213" t="s">
        <v>1259</v>
      </c>
      <c r="AT3213" s="30">
        <v>46086.465277777781</v>
      </c>
    </row>
    <row r="3214" spans="1:46" x14ac:dyDescent="0.25">
      <c r="A3214" t="s">
        <v>1248</v>
      </c>
      <c r="B3214">
        <v>259484</v>
      </c>
      <c r="C3214">
        <v>360981</v>
      </c>
      <c r="D3214">
        <v>405</v>
      </c>
      <c r="E3214" t="s">
        <v>1266</v>
      </c>
      <c r="G3214">
        <v>745</v>
      </c>
      <c r="H3214">
        <v>1867</v>
      </c>
      <c r="K3214" t="s">
        <v>1373</v>
      </c>
      <c r="L3214" t="s">
        <v>1373</v>
      </c>
      <c r="M3214" s="29">
        <v>110325</v>
      </c>
      <c r="N3214">
        <v>0</v>
      </c>
      <c r="O3214" s="29">
        <v>110325</v>
      </c>
      <c r="P3214">
        <v>0</v>
      </c>
      <c r="Q3214">
        <v>0</v>
      </c>
      <c r="R3214">
        <v>0</v>
      </c>
      <c r="T3214" s="29">
        <v>205000</v>
      </c>
      <c r="U3214" s="29">
        <v>9046650</v>
      </c>
      <c r="V3214" t="s">
        <v>1262</v>
      </c>
      <c r="W3214" t="s">
        <v>1262</v>
      </c>
      <c r="X3214" s="29">
        <v>9046650</v>
      </c>
      <c r="AA3214" s="30">
        <v>45699.333333333336</v>
      </c>
      <c r="AB3214" s="30">
        <v>45705.708333333336</v>
      </c>
      <c r="AC3214" s="30">
        <v>45699.333333333336</v>
      </c>
      <c r="AD3214" s="30">
        <v>45705.708333333336</v>
      </c>
      <c r="AE3214" s="30">
        <v>46492.333333333336</v>
      </c>
      <c r="AF3214" s="30">
        <v>46498.708333333336</v>
      </c>
      <c r="AG3214" t="s">
        <v>1266</v>
      </c>
      <c r="AK3214" t="s">
        <v>1265</v>
      </c>
      <c r="AL3214" t="s">
        <v>1372</v>
      </c>
      <c r="AM3214" t="s">
        <v>1263</v>
      </c>
      <c r="AN3214" t="s">
        <v>1262</v>
      </c>
      <c r="AO3214">
        <v>0</v>
      </c>
      <c r="AQ3214" t="s">
        <v>1261</v>
      </c>
      <c r="AR3214" t="s">
        <v>1260</v>
      </c>
      <c r="AS3214" t="s">
        <v>1259</v>
      </c>
      <c r="AT3214" s="30">
        <v>46086.465277777781</v>
      </c>
    </row>
    <row r="3215" spans="1:46" x14ac:dyDescent="0.25">
      <c r="A3215" t="s">
        <v>1248</v>
      </c>
      <c r="B3215">
        <v>259485</v>
      </c>
      <c r="C3215">
        <v>360982</v>
      </c>
      <c r="D3215">
        <v>405</v>
      </c>
      <c r="E3215" t="s">
        <v>1266</v>
      </c>
      <c r="G3215">
        <v>745</v>
      </c>
      <c r="H3215">
        <v>1900</v>
      </c>
      <c r="K3215">
        <v>87</v>
      </c>
      <c r="L3215">
        <v>87</v>
      </c>
      <c r="M3215" s="29">
        <v>10875</v>
      </c>
      <c r="N3215">
        <v>0</v>
      </c>
      <c r="O3215" s="29">
        <v>10875</v>
      </c>
      <c r="P3215">
        <v>0</v>
      </c>
      <c r="Q3215">
        <v>0</v>
      </c>
      <c r="R3215">
        <v>0</v>
      </c>
      <c r="T3215" s="29">
        <v>112200</v>
      </c>
      <c r="U3215" s="29">
        <v>9761400</v>
      </c>
      <c r="V3215" t="s">
        <v>1262</v>
      </c>
      <c r="W3215" t="s">
        <v>1262</v>
      </c>
      <c r="X3215" s="29">
        <v>9761400</v>
      </c>
      <c r="AA3215" s="30">
        <v>45706.333333333336</v>
      </c>
      <c r="AB3215" s="30">
        <v>45719.708333333336</v>
      </c>
      <c r="AC3215" s="30">
        <v>45706.333333333336</v>
      </c>
      <c r="AD3215" s="30">
        <v>45719.708333333336</v>
      </c>
      <c r="AE3215" s="30">
        <v>46506.333333333336</v>
      </c>
      <c r="AF3215" s="30">
        <v>46519.708333333336</v>
      </c>
      <c r="AG3215" t="s">
        <v>1266</v>
      </c>
      <c r="AK3215" t="s">
        <v>1265</v>
      </c>
      <c r="AL3215" t="s">
        <v>1371</v>
      </c>
      <c r="AM3215" t="s">
        <v>1263</v>
      </c>
      <c r="AN3215" t="s">
        <v>1262</v>
      </c>
      <c r="AO3215">
        <v>0</v>
      </c>
      <c r="AQ3215" t="s">
        <v>1261</v>
      </c>
      <c r="AR3215" t="s">
        <v>1260</v>
      </c>
      <c r="AS3215" t="s">
        <v>1259</v>
      </c>
      <c r="AT3215" s="30">
        <v>46086.465277777781</v>
      </c>
    </row>
    <row r="3216" spans="1:46" x14ac:dyDescent="0.25">
      <c r="A3216" t="s">
        <v>1248</v>
      </c>
      <c r="B3216">
        <v>259486</v>
      </c>
      <c r="C3216">
        <v>360982</v>
      </c>
      <c r="D3216">
        <v>405</v>
      </c>
      <c r="E3216" t="s">
        <v>1266</v>
      </c>
      <c r="G3216">
        <v>745</v>
      </c>
      <c r="H3216">
        <v>1897</v>
      </c>
      <c r="K3216">
        <v>174</v>
      </c>
      <c r="L3216">
        <v>174</v>
      </c>
      <c r="M3216" s="29">
        <v>2175</v>
      </c>
      <c r="N3216">
        <v>0</v>
      </c>
      <c r="O3216" s="29">
        <v>2175</v>
      </c>
      <c r="P3216">
        <v>0</v>
      </c>
      <c r="Q3216">
        <v>0</v>
      </c>
      <c r="R3216">
        <v>0</v>
      </c>
      <c r="T3216" s="29">
        <v>42900</v>
      </c>
      <c r="U3216" s="29">
        <v>7464600</v>
      </c>
      <c r="V3216" t="s">
        <v>1262</v>
      </c>
      <c r="W3216" t="s">
        <v>1262</v>
      </c>
      <c r="X3216" s="29">
        <v>7464600</v>
      </c>
      <c r="AA3216" s="30">
        <v>45706.333333333336</v>
      </c>
      <c r="AB3216" s="30">
        <v>45719.708333333336</v>
      </c>
      <c r="AC3216" s="30">
        <v>45706.333333333336</v>
      </c>
      <c r="AD3216" s="30">
        <v>45719.708333333336</v>
      </c>
      <c r="AE3216" s="30">
        <v>46506.333333333336</v>
      </c>
      <c r="AF3216" s="30">
        <v>46519.708333333336</v>
      </c>
      <c r="AG3216" t="s">
        <v>1266</v>
      </c>
      <c r="AK3216" t="s">
        <v>1265</v>
      </c>
      <c r="AL3216" t="s">
        <v>1370</v>
      </c>
      <c r="AM3216" t="s">
        <v>1263</v>
      </c>
      <c r="AN3216" t="s">
        <v>1262</v>
      </c>
      <c r="AO3216">
        <v>0</v>
      </c>
      <c r="AQ3216" t="s">
        <v>1261</v>
      </c>
      <c r="AR3216" t="s">
        <v>1260</v>
      </c>
      <c r="AS3216" t="s">
        <v>1259</v>
      </c>
      <c r="AT3216" s="30">
        <v>46086.46597222222</v>
      </c>
    </row>
    <row r="3217" spans="1:46" x14ac:dyDescent="0.25">
      <c r="A3217" t="s">
        <v>1248</v>
      </c>
      <c r="B3217">
        <v>259487</v>
      </c>
      <c r="C3217">
        <v>360982</v>
      </c>
      <c r="D3217">
        <v>405</v>
      </c>
      <c r="E3217" t="s">
        <v>1266</v>
      </c>
      <c r="G3217">
        <v>745</v>
      </c>
      <c r="H3217">
        <v>1819</v>
      </c>
      <c r="K3217" t="s">
        <v>1369</v>
      </c>
      <c r="L3217" t="s">
        <v>1369</v>
      </c>
      <c r="M3217" t="s">
        <v>1368</v>
      </c>
      <c r="N3217">
        <v>0</v>
      </c>
      <c r="O3217" t="s">
        <v>1368</v>
      </c>
      <c r="P3217">
        <v>0</v>
      </c>
      <c r="Q3217">
        <v>0</v>
      </c>
      <c r="R3217">
        <v>0</v>
      </c>
      <c r="T3217" s="29">
        <v>1350000</v>
      </c>
      <c r="U3217" s="29">
        <v>23490000</v>
      </c>
      <c r="V3217" t="s">
        <v>1262</v>
      </c>
      <c r="W3217" t="s">
        <v>1262</v>
      </c>
      <c r="X3217" s="29">
        <v>23490000</v>
      </c>
      <c r="AA3217" s="30">
        <v>45706.333333333336</v>
      </c>
      <c r="AB3217" s="30">
        <v>45719.708333333336</v>
      </c>
      <c r="AC3217" s="30">
        <v>45706.333333333336</v>
      </c>
      <c r="AD3217" s="30">
        <v>45719.708333333336</v>
      </c>
      <c r="AE3217" s="30">
        <v>46506.333333333336</v>
      </c>
      <c r="AF3217" s="30">
        <v>46519.708333333336</v>
      </c>
      <c r="AG3217" t="s">
        <v>1266</v>
      </c>
      <c r="AK3217" t="s">
        <v>1265</v>
      </c>
      <c r="AL3217" t="s">
        <v>1367</v>
      </c>
      <c r="AM3217" t="s">
        <v>1263</v>
      </c>
      <c r="AN3217" t="s">
        <v>1262</v>
      </c>
      <c r="AO3217">
        <v>0</v>
      </c>
      <c r="AQ3217" t="s">
        <v>1261</v>
      </c>
      <c r="AR3217" t="s">
        <v>1260</v>
      </c>
      <c r="AS3217" t="s">
        <v>1259</v>
      </c>
      <c r="AT3217" s="30">
        <v>46086.46597222222</v>
      </c>
    </row>
    <row r="3218" spans="1:46" x14ac:dyDescent="0.25">
      <c r="A3218" t="s">
        <v>1248</v>
      </c>
      <c r="B3218">
        <v>259488</v>
      </c>
      <c r="C3218">
        <v>360982</v>
      </c>
      <c r="D3218">
        <v>405</v>
      </c>
      <c r="E3218" t="s">
        <v>1266</v>
      </c>
      <c r="G3218">
        <v>745</v>
      </c>
      <c r="H3218">
        <v>1827</v>
      </c>
      <c r="K3218" t="s">
        <v>1366</v>
      </c>
      <c r="L3218" t="s">
        <v>1366</v>
      </c>
      <c r="M3218" t="s">
        <v>1365</v>
      </c>
      <c r="N3218">
        <v>0</v>
      </c>
      <c r="O3218" t="s">
        <v>1365</v>
      </c>
      <c r="P3218">
        <v>0</v>
      </c>
      <c r="Q3218">
        <v>0</v>
      </c>
      <c r="R3218">
        <v>0</v>
      </c>
      <c r="T3218" s="29">
        <v>207200</v>
      </c>
      <c r="U3218" s="29">
        <v>7210560</v>
      </c>
      <c r="V3218" t="s">
        <v>1262</v>
      </c>
      <c r="W3218" t="s">
        <v>1262</v>
      </c>
      <c r="X3218" s="29">
        <v>7210560</v>
      </c>
      <c r="AA3218" s="30">
        <v>45706.333333333336</v>
      </c>
      <c r="AB3218" s="30">
        <v>45719.708333333336</v>
      </c>
      <c r="AC3218" s="30">
        <v>45706.333333333336</v>
      </c>
      <c r="AD3218" s="30">
        <v>45719.708333333336</v>
      </c>
      <c r="AE3218" s="30">
        <v>46506.333333333336</v>
      </c>
      <c r="AF3218" s="30">
        <v>46519.708333333336</v>
      </c>
      <c r="AG3218" t="s">
        <v>1266</v>
      </c>
      <c r="AK3218" t="s">
        <v>1265</v>
      </c>
      <c r="AL3218" t="s">
        <v>1364</v>
      </c>
      <c r="AM3218" t="s">
        <v>1263</v>
      </c>
      <c r="AN3218" t="s">
        <v>1262</v>
      </c>
      <c r="AO3218">
        <v>0</v>
      </c>
      <c r="AQ3218" t="s">
        <v>1261</v>
      </c>
      <c r="AR3218" t="s">
        <v>1260</v>
      </c>
      <c r="AS3218" t="s">
        <v>1259</v>
      </c>
      <c r="AT3218" s="30">
        <v>46086.46597222222</v>
      </c>
    </row>
    <row r="3219" spans="1:46" x14ac:dyDescent="0.25">
      <c r="A3219" t="s">
        <v>1248</v>
      </c>
      <c r="B3219">
        <v>259489</v>
      </c>
      <c r="C3219">
        <v>360982</v>
      </c>
      <c r="D3219">
        <v>405</v>
      </c>
      <c r="E3219" t="s">
        <v>1266</v>
      </c>
      <c r="G3219">
        <v>745</v>
      </c>
      <c r="H3219">
        <v>1895</v>
      </c>
      <c r="K3219">
        <v>2</v>
      </c>
      <c r="L3219">
        <v>2</v>
      </c>
      <c r="M3219" t="s">
        <v>1340</v>
      </c>
      <c r="N3219">
        <v>0</v>
      </c>
      <c r="O3219" t="s">
        <v>1340</v>
      </c>
      <c r="P3219">
        <v>0</v>
      </c>
      <c r="Q3219">
        <v>0</v>
      </c>
      <c r="R3219">
        <v>0</v>
      </c>
      <c r="T3219" s="29">
        <v>393400</v>
      </c>
      <c r="U3219" s="29">
        <v>786800</v>
      </c>
      <c r="V3219" t="s">
        <v>1262</v>
      </c>
      <c r="W3219" t="s">
        <v>1262</v>
      </c>
      <c r="X3219" s="29">
        <v>786800</v>
      </c>
      <c r="AA3219" s="30">
        <v>45706.333333333336</v>
      </c>
      <c r="AB3219" s="30">
        <v>45719.708333333336</v>
      </c>
      <c r="AC3219" s="30">
        <v>45706.333333333336</v>
      </c>
      <c r="AD3219" s="30">
        <v>45719.708333333336</v>
      </c>
      <c r="AE3219" s="30">
        <v>46506.333333333336</v>
      </c>
      <c r="AF3219" s="30">
        <v>46519.708333333336</v>
      </c>
      <c r="AG3219" t="s">
        <v>1266</v>
      </c>
      <c r="AK3219" t="s">
        <v>1265</v>
      </c>
      <c r="AL3219" t="s">
        <v>1363</v>
      </c>
      <c r="AM3219" t="s">
        <v>1263</v>
      </c>
      <c r="AN3219" t="s">
        <v>1262</v>
      </c>
      <c r="AO3219">
        <v>0</v>
      </c>
      <c r="AQ3219" t="s">
        <v>1261</v>
      </c>
      <c r="AR3219" t="s">
        <v>1260</v>
      </c>
      <c r="AS3219" t="s">
        <v>1259</v>
      </c>
      <c r="AT3219" s="30">
        <v>46086.46597222222</v>
      </c>
    </row>
    <row r="3220" spans="1:46" x14ac:dyDescent="0.25">
      <c r="A3220" t="s">
        <v>1248</v>
      </c>
      <c r="B3220">
        <v>259490</v>
      </c>
      <c r="C3220">
        <v>360982</v>
      </c>
      <c r="D3220">
        <v>405</v>
      </c>
      <c r="E3220" t="s">
        <v>1266</v>
      </c>
      <c r="G3220">
        <v>745</v>
      </c>
      <c r="H3220">
        <v>1894</v>
      </c>
      <c r="K3220">
        <v>2</v>
      </c>
      <c r="L3220">
        <v>2</v>
      </c>
      <c r="M3220" t="s">
        <v>1340</v>
      </c>
      <c r="N3220">
        <v>0</v>
      </c>
      <c r="O3220" t="s">
        <v>1340</v>
      </c>
      <c r="P3220">
        <v>0</v>
      </c>
      <c r="Q3220">
        <v>0</v>
      </c>
      <c r="R3220">
        <v>0</v>
      </c>
      <c r="T3220" s="29">
        <v>603300</v>
      </c>
      <c r="U3220" s="29">
        <v>1206600</v>
      </c>
      <c r="V3220" t="s">
        <v>1262</v>
      </c>
      <c r="W3220" t="s">
        <v>1262</v>
      </c>
      <c r="X3220" s="29">
        <v>1206600</v>
      </c>
      <c r="AA3220" s="30">
        <v>45706.333333333336</v>
      </c>
      <c r="AB3220" s="30">
        <v>45719.708333333336</v>
      </c>
      <c r="AC3220" s="30">
        <v>45706.333333333336</v>
      </c>
      <c r="AD3220" s="30">
        <v>45719.708333333336</v>
      </c>
      <c r="AE3220" s="30">
        <v>46506.333333333336</v>
      </c>
      <c r="AF3220" s="30">
        <v>46519.708333333336</v>
      </c>
      <c r="AG3220" t="s">
        <v>1266</v>
      </c>
      <c r="AK3220" t="s">
        <v>1265</v>
      </c>
      <c r="AL3220" t="s">
        <v>1362</v>
      </c>
      <c r="AM3220" t="s">
        <v>1263</v>
      </c>
      <c r="AN3220" t="s">
        <v>1262</v>
      </c>
      <c r="AO3220">
        <v>0</v>
      </c>
      <c r="AQ3220" t="s">
        <v>1261</v>
      </c>
      <c r="AR3220" t="s">
        <v>1260</v>
      </c>
      <c r="AS3220" t="s">
        <v>1259</v>
      </c>
      <c r="AT3220" s="30">
        <v>46086.466666666667</v>
      </c>
    </row>
    <row r="3221" spans="1:46" x14ac:dyDescent="0.25">
      <c r="A3221" t="s">
        <v>1248</v>
      </c>
      <c r="B3221">
        <v>259491</v>
      </c>
      <c r="C3221">
        <v>360982</v>
      </c>
      <c r="D3221">
        <v>405</v>
      </c>
      <c r="E3221" t="s">
        <v>1266</v>
      </c>
      <c r="G3221">
        <v>745</v>
      </c>
      <c r="H3221">
        <v>1896</v>
      </c>
      <c r="K3221">
        <v>2</v>
      </c>
      <c r="L3221">
        <v>2</v>
      </c>
      <c r="M3221" t="s">
        <v>1340</v>
      </c>
      <c r="N3221">
        <v>0</v>
      </c>
      <c r="O3221" t="s">
        <v>1340</v>
      </c>
      <c r="P3221">
        <v>0</v>
      </c>
      <c r="Q3221">
        <v>0</v>
      </c>
      <c r="R3221">
        <v>0</v>
      </c>
      <c r="T3221" s="29">
        <v>1764700</v>
      </c>
      <c r="U3221" s="29">
        <v>3529400</v>
      </c>
      <c r="V3221" t="s">
        <v>1262</v>
      </c>
      <c r="W3221" t="s">
        <v>1262</v>
      </c>
      <c r="X3221" s="29">
        <v>3529400</v>
      </c>
      <c r="AA3221" s="30">
        <v>45706.333333333336</v>
      </c>
      <c r="AB3221" s="30">
        <v>45719.708333333336</v>
      </c>
      <c r="AC3221" s="30">
        <v>45706.333333333336</v>
      </c>
      <c r="AD3221" s="30">
        <v>45719.708333333336</v>
      </c>
      <c r="AE3221" s="30">
        <v>46506.333333333336</v>
      </c>
      <c r="AF3221" s="30">
        <v>46519.708333333336</v>
      </c>
      <c r="AG3221" t="s">
        <v>1266</v>
      </c>
      <c r="AK3221" t="s">
        <v>1265</v>
      </c>
      <c r="AL3221" t="e">
        <f>+UMYLJV3zUyWNsh5zwYSfg</f>
        <v>#NAME?</v>
      </c>
      <c r="AM3221" t="s">
        <v>1263</v>
      </c>
      <c r="AN3221" t="s">
        <v>1262</v>
      </c>
      <c r="AO3221">
        <v>0</v>
      </c>
      <c r="AQ3221" t="s">
        <v>1261</v>
      </c>
      <c r="AR3221" t="s">
        <v>1260</v>
      </c>
      <c r="AS3221" t="s">
        <v>1259</v>
      </c>
      <c r="AT3221" s="30">
        <v>46086.466666666667</v>
      </c>
    </row>
    <row r="3222" spans="1:46" x14ac:dyDescent="0.25">
      <c r="A3222" t="s">
        <v>1248</v>
      </c>
      <c r="B3222">
        <v>259492</v>
      </c>
      <c r="C3222">
        <v>360982</v>
      </c>
      <c r="D3222">
        <v>405</v>
      </c>
      <c r="E3222" t="s">
        <v>1266</v>
      </c>
      <c r="G3222">
        <v>745</v>
      </c>
      <c r="H3222">
        <v>1898</v>
      </c>
      <c r="K3222">
        <v>2</v>
      </c>
      <c r="L3222">
        <v>2</v>
      </c>
      <c r="M3222" t="s">
        <v>1340</v>
      </c>
      <c r="N3222">
        <v>0</v>
      </c>
      <c r="O3222" t="s">
        <v>1340</v>
      </c>
      <c r="P3222">
        <v>0</v>
      </c>
      <c r="Q3222">
        <v>0</v>
      </c>
      <c r="R3222">
        <v>0</v>
      </c>
      <c r="T3222" s="29">
        <v>2801800</v>
      </c>
      <c r="U3222" s="29">
        <v>5603600</v>
      </c>
      <c r="V3222" t="s">
        <v>1262</v>
      </c>
      <c r="W3222" t="s">
        <v>1262</v>
      </c>
      <c r="X3222" s="29">
        <v>5603600</v>
      </c>
      <c r="AA3222" s="30">
        <v>45706.333333333336</v>
      </c>
      <c r="AB3222" s="30">
        <v>45719.708333333336</v>
      </c>
      <c r="AC3222" s="30">
        <v>45706.333333333336</v>
      </c>
      <c r="AD3222" s="30">
        <v>45719.708333333336</v>
      </c>
      <c r="AE3222" s="30">
        <v>46506.333333333336</v>
      </c>
      <c r="AF3222" s="30">
        <v>46519.708333333336</v>
      </c>
      <c r="AG3222" t="s">
        <v>1266</v>
      </c>
      <c r="AK3222" t="s">
        <v>1265</v>
      </c>
      <c r="AL3222" t="s">
        <v>1361</v>
      </c>
      <c r="AM3222" t="s">
        <v>1263</v>
      </c>
      <c r="AN3222" t="s">
        <v>1262</v>
      </c>
      <c r="AO3222">
        <v>0</v>
      </c>
      <c r="AQ3222" t="s">
        <v>1261</v>
      </c>
      <c r="AR3222" t="s">
        <v>1260</v>
      </c>
      <c r="AS3222" t="s">
        <v>1259</v>
      </c>
      <c r="AT3222" s="30">
        <v>46086.466666666667</v>
      </c>
    </row>
    <row r="3223" spans="1:46" x14ac:dyDescent="0.25">
      <c r="A3223" t="s">
        <v>1248</v>
      </c>
      <c r="B3223">
        <v>259493</v>
      </c>
      <c r="C3223">
        <v>360982</v>
      </c>
      <c r="D3223">
        <v>405</v>
      </c>
      <c r="E3223" t="s">
        <v>1266</v>
      </c>
      <c r="G3223">
        <v>745</v>
      </c>
      <c r="H3223">
        <v>1899</v>
      </c>
      <c r="K3223">
        <v>2</v>
      </c>
      <c r="L3223">
        <v>2</v>
      </c>
      <c r="M3223" t="s">
        <v>1340</v>
      </c>
      <c r="N3223">
        <v>0</v>
      </c>
      <c r="O3223" t="s">
        <v>1340</v>
      </c>
      <c r="P3223">
        <v>0</v>
      </c>
      <c r="Q3223">
        <v>0</v>
      </c>
      <c r="R3223">
        <v>0</v>
      </c>
      <c r="T3223" s="29">
        <v>4401100</v>
      </c>
      <c r="U3223" s="29">
        <v>8802200</v>
      </c>
      <c r="V3223" t="s">
        <v>1262</v>
      </c>
      <c r="W3223" t="s">
        <v>1262</v>
      </c>
      <c r="X3223" s="29">
        <v>8802200</v>
      </c>
      <c r="AA3223" s="30">
        <v>45706.333333333336</v>
      </c>
      <c r="AB3223" s="30">
        <v>45719.708333333336</v>
      </c>
      <c r="AC3223" s="30">
        <v>45706.333333333336</v>
      </c>
      <c r="AD3223" s="30">
        <v>45719.708333333336</v>
      </c>
      <c r="AE3223" s="30">
        <v>46506.333333333336</v>
      </c>
      <c r="AF3223" s="30">
        <v>46519.708333333336</v>
      </c>
      <c r="AG3223" t="s">
        <v>1266</v>
      </c>
      <c r="AK3223" t="s">
        <v>1265</v>
      </c>
      <c r="AL3223" t="s">
        <v>1360</v>
      </c>
      <c r="AM3223" t="s">
        <v>1263</v>
      </c>
      <c r="AN3223" t="s">
        <v>1262</v>
      </c>
      <c r="AO3223">
        <v>0</v>
      </c>
      <c r="AQ3223" t="s">
        <v>1261</v>
      </c>
      <c r="AR3223" t="s">
        <v>1260</v>
      </c>
      <c r="AS3223" t="s">
        <v>1259</v>
      </c>
      <c r="AT3223" s="30">
        <v>46086.467361111114</v>
      </c>
    </row>
    <row r="3224" spans="1:46" x14ac:dyDescent="0.25">
      <c r="A3224" t="s">
        <v>1248</v>
      </c>
      <c r="B3224">
        <v>259494</v>
      </c>
      <c r="C3224">
        <v>360982</v>
      </c>
      <c r="D3224">
        <v>405</v>
      </c>
      <c r="E3224" t="s">
        <v>1266</v>
      </c>
      <c r="G3224">
        <v>745</v>
      </c>
      <c r="H3224">
        <v>1868</v>
      </c>
      <c r="K3224" t="s">
        <v>1359</v>
      </c>
      <c r="L3224" t="s">
        <v>1359</v>
      </c>
      <c r="M3224" t="s">
        <v>1358</v>
      </c>
      <c r="N3224">
        <v>0</v>
      </c>
      <c r="O3224" t="s">
        <v>1358</v>
      </c>
      <c r="P3224">
        <v>0</v>
      </c>
      <c r="Q3224">
        <v>0</v>
      </c>
      <c r="R3224">
        <v>0</v>
      </c>
      <c r="T3224" s="29">
        <v>3500000</v>
      </c>
      <c r="U3224" s="29">
        <v>595000</v>
      </c>
      <c r="V3224" t="s">
        <v>1262</v>
      </c>
      <c r="W3224" t="s">
        <v>1262</v>
      </c>
      <c r="X3224" s="29">
        <v>595000</v>
      </c>
      <c r="AA3224" s="30">
        <v>45706.333333333336</v>
      </c>
      <c r="AB3224" s="30">
        <v>45719.708333333336</v>
      </c>
      <c r="AC3224" s="30">
        <v>45706.333333333336</v>
      </c>
      <c r="AD3224" s="30">
        <v>45719.708333333336</v>
      </c>
      <c r="AE3224" s="30">
        <v>46506.333333333336</v>
      </c>
      <c r="AF3224" s="30">
        <v>46519.708333333336</v>
      </c>
      <c r="AG3224" t="s">
        <v>1266</v>
      </c>
      <c r="AK3224" t="s">
        <v>1265</v>
      </c>
      <c r="AL3224" t="s">
        <v>1357</v>
      </c>
      <c r="AM3224" t="s">
        <v>1263</v>
      </c>
      <c r="AN3224" t="s">
        <v>1262</v>
      </c>
      <c r="AO3224">
        <v>0</v>
      </c>
      <c r="AQ3224" t="s">
        <v>1261</v>
      </c>
      <c r="AR3224" t="s">
        <v>1260</v>
      </c>
      <c r="AS3224" t="s">
        <v>1259</v>
      </c>
      <c r="AT3224" s="30">
        <v>46086.467361111114</v>
      </c>
    </row>
    <row r="3225" spans="1:46" x14ac:dyDescent="0.25">
      <c r="A3225" t="s">
        <v>1248</v>
      </c>
      <c r="B3225">
        <v>259495</v>
      </c>
      <c r="C3225">
        <v>360983</v>
      </c>
      <c r="D3225">
        <v>405</v>
      </c>
      <c r="E3225" t="s">
        <v>1266</v>
      </c>
      <c r="G3225">
        <v>745</v>
      </c>
      <c r="H3225">
        <v>1901</v>
      </c>
      <c r="K3225">
        <v>2</v>
      </c>
      <c r="L3225">
        <v>2</v>
      </c>
      <c r="M3225" t="s">
        <v>1343</v>
      </c>
      <c r="N3225">
        <v>0</v>
      </c>
      <c r="O3225" t="s">
        <v>1343</v>
      </c>
      <c r="P3225">
        <v>0</v>
      </c>
      <c r="Q3225">
        <v>0</v>
      </c>
      <c r="R3225">
        <v>0</v>
      </c>
      <c r="T3225" s="29">
        <v>1152900</v>
      </c>
      <c r="U3225" s="29">
        <v>2305800</v>
      </c>
      <c r="V3225" t="s">
        <v>1262</v>
      </c>
      <c r="W3225" t="s">
        <v>1262</v>
      </c>
      <c r="X3225" s="29">
        <v>2305800</v>
      </c>
      <c r="AA3225" s="30">
        <v>45706.333333333336</v>
      </c>
      <c r="AB3225" s="30">
        <v>45712.708333333336</v>
      </c>
      <c r="AC3225" s="30">
        <v>45706.333333333336</v>
      </c>
      <c r="AD3225" s="30">
        <v>45712.708333333336</v>
      </c>
      <c r="AE3225" s="30">
        <v>46499.333333333336</v>
      </c>
      <c r="AF3225" s="30">
        <v>46505.708333333336</v>
      </c>
      <c r="AG3225" t="s">
        <v>1266</v>
      </c>
      <c r="AK3225" t="s">
        <v>1265</v>
      </c>
      <c r="AL3225" t="s">
        <v>1356</v>
      </c>
      <c r="AM3225" t="s">
        <v>1263</v>
      </c>
      <c r="AN3225" t="s">
        <v>1262</v>
      </c>
      <c r="AO3225">
        <v>0</v>
      </c>
      <c r="AQ3225" t="s">
        <v>1261</v>
      </c>
      <c r="AR3225" t="s">
        <v>1260</v>
      </c>
      <c r="AS3225" t="s">
        <v>1259</v>
      </c>
      <c r="AT3225" s="30">
        <v>46086.488888888889</v>
      </c>
    </row>
    <row r="3226" spans="1:46" x14ac:dyDescent="0.25">
      <c r="A3226" t="s">
        <v>1248</v>
      </c>
      <c r="B3226">
        <v>259496</v>
      </c>
      <c r="C3226">
        <v>360983</v>
      </c>
      <c r="D3226">
        <v>405</v>
      </c>
      <c r="E3226" t="s">
        <v>1266</v>
      </c>
      <c r="G3226">
        <v>745</v>
      </c>
      <c r="H3226">
        <v>1902</v>
      </c>
      <c r="K3226">
        <v>2</v>
      </c>
      <c r="L3226">
        <v>2</v>
      </c>
      <c r="M3226" t="s">
        <v>1343</v>
      </c>
      <c r="N3226">
        <v>0</v>
      </c>
      <c r="O3226" t="s">
        <v>1343</v>
      </c>
      <c r="P3226">
        <v>0</v>
      </c>
      <c r="Q3226">
        <v>0</v>
      </c>
      <c r="R3226">
        <v>0</v>
      </c>
      <c r="T3226" s="29">
        <v>354000</v>
      </c>
      <c r="U3226" s="29">
        <v>708000</v>
      </c>
      <c r="V3226" t="s">
        <v>1262</v>
      </c>
      <c r="W3226" t="s">
        <v>1262</v>
      </c>
      <c r="X3226" s="29">
        <v>708000</v>
      </c>
      <c r="AA3226" s="30">
        <v>45706.333333333336</v>
      </c>
      <c r="AB3226" s="30">
        <v>45712.708333333336</v>
      </c>
      <c r="AC3226" s="30">
        <v>45706.333333333336</v>
      </c>
      <c r="AD3226" s="30">
        <v>45712.708333333336</v>
      </c>
      <c r="AE3226" s="30">
        <v>46499.333333333336</v>
      </c>
      <c r="AF3226" s="30">
        <v>46505.708333333336</v>
      </c>
      <c r="AG3226" t="s">
        <v>1266</v>
      </c>
      <c r="AK3226" t="s">
        <v>1265</v>
      </c>
      <c r="AL3226" t="s">
        <v>1355</v>
      </c>
      <c r="AM3226" t="s">
        <v>1263</v>
      </c>
      <c r="AN3226" t="s">
        <v>1262</v>
      </c>
      <c r="AO3226">
        <v>0</v>
      </c>
      <c r="AQ3226" t="s">
        <v>1261</v>
      </c>
      <c r="AR3226" t="s">
        <v>1260</v>
      </c>
      <c r="AS3226" t="s">
        <v>1259</v>
      </c>
      <c r="AT3226" s="30">
        <v>46086.489583333336</v>
      </c>
    </row>
    <row r="3227" spans="1:46" x14ac:dyDescent="0.25">
      <c r="A3227" t="s">
        <v>1248</v>
      </c>
      <c r="B3227">
        <v>259497</v>
      </c>
      <c r="C3227">
        <v>360983</v>
      </c>
      <c r="D3227">
        <v>405</v>
      </c>
      <c r="E3227" t="s">
        <v>1266</v>
      </c>
      <c r="G3227">
        <v>745</v>
      </c>
      <c r="H3227">
        <v>1811</v>
      </c>
      <c r="K3227" t="s">
        <v>1354</v>
      </c>
      <c r="L3227" t="s">
        <v>1354</v>
      </c>
      <c r="M3227" s="29">
        <v>129125</v>
      </c>
      <c r="N3227">
        <v>0</v>
      </c>
      <c r="O3227" s="29">
        <v>129125</v>
      </c>
      <c r="P3227">
        <v>0</v>
      </c>
      <c r="Q3227">
        <v>0</v>
      </c>
      <c r="R3227">
        <v>0</v>
      </c>
      <c r="T3227" s="29">
        <v>238400</v>
      </c>
      <c r="U3227" s="29">
        <v>12313360</v>
      </c>
      <c r="V3227" t="s">
        <v>1262</v>
      </c>
      <c r="W3227" t="s">
        <v>1262</v>
      </c>
      <c r="X3227" s="29">
        <v>12313360</v>
      </c>
      <c r="AA3227" s="30">
        <v>45706.333333333336</v>
      </c>
      <c r="AB3227" s="30">
        <v>45712.708333333336</v>
      </c>
      <c r="AC3227" s="30">
        <v>45706.333333333336</v>
      </c>
      <c r="AD3227" s="30">
        <v>45712.708333333336</v>
      </c>
      <c r="AE3227" s="30">
        <v>46499.333333333336</v>
      </c>
      <c r="AF3227" s="30">
        <v>46505.708333333336</v>
      </c>
      <c r="AG3227" t="s">
        <v>1266</v>
      </c>
      <c r="AK3227" t="s">
        <v>1265</v>
      </c>
      <c r="AL3227" t="s">
        <v>1353</v>
      </c>
      <c r="AM3227" t="s">
        <v>1263</v>
      </c>
      <c r="AN3227" t="s">
        <v>1262</v>
      </c>
      <c r="AO3227">
        <v>0</v>
      </c>
      <c r="AQ3227" t="s">
        <v>1261</v>
      </c>
      <c r="AR3227" t="s">
        <v>1260</v>
      </c>
      <c r="AS3227" t="s">
        <v>1259</v>
      </c>
      <c r="AT3227" s="30">
        <v>46086.489583333336</v>
      </c>
    </row>
    <row r="3228" spans="1:46" x14ac:dyDescent="0.25">
      <c r="A3228" t="s">
        <v>1248</v>
      </c>
      <c r="B3228">
        <v>259498</v>
      </c>
      <c r="C3228">
        <v>360983</v>
      </c>
      <c r="D3228">
        <v>405</v>
      </c>
      <c r="E3228" t="s">
        <v>1266</v>
      </c>
      <c r="G3228">
        <v>745</v>
      </c>
      <c r="H3228">
        <v>1867</v>
      </c>
      <c r="K3228" t="s">
        <v>1352</v>
      </c>
      <c r="L3228" t="s">
        <v>1352</v>
      </c>
      <c r="M3228" s="29">
        <v>322825</v>
      </c>
      <c r="N3228">
        <v>0</v>
      </c>
      <c r="O3228" s="29">
        <v>322825</v>
      </c>
      <c r="P3228">
        <v>0</v>
      </c>
      <c r="Q3228">
        <v>0</v>
      </c>
      <c r="R3228">
        <v>0</v>
      </c>
      <c r="T3228" s="29">
        <v>205000</v>
      </c>
      <c r="U3228" s="29">
        <v>26471650</v>
      </c>
      <c r="V3228" t="s">
        <v>1262</v>
      </c>
      <c r="W3228" t="s">
        <v>1262</v>
      </c>
      <c r="X3228" s="29">
        <v>26471650</v>
      </c>
      <c r="AA3228" s="30">
        <v>45706.333333333336</v>
      </c>
      <c r="AB3228" s="30">
        <v>45712.708333333336</v>
      </c>
      <c r="AC3228" s="30">
        <v>45706.333333333336</v>
      </c>
      <c r="AD3228" s="30">
        <v>45712.708333333336</v>
      </c>
      <c r="AE3228" s="30">
        <v>46499.333333333336</v>
      </c>
      <c r="AF3228" s="30">
        <v>46505.708333333336</v>
      </c>
      <c r="AG3228" t="s">
        <v>1266</v>
      </c>
      <c r="AK3228" t="s">
        <v>1265</v>
      </c>
      <c r="AL3228" t="s">
        <v>1351</v>
      </c>
      <c r="AM3228" t="s">
        <v>1263</v>
      </c>
      <c r="AN3228" t="s">
        <v>1262</v>
      </c>
      <c r="AO3228">
        <v>0</v>
      </c>
      <c r="AQ3228" t="s">
        <v>1261</v>
      </c>
      <c r="AR3228" t="s">
        <v>1260</v>
      </c>
      <c r="AS3228" t="s">
        <v>1259</v>
      </c>
      <c r="AT3228" s="30">
        <v>46086.490277777775</v>
      </c>
    </row>
    <row r="3229" spans="1:46" x14ac:dyDescent="0.25">
      <c r="A3229" t="s">
        <v>1248</v>
      </c>
      <c r="B3229">
        <v>259499</v>
      </c>
      <c r="C3229">
        <v>360984</v>
      </c>
      <c r="D3229">
        <v>405</v>
      </c>
      <c r="E3229" t="s">
        <v>1266</v>
      </c>
      <c r="G3229">
        <v>745</v>
      </c>
      <c r="H3229">
        <v>1900</v>
      </c>
      <c r="K3229">
        <v>257</v>
      </c>
      <c r="L3229">
        <v>257</v>
      </c>
      <c r="M3229" s="29">
        <v>32125</v>
      </c>
      <c r="N3229">
        <v>0</v>
      </c>
      <c r="O3229" s="29">
        <v>32125</v>
      </c>
      <c r="P3229">
        <v>0</v>
      </c>
      <c r="Q3229">
        <v>0</v>
      </c>
      <c r="R3229">
        <v>0</v>
      </c>
      <c r="T3229" s="29">
        <v>112200</v>
      </c>
      <c r="U3229" s="29">
        <v>28835400</v>
      </c>
      <c r="V3229" t="s">
        <v>1262</v>
      </c>
      <c r="W3229" t="s">
        <v>1262</v>
      </c>
      <c r="X3229" s="29">
        <v>28835400</v>
      </c>
      <c r="AA3229" s="30">
        <v>45713.333333333336</v>
      </c>
      <c r="AB3229" s="30">
        <v>45726.708333333336</v>
      </c>
      <c r="AC3229" s="30">
        <v>45713.333333333336</v>
      </c>
      <c r="AD3229" s="30">
        <v>45726.708333333336</v>
      </c>
      <c r="AE3229" s="30">
        <v>46506.333333333336</v>
      </c>
      <c r="AF3229" s="30">
        <v>46519.708333333336</v>
      </c>
      <c r="AG3229" t="s">
        <v>1266</v>
      </c>
      <c r="AK3229" t="s">
        <v>1265</v>
      </c>
      <c r="AL3229" t="s">
        <v>1350</v>
      </c>
      <c r="AM3229" t="s">
        <v>1263</v>
      </c>
      <c r="AN3229" t="s">
        <v>1262</v>
      </c>
      <c r="AO3229">
        <v>0</v>
      </c>
      <c r="AQ3229" t="s">
        <v>1261</v>
      </c>
      <c r="AR3229" t="s">
        <v>1260</v>
      </c>
      <c r="AS3229" t="s">
        <v>1259</v>
      </c>
      <c r="AT3229" s="30">
        <v>46086.490972222222</v>
      </c>
    </row>
    <row r="3230" spans="1:46" x14ac:dyDescent="0.25">
      <c r="A3230" t="s">
        <v>1248</v>
      </c>
      <c r="B3230">
        <v>259500</v>
      </c>
      <c r="C3230">
        <v>360984</v>
      </c>
      <c r="D3230">
        <v>405</v>
      </c>
      <c r="E3230" t="s">
        <v>1266</v>
      </c>
      <c r="G3230">
        <v>745</v>
      </c>
      <c r="H3230">
        <v>1897</v>
      </c>
      <c r="K3230">
        <v>514</v>
      </c>
      <c r="L3230">
        <v>514</v>
      </c>
      <c r="M3230" s="29">
        <v>6425</v>
      </c>
      <c r="N3230">
        <v>0</v>
      </c>
      <c r="O3230" s="29">
        <v>6425</v>
      </c>
      <c r="P3230">
        <v>0</v>
      </c>
      <c r="Q3230">
        <v>0</v>
      </c>
      <c r="R3230">
        <v>0</v>
      </c>
      <c r="T3230" s="29">
        <v>42900</v>
      </c>
      <c r="U3230" s="29">
        <v>22050600</v>
      </c>
      <c r="V3230" t="s">
        <v>1262</v>
      </c>
      <c r="W3230" t="s">
        <v>1262</v>
      </c>
      <c r="X3230" s="29">
        <v>22050600</v>
      </c>
      <c r="AA3230" s="30">
        <v>45713.333333333336</v>
      </c>
      <c r="AB3230" s="30">
        <v>45726.708333333336</v>
      </c>
      <c r="AC3230" s="30">
        <v>45713.333333333336</v>
      </c>
      <c r="AD3230" s="30">
        <v>45726.708333333336</v>
      </c>
      <c r="AE3230" s="30">
        <v>46506.333333333336</v>
      </c>
      <c r="AF3230" s="30">
        <v>46519.708333333336</v>
      </c>
      <c r="AG3230" t="s">
        <v>1266</v>
      </c>
      <c r="AK3230" t="s">
        <v>1265</v>
      </c>
      <c r="AL3230" t="e">
        <f>+MSFXcVYzUeehbv7WkMjHw</f>
        <v>#NAME?</v>
      </c>
      <c r="AM3230" t="s">
        <v>1263</v>
      </c>
      <c r="AN3230" t="s">
        <v>1262</v>
      </c>
      <c r="AO3230">
        <v>0</v>
      </c>
      <c r="AQ3230" t="s">
        <v>1261</v>
      </c>
      <c r="AR3230" t="s">
        <v>1260</v>
      </c>
      <c r="AS3230" t="s">
        <v>1259</v>
      </c>
      <c r="AT3230" s="30">
        <v>46086.490972222222</v>
      </c>
    </row>
    <row r="3231" spans="1:46" x14ac:dyDescent="0.25">
      <c r="A3231" t="s">
        <v>1248</v>
      </c>
      <c r="B3231">
        <v>259501</v>
      </c>
      <c r="C3231">
        <v>360984</v>
      </c>
      <c r="D3231">
        <v>405</v>
      </c>
      <c r="E3231" t="s">
        <v>1266</v>
      </c>
      <c r="G3231">
        <v>745</v>
      </c>
      <c r="H3231">
        <v>1819</v>
      </c>
      <c r="K3231" t="s">
        <v>1349</v>
      </c>
      <c r="L3231" t="s">
        <v>1349</v>
      </c>
      <c r="M3231" t="s">
        <v>1348</v>
      </c>
      <c r="N3231">
        <v>0</v>
      </c>
      <c r="O3231" t="s">
        <v>1348</v>
      </c>
      <c r="P3231">
        <v>0</v>
      </c>
      <c r="Q3231">
        <v>0</v>
      </c>
      <c r="R3231">
        <v>0</v>
      </c>
      <c r="T3231" s="29">
        <v>1350000</v>
      </c>
      <c r="U3231" s="29">
        <v>69579000</v>
      </c>
      <c r="V3231" t="s">
        <v>1262</v>
      </c>
      <c r="W3231" t="s">
        <v>1262</v>
      </c>
      <c r="X3231" s="29">
        <v>69579000</v>
      </c>
      <c r="AA3231" s="30">
        <v>45713.333333333336</v>
      </c>
      <c r="AB3231" s="30">
        <v>45726.708333333336</v>
      </c>
      <c r="AC3231" s="30">
        <v>45713.333333333336</v>
      </c>
      <c r="AD3231" s="30">
        <v>45726.708333333336</v>
      </c>
      <c r="AE3231" s="30">
        <v>46506.333333333336</v>
      </c>
      <c r="AF3231" s="30">
        <v>46519.708333333336</v>
      </c>
      <c r="AG3231" t="s">
        <v>1266</v>
      </c>
      <c r="AK3231" t="s">
        <v>1265</v>
      </c>
      <c r="AL3231" t="s">
        <v>1347</v>
      </c>
      <c r="AM3231" t="s">
        <v>1263</v>
      </c>
      <c r="AN3231" t="s">
        <v>1262</v>
      </c>
      <c r="AO3231">
        <v>0</v>
      </c>
      <c r="AQ3231" t="s">
        <v>1261</v>
      </c>
      <c r="AR3231" t="s">
        <v>1260</v>
      </c>
      <c r="AS3231" t="s">
        <v>1259</v>
      </c>
      <c r="AT3231" s="30">
        <v>46086.490972222222</v>
      </c>
    </row>
    <row r="3232" spans="1:46" x14ac:dyDescent="0.25">
      <c r="A3232" t="s">
        <v>1248</v>
      </c>
      <c r="B3232">
        <v>259502</v>
      </c>
      <c r="C3232">
        <v>360984</v>
      </c>
      <c r="D3232">
        <v>405</v>
      </c>
      <c r="E3232" t="s">
        <v>1266</v>
      </c>
      <c r="G3232">
        <v>745</v>
      </c>
      <c r="H3232">
        <v>1827</v>
      </c>
      <c r="K3232">
        <v>102</v>
      </c>
      <c r="L3232">
        <v>102</v>
      </c>
      <c r="M3232" s="29">
        <v>1275</v>
      </c>
      <c r="N3232">
        <v>0</v>
      </c>
      <c r="O3232" s="29">
        <v>1275</v>
      </c>
      <c r="P3232">
        <v>0</v>
      </c>
      <c r="Q3232">
        <v>0</v>
      </c>
      <c r="R3232">
        <v>0</v>
      </c>
      <c r="T3232" s="29">
        <v>207200</v>
      </c>
      <c r="U3232" s="29">
        <v>21134400</v>
      </c>
      <c r="V3232" t="s">
        <v>1262</v>
      </c>
      <c r="W3232" t="s">
        <v>1262</v>
      </c>
      <c r="X3232" s="29">
        <v>21134400</v>
      </c>
      <c r="AA3232" s="30">
        <v>45713.333333333336</v>
      </c>
      <c r="AB3232" s="30">
        <v>45726.708333333336</v>
      </c>
      <c r="AC3232" s="30">
        <v>45713.333333333336</v>
      </c>
      <c r="AD3232" s="30">
        <v>45726.708333333336</v>
      </c>
      <c r="AE3232" s="30">
        <v>46506.333333333336</v>
      </c>
      <c r="AF3232" s="30">
        <v>46519.708333333336</v>
      </c>
      <c r="AG3232" t="s">
        <v>1266</v>
      </c>
      <c r="AK3232" t="s">
        <v>1265</v>
      </c>
      <c r="AL3232" t="s">
        <v>1346</v>
      </c>
      <c r="AM3232" t="s">
        <v>1263</v>
      </c>
      <c r="AN3232" t="s">
        <v>1262</v>
      </c>
      <c r="AO3232">
        <v>0</v>
      </c>
      <c r="AQ3232" t="s">
        <v>1261</v>
      </c>
      <c r="AR3232" t="s">
        <v>1260</v>
      </c>
      <c r="AS3232" t="s">
        <v>1259</v>
      </c>
      <c r="AT3232" s="30">
        <v>46086.491666666669</v>
      </c>
    </row>
    <row r="3233" spans="1:46" x14ac:dyDescent="0.25">
      <c r="A3233" t="s">
        <v>1248</v>
      </c>
      <c r="B3233">
        <v>259503</v>
      </c>
      <c r="C3233">
        <v>360984</v>
      </c>
      <c r="D3233">
        <v>405</v>
      </c>
      <c r="E3233" t="s">
        <v>1266</v>
      </c>
      <c r="G3233">
        <v>745</v>
      </c>
      <c r="H3233">
        <v>1895</v>
      </c>
      <c r="K3233">
        <v>4</v>
      </c>
      <c r="L3233">
        <v>4</v>
      </c>
      <c r="M3233" t="s">
        <v>1343</v>
      </c>
      <c r="N3233">
        <v>0</v>
      </c>
      <c r="O3233" t="s">
        <v>1343</v>
      </c>
      <c r="P3233">
        <v>0</v>
      </c>
      <c r="Q3233">
        <v>0</v>
      </c>
      <c r="R3233">
        <v>0</v>
      </c>
      <c r="T3233" s="29">
        <v>393400</v>
      </c>
      <c r="U3233" s="29">
        <v>1573600</v>
      </c>
      <c r="V3233" t="s">
        <v>1262</v>
      </c>
      <c r="W3233" t="s">
        <v>1262</v>
      </c>
      <c r="X3233" s="29">
        <v>1573600</v>
      </c>
      <c r="AA3233" s="30">
        <v>45713.333333333336</v>
      </c>
      <c r="AB3233" s="30">
        <v>45726.708333333336</v>
      </c>
      <c r="AC3233" s="30">
        <v>45713.333333333336</v>
      </c>
      <c r="AD3233" s="30">
        <v>45726.708333333336</v>
      </c>
      <c r="AE3233" s="30">
        <v>46506.333333333336</v>
      </c>
      <c r="AF3233" s="30">
        <v>46519.708333333336</v>
      </c>
      <c r="AG3233" t="s">
        <v>1266</v>
      </c>
      <c r="AK3233" t="s">
        <v>1265</v>
      </c>
      <c r="AL3233" t="s">
        <v>1345</v>
      </c>
      <c r="AM3233" t="s">
        <v>1263</v>
      </c>
      <c r="AN3233" t="s">
        <v>1262</v>
      </c>
      <c r="AO3233">
        <v>0</v>
      </c>
      <c r="AQ3233" t="s">
        <v>1261</v>
      </c>
      <c r="AR3233" t="s">
        <v>1260</v>
      </c>
      <c r="AS3233" t="s">
        <v>1259</v>
      </c>
      <c r="AT3233" s="30">
        <v>46086.491666666669</v>
      </c>
    </row>
    <row r="3234" spans="1:46" x14ac:dyDescent="0.25">
      <c r="A3234" t="s">
        <v>1248</v>
      </c>
      <c r="B3234">
        <v>259504</v>
      </c>
      <c r="C3234">
        <v>360984</v>
      </c>
      <c r="D3234">
        <v>405</v>
      </c>
      <c r="E3234" t="s">
        <v>1266</v>
      </c>
      <c r="G3234">
        <v>745</v>
      </c>
      <c r="H3234">
        <v>1894</v>
      </c>
      <c r="K3234">
        <v>4</v>
      </c>
      <c r="L3234">
        <v>4</v>
      </c>
      <c r="M3234" t="s">
        <v>1343</v>
      </c>
      <c r="N3234">
        <v>0</v>
      </c>
      <c r="O3234" t="s">
        <v>1343</v>
      </c>
      <c r="P3234">
        <v>0</v>
      </c>
      <c r="Q3234">
        <v>0</v>
      </c>
      <c r="R3234">
        <v>0</v>
      </c>
      <c r="T3234" s="29">
        <v>603300</v>
      </c>
      <c r="U3234" s="29">
        <v>2413200</v>
      </c>
      <c r="V3234" t="s">
        <v>1262</v>
      </c>
      <c r="W3234" t="s">
        <v>1262</v>
      </c>
      <c r="X3234" s="29">
        <v>2413200</v>
      </c>
      <c r="AA3234" s="30">
        <v>45713.333333333336</v>
      </c>
      <c r="AB3234" s="30">
        <v>45726.708333333336</v>
      </c>
      <c r="AC3234" s="30">
        <v>45713.333333333336</v>
      </c>
      <c r="AD3234" s="30">
        <v>45726.708333333336</v>
      </c>
      <c r="AE3234" s="30">
        <v>46506.333333333336</v>
      </c>
      <c r="AF3234" s="30">
        <v>46519.708333333336</v>
      </c>
      <c r="AG3234" t="s">
        <v>1266</v>
      </c>
      <c r="AK3234" t="s">
        <v>1265</v>
      </c>
      <c r="AL3234" t="s">
        <v>1344</v>
      </c>
      <c r="AM3234" t="s">
        <v>1263</v>
      </c>
      <c r="AN3234" t="s">
        <v>1262</v>
      </c>
      <c r="AO3234">
        <v>0</v>
      </c>
      <c r="AQ3234" t="s">
        <v>1261</v>
      </c>
      <c r="AR3234" t="s">
        <v>1260</v>
      </c>
      <c r="AS3234" t="s">
        <v>1259</v>
      </c>
      <c r="AT3234" s="30">
        <v>46086.492361111108</v>
      </c>
    </row>
    <row r="3235" spans="1:46" x14ac:dyDescent="0.25">
      <c r="A3235" t="s">
        <v>1248</v>
      </c>
      <c r="B3235">
        <v>259505</v>
      </c>
      <c r="C3235">
        <v>360984</v>
      </c>
      <c r="D3235">
        <v>405</v>
      </c>
      <c r="E3235" t="s">
        <v>1266</v>
      </c>
      <c r="G3235">
        <v>745</v>
      </c>
      <c r="H3235">
        <v>1896</v>
      </c>
      <c r="K3235">
        <v>4</v>
      </c>
      <c r="L3235">
        <v>4</v>
      </c>
      <c r="M3235" t="s">
        <v>1343</v>
      </c>
      <c r="N3235">
        <v>0</v>
      </c>
      <c r="O3235" t="s">
        <v>1343</v>
      </c>
      <c r="P3235">
        <v>0</v>
      </c>
      <c r="Q3235">
        <v>0</v>
      </c>
      <c r="R3235">
        <v>0</v>
      </c>
      <c r="T3235" s="29">
        <v>1764700</v>
      </c>
      <c r="U3235" s="29">
        <v>7058800</v>
      </c>
      <c r="V3235" t="s">
        <v>1262</v>
      </c>
      <c r="W3235" t="s">
        <v>1262</v>
      </c>
      <c r="X3235" s="29">
        <v>7058800</v>
      </c>
      <c r="AA3235" s="30">
        <v>45713.333333333336</v>
      </c>
      <c r="AB3235" s="30">
        <v>45726.708333333336</v>
      </c>
      <c r="AC3235" s="30">
        <v>45713.333333333336</v>
      </c>
      <c r="AD3235" s="30">
        <v>45726.708333333336</v>
      </c>
      <c r="AE3235" s="30">
        <v>46506.333333333336</v>
      </c>
      <c r="AF3235" s="30">
        <v>46519.708333333336</v>
      </c>
      <c r="AG3235" t="s">
        <v>1266</v>
      </c>
      <c r="AK3235" t="s">
        <v>1265</v>
      </c>
      <c r="AL3235" t="s">
        <v>1342</v>
      </c>
      <c r="AM3235" t="s">
        <v>1263</v>
      </c>
      <c r="AN3235" t="s">
        <v>1262</v>
      </c>
      <c r="AO3235">
        <v>0</v>
      </c>
      <c r="AQ3235" t="s">
        <v>1261</v>
      </c>
      <c r="AR3235" t="s">
        <v>1260</v>
      </c>
      <c r="AS3235" t="s">
        <v>1259</v>
      </c>
      <c r="AT3235" s="30">
        <v>46086.492361111108</v>
      </c>
    </row>
    <row r="3236" spans="1:46" x14ac:dyDescent="0.25">
      <c r="A3236" t="s">
        <v>1248</v>
      </c>
      <c r="B3236">
        <v>259506</v>
      </c>
      <c r="C3236">
        <v>360984</v>
      </c>
      <c r="D3236">
        <v>405</v>
      </c>
      <c r="E3236" t="s">
        <v>1266</v>
      </c>
      <c r="G3236">
        <v>745</v>
      </c>
      <c r="H3236">
        <v>1898</v>
      </c>
      <c r="K3236">
        <v>2</v>
      </c>
      <c r="L3236">
        <v>2</v>
      </c>
      <c r="M3236" t="s">
        <v>1340</v>
      </c>
      <c r="N3236">
        <v>0</v>
      </c>
      <c r="O3236" t="s">
        <v>1340</v>
      </c>
      <c r="P3236">
        <v>0</v>
      </c>
      <c r="Q3236">
        <v>0</v>
      </c>
      <c r="R3236">
        <v>0</v>
      </c>
      <c r="T3236" s="29">
        <v>2801800</v>
      </c>
      <c r="U3236" s="29">
        <v>5603600</v>
      </c>
      <c r="V3236" t="s">
        <v>1262</v>
      </c>
      <c r="W3236" t="s">
        <v>1262</v>
      </c>
      <c r="X3236" s="29">
        <v>5603600</v>
      </c>
      <c r="AA3236" s="30">
        <v>45713.333333333336</v>
      </c>
      <c r="AB3236" s="30">
        <v>45726.708333333336</v>
      </c>
      <c r="AC3236" s="30">
        <v>45713.333333333336</v>
      </c>
      <c r="AD3236" s="30">
        <v>45726.708333333336</v>
      </c>
      <c r="AE3236" s="30">
        <v>46506.333333333336</v>
      </c>
      <c r="AF3236" s="30">
        <v>46519.708333333336</v>
      </c>
      <c r="AG3236" t="s">
        <v>1266</v>
      </c>
      <c r="AK3236" t="s">
        <v>1265</v>
      </c>
      <c r="AL3236" t="s">
        <v>1341</v>
      </c>
      <c r="AM3236" t="s">
        <v>1263</v>
      </c>
      <c r="AN3236" t="s">
        <v>1262</v>
      </c>
      <c r="AO3236">
        <v>0</v>
      </c>
      <c r="AQ3236" t="s">
        <v>1261</v>
      </c>
      <c r="AR3236" t="s">
        <v>1260</v>
      </c>
      <c r="AS3236" t="s">
        <v>1259</v>
      </c>
      <c r="AT3236" s="30">
        <v>46086.492361111108</v>
      </c>
    </row>
    <row r="3237" spans="1:46" x14ac:dyDescent="0.25">
      <c r="A3237" t="s">
        <v>1248</v>
      </c>
      <c r="B3237">
        <v>259507</v>
      </c>
      <c r="C3237">
        <v>360984</v>
      </c>
      <c r="D3237">
        <v>405</v>
      </c>
      <c r="E3237" t="s">
        <v>1266</v>
      </c>
      <c r="G3237">
        <v>745</v>
      </c>
      <c r="H3237">
        <v>1899</v>
      </c>
      <c r="K3237">
        <v>2</v>
      </c>
      <c r="L3237">
        <v>2</v>
      </c>
      <c r="M3237" t="s">
        <v>1340</v>
      </c>
      <c r="N3237">
        <v>0</v>
      </c>
      <c r="O3237" t="s">
        <v>1340</v>
      </c>
      <c r="P3237">
        <v>0</v>
      </c>
      <c r="Q3237">
        <v>0</v>
      </c>
      <c r="R3237">
        <v>0</v>
      </c>
      <c r="T3237" s="29">
        <v>4401100</v>
      </c>
      <c r="U3237" s="29">
        <v>8802200</v>
      </c>
      <c r="V3237" t="s">
        <v>1262</v>
      </c>
      <c r="W3237" t="s">
        <v>1262</v>
      </c>
      <c r="X3237" s="29">
        <v>8802200</v>
      </c>
      <c r="AA3237" s="30">
        <v>45713.333333333336</v>
      </c>
      <c r="AB3237" s="30">
        <v>45726.708333333336</v>
      </c>
      <c r="AC3237" s="30">
        <v>45713.333333333336</v>
      </c>
      <c r="AD3237" s="30">
        <v>45726.708333333336</v>
      </c>
      <c r="AE3237" s="30">
        <v>46506.333333333336</v>
      </c>
      <c r="AF3237" s="30">
        <v>46519.708333333336</v>
      </c>
      <c r="AG3237" t="s">
        <v>1266</v>
      </c>
      <c r="AK3237" t="s">
        <v>1265</v>
      </c>
      <c r="AL3237" t="s">
        <v>1339</v>
      </c>
      <c r="AM3237" t="s">
        <v>1263</v>
      </c>
      <c r="AN3237" t="s">
        <v>1262</v>
      </c>
      <c r="AO3237">
        <v>0</v>
      </c>
      <c r="AQ3237" t="s">
        <v>1261</v>
      </c>
      <c r="AR3237" t="s">
        <v>1260</v>
      </c>
      <c r="AS3237" t="s">
        <v>1259</v>
      </c>
      <c r="AT3237" s="30">
        <v>46086.493055555555</v>
      </c>
    </row>
    <row r="3238" spans="1:46" x14ac:dyDescent="0.25">
      <c r="A3238" t="s">
        <v>1248</v>
      </c>
      <c r="B3238">
        <v>259508</v>
      </c>
      <c r="C3238">
        <v>360984</v>
      </c>
      <c r="D3238">
        <v>405</v>
      </c>
      <c r="E3238" t="s">
        <v>1266</v>
      </c>
      <c r="G3238">
        <v>745</v>
      </c>
      <c r="H3238">
        <v>1868</v>
      </c>
      <c r="K3238" t="s">
        <v>1338</v>
      </c>
      <c r="L3238" t="s">
        <v>1338</v>
      </c>
      <c r="M3238" t="s">
        <v>1337</v>
      </c>
      <c r="N3238">
        <v>0</v>
      </c>
      <c r="O3238" t="s">
        <v>1337</v>
      </c>
      <c r="P3238">
        <v>0</v>
      </c>
      <c r="Q3238">
        <v>0</v>
      </c>
      <c r="R3238">
        <v>0</v>
      </c>
      <c r="T3238" s="29">
        <v>3500000</v>
      </c>
      <c r="U3238" s="29">
        <v>1820000</v>
      </c>
      <c r="V3238" t="s">
        <v>1262</v>
      </c>
      <c r="W3238" t="s">
        <v>1262</v>
      </c>
      <c r="X3238" s="29">
        <v>1820000</v>
      </c>
      <c r="AA3238" s="30">
        <v>45713.333333333336</v>
      </c>
      <c r="AB3238" s="30">
        <v>45726.708333333336</v>
      </c>
      <c r="AC3238" s="30">
        <v>45713.333333333336</v>
      </c>
      <c r="AD3238" s="30">
        <v>45726.708333333336</v>
      </c>
      <c r="AE3238" s="30">
        <v>46506.333333333336</v>
      </c>
      <c r="AF3238" s="30">
        <v>46519.708333333336</v>
      </c>
      <c r="AG3238" t="s">
        <v>1266</v>
      </c>
      <c r="AK3238" t="s">
        <v>1265</v>
      </c>
      <c r="AL3238" t="s">
        <v>1336</v>
      </c>
      <c r="AM3238" t="s">
        <v>1263</v>
      </c>
      <c r="AN3238" t="s">
        <v>1262</v>
      </c>
      <c r="AO3238">
        <v>0</v>
      </c>
      <c r="AQ3238" t="s">
        <v>1261</v>
      </c>
      <c r="AR3238" t="s">
        <v>1260</v>
      </c>
      <c r="AS3238" t="s">
        <v>1259</v>
      </c>
      <c r="AT3238" s="30">
        <v>46086.493055555555</v>
      </c>
    </row>
    <row r="3239" spans="1:46" x14ac:dyDescent="0.25">
      <c r="A3239" t="s">
        <v>1248</v>
      </c>
      <c r="B3239">
        <v>261132</v>
      </c>
      <c r="C3239">
        <v>119998</v>
      </c>
      <c r="D3239">
        <v>405</v>
      </c>
      <c r="E3239" t="s">
        <v>1266</v>
      </c>
      <c r="G3239">
        <v>745</v>
      </c>
      <c r="H3239">
        <v>1832</v>
      </c>
      <c r="K3239">
        <v>38272</v>
      </c>
      <c r="L3239">
        <v>38272</v>
      </c>
      <c r="M3239" s="29">
        <v>34171428571</v>
      </c>
      <c r="N3239">
        <v>0</v>
      </c>
      <c r="O3239" s="29">
        <v>34171428571</v>
      </c>
      <c r="P3239">
        <v>0</v>
      </c>
      <c r="Q3239">
        <v>0</v>
      </c>
      <c r="R3239">
        <v>0</v>
      </c>
      <c r="T3239" s="29">
        <v>11200</v>
      </c>
      <c r="U3239" s="29">
        <v>428646398</v>
      </c>
      <c r="V3239" t="s">
        <v>1262</v>
      </c>
      <c r="W3239" t="s">
        <v>1262</v>
      </c>
      <c r="X3239" s="29">
        <v>428646398</v>
      </c>
      <c r="AA3239" s="30">
        <v>46027.333333333336</v>
      </c>
      <c r="AB3239" s="30">
        <v>46045.708333333336</v>
      </c>
      <c r="AC3239" s="30">
        <v>46027.333333333336</v>
      </c>
      <c r="AD3239" s="30">
        <v>46045.708333333336</v>
      </c>
      <c r="AE3239" s="30">
        <v>46178.333333333336</v>
      </c>
      <c r="AF3239" s="30">
        <v>46197.708333333336</v>
      </c>
      <c r="AG3239" t="s">
        <v>1266</v>
      </c>
      <c r="AK3239" t="s">
        <v>1265</v>
      </c>
      <c r="AL3239" t="s">
        <v>1335</v>
      </c>
      <c r="AM3239" t="s">
        <v>1263</v>
      </c>
      <c r="AN3239" t="s">
        <v>1262</v>
      </c>
      <c r="AO3239">
        <v>0</v>
      </c>
      <c r="AQ3239" t="s">
        <v>1261</v>
      </c>
      <c r="AR3239" t="s">
        <v>1260</v>
      </c>
      <c r="AS3239" t="s">
        <v>1259</v>
      </c>
      <c r="AT3239" s="30">
        <v>46093.393055555556</v>
      </c>
    </row>
    <row r="3240" spans="1:46" x14ac:dyDescent="0.25">
      <c r="A3240" t="s">
        <v>1248</v>
      </c>
      <c r="B3240">
        <v>261133</v>
      </c>
      <c r="C3240">
        <v>119999</v>
      </c>
      <c r="D3240">
        <v>405</v>
      </c>
      <c r="E3240" t="s">
        <v>1266</v>
      </c>
      <c r="G3240">
        <v>745</v>
      </c>
      <c r="H3240">
        <v>1832</v>
      </c>
      <c r="K3240">
        <v>38272</v>
      </c>
      <c r="L3240">
        <v>38272</v>
      </c>
      <c r="M3240" s="29">
        <v>34171428571</v>
      </c>
      <c r="N3240">
        <v>0</v>
      </c>
      <c r="O3240" s="29">
        <v>34171428571</v>
      </c>
      <c r="P3240">
        <v>0</v>
      </c>
      <c r="Q3240">
        <v>0</v>
      </c>
      <c r="R3240">
        <v>0</v>
      </c>
      <c r="T3240" s="29">
        <v>11200</v>
      </c>
      <c r="U3240" s="29">
        <v>428646398</v>
      </c>
      <c r="V3240" t="s">
        <v>1262</v>
      </c>
      <c r="W3240" t="s">
        <v>1262</v>
      </c>
      <c r="X3240" s="29">
        <v>428646398</v>
      </c>
      <c r="AA3240" s="30">
        <v>46048.333333333336</v>
      </c>
      <c r="AB3240" s="30">
        <v>46065.708333333336</v>
      </c>
      <c r="AC3240" s="30">
        <v>46048.333333333336</v>
      </c>
      <c r="AD3240" s="30">
        <v>46065.708333333336</v>
      </c>
      <c r="AE3240" s="30">
        <v>46198.333333333336</v>
      </c>
      <c r="AF3240" s="30">
        <v>46217.708333333336</v>
      </c>
      <c r="AG3240" t="s">
        <v>1266</v>
      </c>
      <c r="AK3240" t="s">
        <v>1265</v>
      </c>
      <c r="AL3240" t="s">
        <v>1334</v>
      </c>
      <c r="AM3240" t="s">
        <v>1263</v>
      </c>
      <c r="AN3240" t="s">
        <v>1262</v>
      </c>
      <c r="AO3240">
        <v>0</v>
      </c>
      <c r="AQ3240" t="s">
        <v>1261</v>
      </c>
      <c r="AR3240" t="s">
        <v>1260</v>
      </c>
      <c r="AS3240" t="s">
        <v>1259</v>
      </c>
      <c r="AT3240" s="30">
        <v>46093.393055555556</v>
      </c>
    </row>
    <row r="3241" spans="1:46" x14ac:dyDescent="0.25">
      <c r="A3241" t="s">
        <v>1248</v>
      </c>
      <c r="B3241">
        <v>261134</v>
      </c>
      <c r="C3241">
        <v>120000</v>
      </c>
      <c r="D3241">
        <v>405</v>
      </c>
      <c r="E3241" t="s">
        <v>1266</v>
      </c>
      <c r="G3241">
        <v>745</v>
      </c>
      <c r="H3241">
        <v>1832</v>
      </c>
      <c r="K3241">
        <v>38272</v>
      </c>
      <c r="L3241">
        <v>38272</v>
      </c>
      <c r="M3241" s="29">
        <v>34171428571</v>
      </c>
      <c r="N3241">
        <v>0</v>
      </c>
      <c r="O3241" s="29">
        <v>34171428571</v>
      </c>
      <c r="P3241">
        <v>0</v>
      </c>
      <c r="Q3241">
        <v>0</v>
      </c>
      <c r="R3241">
        <v>0</v>
      </c>
      <c r="T3241" s="29">
        <v>11200</v>
      </c>
      <c r="U3241" s="29">
        <v>428646398</v>
      </c>
      <c r="V3241" t="s">
        <v>1262</v>
      </c>
      <c r="W3241" t="s">
        <v>1262</v>
      </c>
      <c r="X3241" s="29">
        <v>428646398</v>
      </c>
      <c r="AA3241" s="30">
        <v>46066.333333333336</v>
      </c>
      <c r="AB3241" s="30">
        <v>46085.708333333336</v>
      </c>
      <c r="AC3241" s="30">
        <v>46066.333333333336</v>
      </c>
      <c r="AD3241" s="30">
        <v>46085.708333333336</v>
      </c>
      <c r="AE3241" s="30">
        <v>46218.333333333336</v>
      </c>
      <c r="AF3241" s="30">
        <v>46237.708333333336</v>
      </c>
      <c r="AG3241" t="s">
        <v>1266</v>
      </c>
      <c r="AK3241" t="s">
        <v>1265</v>
      </c>
      <c r="AL3241" t="s">
        <v>1333</v>
      </c>
      <c r="AM3241" t="s">
        <v>1263</v>
      </c>
      <c r="AN3241" t="s">
        <v>1262</v>
      </c>
      <c r="AO3241">
        <v>0</v>
      </c>
      <c r="AQ3241" t="s">
        <v>1261</v>
      </c>
      <c r="AR3241" t="s">
        <v>1260</v>
      </c>
      <c r="AS3241" t="s">
        <v>1259</v>
      </c>
      <c r="AT3241" s="30">
        <v>46093.393055555556</v>
      </c>
    </row>
    <row r="3242" spans="1:46" x14ac:dyDescent="0.25">
      <c r="A3242" t="s">
        <v>1248</v>
      </c>
      <c r="B3242">
        <v>261135</v>
      </c>
      <c r="C3242">
        <v>120001</v>
      </c>
      <c r="D3242">
        <v>405</v>
      </c>
      <c r="E3242" t="s">
        <v>1266</v>
      </c>
      <c r="G3242">
        <v>745</v>
      </c>
      <c r="H3242">
        <v>1832</v>
      </c>
      <c r="K3242">
        <v>38272</v>
      </c>
      <c r="L3242">
        <v>38272</v>
      </c>
      <c r="M3242" s="29">
        <v>34171428571</v>
      </c>
      <c r="N3242">
        <v>0</v>
      </c>
      <c r="O3242" s="29">
        <v>34171428571</v>
      </c>
      <c r="P3242">
        <v>0</v>
      </c>
      <c r="Q3242">
        <v>0</v>
      </c>
      <c r="R3242">
        <v>0</v>
      </c>
      <c r="T3242" s="29">
        <v>11200</v>
      </c>
      <c r="U3242" s="29">
        <v>428646398</v>
      </c>
      <c r="V3242" t="s">
        <v>1262</v>
      </c>
      <c r="W3242" t="s">
        <v>1262</v>
      </c>
      <c r="X3242" s="29">
        <v>428646398</v>
      </c>
      <c r="AA3242" s="30">
        <v>46086.333333333336</v>
      </c>
      <c r="AB3242" s="30">
        <v>46105.708333333336</v>
      </c>
      <c r="AC3242" s="30">
        <v>46086.333333333336</v>
      </c>
      <c r="AD3242" s="30">
        <v>46105.708333333336</v>
      </c>
      <c r="AE3242" s="30">
        <v>46238.333333333336</v>
      </c>
      <c r="AF3242" s="30">
        <v>46255.708333333336</v>
      </c>
      <c r="AG3242" t="s">
        <v>1266</v>
      </c>
      <c r="AK3242" t="s">
        <v>1265</v>
      </c>
      <c r="AL3242" t="s">
        <v>1332</v>
      </c>
      <c r="AM3242" t="s">
        <v>1263</v>
      </c>
      <c r="AN3242" t="s">
        <v>1262</v>
      </c>
      <c r="AO3242">
        <v>0</v>
      </c>
      <c r="AQ3242" t="s">
        <v>1261</v>
      </c>
      <c r="AR3242" t="s">
        <v>1260</v>
      </c>
      <c r="AS3242" t="s">
        <v>1259</v>
      </c>
      <c r="AT3242" s="30">
        <v>46093.393750000003</v>
      </c>
    </row>
    <row r="3243" spans="1:46" x14ac:dyDescent="0.25">
      <c r="A3243" t="s">
        <v>1248</v>
      </c>
      <c r="B3243">
        <v>261136</v>
      </c>
      <c r="C3243">
        <v>120002</v>
      </c>
      <c r="D3243">
        <v>405</v>
      </c>
      <c r="E3243" t="s">
        <v>1266</v>
      </c>
      <c r="G3243">
        <v>745</v>
      </c>
      <c r="H3243">
        <v>1832</v>
      </c>
      <c r="K3243">
        <v>38272</v>
      </c>
      <c r="L3243">
        <v>38272</v>
      </c>
      <c r="M3243" s="29">
        <v>34171428571</v>
      </c>
      <c r="N3243">
        <v>0</v>
      </c>
      <c r="O3243" s="29">
        <v>34171428571</v>
      </c>
      <c r="P3243">
        <v>0</v>
      </c>
      <c r="Q3243">
        <v>0</v>
      </c>
      <c r="R3243">
        <v>0</v>
      </c>
      <c r="T3243" s="29">
        <v>11200</v>
      </c>
      <c r="U3243" s="29">
        <v>428646398</v>
      </c>
      <c r="V3243" t="s">
        <v>1262</v>
      </c>
      <c r="W3243" t="s">
        <v>1262</v>
      </c>
      <c r="X3243" s="29">
        <v>428646398</v>
      </c>
      <c r="AA3243" s="30">
        <v>46106.333333333336</v>
      </c>
      <c r="AB3243" s="30">
        <v>46126.708333333336</v>
      </c>
      <c r="AC3243" s="30">
        <v>46106.333333333336</v>
      </c>
      <c r="AD3243" s="30">
        <v>46126.708333333336</v>
      </c>
      <c r="AE3243" s="30">
        <v>46258.333333333336</v>
      </c>
      <c r="AF3243" s="30">
        <v>46275.708333333336</v>
      </c>
      <c r="AG3243" t="s">
        <v>1266</v>
      </c>
      <c r="AK3243" t="s">
        <v>1265</v>
      </c>
      <c r="AL3243" t="s">
        <v>1331</v>
      </c>
      <c r="AM3243" t="s">
        <v>1263</v>
      </c>
      <c r="AN3243" t="s">
        <v>1262</v>
      </c>
      <c r="AO3243">
        <v>0</v>
      </c>
      <c r="AQ3243" t="s">
        <v>1261</v>
      </c>
      <c r="AR3243" t="s">
        <v>1260</v>
      </c>
      <c r="AS3243" t="s">
        <v>1259</v>
      </c>
      <c r="AT3243" s="30">
        <v>46093.393750000003</v>
      </c>
    </row>
    <row r="3244" spans="1:46" x14ac:dyDescent="0.25">
      <c r="A3244" t="s">
        <v>1248</v>
      </c>
      <c r="B3244">
        <v>261137</v>
      </c>
      <c r="C3244">
        <v>120003</v>
      </c>
      <c r="D3244">
        <v>405</v>
      </c>
      <c r="E3244" t="s">
        <v>1266</v>
      </c>
      <c r="G3244">
        <v>745</v>
      </c>
      <c r="H3244">
        <v>1832</v>
      </c>
      <c r="K3244">
        <v>38272</v>
      </c>
      <c r="L3244">
        <v>38272</v>
      </c>
      <c r="M3244" s="29">
        <v>34171428571</v>
      </c>
      <c r="N3244">
        <v>0</v>
      </c>
      <c r="O3244" s="29">
        <v>34171428571</v>
      </c>
      <c r="P3244">
        <v>0</v>
      </c>
      <c r="Q3244">
        <v>0</v>
      </c>
      <c r="R3244">
        <v>0</v>
      </c>
      <c r="T3244" s="29">
        <v>11200</v>
      </c>
      <c r="U3244" s="29">
        <v>428646398</v>
      </c>
      <c r="V3244" t="s">
        <v>1262</v>
      </c>
      <c r="W3244" t="s">
        <v>1262</v>
      </c>
      <c r="X3244" s="29">
        <v>428646398</v>
      </c>
      <c r="AA3244" s="30">
        <v>46127.333333333336</v>
      </c>
      <c r="AB3244" s="30">
        <v>46147.708333333336</v>
      </c>
      <c r="AC3244" s="30">
        <v>46127.333333333336</v>
      </c>
      <c r="AD3244" s="30">
        <v>46147.708333333336</v>
      </c>
      <c r="AE3244" s="30">
        <v>46276.333333333336</v>
      </c>
      <c r="AF3244" s="30">
        <v>46295.708333333336</v>
      </c>
      <c r="AG3244" t="s">
        <v>1266</v>
      </c>
      <c r="AK3244" t="s">
        <v>1265</v>
      </c>
      <c r="AL3244" t="s">
        <v>1330</v>
      </c>
      <c r="AM3244" t="s">
        <v>1263</v>
      </c>
      <c r="AN3244" t="s">
        <v>1262</v>
      </c>
      <c r="AO3244">
        <v>0</v>
      </c>
      <c r="AQ3244" t="s">
        <v>1261</v>
      </c>
      <c r="AR3244" t="s">
        <v>1260</v>
      </c>
      <c r="AS3244" t="s">
        <v>1259</v>
      </c>
      <c r="AT3244" s="30">
        <v>46093.393750000003</v>
      </c>
    </row>
    <row r="3245" spans="1:46" x14ac:dyDescent="0.25">
      <c r="A3245" t="s">
        <v>1248</v>
      </c>
      <c r="B3245">
        <v>261138</v>
      </c>
      <c r="C3245">
        <v>120004</v>
      </c>
      <c r="D3245">
        <v>405</v>
      </c>
      <c r="E3245" t="s">
        <v>1266</v>
      </c>
      <c r="G3245">
        <v>745</v>
      </c>
      <c r="H3245">
        <v>1832</v>
      </c>
      <c r="K3245">
        <v>38272</v>
      </c>
      <c r="L3245">
        <v>38272</v>
      </c>
      <c r="M3245" s="29">
        <v>34171428571</v>
      </c>
      <c r="N3245">
        <v>0</v>
      </c>
      <c r="O3245" s="29">
        <v>34171428571</v>
      </c>
      <c r="P3245">
        <v>0</v>
      </c>
      <c r="Q3245">
        <v>0</v>
      </c>
      <c r="R3245">
        <v>0</v>
      </c>
      <c r="T3245" s="29">
        <v>11200</v>
      </c>
      <c r="U3245" s="29">
        <v>428646398</v>
      </c>
      <c r="V3245" t="s">
        <v>1262</v>
      </c>
      <c r="W3245" t="s">
        <v>1262</v>
      </c>
      <c r="X3245" s="29">
        <v>428646398</v>
      </c>
      <c r="AA3245" s="30">
        <v>46148.333333333336</v>
      </c>
      <c r="AB3245" s="30">
        <v>46167.708333333336</v>
      </c>
      <c r="AC3245" s="30">
        <v>46148.333333333336</v>
      </c>
      <c r="AD3245" s="30">
        <v>46167.708333333336</v>
      </c>
      <c r="AE3245" s="30">
        <v>46296.333333333336</v>
      </c>
      <c r="AF3245" s="30">
        <v>46315.708333333336</v>
      </c>
      <c r="AG3245" t="s">
        <v>1266</v>
      </c>
      <c r="AK3245" t="s">
        <v>1265</v>
      </c>
      <c r="AL3245" t="s">
        <v>1329</v>
      </c>
      <c r="AM3245" t="s">
        <v>1263</v>
      </c>
      <c r="AN3245" t="s">
        <v>1262</v>
      </c>
      <c r="AO3245">
        <v>0</v>
      </c>
      <c r="AQ3245" t="s">
        <v>1261</v>
      </c>
      <c r="AR3245" t="s">
        <v>1260</v>
      </c>
      <c r="AS3245" t="s">
        <v>1259</v>
      </c>
      <c r="AT3245" s="30">
        <v>46093.393750000003</v>
      </c>
    </row>
    <row r="3246" spans="1:46" x14ac:dyDescent="0.25">
      <c r="A3246" t="s">
        <v>1248</v>
      </c>
      <c r="B3246">
        <v>261139</v>
      </c>
      <c r="C3246">
        <v>120005</v>
      </c>
      <c r="D3246">
        <v>405</v>
      </c>
      <c r="E3246" t="s">
        <v>1266</v>
      </c>
      <c r="G3246">
        <v>745</v>
      </c>
      <c r="H3246">
        <v>1832</v>
      </c>
      <c r="K3246">
        <v>38272</v>
      </c>
      <c r="L3246">
        <v>38272</v>
      </c>
      <c r="M3246" s="29">
        <v>34171428571</v>
      </c>
      <c r="N3246">
        <v>0</v>
      </c>
      <c r="O3246" s="29">
        <v>34171428571</v>
      </c>
      <c r="P3246">
        <v>0</v>
      </c>
      <c r="Q3246">
        <v>0</v>
      </c>
      <c r="R3246">
        <v>0</v>
      </c>
      <c r="T3246" s="29">
        <v>11200</v>
      </c>
      <c r="U3246" s="29">
        <v>428646398</v>
      </c>
      <c r="V3246" t="s">
        <v>1262</v>
      </c>
      <c r="W3246" t="s">
        <v>1262</v>
      </c>
      <c r="X3246" s="29">
        <v>428646398</v>
      </c>
      <c r="AA3246" s="30">
        <v>46168.333333333336</v>
      </c>
      <c r="AB3246" s="30">
        <v>46188.708333333336</v>
      </c>
      <c r="AC3246" s="30">
        <v>46168.333333333336</v>
      </c>
      <c r="AD3246" s="30">
        <v>46188.708333333336</v>
      </c>
      <c r="AE3246" s="30">
        <v>46316.333333333336</v>
      </c>
      <c r="AF3246" s="30">
        <v>46335.708333333336</v>
      </c>
      <c r="AG3246" t="s">
        <v>1266</v>
      </c>
      <c r="AK3246" t="s">
        <v>1265</v>
      </c>
      <c r="AL3246" t="s">
        <v>1328</v>
      </c>
      <c r="AM3246" t="s">
        <v>1263</v>
      </c>
      <c r="AN3246" t="s">
        <v>1262</v>
      </c>
      <c r="AO3246">
        <v>0</v>
      </c>
      <c r="AQ3246" t="s">
        <v>1261</v>
      </c>
      <c r="AR3246" t="s">
        <v>1260</v>
      </c>
      <c r="AS3246" t="s">
        <v>1259</v>
      </c>
      <c r="AT3246" s="30">
        <v>46093.394444444442</v>
      </c>
    </row>
    <row r="3247" spans="1:46" x14ac:dyDescent="0.25">
      <c r="A3247" t="s">
        <v>1248</v>
      </c>
      <c r="B3247">
        <v>261140</v>
      </c>
      <c r="C3247">
        <v>120006</v>
      </c>
      <c r="D3247">
        <v>405</v>
      </c>
      <c r="E3247" t="s">
        <v>1266</v>
      </c>
      <c r="G3247">
        <v>745</v>
      </c>
      <c r="H3247">
        <v>1832</v>
      </c>
      <c r="K3247">
        <v>38272</v>
      </c>
      <c r="L3247">
        <v>38272</v>
      </c>
      <c r="M3247" s="29">
        <v>34171428571</v>
      </c>
      <c r="N3247">
        <v>0</v>
      </c>
      <c r="O3247" s="29">
        <v>34171428571</v>
      </c>
      <c r="P3247">
        <v>0</v>
      </c>
      <c r="Q3247">
        <v>0</v>
      </c>
      <c r="R3247">
        <v>0</v>
      </c>
      <c r="T3247" s="29">
        <v>11200</v>
      </c>
      <c r="U3247" s="29">
        <v>428646398</v>
      </c>
      <c r="V3247" t="s">
        <v>1262</v>
      </c>
      <c r="W3247" t="s">
        <v>1262</v>
      </c>
      <c r="X3247" s="29">
        <v>428646398</v>
      </c>
      <c r="AA3247" s="30">
        <v>46189.333333333336</v>
      </c>
      <c r="AB3247" s="30">
        <v>46206.708333333336</v>
      </c>
      <c r="AC3247" s="30">
        <v>46189.333333333336</v>
      </c>
      <c r="AD3247" s="30">
        <v>46206.708333333336</v>
      </c>
      <c r="AE3247" s="30">
        <v>46336.333333333336</v>
      </c>
      <c r="AF3247" s="30">
        <v>46353.708333333336</v>
      </c>
      <c r="AG3247" t="s">
        <v>1266</v>
      </c>
      <c r="AK3247" t="s">
        <v>1265</v>
      </c>
      <c r="AL3247" t="s">
        <v>1327</v>
      </c>
      <c r="AM3247" t="s">
        <v>1263</v>
      </c>
      <c r="AN3247" t="s">
        <v>1262</v>
      </c>
      <c r="AO3247">
        <v>0</v>
      </c>
      <c r="AQ3247" t="s">
        <v>1261</v>
      </c>
      <c r="AR3247" t="s">
        <v>1260</v>
      </c>
      <c r="AS3247" t="s">
        <v>1259</v>
      </c>
      <c r="AT3247" s="30">
        <v>46093.394444444442</v>
      </c>
    </row>
    <row r="3248" spans="1:46" x14ac:dyDescent="0.25">
      <c r="A3248" t="s">
        <v>1248</v>
      </c>
      <c r="B3248">
        <v>261141</v>
      </c>
      <c r="C3248">
        <v>120007</v>
      </c>
      <c r="D3248">
        <v>405</v>
      </c>
      <c r="E3248" t="s">
        <v>1266</v>
      </c>
      <c r="G3248">
        <v>745</v>
      </c>
      <c r="H3248">
        <v>1832</v>
      </c>
      <c r="K3248">
        <v>38272</v>
      </c>
      <c r="L3248">
        <v>38272</v>
      </c>
      <c r="M3248" s="29">
        <v>34171428571</v>
      </c>
      <c r="N3248">
        <v>0</v>
      </c>
      <c r="O3248" s="29">
        <v>34171428571</v>
      </c>
      <c r="P3248">
        <v>0</v>
      </c>
      <c r="Q3248">
        <v>0</v>
      </c>
      <c r="R3248">
        <v>0</v>
      </c>
      <c r="T3248" s="29">
        <v>11200</v>
      </c>
      <c r="U3248" s="29">
        <v>428646398</v>
      </c>
      <c r="V3248" t="s">
        <v>1262</v>
      </c>
      <c r="W3248" t="s">
        <v>1262</v>
      </c>
      <c r="X3248" s="29">
        <v>428646398</v>
      </c>
      <c r="AA3248" s="30">
        <v>46209.333333333336</v>
      </c>
      <c r="AB3248" s="30">
        <v>46226.708333333336</v>
      </c>
      <c r="AC3248" s="30">
        <v>46209.333333333336</v>
      </c>
      <c r="AD3248" s="30">
        <v>46226.708333333336</v>
      </c>
      <c r="AE3248" s="30">
        <v>46356.333333333336</v>
      </c>
      <c r="AF3248" s="30">
        <v>46374.708333333336</v>
      </c>
      <c r="AG3248" t="s">
        <v>1266</v>
      </c>
      <c r="AK3248" t="s">
        <v>1265</v>
      </c>
      <c r="AL3248" t="s">
        <v>1326</v>
      </c>
      <c r="AM3248" t="s">
        <v>1263</v>
      </c>
      <c r="AN3248" t="s">
        <v>1262</v>
      </c>
      <c r="AO3248">
        <v>0</v>
      </c>
      <c r="AQ3248" t="s">
        <v>1261</v>
      </c>
      <c r="AR3248" t="s">
        <v>1260</v>
      </c>
      <c r="AS3248" t="s">
        <v>1259</v>
      </c>
      <c r="AT3248" s="30">
        <v>46093.394444444442</v>
      </c>
    </row>
    <row r="3249" spans="1:46" x14ac:dyDescent="0.25">
      <c r="A3249" t="s">
        <v>1248</v>
      </c>
      <c r="B3249">
        <v>261142</v>
      </c>
      <c r="C3249">
        <v>120008</v>
      </c>
      <c r="D3249">
        <v>405</v>
      </c>
      <c r="E3249" t="s">
        <v>1266</v>
      </c>
      <c r="G3249">
        <v>745</v>
      </c>
      <c r="H3249">
        <v>1832</v>
      </c>
      <c r="K3249">
        <v>38272</v>
      </c>
      <c r="L3249">
        <v>38272</v>
      </c>
      <c r="M3249" s="29">
        <v>34171428571</v>
      </c>
      <c r="N3249">
        <v>0</v>
      </c>
      <c r="O3249" s="29">
        <v>34171428571</v>
      </c>
      <c r="P3249">
        <v>0</v>
      </c>
      <c r="Q3249">
        <v>0</v>
      </c>
      <c r="R3249">
        <v>0</v>
      </c>
      <c r="T3249" s="29">
        <v>11200</v>
      </c>
      <c r="U3249" s="29">
        <v>428646398</v>
      </c>
      <c r="V3249" t="s">
        <v>1262</v>
      </c>
      <c r="W3249" t="s">
        <v>1262</v>
      </c>
      <c r="X3249" s="29">
        <v>428646398</v>
      </c>
      <c r="AA3249" s="30">
        <v>46227.333333333336</v>
      </c>
      <c r="AB3249" s="30">
        <v>46246.708333333336</v>
      </c>
      <c r="AC3249" s="30">
        <v>46227.333333333336</v>
      </c>
      <c r="AD3249" s="30">
        <v>46246.708333333336</v>
      </c>
      <c r="AE3249" s="30">
        <v>46377.333333333336</v>
      </c>
      <c r="AF3249" s="30">
        <v>46399.708333333336</v>
      </c>
      <c r="AG3249" t="s">
        <v>1266</v>
      </c>
      <c r="AK3249" t="s">
        <v>1265</v>
      </c>
      <c r="AL3249" t="s">
        <v>1325</v>
      </c>
      <c r="AM3249" t="s">
        <v>1263</v>
      </c>
      <c r="AN3249" t="s">
        <v>1262</v>
      </c>
      <c r="AO3249">
        <v>0</v>
      </c>
      <c r="AQ3249" t="s">
        <v>1261</v>
      </c>
      <c r="AR3249" t="s">
        <v>1260</v>
      </c>
      <c r="AS3249" t="s">
        <v>1259</v>
      </c>
      <c r="AT3249" s="30">
        <v>46093.394444444442</v>
      </c>
    </row>
    <row r="3250" spans="1:46" x14ac:dyDescent="0.25">
      <c r="A3250" t="s">
        <v>1248</v>
      </c>
      <c r="B3250">
        <v>261143</v>
      </c>
      <c r="C3250">
        <v>119898</v>
      </c>
      <c r="D3250">
        <v>405</v>
      </c>
      <c r="E3250" t="s">
        <v>1266</v>
      </c>
      <c r="G3250">
        <v>745</v>
      </c>
      <c r="H3250">
        <v>1832</v>
      </c>
      <c r="K3250">
        <v>38272</v>
      </c>
      <c r="L3250">
        <v>38272</v>
      </c>
      <c r="M3250" s="29">
        <v>39866666666</v>
      </c>
      <c r="N3250">
        <v>0</v>
      </c>
      <c r="O3250" s="29">
        <v>39866666666</v>
      </c>
      <c r="P3250">
        <v>0</v>
      </c>
      <c r="Q3250">
        <v>0</v>
      </c>
      <c r="R3250">
        <v>0</v>
      </c>
      <c r="T3250" s="29">
        <v>11200</v>
      </c>
      <c r="U3250" s="29">
        <v>428646398</v>
      </c>
      <c r="V3250" t="s">
        <v>1262</v>
      </c>
      <c r="W3250" t="s">
        <v>1262</v>
      </c>
      <c r="X3250" s="29">
        <v>428646398</v>
      </c>
      <c r="AA3250" s="30">
        <v>46006.333333333336</v>
      </c>
      <c r="AB3250" s="30">
        <v>46021.708333333336</v>
      </c>
      <c r="AC3250" s="30">
        <v>46006.333333333336</v>
      </c>
      <c r="AD3250" s="30">
        <v>46021.708333333336</v>
      </c>
      <c r="AE3250" s="30">
        <v>46006.333333333336</v>
      </c>
      <c r="AF3250" s="30">
        <v>46021.708333333336</v>
      </c>
      <c r="AG3250" t="s">
        <v>1266</v>
      </c>
      <c r="AK3250" t="s">
        <v>1265</v>
      </c>
      <c r="AL3250" t="s">
        <v>1324</v>
      </c>
      <c r="AM3250" t="s">
        <v>1263</v>
      </c>
      <c r="AN3250" t="s">
        <v>1262</v>
      </c>
      <c r="AO3250">
        <v>0</v>
      </c>
      <c r="AQ3250" t="s">
        <v>1261</v>
      </c>
      <c r="AR3250" t="s">
        <v>1260</v>
      </c>
      <c r="AS3250" t="s">
        <v>1259</v>
      </c>
      <c r="AT3250" s="30">
        <v>46093.395138888889</v>
      </c>
    </row>
    <row r="3251" spans="1:46" x14ac:dyDescent="0.25">
      <c r="A3251" t="s">
        <v>1248</v>
      </c>
      <c r="B3251">
        <v>261144</v>
      </c>
      <c r="C3251">
        <v>119899</v>
      </c>
      <c r="D3251">
        <v>405</v>
      </c>
      <c r="E3251" t="s">
        <v>1266</v>
      </c>
      <c r="G3251">
        <v>745</v>
      </c>
      <c r="H3251">
        <v>1832</v>
      </c>
      <c r="K3251">
        <v>38272</v>
      </c>
      <c r="L3251">
        <v>38272</v>
      </c>
      <c r="M3251" s="29">
        <v>39866666666</v>
      </c>
      <c r="N3251">
        <v>0</v>
      </c>
      <c r="O3251" s="29">
        <v>39866666666</v>
      </c>
      <c r="P3251">
        <v>0</v>
      </c>
      <c r="Q3251">
        <v>0</v>
      </c>
      <c r="R3251">
        <v>0</v>
      </c>
      <c r="T3251" s="29">
        <v>11200</v>
      </c>
      <c r="U3251" s="29">
        <v>428646398</v>
      </c>
      <c r="V3251" t="s">
        <v>1262</v>
      </c>
      <c r="W3251" t="s">
        <v>1262</v>
      </c>
      <c r="X3251" s="29">
        <v>428646398</v>
      </c>
      <c r="AA3251" s="30">
        <v>46022.333333333336</v>
      </c>
      <c r="AB3251" s="30">
        <v>46041.708333333336</v>
      </c>
      <c r="AC3251" s="30">
        <v>46022.333333333336</v>
      </c>
      <c r="AD3251" s="30">
        <v>46041.708333333336</v>
      </c>
      <c r="AE3251" s="30">
        <v>46022.333333333336</v>
      </c>
      <c r="AF3251" s="30">
        <v>46041.708333333336</v>
      </c>
      <c r="AG3251" t="s">
        <v>1266</v>
      </c>
      <c r="AK3251" t="s">
        <v>1265</v>
      </c>
      <c r="AL3251" t="s">
        <v>1323</v>
      </c>
      <c r="AM3251" t="s">
        <v>1263</v>
      </c>
      <c r="AN3251" t="s">
        <v>1262</v>
      </c>
      <c r="AO3251">
        <v>0</v>
      </c>
      <c r="AQ3251" t="s">
        <v>1261</v>
      </c>
      <c r="AR3251" t="s">
        <v>1260</v>
      </c>
      <c r="AS3251" t="s">
        <v>1259</v>
      </c>
      <c r="AT3251" s="30">
        <v>46093.395138888889</v>
      </c>
    </row>
    <row r="3252" spans="1:46" x14ac:dyDescent="0.25">
      <c r="A3252" t="s">
        <v>1248</v>
      </c>
      <c r="B3252">
        <v>261145</v>
      </c>
      <c r="C3252">
        <v>119900</v>
      </c>
      <c r="D3252">
        <v>405</v>
      </c>
      <c r="E3252" t="s">
        <v>1266</v>
      </c>
      <c r="G3252">
        <v>745</v>
      </c>
      <c r="H3252">
        <v>1832</v>
      </c>
      <c r="K3252">
        <v>38272</v>
      </c>
      <c r="L3252">
        <v>38272</v>
      </c>
      <c r="M3252" s="29">
        <v>39866666666</v>
      </c>
      <c r="N3252">
        <v>0</v>
      </c>
      <c r="O3252" s="29">
        <v>39866666666</v>
      </c>
      <c r="P3252">
        <v>0</v>
      </c>
      <c r="Q3252">
        <v>0</v>
      </c>
      <c r="R3252">
        <v>0</v>
      </c>
      <c r="T3252" s="29">
        <v>11200</v>
      </c>
      <c r="U3252" s="29">
        <v>428646398</v>
      </c>
      <c r="V3252" t="s">
        <v>1262</v>
      </c>
      <c r="W3252" t="s">
        <v>1262</v>
      </c>
      <c r="X3252" s="29">
        <v>428646398</v>
      </c>
      <c r="AA3252" s="30">
        <v>46042.333333333336</v>
      </c>
      <c r="AB3252" s="30">
        <v>46057.708333333336</v>
      </c>
      <c r="AC3252" s="30">
        <v>46042.333333333336</v>
      </c>
      <c r="AD3252" s="30">
        <v>46057.708333333336</v>
      </c>
      <c r="AE3252" s="30">
        <v>46042.333333333336</v>
      </c>
      <c r="AF3252" s="30">
        <v>46057.708333333336</v>
      </c>
      <c r="AG3252" t="s">
        <v>1266</v>
      </c>
      <c r="AK3252" t="s">
        <v>1265</v>
      </c>
      <c r="AL3252" t="s">
        <v>1322</v>
      </c>
      <c r="AM3252" t="s">
        <v>1263</v>
      </c>
      <c r="AN3252" t="s">
        <v>1262</v>
      </c>
      <c r="AO3252">
        <v>0</v>
      </c>
      <c r="AQ3252" t="s">
        <v>1261</v>
      </c>
      <c r="AR3252" t="s">
        <v>1260</v>
      </c>
      <c r="AS3252" t="s">
        <v>1259</v>
      </c>
      <c r="AT3252" s="30">
        <v>46093.395138888889</v>
      </c>
    </row>
    <row r="3253" spans="1:46" x14ac:dyDescent="0.25">
      <c r="A3253" t="s">
        <v>1248</v>
      </c>
      <c r="B3253">
        <v>261146</v>
      </c>
      <c r="C3253">
        <v>119901</v>
      </c>
      <c r="D3253">
        <v>405</v>
      </c>
      <c r="E3253" t="s">
        <v>1266</v>
      </c>
      <c r="G3253">
        <v>745</v>
      </c>
      <c r="H3253">
        <v>1832</v>
      </c>
      <c r="K3253">
        <v>38272</v>
      </c>
      <c r="L3253">
        <v>38272</v>
      </c>
      <c r="M3253" s="29">
        <v>39866666666</v>
      </c>
      <c r="N3253">
        <v>0</v>
      </c>
      <c r="O3253" s="29">
        <v>39866666666</v>
      </c>
      <c r="P3253">
        <v>0</v>
      </c>
      <c r="Q3253">
        <v>0</v>
      </c>
      <c r="R3253">
        <v>0</v>
      </c>
      <c r="T3253" s="29">
        <v>11200</v>
      </c>
      <c r="U3253" s="29">
        <v>428646398</v>
      </c>
      <c r="V3253" t="s">
        <v>1262</v>
      </c>
      <c r="W3253" t="s">
        <v>1262</v>
      </c>
      <c r="X3253" s="29">
        <v>428646398</v>
      </c>
      <c r="AA3253" s="30">
        <v>46058.333333333336</v>
      </c>
      <c r="AB3253" s="30">
        <v>46073.708333333336</v>
      </c>
      <c r="AC3253" s="30">
        <v>46058.333333333336</v>
      </c>
      <c r="AD3253" s="30">
        <v>46073.708333333336</v>
      </c>
      <c r="AE3253" s="30">
        <v>46058.333333333336</v>
      </c>
      <c r="AF3253" s="30">
        <v>46073.708333333336</v>
      </c>
      <c r="AG3253" t="s">
        <v>1266</v>
      </c>
      <c r="AK3253" t="s">
        <v>1265</v>
      </c>
      <c r="AL3253" t="s">
        <v>1321</v>
      </c>
      <c r="AM3253" t="s">
        <v>1263</v>
      </c>
      <c r="AN3253" t="s">
        <v>1262</v>
      </c>
      <c r="AO3253">
        <v>0</v>
      </c>
      <c r="AQ3253" t="s">
        <v>1261</v>
      </c>
      <c r="AR3253" t="s">
        <v>1260</v>
      </c>
      <c r="AS3253" t="s">
        <v>1259</v>
      </c>
      <c r="AT3253" s="30">
        <v>46093.395138888889</v>
      </c>
    </row>
    <row r="3254" spans="1:46" x14ac:dyDescent="0.25">
      <c r="A3254" t="s">
        <v>1248</v>
      </c>
      <c r="B3254">
        <v>261147</v>
      </c>
      <c r="C3254">
        <v>119902</v>
      </c>
      <c r="D3254">
        <v>405</v>
      </c>
      <c r="E3254" t="s">
        <v>1266</v>
      </c>
      <c r="G3254">
        <v>745</v>
      </c>
      <c r="H3254">
        <v>1832</v>
      </c>
      <c r="K3254">
        <v>38272</v>
      </c>
      <c r="L3254">
        <v>38272</v>
      </c>
      <c r="M3254" s="29">
        <v>39866666666</v>
      </c>
      <c r="N3254">
        <v>0</v>
      </c>
      <c r="O3254" s="29">
        <v>39866666666</v>
      </c>
      <c r="P3254">
        <v>0</v>
      </c>
      <c r="Q3254">
        <v>0</v>
      </c>
      <c r="R3254">
        <v>0</v>
      </c>
      <c r="T3254" s="29">
        <v>11200</v>
      </c>
      <c r="U3254" s="29">
        <v>428646398</v>
      </c>
      <c r="V3254" t="s">
        <v>1262</v>
      </c>
      <c r="W3254" t="s">
        <v>1262</v>
      </c>
      <c r="X3254" s="29">
        <v>428646398</v>
      </c>
      <c r="AA3254" s="30">
        <v>46076.333333333336</v>
      </c>
      <c r="AB3254" s="30">
        <v>46091.708333333336</v>
      </c>
      <c r="AC3254" s="30">
        <v>46076.333333333336</v>
      </c>
      <c r="AD3254" s="30">
        <v>46091.708333333336</v>
      </c>
      <c r="AE3254" s="30">
        <v>46076.333333333336</v>
      </c>
      <c r="AF3254" s="30">
        <v>46091.708333333336</v>
      </c>
      <c r="AG3254" t="s">
        <v>1266</v>
      </c>
      <c r="AK3254" t="s">
        <v>1265</v>
      </c>
      <c r="AL3254" t="s">
        <v>1320</v>
      </c>
      <c r="AM3254" t="s">
        <v>1263</v>
      </c>
      <c r="AN3254" t="s">
        <v>1262</v>
      </c>
      <c r="AO3254">
        <v>0</v>
      </c>
      <c r="AQ3254" t="s">
        <v>1261</v>
      </c>
      <c r="AR3254" t="s">
        <v>1260</v>
      </c>
      <c r="AS3254" t="s">
        <v>1259</v>
      </c>
      <c r="AT3254" s="30">
        <v>46093.395138888889</v>
      </c>
    </row>
    <row r="3255" spans="1:46" x14ac:dyDescent="0.25">
      <c r="A3255" t="s">
        <v>1248</v>
      </c>
      <c r="B3255">
        <v>261148</v>
      </c>
      <c r="C3255">
        <v>119903</v>
      </c>
      <c r="D3255">
        <v>405</v>
      </c>
      <c r="E3255" t="s">
        <v>1266</v>
      </c>
      <c r="G3255">
        <v>745</v>
      </c>
      <c r="H3255">
        <v>1832</v>
      </c>
      <c r="K3255">
        <v>38272</v>
      </c>
      <c r="L3255">
        <v>38272</v>
      </c>
      <c r="M3255" s="29">
        <v>39866666666</v>
      </c>
      <c r="N3255">
        <v>0</v>
      </c>
      <c r="O3255" s="29">
        <v>39866666666</v>
      </c>
      <c r="P3255">
        <v>0</v>
      </c>
      <c r="Q3255">
        <v>0</v>
      </c>
      <c r="R3255">
        <v>0</v>
      </c>
      <c r="T3255" s="29">
        <v>11200</v>
      </c>
      <c r="U3255" s="29">
        <v>428646398</v>
      </c>
      <c r="V3255" t="s">
        <v>1262</v>
      </c>
      <c r="W3255" t="s">
        <v>1262</v>
      </c>
      <c r="X3255" s="29">
        <v>428646398</v>
      </c>
      <c r="AA3255" s="30">
        <v>46092.333333333336</v>
      </c>
      <c r="AB3255" s="30">
        <v>46107.708333333336</v>
      </c>
      <c r="AC3255" s="30">
        <v>46092.333333333336</v>
      </c>
      <c r="AD3255" s="30">
        <v>46107.708333333336</v>
      </c>
      <c r="AE3255" s="30">
        <v>46092.333333333336</v>
      </c>
      <c r="AF3255" s="30">
        <v>46107.708333333336</v>
      </c>
      <c r="AG3255" t="s">
        <v>1266</v>
      </c>
      <c r="AK3255" t="s">
        <v>1265</v>
      </c>
      <c r="AL3255" t="s">
        <v>1319</v>
      </c>
      <c r="AM3255" t="s">
        <v>1263</v>
      </c>
      <c r="AN3255" t="s">
        <v>1262</v>
      </c>
      <c r="AO3255">
        <v>0</v>
      </c>
      <c r="AQ3255" t="s">
        <v>1261</v>
      </c>
      <c r="AR3255" t="s">
        <v>1260</v>
      </c>
      <c r="AS3255" t="s">
        <v>1259</v>
      </c>
      <c r="AT3255" s="30">
        <v>46093.395833333336</v>
      </c>
    </row>
    <row r="3256" spans="1:46" x14ac:dyDescent="0.25">
      <c r="A3256" t="s">
        <v>1248</v>
      </c>
      <c r="B3256">
        <v>261149</v>
      </c>
      <c r="C3256">
        <v>119904</v>
      </c>
      <c r="D3256">
        <v>405</v>
      </c>
      <c r="E3256" t="s">
        <v>1266</v>
      </c>
      <c r="G3256">
        <v>745</v>
      </c>
      <c r="H3256">
        <v>1832</v>
      </c>
      <c r="K3256">
        <v>38272</v>
      </c>
      <c r="L3256">
        <v>38272</v>
      </c>
      <c r="M3256" s="29">
        <v>39866666666</v>
      </c>
      <c r="N3256">
        <v>0</v>
      </c>
      <c r="O3256" s="29">
        <v>39866666666</v>
      </c>
      <c r="P3256">
        <v>0</v>
      </c>
      <c r="Q3256">
        <v>0</v>
      </c>
      <c r="R3256">
        <v>0</v>
      </c>
      <c r="T3256" s="29">
        <v>11200</v>
      </c>
      <c r="U3256" s="29">
        <v>428646398</v>
      </c>
      <c r="V3256" t="s">
        <v>1262</v>
      </c>
      <c r="W3256" t="s">
        <v>1262</v>
      </c>
      <c r="X3256" s="29">
        <v>428646398</v>
      </c>
      <c r="AA3256" s="30">
        <v>46108.333333333336</v>
      </c>
      <c r="AB3256" s="30">
        <v>46126.708333333336</v>
      </c>
      <c r="AC3256" s="30">
        <v>46108.333333333336</v>
      </c>
      <c r="AD3256" s="30">
        <v>46126.708333333336</v>
      </c>
      <c r="AE3256" s="30">
        <v>46108.333333333336</v>
      </c>
      <c r="AF3256" s="30">
        <v>46126.708333333336</v>
      </c>
      <c r="AG3256" t="s">
        <v>1266</v>
      </c>
      <c r="AK3256" t="s">
        <v>1265</v>
      </c>
      <c r="AL3256" t="s">
        <v>1318</v>
      </c>
      <c r="AM3256" t="s">
        <v>1263</v>
      </c>
      <c r="AN3256" t="s">
        <v>1262</v>
      </c>
      <c r="AO3256">
        <v>0</v>
      </c>
      <c r="AQ3256" t="s">
        <v>1261</v>
      </c>
      <c r="AR3256" t="s">
        <v>1260</v>
      </c>
      <c r="AS3256" t="s">
        <v>1259</v>
      </c>
      <c r="AT3256" s="30">
        <v>46093.395833333336</v>
      </c>
    </row>
    <row r="3257" spans="1:46" x14ac:dyDescent="0.25">
      <c r="A3257" t="s">
        <v>1248</v>
      </c>
      <c r="B3257">
        <v>261150</v>
      </c>
      <c r="C3257">
        <v>119905</v>
      </c>
      <c r="D3257">
        <v>405</v>
      </c>
      <c r="E3257" t="s">
        <v>1266</v>
      </c>
      <c r="G3257">
        <v>745</v>
      </c>
      <c r="H3257">
        <v>1832</v>
      </c>
      <c r="K3257">
        <v>38272</v>
      </c>
      <c r="L3257">
        <v>38272</v>
      </c>
      <c r="M3257" s="29">
        <v>39866666666</v>
      </c>
      <c r="N3257">
        <v>0</v>
      </c>
      <c r="O3257" s="29">
        <v>39866666666</v>
      </c>
      <c r="P3257">
        <v>0</v>
      </c>
      <c r="Q3257">
        <v>0</v>
      </c>
      <c r="R3257">
        <v>0</v>
      </c>
      <c r="T3257" s="29">
        <v>11200</v>
      </c>
      <c r="U3257" s="29">
        <v>428646398</v>
      </c>
      <c r="V3257" t="s">
        <v>1262</v>
      </c>
      <c r="W3257" t="s">
        <v>1262</v>
      </c>
      <c r="X3257" s="29">
        <v>428646398</v>
      </c>
      <c r="AA3257" s="30">
        <v>46127.333333333336</v>
      </c>
      <c r="AB3257" s="30">
        <v>46142.708333333336</v>
      </c>
      <c r="AC3257" s="30">
        <v>46127.333333333336</v>
      </c>
      <c r="AD3257" s="30">
        <v>46142.708333333336</v>
      </c>
      <c r="AE3257" s="30">
        <v>46127.333333333336</v>
      </c>
      <c r="AF3257" s="30">
        <v>46142.708333333336</v>
      </c>
      <c r="AG3257" t="s">
        <v>1266</v>
      </c>
      <c r="AK3257" t="s">
        <v>1265</v>
      </c>
      <c r="AL3257" t="s">
        <v>1317</v>
      </c>
      <c r="AM3257" t="s">
        <v>1263</v>
      </c>
      <c r="AN3257" t="s">
        <v>1262</v>
      </c>
      <c r="AO3257">
        <v>0</v>
      </c>
      <c r="AQ3257" t="s">
        <v>1261</v>
      </c>
      <c r="AR3257" t="s">
        <v>1260</v>
      </c>
      <c r="AS3257" t="s">
        <v>1259</v>
      </c>
      <c r="AT3257" s="30">
        <v>46093.395833333336</v>
      </c>
    </row>
    <row r="3258" spans="1:46" x14ac:dyDescent="0.25">
      <c r="A3258" t="s">
        <v>1248</v>
      </c>
      <c r="B3258">
        <v>261151</v>
      </c>
      <c r="C3258">
        <v>119906</v>
      </c>
      <c r="D3258">
        <v>405</v>
      </c>
      <c r="E3258" t="s">
        <v>1266</v>
      </c>
      <c r="G3258">
        <v>745</v>
      </c>
      <c r="H3258">
        <v>1832</v>
      </c>
      <c r="K3258">
        <v>38272</v>
      </c>
      <c r="L3258">
        <v>38272</v>
      </c>
      <c r="M3258" s="29">
        <v>39866666666</v>
      </c>
      <c r="N3258">
        <v>0</v>
      </c>
      <c r="O3258" s="29">
        <v>39866666666</v>
      </c>
      <c r="P3258">
        <v>0</v>
      </c>
      <c r="Q3258">
        <v>0</v>
      </c>
      <c r="R3258">
        <v>0</v>
      </c>
      <c r="T3258" s="29">
        <v>11200</v>
      </c>
      <c r="U3258" s="29">
        <v>428646398</v>
      </c>
      <c r="V3258" t="s">
        <v>1262</v>
      </c>
      <c r="W3258" t="s">
        <v>1262</v>
      </c>
      <c r="X3258" s="29">
        <v>428646398</v>
      </c>
      <c r="AA3258" s="30">
        <v>46146.333333333336</v>
      </c>
      <c r="AB3258" s="30">
        <v>46161.708333333336</v>
      </c>
      <c r="AC3258" s="30">
        <v>46146.333333333336</v>
      </c>
      <c r="AD3258" s="30">
        <v>46161.708333333336</v>
      </c>
      <c r="AE3258" s="30">
        <v>46146.333333333336</v>
      </c>
      <c r="AF3258" s="30">
        <v>46161.708333333336</v>
      </c>
      <c r="AG3258" t="s">
        <v>1266</v>
      </c>
      <c r="AK3258" t="s">
        <v>1265</v>
      </c>
      <c r="AL3258" t="s">
        <v>1316</v>
      </c>
      <c r="AM3258" t="s">
        <v>1263</v>
      </c>
      <c r="AN3258" t="s">
        <v>1262</v>
      </c>
      <c r="AO3258">
        <v>0</v>
      </c>
      <c r="AQ3258" t="s">
        <v>1261</v>
      </c>
      <c r="AR3258" t="s">
        <v>1260</v>
      </c>
      <c r="AS3258" t="s">
        <v>1259</v>
      </c>
      <c r="AT3258" s="30">
        <v>46093.395833333336</v>
      </c>
    </row>
    <row r="3259" spans="1:46" x14ac:dyDescent="0.25">
      <c r="A3259" t="s">
        <v>1248</v>
      </c>
      <c r="B3259">
        <v>261152</v>
      </c>
      <c r="C3259">
        <v>119907</v>
      </c>
      <c r="D3259">
        <v>405</v>
      </c>
      <c r="E3259" t="s">
        <v>1266</v>
      </c>
      <c r="G3259">
        <v>745</v>
      </c>
      <c r="H3259">
        <v>1832</v>
      </c>
      <c r="K3259">
        <v>38272</v>
      </c>
      <c r="L3259">
        <v>38272</v>
      </c>
      <c r="M3259" s="29">
        <v>39866666666</v>
      </c>
      <c r="N3259">
        <v>0</v>
      </c>
      <c r="O3259" s="29">
        <v>39866666666</v>
      </c>
      <c r="P3259">
        <v>0</v>
      </c>
      <c r="Q3259">
        <v>0</v>
      </c>
      <c r="R3259">
        <v>0</v>
      </c>
      <c r="T3259" s="29">
        <v>11200</v>
      </c>
      <c r="U3259" s="29">
        <v>428646398</v>
      </c>
      <c r="V3259" t="s">
        <v>1262</v>
      </c>
      <c r="W3259" t="s">
        <v>1262</v>
      </c>
      <c r="X3259" s="29">
        <v>428646398</v>
      </c>
      <c r="AA3259" s="30">
        <v>46162.333333333336</v>
      </c>
      <c r="AB3259" s="30">
        <v>46178.708333333336</v>
      </c>
      <c r="AC3259" s="30">
        <v>46162.333333333336</v>
      </c>
      <c r="AD3259" s="30">
        <v>46178.708333333336</v>
      </c>
      <c r="AE3259" s="30">
        <v>46162.333333333336</v>
      </c>
      <c r="AF3259" s="30">
        <v>46178.708333333336</v>
      </c>
      <c r="AG3259" t="s">
        <v>1266</v>
      </c>
      <c r="AK3259" t="s">
        <v>1265</v>
      </c>
      <c r="AL3259" t="s">
        <v>1315</v>
      </c>
      <c r="AM3259" t="s">
        <v>1263</v>
      </c>
      <c r="AN3259" t="s">
        <v>1262</v>
      </c>
      <c r="AO3259">
        <v>0</v>
      </c>
      <c r="AQ3259" t="s">
        <v>1261</v>
      </c>
      <c r="AR3259" t="s">
        <v>1260</v>
      </c>
      <c r="AS3259" t="s">
        <v>1259</v>
      </c>
      <c r="AT3259" s="30">
        <v>46093.396527777775</v>
      </c>
    </row>
    <row r="3260" spans="1:46" x14ac:dyDescent="0.25">
      <c r="A3260" t="s">
        <v>1248</v>
      </c>
      <c r="B3260">
        <v>261153</v>
      </c>
      <c r="C3260">
        <v>119908</v>
      </c>
      <c r="D3260">
        <v>405</v>
      </c>
      <c r="E3260" t="s">
        <v>1266</v>
      </c>
      <c r="G3260">
        <v>745</v>
      </c>
      <c r="H3260">
        <v>1832</v>
      </c>
      <c r="K3260">
        <v>38272</v>
      </c>
      <c r="L3260">
        <v>38272</v>
      </c>
      <c r="M3260" s="29">
        <v>39866666666</v>
      </c>
      <c r="N3260">
        <v>0</v>
      </c>
      <c r="O3260" s="29">
        <v>39866666666</v>
      </c>
      <c r="P3260">
        <v>0</v>
      </c>
      <c r="Q3260">
        <v>0</v>
      </c>
      <c r="R3260">
        <v>0</v>
      </c>
      <c r="T3260" s="29">
        <v>11200</v>
      </c>
      <c r="U3260" s="29">
        <v>428646398</v>
      </c>
      <c r="V3260" t="s">
        <v>1262</v>
      </c>
      <c r="W3260" t="s">
        <v>1262</v>
      </c>
      <c r="X3260" s="29">
        <v>428646398</v>
      </c>
      <c r="AA3260" s="30">
        <v>46181.333333333336</v>
      </c>
      <c r="AB3260" s="30">
        <v>46196.708333333336</v>
      </c>
      <c r="AC3260" s="30">
        <v>46181.333333333336</v>
      </c>
      <c r="AD3260" s="30">
        <v>46196.708333333336</v>
      </c>
      <c r="AE3260" s="30">
        <v>46181.333333333336</v>
      </c>
      <c r="AF3260" s="30">
        <v>46196.708333333336</v>
      </c>
      <c r="AG3260" t="s">
        <v>1266</v>
      </c>
      <c r="AK3260" t="s">
        <v>1265</v>
      </c>
      <c r="AL3260" t="s">
        <v>1314</v>
      </c>
      <c r="AM3260" t="s">
        <v>1263</v>
      </c>
      <c r="AN3260" t="s">
        <v>1262</v>
      </c>
      <c r="AO3260">
        <v>0</v>
      </c>
      <c r="AQ3260" t="s">
        <v>1261</v>
      </c>
      <c r="AR3260" t="s">
        <v>1260</v>
      </c>
      <c r="AS3260" t="s">
        <v>1259</v>
      </c>
      <c r="AT3260" s="30">
        <v>46093.396527777775</v>
      </c>
    </row>
    <row r="3261" spans="1:46" x14ac:dyDescent="0.25">
      <c r="A3261" t="s">
        <v>1248</v>
      </c>
      <c r="B3261">
        <v>261154</v>
      </c>
      <c r="C3261">
        <v>119909</v>
      </c>
      <c r="D3261">
        <v>405</v>
      </c>
      <c r="E3261" t="s">
        <v>1266</v>
      </c>
      <c r="G3261">
        <v>745</v>
      </c>
      <c r="H3261">
        <v>1832</v>
      </c>
      <c r="K3261">
        <v>38272</v>
      </c>
      <c r="L3261">
        <v>38272</v>
      </c>
      <c r="M3261" s="29">
        <v>39866666666</v>
      </c>
      <c r="N3261">
        <v>0</v>
      </c>
      <c r="O3261" s="29">
        <v>39866666666</v>
      </c>
      <c r="P3261">
        <v>0</v>
      </c>
      <c r="Q3261">
        <v>0</v>
      </c>
      <c r="R3261">
        <v>0</v>
      </c>
      <c r="T3261" s="29">
        <v>11200</v>
      </c>
      <c r="U3261" s="29">
        <v>428646398</v>
      </c>
      <c r="V3261" t="s">
        <v>1262</v>
      </c>
      <c r="W3261" t="s">
        <v>1262</v>
      </c>
      <c r="X3261" s="29">
        <v>428646398</v>
      </c>
      <c r="AA3261" s="30">
        <v>46197.333333333336</v>
      </c>
      <c r="AB3261" s="30">
        <v>46212.708333333336</v>
      </c>
      <c r="AC3261" s="30">
        <v>46197.333333333336</v>
      </c>
      <c r="AD3261" s="30">
        <v>46212.708333333336</v>
      </c>
      <c r="AE3261" s="30">
        <v>46197.333333333336</v>
      </c>
      <c r="AF3261" s="30">
        <v>46212.708333333336</v>
      </c>
      <c r="AG3261" t="s">
        <v>1266</v>
      </c>
      <c r="AK3261" t="s">
        <v>1265</v>
      </c>
      <c r="AL3261" t="s">
        <v>1313</v>
      </c>
      <c r="AM3261" t="s">
        <v>1263</v>
      </c>
      <c r="AN3261" t="s">
        <v>1262</v>
      </c>
      <c r="AO3261">
        <v>0</v>
      </c>
      <c r="AQ3261" t="s">
        <v>1261</v>
      </c>
      <c r="AR3261" t="s">
        <v>1260</v>
      </c>
      <c r="AS3261" t="s">
        <v>1259</v>
      </c>
      <c r="AT3261" s="30">
        <v>46093.396527777775</v>
      </c>
    </row>
    <row r="3262" spans="1:46" x14ac:dyDescent="0.25">
      <c r="A3262" t="s">
        <v>1248</v>
      </c>
      <c r="B3262">
        <v>261155</v>
      </c>
      <c r="C3262">
        <v>119910</v>
      </c>
      <c r="D3262">
        <v>405</v>
      </c>
      <c r="E3262" t="s">
        <v>1266</v>
      </c>
      <c r="G3262">
        <v>745</v>
      </c>
      <c r="H3262">
        <v>1832</v>
      </c>
      <c r="K3262">
        <v>38272</v>
      </c>
      <c r="L3262">
        <v>38272</v>
      </c>
      <c r="M3262" s="29">
        <v>39866666666</v>
      </c>
      <c r="N3262">
        <v>0</v>
      </c>
      <c r="O3262" s="29">
        <v>39866666666</v>
      </c>
      <c r="P3262">
        <v>0</v>
      </c>
      <c r="Q3262">
        <v>0</v>
      </c>
      <c r="R3262">
        <v>0</v>
      </c>
      <c r="T3262" s="29">
        <v>11200</v>
      </c>
      <c r="U3262" s="29">
        <v>428646398</v>
      </c>
      <c r="V3262" t="s">
        <v>1262</v>
      </c>
      <c r="W3262" t="s">
        <v>1262</v>
      </c>
      <c r="X3262" s="29">
        <v>428646398</v>
      </c>
      <c r="AA3262" s="30">
        <v>46213.333333333336</v>
      </c>
      <c r="AB3262" s="30">
        <v>46230.708333333336</v>
      </c>
      <c r="AC3262" s="30">
        <v>46213.333333333336</v>
      </c>
      <c r="AD3262" s="30">
        <v>46230.708333333336</v>
      </c>
      <c r="AE3262" s="30">
        <v>46213.333333333336</v>
      </c>
      <c r="AF3262" s="30">
        <v>46230.708333333336</v>
      </c>
      <c r="AG3262" t="s">
        <v>1266</v>
      </c>
      <c r="AK3262" t="s">
        <v>1265</v>
      </c>
      <c r="AL3262" t="s">
        <v>1312</v>
      </c>
      <c r="AM3262" t="s">
        <v>1263</v>
      </c>
      <c r="AN3262" t="s">
        <v>1262</v>
      </c>
      <c r="AO3262">
        <v>0</v>
      </c>
      <c r="AQ3262" t="s">
        <v>1261</v>
      </c>
      <c r="AR3262" t="s">
        <v>1260</v>
      </c>
      <c r="AS3262" t="s">
        <v>1259</v>
      </c>
      <c r="AT3262" s="30">
        <v>46093.396527777775</v>
      </c>
    </row>
    <row r="3263" spans="1:46" x14ac:dyDescent="0.25">
      <c r="A3263" t="s">
        <v>1248</v>
      </c>
      <c r="B3263">
        <v>261156</v>
      </c>
      <c r="C3263">
        <v>119911</v>
      </c>
      <c r="D3263">
        <v>405</v>
      </c>
      <c r="E3263" t="s">
        <v>1266</v>
      </c>
      <c r="G3263">
        <v>745</v>
      </c>
      <c r="H3263">
        <v>1832</v>
      </c>
      <c r="K3263">
        <v>38272</v>
      </c>
      <c r="L3263">
        <v>38272</v>
      </c>
      <c r="M3263" s="29">
        <v>39866666666</v>
      </c>
      <c r="N3263">
        <v>0</v>
      </c>
      <c r="O3263" s="29">
        <v>39866666666</v>
      </c>
      <c r="P3263">
        <v>0</v>
      </c>
      <c r="Q3263">
        <v>0</v>
      </c>
      <c r="R3263">
        <v>0</v>
      </c>
      <c r="T3263" s="29">
        <v>11200</v>
      </c>
      <c r="U3263" s="29">
        <v>428646398</v>
      </c>
      <c r="V3263" t="s">
        <v>1262</v>
      </c>
      <c r="W3263" t="s">
        <v>1262</v>
      </c>
      <c r="X3263" s="29">
        <v>428646398</v>
      </c>
      <c r="AA3263" s="30">
        <v>46231.333333333336</v>
      </c>
      <c r="AB3263" s="30">
        <v>46246.708333333336</v>
      </c>
      <c r="AC3263" s="30">
        <v>46231.333333333336</v>
      </c>
      <c r="AD3263" s="30">
        <v>46246.708333333336</v>
      </c>
      <c r="AE3263" s="30">
        <v>46231.333333333336</v>
      </c>
      <c r="AF3263" s="30">
        <v>46246.708333333336</v>
      </c>
      <c r="AG3263" t="s">
        <v>1266</v>
      </c>
      <c r="AK3263" t="s">
        <v>1265</v>
      </c>
      <c r="AL3263" t="s">
        <v>1311</v>
      </c>
      <c r="AM3263" t="s">
        <v>1263</v>
      </c>
      <c r="AN3263" t="s">
        <v>1262</v>
      </c>
      <c r="AO3263">
        <v>0</v>
      </c>
      <c r="AQ3263" t="s">
        <v>1261</v>
      </c>
      <c r="AR3263" t="s">
        <v>1260</v>
      </c>
      <c r="AS3263" t="s">
        <v>1259</v>
      </c>
      <c r="AT3263" s="30">
        <v>46093.396527777775</v>
      </c>
    </row>
    <row r="3264" spans="1:46" x14ac:dyDescent="0.25">
      <c r="A3264" t="s">
        <v>1248</v>
      </c>
      <c r="B3264">
        <v>261157</v>
      </c>
      <c r="C3264">
        <v>119912</v>
      </c>
      <c r="D3264">
        <v>405</v>
      </c>
      <c r="E3264" t="s">
        <v>1266</v>
      </c>
      <c r="G3264">
        <v>745</v>
      </c>
      <c r="H3264">
        <v>1832</v>
      </c>
      <c r="K3264">
        <v>38272</v>
      </c>
      <c r="L3264">
        <v>38272</v>
      </c>
      <c r="M3264" s="29">
        <v>39866666666</v>
      </c>
      <c r="N3264">
        <v>0</v>
      </c>
      <c r="O3264" s="29">
        <v>39866666666</v>
      </c>
      <c r="P3264">
        <v>0</v>
      </c>
      <c r="Q3264">
        <v>0</v>
      </c>
      <c r="R3264">
        <v>0</v>
      </c>
      <c r="T3264" s="29">
        <v>11200</v>
      </c>
      <c r="U3264" s="29">
        <v>428646398</v>
      </c>
      <c r="V3264" t="s">
        <v>1262</v>
      </c>
      <c r="W3264" t="s">
        <v>1262</v>
      </c>
      <c r="X3264" s="29">
        <v>428646398</v>
      </c>
      <c r="AA3264" s="30">
        <v>46247.333333333336</v>
      </c>
      <c r="AB3264" s="30">
        <v>46262.708333333336</v>
      </c>
      <c r="AC3264" s="30">
        <v>46247.333333333336</v>
      </c>
      <c r="AD3264" s="30">
        <v>46262.708333333336</v>
      </c>
      <c r="AE3264" s="30">
        <v>46247.333333333336</v>
      </c>
      <c r="AF3264" s="30">
        <v>46262.708333333336</v>
      </c>
      <c r="AG3264" t="s">
        <v>1266</v>
      </c>
      <c r="AK3264" t="s">
        <v>1265</v>
      </c>
      <c r="AL3264" t="s">
        <v>1310</v>
      </c>
      <c r="AM3264" t="s">
        <v>1263</v>
      </c>
      <c r="AN3264" t="s">
        <v>1262</v>
      </c>
      <c r="AO3264">
        <v>0</v>
      </c>
      <c r="AQ3264" t="s">
        <v>1261</v>
      </c>
      <c r="AR3264" t="s">
        <v>1260</v>
      </c>
      <c r="AS3264" t="s">
        <v>1259</v>
      </c>
      <c r="AT3264" s="30">
        <v>46093.396527777775</v>
      </c>
    </row>
    <row r="3265" spans="1:46" x14ac:dyDescent="0.25">
      <c r="A3265" t="s">
        <v>1248</v>
      </c>
      <c r="B3265">
        <v>261158</v>
      </c>
      <c r="C3265">
        <v>119913</v>
      </c>
      <c r="D3265">
        <v>405</v>
      </c>
      <c r="E3265" t="s">
        <v>1266</v>
      </c>
      <c r="G3265">
        <v>745</v>
      </c>
      <c r="H3265">
        <v>1832</v>
      </c>
      <c r="K3265">
        <v>38272</v>
      </c>
      <c r="L3265">
        <v>38272</v>
      </c>
      <c r="M3265" s="29">
        <v>39866666666</v>
      </c>
      <c r="N3265">
        <v>0</v>
      </c>
      <c r="O3265" s="29">
        <v>39866666666</v>
      </c>
      <c r="P3265">
        <v>0</v>
      </c>
      <c r="Q3265">
        <v>0</v>
      </c>
      <c r="R3265">
        <v>0</v>
      </c>
      <c r="T3265" s="29">
        <v>11200</v>
      </c>
      <c r="U3265" s="29">
        <v>428646398</v>
      </c>
      <c r="V3265" t="s">
        <v>1262</v>
      </c>
      <c r="W3265" t="s">
        <v>1262</v>
      </c>
      <c r="X3265" s="29">
        <v>428646398</v>
      </c>
      <c r="AA3265" s="30">
        <v>46265.333333333336</v>
      </c>
      <c r="AB3265" s="30">
        <v>46280.708333333336</v>
      </c>
      <c r="AC3265" s="30">
        <v>46265.333333333336</v>
      </c>
      <c r="AD3265" s="30">
        <v>46280.708333333336</v>
      </c>
      <c r="AE3265" s="30">
        <v>46265.333333333336</v>
      </c>
      <c r="AF3265" s="30">
        <v>46280.708333333336</v>
      </c>
      <c r="AG3265" t="s">
        <v>1266</v>
      </c>
      <c r="AK3265" t="s">
        <v>1265</v>
      </c>
      <c r="AL3265" t="s">
        <v>1309</v>
      </c>
      <c r="AM3265" t="s">
        <v>1263</v>
      </c>
      <c r="AN3265" t="s">
        <v>1262</v>
      </c>
      <c r="AO3265">
        <v>0</v>
      </c>
      <c r="AQ3265" t="s">
        <v>1261</v>
      </c>
      <c r="AR3265" t="s">
        <v>1260</v>
      </c>
      <c r="AS3265" t="s">
        <v>1259</v>
      </c>
      <c r="AT3265" s="30">
        <v>46093.397222222222</v>
      </c>
    </row>
    <row r="3266" spans="1:46" x14ac:dyDescent="0.25">
      <c r="A3266" t="s">
        <v>1248</v>
      </c>
      <c r="B3266">
        <v>261159</v>
      </c>
      <c r="C3266">
        <v>119914</v>
      </c>
      <c r="D3266">
        <v>405</v>
      </c>
      <c r="E3266" t="s">
        <v>1266</v>
      </c>
      <c r="G3266">
        <v>745</v>
      </c>
      <c r="H3266">
        <v>1832</v>
      </c>
      <c r="K3266">
        <v>38272</v>
      </c>
      <c r="L3266">
        <v>38272</v>
      </c>
      <c r="M3266" s="29">
        <v>39866666666</v>
      </c>
      <c r="N3266">
        <v>0</v>
      </c>
      <c r="O3266" s="29">
        <v>39866666666</v>
      </c>
      <c r="P3266">
        <v>0</v>
      </c>
      <c r="Q3266">
        <v>0</v>
      </c>
      <c r="R3266">
        <v>0</v>
      </c>
      <c r="T3266" s="29">
        <v>11200</v>
      </c>
      <c r="U3266" s="29">
        <v>428646398</v>
      </c>
      <c r="V3266" t="s">
        <v>1262</v>
      </c>
      <c r="W3266" t="s">
        <v>1262</v>
      </c>
      <c r="X3266" s="29">
        <v>428646398</v>
      </c>
      <c r="AA3266" s="30">
        <v>46281.333333333336</v>
      </c>
      <c r="AB3266" s="30">
        <v>46296.708333333336</v>
      </c>
      <c r="AC3266" s="30">
        <v>46281.333333333336</v>
      </c>
      <c r="AD3266" s="30">
        <v>46296.708333333336</v>
      </c>
      <c r="AE3266" s="30">
        <v>46281.333333333336</v>
      </c>
      <c r="AF3266" s="30">
        <v>46296.708333333336</v>
      </c>
      <c r="AG3266" t="s">
        <v>1266</v>
      </c>
      <c r="AK3266" t="s">
        <v>1265</v>
      </c>
      <c r="AL3266" t="s">
        <v>1308</v>
      </c>
      <c r="AM3266" t="s">
        <v>1263</v>
      </c>
      <c r="AN3266" t="s">
        <v>1262</v>
      </c>
      <c r="AO3266">
        <v>0</v>
      </c>
      <c r="AQ3266" t="s">
        <v>1261</v>
      </c>
      <c r="AR3266" t="s">
        <v>1260</v>
      </c>
      <c r="AS3266" t="s">
        <v>1259</v>
      </c>
      <c r="AT3266" s="30">
        <v>46093.397222222222</v>
      </c>
    </row>
    <row r="3267" spans="1:46" x14ac:dyDescent="0.25">
      <c r="A3267" t="s">
        <v>1248</v>
      </c>
      <c r="B3267">
        <v>261160</v>
      </c>
      <c r="C3267">
        <v>119915</v>
      </c>
      <c r="D3267">
        <v>405</v>
      </c>
      <c r="E3267" t="s">
        <v>1266</v>
      </c>
      <c r="G3267">
        <v>745</v>
      </c>
      <c r="H3267">
        <v>1832</v>
      </c>
      <c r="K3267">
        <v>38272</v>
      </c>
      <c r="L3267">
        <v>38272</v>
      </c>
      <c r="M3267" s="29">
        <v>39866666666</v>
      </c>
      <c r="N3267">
        <v>0</v>
      </c>
      <c r="O3267" s="29">
        <v>39866666666</v>
      </c>
      <c r="P3267">
        <v>0</v>
      </c>
      <c r="Q3267">
        <v>0</v>
      </c>
      <c r="R3267">
        <v>0</v>
      </c>
      <c r="T3267" s="29">
        <v>11200</v>
      </c>
      <c r="U3267" s="29">
        <v>428646398</v>
      </c>
      <c r="V3267" t="s">
        <v>1262</v>
      </c>
      <c r="W3267" t="s">
        <v>1262</v>
      </c>
      <c r="X3267" s="29">
        <v>428646398</v>
      </c>
      <c r="AA3267" s="30">
        <v>46297.333333333336</v>
      </c>
      <c r="AB3267" s="30">
        <v>46314.708333333336</v>
      </c>
      <c r="AC3267" s="30">
        <v>46297.333333333336</v>
      </c>
      <c r="AD3267" s="30">
        <v>46314.708333333336</v>
      </c>
      <c r="AE3267" s="30">
        <v>46297.333333333336</v>
      </c>
      <c r="AF3267" s="30">
        <v>46314.708333333336</v>
      </c>
      <c r="AG3267" t="s">
        <v>1266</v>
      </c>
      <c r="AK3267" t="s">
        <v>1265</v>
      </c>
      <c r="AL3267" t="s">
        <v>1307</v>
      </c>
      <c r="AM3267" t="s">
        <v>1263</v>
      </c>
      <c r="AN3267" t="s">
        <v>1262</v>
      </c>
      <c r="AO3267">
        <v>0</v>
      </c>
      <c r="AQ3267" t="s">
        <v>1261</v>
      </c>
      <c r="AR3267" t="s">
        <v>1260</v>
      </c>
      <c r="AS3267" t="s">
        <v>1259</v>
      </c>
      <c r="AT3267" s="30">
        <v>46093.397222222222</v>
      </c>
    </row>
    <row r="3268" spans="1:46" x14ac:dyDescent="0.25">
      <c r="A3268" t="s">
        <v>1248</v>
      </c>
      <c r="B3268">
        <v>261161</v>
      </c>
      <c r="C3268">
        <v>119916</v>
      </c>
      <c r="D3268">
        <v>405</v>
      </c>
      <c r="E3268" t="s">
        <v>1266</v>
      </c>
      <c r="G3268">
        <v>745</v>
      </c>
      <c r="H3268">
        <v>1832</v>
      </c>
      <c r="K3268">
        <v>38272</v>
      </c>
      <c r="L3268">
        <v>38272</v>
      </c>
      <c r="M3268" s="29">
        <v>39866666666</v>
      </c>
      <c r="N3268">
        <v>0</v>
      </c>
      <c r="O3268" s="29">
        <v>39866666666</v>
      </c>
      <c r="P3268">
        <v>0</v>
      </c>
      <c r="Q3268">
        <v>0</v>
      </c>
      <c r="R3268">
        <v>0</v>
      </c>
      <c r="T3268" s="29">
        <v>11200</v>
      </c>
      <c r="U3268" s="29">
        <v>428646398</v>
      </c>
      <c r="V3268" t="s">
        <v>1262</v>
      </c>
      <c r="W3268" t="s">
        <v>1262</v>
      </c>
      <c r="X3268" s="29">
        <v>428646398</v>
      </c>
      <c r="AA3268" s="30">
        <v>46315.333333333336</v>
      </c>
      <c r="AB3268" s="30">
        <v>46330.708333333336</v>
      </c>
      <c r="AC3268" s="30">
        <v>46315.333333333336</v>
      </c>
      <c r="AD3268" s="30">
        <v>46330.708333333336</v>
      </c>
      <c r="AE3268" s="30">
        <v>46315.333333333336</v>
      </c>
      <c r="AF3268" s="30">
        <v>46330.708333333336</v>
      </c>
      <c r="AG3268" t="s">
        <v>1266</v>
      </c>
      <c r="AK3268" t="s">
        <v>1265</v>
      </c>
      <c r="AL3268" t="s">
        <v>1306</v>
      </c>
      <c r="AM3268" t="s">
        <v>1263</v>
      </c>
      <c r="AN3268" t="s">
        <v>1262</v>
      </c>
      <c r="AO3268">
        <v>0</v>
      </c>
      <c r="AQ3268" t="s">
        <v>1261</v>
      </c>
      <c r="AR3268" t="s">
        <v>1260</v>
      </c>
      <c r="AS3268" t="s">
        <v>1259</v>
      </c>
      <c r="AT3268" s="30">
        <v>46093.397222222222</v>
      </c>
    </row>
    <row r="3269" spans="1:46" x14ac:dyDescent="0.25">
      <c r="A3269" t="s">
        <v>1248</v>
      </c>
      <c r="B3269">
        <v>261162</v>
      </c>
      <c r="C3269">
        <v>119917</v>
      </c>
      <c r="D3269">
        <v>405</v>
      </c>
      <c r="E3269" t="s">
        <v>1266</v>
      </c>
      <c r="G3269">
        <v>745</v>
      </c>
      <c r="H3269">
        <v>1832</v>
      </c>
      <c r="K3269">
        <v>38272</v>
      </c>
      <c r="L3269">
        <v>38272</v>
      </c>
      <c r="M3269" s="29">
        <v>39866666666</v>
      </c>
      <c r="N3269">
        <v>0</v>
      </c>
      <c r="O3269" s="29">
        <v>39866666666</v>
      </c>
      <c r="P3269">
        <v>0</v>
      </c>
      <c r="Q3269">
        <v>0</v>
      </c>
      <c r="R3269">
        <v>0</v>
      </c>
      <c r="T3269" s="29">
        <v>11200</v>
      </c>
      <c r="U3269" s="29">
        <v>428646398</v>
      </c>
      <c r="V3269" t="s">
        <v>1262</v>
      </c>
      <c r="W3269" t="s">
        <v>1262</v>
      </c>
      <c r="X3269" s="29">
        <v>428646398</v>
      </c>
      <c r="AA3269" s="30">
        <v>46331.333333333336</v>
      </c>
      <c r="AB3269" s="30">
        <v>46346.708333333336</v>
      </c>
      <c r="AC3269" s="30">
        <v>46331.333333333336</v>
      </c>
      <c r="AD3269" s="30">
        <v>46346.708333333336</v>
      </c>
      <c r="AE3269" s="30">
        <v>46331.333333333336</v>
      </c>
      <c r="AF3269" s="30">
        <v>46346.708333333336</v>
      </c>
      <c r="AG3269" t="s">
        <v>1266</v>
      </c>
      <c r="AK3269" t="s">
        <v>1265</v>
      </c>
      <c r="AL3269" t="s">
        <v>1305</v>
      </c>
      <c r="AM3269" t="s">
        <v>1263</v>
      </c>
      <c r="AN3269" t="s">
        <v>1262</v>
      </c>
      <c r="AO3269">
        <v>0</v>
      </c>
      <c r="AQ3269" t="s">
        <v>1261</v>
      </c>
      <c r="AR3269" t="s">
        <v>1260</v>
      </c>
      <c r="AS3269" t="s">
        <v>1259</v>
      </c>
      <c r="AT3269" s="30">
        <v>46093.397222222222</v>
      </c>
    </row>
    <row r="3270" spans="1:46" x14ac:dyDescent="0.25">
      <c r="A3270" t="s">
        <v>1248</v>
      </c>
      <c r="B3270">
        <v>261163</v>
      </c>
      <c r="C3270">
        <v>119918</v>
      </c>
      <c r="D3270">
        <v>405</v>
      </c>
      <c r="E3270" t="s">
        <v>1266</v>
      </c>
      <c r="G3270">
        <v>745</v>
      </c>
      <c r="H3270">
        <v>1832</v>
      </c>
      <c r="K3270">
        <v>38272</v>
      </c>
      <c r="L3270">
        <v>38272</v>
      </c>
      <c r="M3270" s="29">
        <v>39866666666</v>
      </c>
      <c r="N3270">
        <v>0</v>
      </c>
      <c r="O3270" s="29">
        <v>39866666666</v>
      </c>
      <c r="P3270">
        <v>0</v>
      </c>
      <c r="Q3270">
        <v>0</v>
      </c>
      <c r="R3270">
        <v>0</v>
      </c>
      <c r="T3270" s="29">
        <v>11200</v>
      </c>
      <c r="U3270" s="29">
        <v>428646398</v>
      </c>
      <c r="V3270" t="s">
        <v>1262</v>
      </c>
      <c r="W3270" t="s">
        <v>1262</v>
      </c>
      <c r="X3270" s="29">
        <v>428646398</v>
      </c>
      <c r="AA3270" s="30">
        <v>46349.333333333336</v>
      </c>
      <c r="AB3270" s="30">
        <v>46365.708333333336</v>
      </c>
      <c r="AC3270" s="30">
        <v>46349.333333333336</v>
      </c>
      <c r="AD3270" s="30">
        <v>46365.708333333336</v>
      </c>
      <c r="AE3270" s="30">
        <v>46349.333333333336</v>
      </c>
      <c r="AF3270" s="30">
        <v>46365.708333333336</v>
      </c>
      <c r="AG3270" t="s">
        <v>1266</v>
      </c>
      <c r="AK3270" t="s">
        <v>1265</v>
      </c>
      <c r="AL3270" t="s">
        <v>1304</v>
      </c>
      <c r="AM3270" t="s">
        <v>1263</v>
      </c>
      <c r="AN3270" t="s">
        <v>1262</v>
      </c>
      <c r="AO3270">
        <v>0</v>
      </c>
      <c r="AQ3270" t="s">
        <v>1261</v>
      </c>
      <c r="AR3270" t="s">
        <v>1260</v>
      </c>
      <c r="AS3270" t="s">
        <v>1259</v>
      </c>
      <c r="AT3270" s="30">
        <v>46093.397222222222</v>
      </c>
    </row>
    <row r="3271" spans="1:46" x14ac:dyDescent="0.25">
      <c r="A3271" t="s">
        <v>1248</v>
      </c>
      <c r="B3271">
        <v>261164</v>
      </c>
      <c r="C3271">
        <v>119919</v>
      </c>
      <c r="D3271">
        <v>405</v>
      </c>
      <c r="E3271" t="s">
        <v>1266</v>
      </c>
      <c r="G3271">
        <v>745</v>
      </c>
      <c r="H3271">
        <v>1832</v>
      </c>
      <c r="K3271">
        <v>38272</v>
      </c>
      <c r="L3271">
        <v>38272</v>
      </c>
      <c r="M3271" s="29">
        <v>39866666666</v>
      </c>
      <c r="N3271">
        <v>0</v>
      </c>
      <c r="O3271" s="29">
        <v>39866666666</v>
      </c>
      <c r="P3271">
        <v>0</v>
      </c>
      <c r="Q3271">
        <v>0</v>
      </c>
      <c r="R3271">
        <v>0</v>
      </c>
      <c r="T3271" s="29">
        <v>11200</v>
      </c>
      <c r="U3271" s="29">
        <v>428646398</v>
      </c>
      <c r="V3271" t="s">
        <v>1262</v>
      </c>
      <c r="W3271" t="s">
        <v>1262</v>
      </c>
      <c r="X3271" s="29">
        <v>428646398</v>
      </c>
      <c r="AA3271" s="30">
        <v>46366.333333333336</v>
      </c>
      <c r="AB3271" s="30">
        <v>46384.708333333336</v>
      </c>
      <c r="AC3271" s="30">
        <v>46366.333333333336</v>
      </c>
      <c r="AD3271" s="30">
        <v>46384.708333333336</v>
      </c>
      <c r="AE3271" s="30">
        <v>46366.333333333336</v>
      </c>
      <c r="AF3271" s="30">
        <v>46384.708333333336</v>
      </c>
      <c r="AG3271" t="s">
        <v>1266</v>
      </c>
      <c r="AK3271" t="s">
        <v>1265</v>
      </c>
      <c r="AL3271" t="s">
        <v>1303</v>
      </c>
      <c r="AM3271" t="s">
        <v>1263</v>
      </c>
      <c r="AN3271" t="s">
        <v>1262</v>
      </c>
      <c r="AO3271">
        <v>0</v>
      </c>
      <c r="AQ3271" t="s">
        <v>1261</v>
      </c>
      <c r="AR3271" t="s">
        <v>1260</v>
      </c>
      <c r="AS3271" t="s">
        <v>1259</v>
      </c>
      <c r="AT3271" s="30">
        <v>46093.397916666669</v>
      </c>
    </row>
    <row r="3272" spans="1:46" x14ac:dyDescent="0.25">
      <c r="A3272" t="s">
        <v>1248</v>
      </c>
      <c r="B3272">
        <v>261165</v>
      </c>
      <c r="C3272">
        <v>119920</v>
      </c>
      <c r="D3272">
        <v>405</v>
      </c>
      <c r="E3272" t="s">
        <v>1266</v>
      </c>
      <c r="G3272">
        <v>745</v>
      </c>
      <c r="H3272">
        <v>1832</v>
      </c>
      <c r="K3272">
        <v>38272</v>
      </c>
      <c r="L3272">
        <v>38272</v>
      </c>
      <c r="M3272" s="29">
        <v>39866666666</v>
      </c>
      <c r="N3272">
        <v>0</v>
      </c>
      <c r="O3272" s="29">
        <v>39866666666</v>
      </c>
      <c r="P3272">
        <v>0</v>
      </c>
      <c r="Q3272">
        <v>0</v>
      </c>
      <c r="R3272">
        <v>0</v>
      </c>
      <c r="T3272" s="29">
        <v>11200</v>
      </c>
      <c r="U3272" s="29">
        <v>428646398</v>
      </c>
      <c r="V3272" t="s">
        <v>1262</v>
      </c>
      <c r="W3272" t="s">
        <v>1262</v>
      </c>
      <c r="X3272" s="29">
        <v>428646398</v>
      </c>
      <c r="AA3272" s="30">
        <v>46385.333333333336</v>
      </c>
      <c r="AB3272" s="30">
        <v>46402.708333333336</v>
      </c>
      <c r="AC3272" s="30">
        <v>46385.333333333336</v>
      </c>
      <c r="AD3272" s="30">
        <v>46402.708333333336</v>
      </c>
      <c r="AE3272" s="30">
        <v>46385.333333333336</v>
      </c>
      <c r="AF3272" s="30">
        <v>46402.708333333336</v>
      </c>
      <c r="AG3272" t="s">
        <v>1266</v>
      </c>
      <c r="AK3272" t="s">
        <v>1265</v>
      </c>
      <c r="AL3272" t="s">
        <v>1302</v>
      </c>
      <c r="AM3272" t="s">
        <v>1263</v>
      </c>
      <c r="AN3272" t="s">
        <v>1262</v>
      </c>
      <c r="AO3272">
        <v>0</v>
      </c>
      <c r="AQ3272" t="s">
        <v>1261</v>
      </c>
      <c r="AR3272" t="s">
        <v>1260</v>
      </c>
      <c r="AS3272" t="s">
        <v>1259</v>
      </c>
      <c r="AT3272" s="30">
        <v>46093.397916666669</v>
      </c>
    </row>
    <row r="3273" spans="1:46" x14ac:dyDescent="0.25">
      <c r="A3273" t="s">
        <v>1248</v>
      </c>
      <c r="B3273">
        <v>261166</v>
      </c>
      <c r="C3273">
        <v>119921</v>
      </c>
      <c r="D3273">
        <v>405</v>
      </c>
      <c r="E3273" t="s">
        <v>1266</v>
      </c>
      <c r="G3273">
        <v>745</v>
      </c>
      <c r="H3273">
        <v>1832</v>
      </c>
      <c r="K3273">
        <v>38272</v>
      </c>
      <c r="L3273">
        <v>38272</v>
      </c>
      <c r="M3273" s="29">
        <v>39866666666</v>
      </c>
      <c r="N3273">
        <v>0</v>
      </c>
      <c r="O3273" s="29">
        <v>39866666666</v>
      </c>
      <c r="P3273">
        <v>0</v>
      </c>
      <c r="Q3273">
        <v>0</v>
      </c>
      <c r="R3273">
        <v>0</v>
      </c>
      <c r="T3273" s="29">
        <v>11200</v>
      </c>
      <c r="U3273" s="29">
        <v>428646398</v>
      </c>
      <c r="V3273" t="s">
        <v>1262</v>
      </c>
      <c r="W3273" t="s">
        <v>1262</v>
      </c>
      <c r="X3273" s="29">
        <v>428646398</v>
      </c>
      <c r="AA3273" s="30">
        <v>46405.333333333336</v>
      </c>
      <c r="AB3273" s="30">
        <v>46420.708333333336</v>
      </c>
      <c r="AC3273" s="30">
        <v>46405.333333333336</v>
      </c>
      <c r="AD3273" s="30">
        <v>46420.708333333336</v>
      </c>
      <c r="AE3273" s="30">
        <v>46405.333333333336</v>
      </c>
      <c r="AF3273" s="30">
        <v>46420.708333333336</v>
      </c>
      <c r="AG3273" t="s">
        <v>1266</v>
      </c>
      <c r="AK3273" t="s">
        <v>1265</v>
      </c>
      <c r="AL3273" t="s">
        <v>1301</v>
      </c>
      <c r="AM3273" t="s">
        <v>1263</v>
      </c>
      <c r="AN3273" t="s">
        <v>1262</v>
      </c>
      <c r="AO3273">
        <v>0</v>
      </c>
      <c r="AQ3273" t="s">
        <v>1261</v>
      </c>
      <c r="AR3273" t="s">
        <v>1260</v>
      </c>
      <c r="AS3273" t="s">
        <v>1259</v>
      </c>
      <c r="AT3273" s="30">
        <v>46093.397916666669</v>
      </c>
    </row>
    <row r="3274" spans="1:46" x14ac:dyDescent="0.25">
      <c r="A3274" t="s">
        <v>1248</v>
      </c>
      <c r="B3274">
        <v>261167</v>
      </c>
      <c r="C3274">
        <v>119922</v>
      </c>
      <c r="D3274">
        <v>405</v>
      </c>
      <c r="E3274" t="s">
        <v>1266</v>
      </c>
      <c r="G3274">
        <v>745</v>
      </c>
      <c r="H3274">
        <v>1832</v>
      </c>
      <c r="K3274">
        <v>38272</v>
      </c>
      <c r="L3274">
        <v>38272</v>
      </c>
      <c r="M3274" s="29">
        <v>39866666666</v>
      </c>
      <c r="N3274">
        <v>0</v>
      </c>
      <c r="O3274" s="29">
        <v>39866666666</v>
      </c>
      <c r="P3274">
        <v>0</v>
      </c>
      <c r="Q3274">
        <v>0</v>
      </c>
      <c r="R3274">
        <v>0</v>
      </c>
      <c r="T3274" s="29">
        <v>11200</v>
      </c>
      <c r="U3274" s="29">
        <v>428646398</v>
      </c>
      <c r="V3274" t="s">
        <v>1262</v>
      </c>
      <c r="W3274" t="s">
        <v>1262</v>
      </c>
      <c r="X3274" s="29">
        <v>428646398</v>
      </c>
      <c r="AA3274" s="30">
        <v>46421.333333333336</v>
      </c>
      <c r="AB3274" s="30">
        <v>46436.708333333336</v>
      </c>
      <c r="AC3274" s="30">
        <v>46421.333333333336</v>
      </c>
      <c r="AD3274" s="30">
        <v>46436.708333333336</v>
      </c>
      <c r="AE3274" s="30">
        <v>46421.333333333336</v>
      </c>
      <c r="AF3274" s="30">
        <v>46436.708333333336</v>
      </c>
      <c r="AG3274" t="s">
        <v>1266</v>
      </c>
      <c r="AK3274" t="s">
        <v>1265</v>
      </c>
      <c r="AL3274" t="s">
        <v>1300</v>
      </c>
      <c r="AM3274" t="s">
        <v>1263</v>
      </c>
      <c r="AN3274" t="s">
        <v>1262</v>
      </c>
      <c r="AO3274">
        <v>0</v>
      </c>
      <c r="AQ3274" t="s">
        <v>1261</v>
      </c>
      <c r="AR3274" t="s">
        <v>1260</v>
      </c>
      <c r="AS3274" t="s">
        <v>1259</v>
      </c>
      <c r="AT3274" s="30">
        <v>46093.397916666669</v>
      </c>
    </row>
    <row r="3275" spans="1:46" x14ac:dyDescent="0.25">
      <c r="A3275" t="s">
        <v>1248</v>
      </c>
      <c r="B3275">
        <v>261174</v>
      </c>
      <c r="C3275">
        <v>120000</v>
      </c>
      <c r="D3275">
        <v>405</v>
      </c>
      <c r="E3275" t="s">
        <v>1266</v>
      </c>
      <c r="G3275">
        <v>745</v>
      </c>
      <c r="H3275">
        <v>1824</v>
      </c>
      <c r="K3275">
        <v>139</v>
      </c>
      <c r="L3275">
        <v>139</v>
      </c>
      <c r="M3275" s="29">
        <v>124107142</v>
      </c>
      <c r="N3275">
        <v>0</v>
      </c>
      <c r="O3275" s="29">
        <v>124107142</v>
      </c>
      <c r="P3275">
        <v>0</v>
      </c>
      <c r="Q3275">
        <v>0</v>
      </c>
      <c r="R3275">
        <v>0</v>
      </c>
      <c r="T3275" s="29">
        <v>2200000</v>
      </c>
      <c r="U3275" s="29">
        <v>305800000</v>
      </c>
      <c r="V3275" t="s">
        <v>1262</v>
      </c>
      <c r="W3275" t="s">
        <v>1262</v>
      </c>
      <c r="X3275" s="29">
        <v>305800000</v>
      </c>
      <c r="AA3275" s="30">
        <v>46066.333333333336</v>
      </c>
      <c r="AB3275" s="30">
        <v>46085.708333333336</v>
      </c>
      <c r="AC3275" s="30">
        <v>46066.333333333336</v>
      </c>
      <c r="AD3275" s="30">
        <v>46085.708333333336</v>
      </c>
      <c r="AE3275" s="30">
        <v>46218.333333333336</v>
      </c>
      <c r="AF3275" s="30">
        <v>46237.708333333336</v>
      </c>
      <c r="AG3275" t="s">
        <v>1266</v>
      </c>
      <c r="AK3275" t="s">
        <v>1265</v>
      </c>
      <c r="AL3275" t="s">
        <v>1299</v>
      </c>
      <c r="AM3275" t="s">
        <v>1263</v>
      </c>
      <c r="AN3275" t="s">
        <v>1262</v>
      </c>
      <c r="AO3275">
        <v>0</v>
      </c>
      <c r="AQ3275" t="s">
        <v>1261</v>
      </c>
      <c r="AR3275" t="s">
        <v>1260</v>
      </c>
      <c r="AS3275" t="s">
        <v>1259</v>
      </c>
      <c r="AT3275" s="30">
        <v>46093.414583333331</v>
      </c>
    </row>
    <row r="3276" spans="1:46" x14ac:dyDescent="0.25">
      <c r="A3276" t="s">
        <v>1248</v>
      </c>
      <c r="B3276">
        <v>261175</v>
      </c>
      <c r="C3276">
        <v>120001</v>
      </c>
      <c r="D3276">
        <v>405</v>
      </c>
      <c r="E3276" t="s">
        <v>1266</v>
      </c>
      <c r="G3276">
        <v>745</v>
      </c>
      <c r="H3276">
        <v>1824</v>
      </c>
      <c r="K3276">
        <v>139</v>
      </c>
      <c r="L3276">
        <v>139</v>
      </c>
      <c r="M3276" s="29">
        <v>124107142</v>
      </c>
      <c r="N3276">
        <v>0</v>
      </c>
      <c r="O3276" s="29">
        <v>124107142</v>
      </c>
      <c r="P3276">
        <v>0</v>
      </c>
      <c r="Q3276">
        <v>0</v>
      </c>
      <c r="R3276">
        <v>0</v>
      </c>
      <c r="T3276" s="29">
        <v>2200000</v>
      </c>
      <c r="U3276" s="29">
        <v>305800000</v>
      </c>
      <c r="V3276" t="s">
        <v>1262</v>
      </c>
      <c r="W3276" t="s">
        <v>1262</v>
      </c>
      <c r="X3276" s="29">
        <v>305800000</v>
      </c>
      <c r="AA3276" s="30">
        <v>46086.333333333336</v>
      </c>
      <c r="AB3276" s="30">
        <v>46105.708333333336</v>
      </c>
      <c r="AC3276" s="30">
        <v>46086.333333333336</v>
      </c>
      <c r="AD3276" s="30">
        <v>46105.708333333336</v>
      </c>
      <c r="AE3276" s="30">
        <v>46238.333333333336</v>
      </c>
      <c r="AF3276" s="30">
        <v>46255.708333333336</v>
      </c>
      <c r="AG3276" t="s">
        <v>1266</v>
      </c>
      <c r="AK3276" t="s">
        <v>1265</v>
      </c>
      <c r="AL3276" t="s">
        <v>1298</v>
      </c>
      <c r="AM3276" t="s">
        <v>1263</v>
      </c>
      <c r="AN3276" t="s">
        <v>1262</v>
      </c>
      <c r="AO3276">
        <v>0</v>
      </c>
      <c r="AQ3276" t="s">
        <v>1261</v>
      </c>
      <c r="AR3276" t="s">
        <v>1260</v>
      </c>
      <c r="AS3276" t="s">
        <v>1259</v>
      </c>
      <c r="AT3276" s="30">
        <v>46093.414583333331</v>
      </c>
    </row>
    <row r="3277" spans="1:46" x14ac:dyDescent="0.25">
      <c r="A3277" t="s">
        <v>1248</v>
      </c>
      <c r="B3277">
        <v>261176</v>
      </c>
      <c r="C3277">
        <v>120002</v>
      </c>
      <c r="D3277">
        <v>405</v>
      </c>
      <c r="E3277" t="s">
        <v>1266</v>
      </c>
      <c r="G3277">
        <v>745</v>
      </c>
      <c r="H3277">
        <v>1824</v>
      </c>
      <c r="K3277">
        <v>139</v>
      </c>
      <c r="L3277">
        <v>139</v>
      </c>
      <c r="M3277" s="29">
        <v>124107142</v>
      </c>
      <c r="N3277">
        <v>0</v>
      </c>
      <c r="O3277" s="29">
        <v>124107142</v>
      </c>
      <c r="P3277">
        <v>0</v>
      </c>
      <c r="Q3277">
        <v>0</v>
      </c>
      <c r="R3277">
        <v>0</v>
      </c>
      <c r="T3277" s="29">
        <v>2200000</v>
      </c>
      <c r="U3277" s="29">
        <v>305800000</v>
      </c>
      <c r="V3277" t="s">
        <v>1262</v>
      </c>
      <c r="W3277" t="s">
        <v>1262</v>
      </c>
      <c r="X3277" s="29">
        <v>305800000</v>
      </c>
      <c r="AA3277" s="30">
        <v>46106.333333333336</v>
      </c>
      <c r="AB3277" s="30">
        <v>46126.708333333336</v>
      </c>
      <c r="AC3277" s="30">
        <v>46106.333333333336</v>
      </c>
      <c r="AD3277" s="30">
        <v>46126.708333333336</v>
      </c>
      <c r="AE3277" s="30">
        <v>46258.333333333336</v>
      </c>
      <c r="AF3277" s="30">
        <v>46275.708333333336</v>
      </c>
      <c r="AG3277" t="s">
        <v>1266</v>
      </c>
      <c r="AK3277" t="s">
        <v>1265</v>
      </c>
      <c r="AL3277" t="s">
        <v>1297</v>
      </c>
      <c r="AM3277" t="s">
        <v>1263</v>
      </c>
      <c r="AN3277" t="s">
        <v>1262</v>
      </c>
      <c r="AO3277">
        <v>0</v>
      </c>
      <c r="AQ3277" t="s">
        <v>1261</v>
      </c>
      <c r="AR3277" t="s">
        <v>1260</v>
      </c>
      <c r="AS3277" t="s">
        <v>1259</v>
      </c>
      <c r="AT3277" s="30">
        <v>46093.414583333331</v>
      </c>
    </row>
    <row r="3278" spans="1:46" x14ac:dyDescent="0.25">
      <c r="A3278" t="s">
        <v>1248</v>
      </c>
      <c r="B3278">
        <v>261177</v>
      </c>
      <c r="C3278">
        <v>120003</v>
      </c>
      <c r="D3278">
        <v>405</v>
      </c>
      <c r="E3278" t="s">
        <v>1266</v>
      </c>
      <c r="G3278">
        <v>745</v>
      </c>
      <c r="H3278">
        <v>1824</v>
      </c>
      <c r="K3278">
        <v>139</v>
      </c>
      <c r="L3278">
        <v>139</v>
      </c>
      <c r="M3278" s="29">
        <v>124107142</v>
      </c>
      <c r="N3278">
        <v>0</v>
      </c>
      <c r="O3278" s="29">
        <v>124107142</v>
      </c>
      <c r="P3278">
        <v>0</v>
      </c>
      <c r="Q3278">
        <v>0</v>
      </c>
      <c r="R3278">
        <v>0</v>
      </c>
      <c r="T3278" s="29">
        <v>2200000</v>
      </c>
      <c r="U3278" s="29">
        <v>305800000</v>
      </c>
      <c r="V3278" t="s">
        <v>1262</v>
      </c>
      <c r="W3278" t="s">
        <v>1262</v>
      </c>
      <c r="X3278" s="29">
        <v>305800000</v>
      </c>
      <c r="AA3278" s="30">
        <v>46127.333333333336</v>
      </c>
      <c r="AB3278" s="30">
        <v>46147.708333333336</v>
      </c>
      <c r="AC3278" s="30">
        <v>46127.333333333336</v>
      </c>
      <c r="AD3278" s="30">
        <v>46147.708333333336</v>
      </c>
      <c r="AE3278" s="30">
        <v>46276.333333333336</v>
      </c>
      <c r="AF3278" s="30">
        <v>46295.708333333336</v>
      </c>
      <c r="AG3278" t="s">
        <v>1266</v>
      </c>
      <c r="AK3278" t="s">
        <v>1265</v>
      </c>
      <c r="AL3278" t="s">
        <v>1296</v>
      </c>
      <c r="AM3278" t="s">
        <v>1263</v>
      </c>
      <c r="AN3278" t="s">
        <v>1262</v>
      </c>
      <c r="AO3278">
        <v>0</v>
      </c>
      <c r="AQ3278" t="s">
        <v>1261</v>
      </c>
      <c r="AR3278" t="s">
        <v>1260</v>
      </c>
      <c r="AS3278" t="s">
        <v>1259</v>
      </c>
      <c r="AT3278" s="30">
        <v>46093.414583333331</v>
      </c>
    </row>
    <row r="3279" spans="1:46" x14ac:dyDescent="0.25">
      <c r="A3279" t="s">
        <v>1248</v>
      </c>
      <c r="B3279">
        <v>261178</v>
      </c>
      <c r="C3279">
        <v>120004</v>
      </c>
      <c r="D3279">
        <v>405</v>
      </c>
      <c r="E3279" t="s">
        <v>1266</v>
      </c>
      <c r="G3279">
        <v>745</v>
      </c>
      <c r="H3279">
        <v>1824</v>
      </c>
      <c r="K3279">
        <v>139</v>
      </c>
      <c r="L3279">
        <v>139</v>
      </c>
      <c r="M3279" s="29">
        <v>124107142</v>
      </c>
      <c r="N3279">
        <v>0</v>
      </c>
      <c r="O3279" s="29">
        <v>124107142</v>
      </c>
      <c r="P3279">
        <v>0</v>
      </c>
      <c r="Q3279">
        <v>0</v>
      </c>
      <c r="R3279">
        <v>0</v>
      </c>
      <c r="T3279" s="29">
        <v>2200000</v>
      </c>
      <c r="U3279" s="29">
        <v>305800000</v>
      </c>
      <c r="V3279" t="s">
        <v>1262</v>
      </c>
      <c r="W3279" t="s">
        <v>1262</v>
      </c>
      <c r="X3279" s="29">
        <v>305800000</v>
      </c>
      <c r="AA3279" s="30">
        <v>46148.333333333336</v>
      </c>
      <c r="AB3279" s="30">
        <v>46167.708333333336</v>
      </c>
      <c r="AC3279" s="30">
        <v>46148.333333333336</v>
      </c>
      <c r="AD3279" s="30">
        <v>46167.708333333336</v>
      </c>
      <c r="AE3279" s="30">
        <v>46296.333333333336</v>
      </c>
      <c r="AF3279" s="30">
        <v>46315.708333333336</v>
      </c>
      <c r="AG3279" t="s">
        <v>1266</v>
      </c>
      <c r="AK3279" t="s">
        <v>1265</v>
      </c>
      <c r="AL3279" t="s">
        <v>1295</v>
      </c>
      <c r="AM3279" t="s">
        <v>1263</v>
      </c>
      <c r="AN3279" t="s">
        <v>1262</v>
      </c>
      <c r="AO3279">
        <v>0</v>
      </c>
      <c r="AQ3279" t="s">
        <v>1261</v>
      </c>
      <c r="AR3279" t="s">
        <v>1260</v>
      </c>
      <c r="AS3279" t="s">
        <v>1259</v>
      </c>
      <c r="AT3279" s="30">
        <v>46093.415277777778</v>
      </c>
    </row>
    <row r="3280" spans="1:46" x14ac:dyDescent="0.25">
      <c r="A3280" t="s">
        <v>1248</v>
      </c>
      <c r="B3280">
        <v>261179</v>
      </c>
      <c r="C3280">
        <v>120005</v>
      </c>
      <c r="D3280">
        <v>405</v>
      </c>
      <c r="E3280" t="s">
        <v>1266</v>
      </c>
      <c r="G3280">
        <v>745</v>
      </c>
      <c r="H3280">
        <v>1824</v>
      </c>
      <c r="K3280">
        <v>139</v>
      </c>
      <c r="L3280">
        <v>139</v>
      </c>
      <c r="M3280" s="29">
        <v>124107142</v>
      </c>
      <c r="N3280">
        <v>0</v>
      </c>
      <c r="O3280" s="29">
        <v>124107142</v>
      </c>
      <c r="P3280">
        <v>0</v>
      </c>
      <c r="Q3280">
        <v>0</v>
      </c>
      <c r="R3280">
        <v>0</v>
      </c>
      <c r="T3280" s="29">
        <v>2200000</v>
      </c>
      <c r="U3280" s="29">
        <v>305800000</v>
      </c>
      <c r="V3280" t="s">
        <v>1262</v>
      </c>
      <c r="W3280" t="s">
        <v>1262</v>
      </c>
      <c r="X3280" s="29">
        <v>305800000</v>
      </c>
      <c r="AA3280" s="30">
        <v>46168.333333333336</v>
      </c>
      <c r="AB3280" s="30">
        <v>46188.708333333336</v>
      </c>
      <c r="AC3280" s="30">
        <v>46168.333333333336</v>
      </c>
      <c r="AD3280" s="30">
        <v>46188.708333333336</v>
      </c>
      <c r="AE3280" s="30">
        <v>46316.333333333336</v>
      </c>
      <c r="AF3280" s="30">
        <v>46335.708333333336</v>
      </c>
      <c r="AG3280" t="s">
        <v>1266</v>
      </c>
      <c r="AK3280" t="s">
        <v>1265</v>
      </c>
      <c r="AL3280" t="s">
        <v>1294</v>
      </c>
      <c r="AM3280" t="s">
        <v>1263</v>
      </c>
      <c r="AN3280" t="s">
        <v>1262</v>
      </c>
      <c r="AO3280">
        <v>0</v>
      </c>
      <c r="AQ3280" t="s">
        <v>1261</v>
      </c>
      <c r="AR3280" t="s">
        <v>1260</v>
      </c>
      <c r="AS3280" t="s">
        <v>1259</v>
      </c>
      <c r="AT3280" s="30">
        <v>46093.415277777778</v>
      </c>
    </row>
    <row r="3281" spans="1:46" x14ac:dyDescent="0.25">
      <c r="A3281" t="s">
        <v>1248</v>
      </c>
      <c r="B3281">
        <v>261180</v>
      </c>
      <c r="C3281">
        <v>120006</v>
      </c>
      <c r="D3281">
        <v>405</v>
      </c>
      <c r="E3281" t="s">
        <v>1266</v>
      </c>
      <c r="G3281">
        <v>745</v>
      </c>
      <c r="H3281">
        <v>1824</v>
      </c>
      <c r="K3281">
        <v>139</v>
      </c>
      <c r="L3281">
        <v>139</v>
      </c>
      <c r="M3281" s="29">
        <v>124107142</v>
      </c>
      <c r="N3281">
        <v>0</v>
      </c>
      <c r="O3281" s="29">
        <v>124107142</v>
      </c>
      <c r="P3281">
        <v>0</v>
      </c>
      <c r="Q3281">
        <v>0</v>
      </c>
      <c r="R3281">
        <v>0</v>
      </c>
      <c r="T3281" s="29">
        <v>2200000</v>
      </c>
      <c r="U3281" s="29">
        <v>305800000</v>
      </c>
      <c r="V3281" t="s">
        <v>1262</v>
      </c>
      <c r="W3281" t="s">
        <v>1262</v>
      </c>
      <c r="X3281" s="29">
        <v>305800000</v>
      </c>
      <c r="AA3281" s="30">
        <v>46189.333333333336</v>
      </c>
      <c r="AB3281" s="30">
        <v>46206.708333333336</v>
      </c>
      <c r="AC3281" s="30">
        <v>46189.333333333336</v>
      </c>
      <c r="AD3281" s="30">
        <v>46206.708333333336</v>
      </c>
      <c r="AE3281" s="30">
        <v>46336.333333333336</v>
      </c>
      <c r="AF3281" s="30">
        <v>46353.708333333336</v>
      </c>
      <c r="AG3281" t="s">
        <v>1266</v>
      </c>
      <c r="AK3281" t="s">
        <v>1265</v>
      </c>
      <c r="AL3281" t="s">
        <v>1293</v>
      </c>
      <c r="AM3281" t="s">
        <v>1263</v>
      </c>
      <c r="AN3281" t="s">
        <v>1262</v>
      </c>
      <c r="AO3281">
        <v>0</v>
      </c>
      <c r="AQ3281" t="s">
        <v>1261</v>
      </c>
      <c r="AR3281" t="s">
        <v>1260</v>
      </c>
      <c r="AS3281" t="s">
        <v>1259</v>
      </c>
      <c r="AT3281" s="30">
        <v>46093.415277777778</v>
      </c>
    </row>
    <row r="3282" spans="1:46" x14ac:dyDescent="0.25">
      <c r="A3282" t="s">
        <v>1248</v>
      </c>
      <c r="B3282">
        <v>261181</v>
      </c>
      <c r="C3282">
        <v>120007</v>
      </c>
      <c r="D3282">
        <v>405</v>
      </c>
      <c r="E3282" t="s">
        <v>1266</v>
      </c>
      <c r="G3282">
        <v>745</v>
      </c>
      <c r="H3282">
        <v>1824</v>
      </c>
      <c r="K3282">
        <v>139</v>
      </c>
      <c r="L3282">
        <v>139</v>
      </c>
      <c r="M3282" s="29">
        <v>124107142</v>
      </c>
      <c r="N3282">
        <v>0</v>
      </c>
      <c r="O3282" s="29">
        <v>124107142</v>
      </c>
      <c r="P3282">
        <v>0</v>
      </c>
      <c r="Q3282">
        <v>0</v>
      </c>
      <c r="R3282">
        <v>0</v>
      </c>
      <c r="T3282" s="29">
        <v>2200000</v>
      </c>
      <c r="U3282" s="29">
        <v>305800000</v>
      </c>
      <c r="V3282" t="s">
        <v>1262</v>
      </c>
      <c r="W3282" t="s">
        <v>1262</v>
      </c>
      <c r="X3282" s="29">
        <v>305800000</v>
      </c>
      <c r="AA3282" s="30">
        <v>46209.333333333336</v>
      </c>
      <c r="AB3282" s="30">
        <v>46226.708333333336</v>
      </c>
      <c r="AC3282" s="30">
        <v>46209.333333333336</v>
      </c>
      <c r="AD3282" s="30">
        <v>46226.708333333336</v>
      </c>
      <c r="AE3282" s="30">
        <v>46356.333333333336</v>
      </c>
      <c r="AF3282" s="30">
        <v>46374.708333333336</v>
      </c>
      <c r="AG3282" t="s">
        <v>1266</v>
      </c>
      <c r="AK3282" t="s">
        <v>1265</v>
      </c>
      <c r="AL3282" t="s">
        <v>1292</v>
      </c>
      <c r="AM3282" t="s">
        <v>1263</v>
      </c>
      <c r="AN3282" t="s">
        <v>1262</v>
      </c>
      <c r="AO3282">
        <v>0</v>
      </c>
      <c r="AQ3282" t="s">
        <v>1261</v>
      </c>
      <c r="AR3282" t="s">
        <v>1260</v>
      </c>
      <c r="AS3282" t="s">
        <v>1259</v>
      </c>
      <c r="AT3282" s="30">
        <v>46093.415277777778</v>
      </c>
    </row>
    <row r="3283" spans="1:46" x14ac:dyDescent="0.25">
      <c r="A3283" t="s">
        <v>1248</v>
      </c>
      <c r="B3283">
        <v>261182</v>
      </c>
      <c r="C3283">
        <v>120008</v>
      </c>
      <c r="D3283">
        <v>405</v>
      </c>
      <c r="E3283" t="s">
        <v>1266</v>
      </c>
      <c r="G3283">
        <v>745</v>
      </c>
      <c r="H3283">
        <v>1824</v>
      </c>
      <c r="K3283">
        <v>139</v>
      </c>
      <c r="L3283">
        <v>139</v>
      </c>
      <c r="M3283" s="29">
        <v>124107142</v>
      </c>
      <c r="N3283">
        <v>0</v>
      </c>
      <c r="O3283" s="29">
        <v>124107142</v>
      </c>
      <c r="P3283">
        <v>0</v>
      </c>
      <c r="Q3283">
        <v>0</v>
      </c>
      <c r="R3283">
        <v>0</v>
      </c>
      <c r="T3283" s="29">
        <v>2200000</v>
      </c>
      <c r="U3283" s="29">
        <v>305800000</v>
      </c>
      <c r="V3283" t="s">
        <v>1262</v>
      </c>
      <c r="W3283" t="s">
        <v>1262</v>
      </c>
      <c r="X3283" s="29">
        <v>305800000</v>
      </c>
      <c r="AA3283" s="30">
        <v>46227.333333333336</v>
      </c>
      <c r="AB3283" s="30">
        <v>46246.708333333336</v>
      </c>
      <c r="AC3283" s="30">
        <v>46227.333333333336</v>
      </c>
      <c r="AD3283" s="30">
        <v>46246.708333333336</v>
      </c>
      <c r="AE3283" s="30">
        <v>46377.333333333336</v>
      </c>
      <c r="AF3283" s="30">
        <v>46399.708333333336</v>
      </c>
      <c r="AG3283" t="s">
        <v>1266</v>
      </c>
      <c r="AK3283" t="s">
        <v>1265</v>
      </c>
      <c r="AL3283" t="s">
        <v>1291</v>
      </c>
      <c r="AM3283" t="s">
        <v>1263</v>
      </c>
      <c r="AN3283" t="s">
        <v>1262</v>
      </c>
      <c r="AO3283">
        <v>0</v>
      </c>
      <c r="AQ3283" t="s">
        <v>1261</v>
      </c>
      <c r="AR3283" t="s">
        <v>1260</v>
      </c>
      <c r="AS3283" t="s">
        <v>1259</v>
      </c>
      <c r="AT3283" s="30">
        <v>46093.415277777778</v>
      </c>
    </row>
    <row r="3284" spans="1:46" x14ac:dyDescent="0.25">
      <c r="A3284" t="s">
        <v>1248</v>
      </c>
      <c r="B3284">
        <v>261183</v>
      </c>
      <c r="C3284">
        <v>119898</v>
      </c>
      <c r="D3284">
        <v>405</v>
      </c>
      <c r="E3284" t="s">
        <v>1266</v>
      </c>
      <c r="G3284">
        <v>745</v>
      </c>
      <c r="H3284">
        <v>1824</v>
      </c>
      <c r="K3284">
        <v>139</v>
      </c>
      <c r="L3284">
        <v>139</v>
      </c>
      <c r="M3284" s="29">
        <v>144791666</v>
      </c>
      <c r="N3284">
        <v>0</v>
      </c>
      <c r="O3284" s="29">
        <v>144791666</v>
      </c>
      <c r="P3284">
        <v>0</v>
      </c>
      <c r="Q3284">
        <v>0</v>
      </c>
      <c r="R3284">
        <v>0</v>
      </c>
      <c r="T3284" s="29">
        <v>2200000</v>
      </c>
      <c r="U3284" s="29">
        <v>305800000</v>
      </c>
      <c r="V3284" t="s">
        <v>1262</v>
      </c>
      <c r="W3284" t="s">
        <v>1262</v>
      </c>
      <c r="X3284" s="29">
        <v>305800000</v>
      </c>
      <c r="AA3284" s="30">
        <v>46006.333333333336</v>
      </c>
      <c r="AB3284" s="30">
        <v>46021.708333333336</v>
      </c>
      <c r="AC3284" s="30">
        <v>46006.333333333336</v>
      </c>
      <c r="AD3284" s="30">
        <v>46021.708333333336</v>
      </c>
      <c r="AE3284" s="30">
        <v>46006.333333333336</v>
      </c>
      <c r="AF3284" s="30">
        <v>46021.708333333336</v>
      </c>
      <c r="AG3284" t="s">
        <v>1266</v>
      </c>
      <c r="AK3284" t="s">
        <v>1265</v>
      </c>
      <c r="AL3284" t="s">
        <v>1290</v>
      </c>
      <c r="AM3284" t="s">
        <v>1263</v>
      </c>
      <c r="AN3284" t="s">
        <v>1262</v>
      </c>
      <c r="AO3284">
        <v>0</v>
      </c>
      <c r="AQ3284" t="s">
        <v>1261</v>
      </c>
      <c r="AR3284" t="s">
        <v>1260</v>
      </c>
      <c r="AS3284" t="s">
        <v>1259</v>
      </c>
      <c r="AT3284" s="30">
        <v>46093.415972222225</v>
      </c>
    </row>
    <row r="3285" spans="1:46" x14ac:dyDescent="0.25">
      <c r="A3285" t="s">
        <v>1248</v>
      </c>
      <c r="B3285">
        <v>261184</v>
      </c>
      <c r="C3285">
        <v>119899</v>
      </c>
      <c r="D3285">
        <v>405</v>
      </c>
      <c r="E3285" t="s">
        <v>1266</v>
      </c>
      <c r="G3285">
        <v>745</v>
      </c>
      <c r="H3285">
        <v>1824</v>
      </c>
      <c r="K3285">
        <v>139</v>
      </c>
      <c r="L3285">
        <v>139</v>
      </c>
      <c r="M3285" s="29">
        <v>144791666</v>
      </c>
      <c r="N3285">
        <v>0</v>
      </c>
      <c r="O3285" s="29">
        <v>144791666</v>
      </c>
      <c r="P3285">
        <v>0</v>
      </c>
      <c r="Q3285">
        <v>0</v>
      </c>
      <c r="R3285">
        <v>0</v>
      </c>
      <c r="T3285" s="29">
        <v>2200000</v>
      </c>
      <c r="U3285" s="29">
        <v>305800000</v>
      </c>
      <c r="V3285" t="s">
        <v>1262</v>
      </c>
      <c r="W3285" t="s">
        <v>1262</v>
      </c>
      <c r="X3285" s="29">
        <v>305800000</v>
      </c>
      <c r="AA3285" s="30">
        <v>46022.333333333336</v>
      </c>
      <c r="AB3285" s="30">
        <v>46041.708333333336</v>
      </c>
      <c r="AC3285" s="30">
        <v>46022.333333333336</v>
      </c>
      <c r="AD3285" s="30">
        <v>46041.708333333336</v>
      </c>
      <c r="AE3285" s="30">
        <v>46022.333333333336</v>
      </c>
      <c r="AF3285" s="30">
        <v>46041.708333333336</v>
      </c>
      <c r="AG3285" t="s">
        <v>1266</v>
      </c>
      <c r="AK3285" t="s">
        <v>1265</v>
      </c>
      <c r="AL3285" t="s">
        <v>1289</v>
      </c>
      <c r="AM3285" t="s">
        <v>1263</v>
      </c>
      <c r="AN3285" t="s">
        <v>1262</v>
      </c>
      <c r="AO3285">
        <v>0</v>
      </c>
      <c r="AQ3285" t="s">
        <v>1261</v>
      </c>
      <c r="AR3285" t="s">
        <v>1260</v>
      </c>
      <c r="AS3285" t="s">
        <v>1259</v>
      </c>
      <c r="AT3285" s="30">
        <v>46093.415972222225</v>
      </c>
    </row>
    <row r="3286" spans="1:46" x14ac:dyDescent="0.25">
      <c r="A3286" t="s">
        <v>1248</v>
      </c>
      <c r="B3286">
        <v>261185</v>
      </c>
      <c r="C3286">
        <v>119900</v>
      </c>
      <c r="D3286">
        <v>405</v>
      </c>
      <c r="E3286" t="s">
        <v>1266</v>
      </c>
      <c r="G3286">
        <v>745</v>
      </c>
      <c r="H3286">
        <v>1824</v>
      </c>
      <c r="K3286">
        <v>139</v>
      </c>
      <c r="L3286">
        <v>139</v>
      </c>
      <c r="M3286" s="29">
        <v>144791666</v>
      </c>
      <c r="N3286">
        <v>0</v>
      </c>
      <c r="O3286" s="29">
        <v>144791666</v>
      </c>
      <c r="P3286">
        <v>0</v>
      </c>
      <c r="Q3286">
        <v>0</v>
      </c>
      <c r="R3286">
        <v>0</v>
      </c>
      <c r="T3286" s="29">
        <v>2200000</v>
      </c>
      <c r="U3286" s="29">
        <v>305800000</v>
      </c>
      <c r="V3286" t="s">
        <v>1262</v>
      </c>
      <c r="W3286" t="s">
        <v>1262</v>
      </c>
      <c r="X3286" s="29">
        <v>305800000</v>
      </c>
      <c r="AA3286" s="30">
        <v>46042.333333333336</v>
      </c>
      <c r="AB3286" s="30">
        <v>46057.708333333336</v>
      </c>
      <c r="AC3286" s="30">
        <v>46042.333333333336</v>
      </c>
      <c r="AD3286" s="30">
        <v>46057.708333333336</v>
      </c>
      <c r="AE3286" s="30">
        <v>46042.333333333336</v>
      </c>
      <c r="AF3286" s="30">
        <v>46057.708333333336</v>
      </c>
      <c r="AG3286" t="s">
        <v>1266</v>
      </c>
      <c r="AK3286" t="s">
        <v>1265</v>
      </c>
      <c r="AL3286" t="s">
        <v>1288</v>
      </c>
      <c r="AM3286" t="s">
        <v>1263</v>
      </c>
      <c r="AN3286" t="s">
        <v>1262</v>
      </c>
      <c r="AO3286">
        <v>0</v>
      </c>
      <c r="AQ3286" t="s">
        <v>1261</v>
      </c>
      <c r="AR3286" t="s">
        <v>1260</v>
      </c>
      <c r="AS3286" t="s">
        <v>1259</v>
      </c>
      <c r="AT3286" s="30">
        <v>46093.415972222225</v>
      </c>
    </row>
    <row r="3287" spans="1:46" x14ac:dyDescent="0.25">
      <c r="A3287" t="s">
        <v>1248</v>
      </c>
      <c r="B3287">
        <v>261186</v>
      </c>
      <c r="C3287">
        <v>119901</v>
      </c>
      <c r="D3287">
        <v>405</v>
      </c>
      <c r="E3287" t="s">
        <v>1266</v>
      </c>
      <c r="G3287">
        <v>745</v>
      </c>
      <c r="H3287">
        <v>1824</v>
      </c>
      <c r="K3287">
        <v>139</v>
      </c>
      <c r="L3287">
        <v>139</v>
      </c>
      <c r="M3287" s="29">
        <v>144791666</v>
      </c>
      <c r="N3287">
        <v>0</v>
      </c>
      <c r="O3287" s="29">
        <v>144791666</v>
      </c>
      <c r="P3287">
        <v>0</v>
      </c>
      <c r="Q3287">
        <v>0</v>
      </c>
      <c r="R3287">
        <v>0</v>
      </c>
      <c r="T3287" s="29">
        <v>2200000</v>
      </c>
      <c r="U3287" s="29">
        <v>305800000</v>
      </c>
      <c r="V3287" t="s">
        <v>1262</v>
      </c>
      <c r="W3287" t="s">
        <v>1262</v>
      </c>
      <c r="X3287" s="29">
        <v>305800000</v>
      </c>
      <c r="AA3287" s="30">
        <v>46058.333333333336</v>
      </c>
      <c r="AB3287" s="30">
        <v>46073.708333333336</v>
      </c>
      <c r="AC3287" s="30">
        <v>46058.333333333336</v>
      </c>
      <c r="AD3287" s="30">
        <v>46073.708333333336</v>
      </c>
      <c r="AE3287" s="30">
        <v>46058.333333333336</v>
      </c>
      <c r="AF3287" s="30">
        <v>46073.708333333336</v>
      </c>
      <c r="AG3287" t="s">
        <v>1266</v>
      </c>
      <c r="AK3287" t="s">
        <v>1265</v>
      </c>
      <c r="AL3287" t="s">
        <v>1287</v>
      </c>
      <c r="AM3287" t="s">
        <v>1263</v>
      </c>
      <c r="AN3287" t="s">
        <v>1262</v>
      </c>
      <c r="AO3287">
        <v>0</v>
      </c>
      <c r="AQ3287" t="s">
        <v>1261</v>
      </c>
      <c r="AR3287" t="s">
        <v>1260</v>
      </c>
      <c r="AS3287" t="s">
        <v>1259</v>
      </c>
      <c r="AT3287" s="30">
        <v>46093.415972222225</v>
      </c>
    </row>
    <row r="3288" spans="1:46" x14ac:dyDescent="0.25">
      <c r="A3288" t="s">
        <v>1248</v>
      </c>
      <c r="B3288">
        <v>261187</v>
      </c>
      <c r="C3288">
        <v>119902</v>
      </c>
      <c r="D3288">
        <v>405</v>
      </c>
      <c r="E3288" t="s">
        <v>1266</v>
      </c>
      <c r="G3288">
        <v>745</v>
      </c>
      <c r="H3288">
        <v>1824</v>
      </c>
      <c r="K3288">
        <v>139</v>
      </c>
      <c r="L3288">
        <v>139</v>
      </c>
      <c r="M3288" s="29">
        <v>144791666</v>
      </c>
      <c r="N3288">
        <v>0</v>
      </c>
      <c r="O3288" s="29">
        <v>144791666</v>
      </c>
      <c r="P3288">
        <v>0</v>
      </c>
      <c r="Q3288">
        <v>0</v>
      </c>
      <c r="R3288">
        <v>0</v>
      </c>
      <c r="T3288" s="29">
        <v>2200000</v>
      </c>
      <c r="U3288" s="29">
        <v>305800000</v>
      </c>
      <c r="V3288" t="s">
        <v>1262</v>
      </c>
      <c r="W3288" t="s">
        <v>1262</v>
      </c>
      <c r="X3288" s="29">
        <v>305800000</v>
      </c>
      <c r="AA3288" s="30">
        <v>46076.333333333336</v>
      </c>
      <c r="AB3288" s="30">
        <v>46091.708333333336</v>
      </c>
      <c r="AC3288" s="30">
        <v>46076.333333333336</v>
      </c>
      <c r="AD3288" s="30">
        <v>46091.708333333336</v>
      </c>
      <c r="AE3288" s="30">
        <v>46076.333333333336</v>
      </c>
      <c r="AF3288" s="30">
        <v>46091.708333333336</v>
      </c>
      <c r="AG3288" t="s">
        <v>1266</v>
      </c>
      <c r="AK3288" t="s">
        <v>1265</v>
      </c>
      <c r="AL3288" t="s">
        <v>1286</v>
      </c>
      <c r="AM3288" t="s">
        <v>1263</v>
      </c>
      <c r="AN3288" t="s">
        <v>1262</v>
      </c>
      <c r="AO3288">
        <v>0</v>
      </c>
      <c r="AQ3288" t="s">
        <v>1261</v>
      </c>
      <c r="AR3288" t="s">
        <v>1260</v>
      </c>
      <c r="AS3288" t="s">
        <v>1259</v>
      </c>
      <c r="AT3288" s="30">
        <v>46093.415972222225</v>
      </c>
    </row>
    <row r="3289" spans="1:46" x14ac:dyDescent="0.25">
      <c r="A3289" t="s">
        <v>1248</v>
      </c>
      <c r="B3289">
        <v>261188</v>
      </c>
      <c r="C3289">
        <v>119903</v>
      </c>
      <c r="D3289">
        <v>405</v>
      </c>
      <c r="E3289" t="s">
        <v>1266</v>
      </c>
      <c r="G3289">
        <v>745</v>
      </c>
      <c r="H3289">
        <v>1824</v>
      </c>
      <c r="K3289">
        <v>139</v>
      </c>
      <c r="L3289">
        <v>139</v>
      </c>
      <c r="M3289" s="29">
        <v>144791666</v>
      </c>
      <c r="N3289">
        <v>0</v>
      </c>
      <c r="O3289" s="29">
        <v>144791666</v>
      </c>
      <c r="P3289">
        <v>0</v>
      </c>
      <c r="Q3289">
        <v>0</v>
      </c>
      <c r="R3289">
        <v>0</v>
      </c>
      <c r="T3289" s="29">
        <v>2200000</v>
      </c>
      <c r="U3289" s="29">
        <v>305800000</v>
      </c>
      <c r="V3289" t="s">
        <v>1262</v>
      </c>
      <c r="W3289" t="s">
        <v>1262</v>
      </c>
      <c r="X3289" s="29">
        <v>305800000</v>
      </c>
      <c r="AA3289" s="30">
        <v>46092.333333333336</v>
      </c>
      <c r="AB3289" s="30">
        <v>46107.708333333336</v>
      </c>
      <c r="AC3289" s="30">
        <v>46092.333333333336</v>
      </c>
      <c r="AD3289" s="30">
        <v>46107.708333333336</v>
      </c>
      <c r="AE3289" s="30">
        <v>46092.333333333336</v>
      </c>
      <c r="AF3289" s="30">
        <v>46107.708333333336</v>
      </c>
      <c r="AG3289" t="s">
        <v>1266</v>
      </c>
      <c r="AK3289" t="s">
        <v>1265</v>
      </c>
      <c r="AL3289" t="s">
        <v>1285</v>
      </c>
      <c r="AM3289" t="s">
        <v>1263</v>
      </c>
      <c r="AN3289" t="s">
        <v>1262</v>
      </c>
      <c r="AO3289">
        <v>0</v>
      </c>
      <c r="AQ3289" t="s">
        <v>1261</v>
      </c>
      <c r="AR3289" t="s">
        <v>1260</v>
      </c>
      <c r="AS3289" t="s">
        <v>1259</v>
      </c>
      <c r="AT3289" s="30">
        <v>46093.415972222225</v>
      </c>
    </row>
    <row r="3290" spans="1:46" x14ac:dyDescent="0.25">
      <c r="A3290" t="s">
        <v>1248</v>
      </c>
      <c r="B3290">
        <v>261189</v>
      </c>
      <c r="C3290">
        <v>119904</v>
      </c>
      <c r="D3290">
        <v>405</v>
      </c>
      <c r="E3290" t="s">
        <v>1266</v>
      </c>
      <c r="G3290">
        <v>745</v>
      </c>
      <c r="H3290">
        <v>1824</v>
      </c>
      <c r="K3290">
        <v>139</v>
      </c>
      <c r="L3290">
        <v>139</v>
      </c>
      <c r="M3290" s="29">
        <v>144791666</v>
      </c>
      <c r="N3290">
        <v>0</v>
      </c>
      <c r="O3290" s="29">
        <v>144791666</v>
      </c>
      <c r="P3290">
        <v>0</v>
      </c>
      <c r="Q3290">
        <v>0</v>
      </c>
      <c r="R3290">
        <v>0</v>
      </c>
      <c r="T3290" s="29">
        <v>2200000</v>
      </c>
      <c r="U3290" s="29">
        <v>305800000</v>
      </c>
      <c r="V3290" t="s">
        <v>1262</v>
      </c>
      <c r="W3290" t="s">
        <v>1262</v>
      </c>
      <c r="X3290" s="29">
        <v>305800000</v>
      </c>
      <c r="AA3290" s="30">
        <v>46108.333333333336</v>
      </c>
      <c r="AB3290" s="30">
        <v>46126.708333333336</v>
      </c>
      <c r="AC3290" s="30">
        <v>46108.333333333336</v>
      </c>
      <c r="AD3290" s="30">
        <v>46126.708333333336</v>
      </c>
      <c r="AE3290" s="30">
        <v>46108.333333333336</v>
      </c>
      <c r="AF3290" s="30">
        <v>46126.708333333336</v>
      </c>
      <c r="AG3290" t="s">
        <v>1266</v>
      </c>
      <c r="AK3290" t="s">
        <v>1265</v>
      </c>
      <c r="AL3290" t="s">
        <v>1284</v>
      </c>
      <c r="AM3290" t="s">
        <v>1263</v>
      </c>
      <c r="AN3290" t="s">
        <v>1262</v>
      </c>
      <c r="AO3290">
        <v>0</v>
      </c>
      <c r="AQ3290" t="s">
        <v>1261</v>
      </c>
      <c r="AR3290" t="s">
        <v>1260</v>
      </c>
      <c r="AS3290" t="s">
        <v>1259</v>
      </c>
      <c r="AT3290" s="30">
        <v>46093.416666666664</v>
      </c>
    </row>
    <row r="3291" spans="1:46" x14ac:dyDescent="0.25">
      <c r="A3291" t="s">
        <v>1248</v>
      </c>
      <c r="B3291">
        <v>261190</v>
      </c>
      <c r="C3291">
        <v>119905</v>
      </c>
      <c r="D3291">
        <v>405</v>
      </c>
      <c r="E3291" t="s">
        <v>1266</v>
      </c>
      <c r="G3291">
        <v>745</v>
      </c>
      <c r="H3291">
        <v>1824</v>
      </c>
      <c r="K3291">
        <v>139</v>
      </c>
      <c r="L3291">
        <v>139</v>
      </c>
      <c r="M3291" s="29">
        <v>144791666</v>
      </c>
      <c r="N3291">
        <v>0</v>
      </c>
      <c r="O3291" s="29">
        <v>144791666</v>
      </c>
      <c r="P3291">
        <v>0</v>
      </c>
      <c r="Q3291">
        <v>0</v>
      </c>
      <c r="R3291">
        <v>0</v>
      </c>
      <c r="T3291" s="29">
        <v>2200000</v>
      </c>
      <c r="U3291" s="29">
        <v>305800000</v>
      </c>
      <c r="V3291" t="s">
        <v>1262</v>
      </c>
      <c r="W3291" t="s">
        <v>1262</v>
      </c>
      <c r="X3291" s="29">
        <v>305800000</v>
      </c>
      <c r="AA3291" s="30">
        <v>46127.333333333336</v>
      </c>
      <c r="AB3291" s="30">
        <v>46142.708333333336</v>
      </c>
      <c r="AC3291" s="30">
        <v>46127.333333333336</v>
      </c>
      <c r="AD3291" s="30">
        <v>46142.708333333336</v>
      </c>
      <c r="AE3291" s="30">
        <v>46127.333333333336</v>
      </c>
      <c r="AF3291" s="30">
        <v>46142.708333333336</v>
      </c>
      <c r="AG3291" t="s">
        <v>1266</v>
      </c>
      <c r="AK3291" t="s">
        <v>1265</v>
      </c>
      <c r="AL3291" t="s">
        <v>1283</v>
      </c>
      <c r="AM3291" t="s">
        <v>1263</v>
      </c>
      <c r="AN3291" t="s">
        <v>1262</v>
      </c>
      <c r="AO3291">
        <v>0</v>
      </c>
      <c r="AQ3291" t="s">
        <v>1261</v>
      </c>
      <c r="AR3291" t="s">
        <v>1260</v>
      </c>
      <c r="AS3291" t="s">
        <v>1259</v>
      </c>
      <c r="AT3291" s="30">
        <v>46093.416666666664</v>
      </c>
    </row>
    <row r="3292" spans="1:46" x14ac:dyDescent="0.25">
      <c r="A3292" t="s">
        <v>1248</v>
      </c>
      <c r="B3292">
        <v>261191</v>
      </c>
      <c r="C3292">
        <v>119906</v>
      </c>
      <c r="D3292">
        <v>405</v>
      </c>
      <c r="E3292" t="s">
        <v>1266</v>
      </c>
      <c r="G3292">
        <v>745</v>
      </c>
      <c r="H3292">
        <v>1824</v>
      </c>
      <c r="K3292">
        <v>139</v>
      </c>
      <c r="L3292">
        <v>139</v>
      </c>
      <c r="M3292" s="29">
        <v>144791666</v>
      </c>
      <c r="N3292">
        <v>0</v>
      </c>
      <c r="O3292" s="29">
        <v>144791666</v>
      </c>
      <c r="P3292">
        <v>0</v>
      </c>
      <c r="Q3292">
        <v>0</v>
      </c>
      <c r="R3292">
        <v>0</v>
      </c>
      <c r="T3292" s="29">
        <v>2200000</v>
      </c>
      <c r="U3292" s="29">
        <v>305800000</v>
      </c>
      <c r="V3292" t="s">
        <v>1262</v>
      </c>
      <c r="W3292" t="s">
        <v>1262</v>
      </c>
      <c r="X3292" s="29">
        <v>305800000</v>
      </c>
      <c r="AA3292" s="30">
        <v>46146.333333333336</v>
      </c>
      <c r="AB3292" s="30">
        <v>46161.708333333336</v>
      </c>
      <c r="AC3292" s="30">
        <v>46146.333333333336</v>
      </c>
      <c r="AD3292" s="30">
        <v>46161.708333333336</v>
      </c>
      <c r="AE3292" s="30">
        <v>46146.333333333336</v>
      </c>
      <c r="AF3292" s="30">
        <v>46161.708333333336</v>
      </c>
      <c r="AG3292" t="s">
        <v>1266</v>
      </c>
      <c r="AK3292" t="s">
        <v>1265</v>
      </c>
      <c r="AL3292" t="s">
        <v>1282</v>
      </c>
      <c r="AM3292" t="s">
        <v>1263</v>
      </c>
      <c r="AN3292" t="s">
        <v>1262</v>
      </c>
      <c r="AO3292">
        <v>0</v>
      </c>
      <c r="AQ3292" t="s">
        <v>1261</v>
      </c>
      <c r="AR3292" t="s">
        <v>1260</v>
      </c>
      <c r="AS3292" t="s">
        <v>1259</v>
      </c>
      <c r="AT3292" s="30">
        <v>46093.416666666664</v>
      </c>
    </row>
    <row r="3293" spans="1:46" x14ac:dyDescent="0.25">
      <c r="A3293" t="s">
        <v>1248</v>
      </c>
      <c r="B3293">
        <v>261192</v>
      </c>
      <c r="C3293">
        <v>119907</v>
      </c>
      <c r="D3293">
        <v>405</v>
      </c>
      <c r="E3293" t="s">
        <v>1266</v>
      </c>
      <c r="G3293">
        <v>745</v>
      </c>
      <c r="H3293">
        <v>1824</v>
      </c>
      <c r="K3293">
        <v>139</v>
      </c>
      <c r="L3293">
        <v>139</v>
      </c>
      <c r="M3293" s="29">
        <v>144791666</v>
      </c>
      <c r="N3293">
        <v>0</v>
      </c>
      <c r="O3293" s="29">
        <v>144791666</v>
      </c>
      <c r="P3293">
        <v>0</v>
      </c>
      <c r="Q3293">
        <v>0</v>
      </c>
      <c r="R3293">
        <v>0</v>
      </c>
      <c r="T3293" s="29">
        <v>2200000</v>
      </c>
      <c r="U3293" s="29">
        <v>305800000</v>
      </c>
      <c r="V3293" t="s">
        <v>1262</v>
      </c>
      <c r="W3293" t="s">
        <v>1262</v>
      </c>
      <c r="X3293" s="29">
        <v>305800000</v>
      </c>
      <c r="AA3293" s="30">
        <v>46162.333333333336</v>
      </c>
      <c r="AB3293" s="30">
        <v>46178.708333333336</v>
      </c>
      <c r="AC3293" s="30">
        <v>46162.333333333336</v>
      </c>
      <c r="AD3293" s="30">
        <v>46178.708333333336</v>
      </c>
      <c r="AE3293" s="30">
        <v>46162.333333333336</v>
      </c>
      <c r="AF3293" s="30">
        <v>46178.708333333336</v>
      </c>
      <c r="AG3293" t="s">
        <v>1266</v>
      </c>
      <c r="AK3293" t="s">
        <v>1265</v>
      </c>
      <c r="AL3293" t="s">
        <v>1281</v>
      </c>
      <c r="AM3293" t="s">
        <v>1263</v>
      </c>
      <c r="AN3293" t="s">
        <v>1262</v>
      </c>
      <c r="AO3293">
        <v>0</v>
      </c>
      <c r="AQ3293" t="s">
        <v>1261</v>
      </c>
      <c r="AR3293" t="s">
        <v>1260</v>
      </c>
      <c r="AS3293" t="s">
        <v>1259</v>
      </c>
      <c r="AT3293" s="30">
        <v>46093.416666666664</v>
      </c>
    </row>
    <row r="3294" spans="1:46" x14ac:dyDescent="0.25">
      <c r="A3294" t="s">
        <v>1248</v>
      </c>
      <c r="B3294">
        <v>261193</v>
      </c>
      <c r="C3294">
        <v>119908</v>
      </c>
      <c r="D3294">
        <v>405</v>
      </c>
      <c r="E3294" t="s">
        <v>1266</v>
      </c>
      <c r="G3294">
        <v>745</v>
      </c>
      <c r="H3294">
        <v>1824</v>
      </c>
      <c r="K3294">
        <v>139</v>
      </c>
      <c r="L3294">
        <v>139</v>
      </c>
      <c r="M3294" s="29">
        <v>144791666</v>
      </c>
      <c r="N3294">
        <v>0</v>
      </c>
      <c r="O3294" s="29">
        <v>144791666</v>
      </c>
      <c r="P3294">
        <v>0</v>
      </c>
      <c r="Q3294">
        <v>0</v>
      </c>
      <c r="R3294">
        <v>0</v>
      </c>
      <c r="T3294" s="29">
        <v>2200000</v>
      </c>
      <c r="U3294" s="29">
        <v>305800000</v>
      </c>
      <c r="V3294" t="s">
        <v>1262</v>
      </c>
      <c r="W3294" t="s">
        <v>1262</v>
      </c>
      <c r="X3294" s="29">
        <v>305800000</v>
      </c>
      <c r="AA3294" s="30">
        <v>46181.333333333336</v>
      </c>
      <c r="AB3294" s="30">
        <v>46196.708333333336</v>
      </c>
      <c r="AC3294" s="30">
        <v>46181.333333333336</v>
      </c>
      <c r="AD3294" s="30">
        <v>46196.708333333336</v>
      </c>
      <c r="AE3294" s="30">
        <v>46181.333333333336</v>
      </c>
      <c r="AF3294" s="30">
        <v>46196.708333333336</v>
      </c>
      <c r="AG3294" t="s">
        <v>1266</v>
      </c>
      <c r="AK3294" t="s">
        <v>1265</v>
      </c>
      <c r="AL3294" t="s">
        <v>1280</v>
      </c>
      <c r="AM3294" t="s">
        <v>1263</v>
      </c>
      <c r="AN3294" t="s">
        <v>1262</v>
      </c>
      <c r="AO3294">
        <v>0</v>
      </c>
      <c r="AQ3294" t="s">
        <v>1261</v>
      </c>
      <c r="AR3294" t="s">
        <v>1260</v>
      </c>
      <c r="AS3294" t="s">
        <v>1259</v>
      </c>
      <c r="AT3294" s="30">
        <v>46093.416666666664</v>
      </c>
    </row>
    <row r="3295" spans="1:46" x14ac:dyDescent="0.25">
      <c r="A3295" t="s">
        <v>1248</v>
      </c>
      <c r="B3295">
        <v>261194</v>
      </c>
      <c r="C3295">
        <v>119909</v>
      </c>
      <c r="D3295">
        <v>405</v>
      </c>
      <c r="E3295" t="s">
        <v>1266</v>
      </c>
      <c r="G3295">
        <v>745</v>
      </c>
      <c r="H3295">
        <v>1824</v>
      </c>
      <c r="K3295">
        <v>139</v>
      </c>
      <c r="L3295">
        <v>139</v>
      </c>
      <c r="M3295" s="29">
        <v>144791666</v>
      </c>
      <c r="N3295">
        <v>0</v>
      </c>
      <c r="O3295" s="29">
        <v>144791666</v>
      </c>
      <c r="P3295">
        <v>0</v>
      </c>
      <c r="Q3295">
        <v>0</v>
      </c>
      <c r="R3295">
        <v>0</v>
      </c>
      <c r="T3295" s="29">
        <v>2200000</v>
      </c>
      <c r="U3295" s="29">
        <v>305800000</v>
      </c>
      <c r="V3295" t="s">
        <v>1262</v>
      </c>
      <c r="W3295" t="s">
        <v>1262</v>
      </c>
      <c r="X3295" s="29">
        <v>305800000</v>
      </c>
      <c r="AA3295" s="30">
        <v>46197.333333333336</v>
      </c>
      <c r="AB3295" s="30">
        <v>46212.708333333336</v>
      </c>
      <c r="AC3295" s="30">
        <v>46197.333333333336</v>
      </c>
      <c r="AD3295" s="30">
        <v>46212.708333333336</v>
      </c>
      <c r="AE3295" s="30">
        <v>46197.333333333336</v>
      </c>
      <c r="AF3295" s="30">
        <v>46212.708333333336</v>
      </c>
      <c r="AG3295" t="s">
        <v>1266</v>
      </c>
      <c r="AK3295" t="s">
        <v>1265</v>
      </c>
      <c r="AL3295" t="s">
        <v>1279</v>
      </c>
      <c r="AM3295" t="s">
        <v>1263</v>
      </c>
      <c r="AN3295" t="s">
        <v>1262</v>
      </c>
      <c r="AO3295">
        <v>0</v>
      </c>
      <c r="AQ3295" t="s">
        <v>1261</v>
      </c>
      <c r="AR3295" t="s">
        <v>1260</v>
      </c>
      <c r="AS3295" t="s">
        <v>1259</v>
      </c>
      <c r="AT3295" s="30">
        <v>46093.416666666664</v>
      </c>
    </row>
    <row r="3296" spans="1:46" x14ac:dyDescent="0.25">
      <c r="A3296" t="s">
        <v>1248</v>
      </c>
      <c r="B3296">
        <v>261195</v>
      </c>
      <c r="C3296">
        <v>119910</v>
      </c>
      <c r="D3296">
        <v>405</v>
      </c>
      <c r="E3296" t="s">
        <v>1266</v>
      </c>
      <c r="G3296">
        <v>745</v>
      </c>
      <c r="H3296">
        <v>1824</v>
      </c>
      <c r="K3296">
        <v>139</v>
      </c>
      <c r="L3296">
        <v>139</v>
      </c>
      <c r="M3296" s="29">
        <v>144791666</v>
      </c>
      <c r="N3296">
        <v>0</v>
      </c>
      <c r="O3296" s="29">
        <v>144791666</v>
      </c>
      <c r="P3296">
        <v>0</v>
      </c>
      <c r="Q3296">
        <v>0</v>
      </c>
      <c r="R3296">
        <v>0</v>
      </c>
      <c r="T3296" s="29">
        <v>2200000</v>
      </c>
      <c r="U3296" s="29">
        <v>305800000</v>
      </c>
      <c r="V3296" t="s">
        <v>1262</v>
      </c>
      <c r="W3296" t="s">
        <v>1262</v>
      </c>
      <c r="X3296" s="29">
        <v>305800000</v>
      </c>
      <c r="AA3296" s="30">
        <v>46213.333333333336</v>
      </c>
      <c r="AB3296" s="30">
        <v>46230.708333333336</v>
      </c>
      <c r="AC3296" s="30">
        <v>46213.333333333336</v>
      </c>
      <c r="AD3296" s="30">
        <v>46230.708333333336</v>
      </c>
      <c r="AE3296" s="30">
        <v>46213.333333333336</v>
      </c>
      <c r="AF3296" s="30">
        <v>46230.708333333336</v>
      </c>
      <c r="AG3296" t="s">
        <v>1266</v>
      </c>
      <c r="AK3296" t="s">
        <v>1265</v>
      </c>
      <c r="AL3296" t="s">
        <v>1278</v>
      </c>
      <c r="AM3296" t="s">
        <v>1263</v>
      </c>
      <c r="AN3296" t="s">
        <v>1262</v>
      </c>
      <c r="AO3296">
        <v>0</v>
      </c>
      <c r="AQ3296" t="s">
        <v>1261</v>
      </c>
      <c r="AR3296" t="s">
        <v>1260</v>
      </c>
      <c r="AS3296" t="s">
        <v>1259</v>
      </c>
      <c r="AT3296" s="30">
        <v>46093.417361111111</v>
      </c>
    </row>
    <row r="3297" spans="1:46" x14ac:dyDescent="0.25">
      <c r="A3297" t="s">
        <v>1248</v>
      </c>
      <c r="B3297">
        <v>261196</v>
      </c>
      <c r="C3297">
        <v>119911</v>
      </c>
      <c r="D3297">
        <v>405</v>
      </c>
      <c r="E3297" t="s">
        <v>1266</v>
      </c>
      <c r="G3297">
        <v>745</v>
      </c>
      <c r="H3297">
        <v>1824</v>
      </c>
      <c r="K3297">
        <v>139</v>
      </c>
      <c r="L3297">
        <v>139</v>
      </c>
      <c r="M3297" s="29">
        <v>144791666</v>
      </c>
      <c r="N3297">
        <v>0</v>
      </c>
      <c r="O3297" s="29">
        <v>144791666</v>
      </c>
      <c r="P3297">
        <v>0</v>
      </c>
      <c r="Q3297">
        <v>0</v>
      </c>
      <c r="R3297">
        <v>0</v>
      </c>
      <c r="T3297" s="29">
        <v>2200000</v>
      </c>
      <c r="U3297" s="29">
        <v>305800000</v>
      </c>
      <c r="V3297" t="s">
        <v>1262</v>
      </c>
      <c r="W3297" t="s">
        <v>1262</v>
      </c>
      <c r="X3297" s="29">
        <v>305800000</v>
      </c>
      <c r="AA3297" s="30">
        <v>46231.333333333336</v>
      </c>
      <c r="AB3297" s="30">
        <v>46246.708333333336</v>
      </c>
      <c r="AC3297" s="30">
        <v>46231.333333333336</v>
      </c>
      <c r="AD3297" s="30">
        <v>46246.708333333336</v>
      </c>
      <c r="AE3297" s="30">
        <v>46231.333333333336</v>
      </c>
      <c r="AF3297" s="30">
        <v>46246.708333333336</v>
      </c>
      <c r="AG3297" t="s">
        <v>1266</v>
      </c>
      <c r="AK3297" t="s">
        <v>1265</v>
      </c>
      <c r="AL3297" t="s">
        <v>1277</v>
      </c>
      <c r="AM3297" t="s">
        <v>1263</v>
      </c>
      <c r="AN3297" t="s">
        <v>1262</v>
      </c>
      <c r="AO3297">
        <v>0</v>
      </c>
      <c r="AQ3297" t="s">
        <v>1261</v>
      </c>
      <c r="AR3297" t="s">
        <v>1260</v>
      </c>
      <c r="AS3297" t="s">
        <v>1259</v>
      </c>
      <c r="AT3297" s="30">
        <v>46093.417361111111</v>
      </c>
    </row>
    <row r="3298" spans="1:46" x14ac:dyDescent="0.25">
      <c r="A3298" t="s">
        <v>1248</v>
      </c>
      <c r="B3298">
        <v>261197</v>
      </c>
      <c r="C3298">
        <v>119912</v>
      </c>
      <c r="D3298">
        <v>405</v>
      </c>
      <c r="E3298" t="s">
        <v>1266</v>
      </c>
      <c r="G3298">
        <v>745</v>
      </c>
      <c r="H3298">
        <v>1824</v>
      </c>
      <c r="K3298">
        <v>139</v>
      </c>
      <c r="L3298">
        <v>139</v>
      </c>
      <c r="M3298" s="29">
        <v>144791666</v>
      </c>
      <c r="N3298">
        <v>0</v>
      </c>
      <c r="O3298" s="29">
        <v>144791666</v>
      </c>
      <c r="P3298">
        <v>0</v>
      </c>
      <c r="Q3298">
        <v>0</v>
      </c>
      <c r="R3298">
        <v>0</v>
      </c>
      <c r="T3298" s="29">
        <v>2200000</v>
      </c>
      <c r="U3298" s="29">
        <v>305800000</v>
      </c>
      <c r="V3298" t="s">
        <v>1262</v>
      </c>
      <c r="W3298" t="s">
        <v>1262</v>
      </c>
      <c r="X3298" s="29">
        <v>305800000</v>
      </c>
      <c r="AA3298" s="30">
        <v>46247.333333333336</v>
      </c>
      <c r="AB3298" s="30">
        <v>46262.708333333336</v>
      </c>
      <c r="AC3298" s="30">
        <v>46247.333333333336</v>
      </c>
      <c r="AD3298" s="30">
        <v>46262.708333333336</v>
      </c>
      <c r="AE3298" s="30">
        <v>46247.333333333336</v>
      </c>
      <c r="AF3298" s="30">
        <v>46262.708333333336</v>
      </c>
      <c r="AG3298" t="s">
        <v>1266</v>
      </c>
      <c r="AK3298" t="s">
        <v>1265</v>
      </c>
      <c r="AL3298" t="s">
        <v>1276</v>
      </c>
      <c r="AM3298" t="s">
        <v>1263</v>
      </c>
      <c r="AN3298" t="s">
        <v>1262</v>
      </c>
      <c r="AO3298">
        <v>0</v>
      </c>
      <c r="AQ3298" t="s">
        <v>1261</v>
      </c>
      <c r="AR3298" t="s">
        <v>1260</v>
      </c>
      <c r="AS3298" t="s">
        <v>1259</v>
      </c>
      <c r="AT3298" s="30">
        <v>46093.417361111111</v>
      </c>
    </row>
    <row r="3299" spans="1:46" x14ac:dyDescent="0.25">
      <c r="A3299" t="s">
        <v>1248</v>
      </c>
      <c r="B3299">
        <v>261198</v>
      </c>
      <c r="C3299">
        <v>119913</v>
      </c>
      <c r="D3299">
        <v>405</v>
      </c>
      <c r="E3299" t="s">
        <v>1266</v>
      </c>
      <c r="G3299">
        <v>745</v>
      </c>
      <c r="H3299">
        <v>1824</v>
      </c>
      <c r="K3299">
        <v>139</v>
      </c>
      <c r="L3299">
        <v>139</v>
      </c>
      <c r="M3299" s="29">
        <v>144791666</v>
      </c>
      <c r="N3299">
        <v>0</v>
      </c>
      <c r="O3299" s="29">
        <v>144791666</v>
      </c>
      <c r="P3299">
        <v>0</v>
      </c>
      <c r="Q3299">
        <v>0</v>
      </c>
      <c r="R3299">
        <v>0</v>
      </c>
      <c r="T3299" s="29">
        <v>2200000</v>
      </c>
      <c r="U3299" s="29">
        <v>305800000</v>
      </c>
      <c r="V3299" t="s">
        <v>1262</v>
      </c>
      <c r="W3299" t="s">
        <v>1262</v>
      </c>
      <c r="X3299" s="29">
        <v>305800000</v>
      </c>
      <c r="AA3299" s="30">
        <v>46265.333333333336</v>
      </c>
      <c r="AB3299" s="30">
        <v>46280.708333333336</v>
      </c>
      <c r="AC3299" s="30">
        <v>46265.333333333336</v>
      </c>
      <c r="AD3299" s="30">
        <v>46280.708333333336</v>
      </c>
      <c r="AE3299" s="30">
        <v>46265.333333333336</v>
      </c>
      <c r="AF3299" s="30">
        <v>46280.708333333336</v>
      </c>
      <c r="AG3299" t="s">
        <v>1266</v>
      </c>
      <c r="AK3299" t="s">
        <v>1265</v>
      </c>
      <c r="AL3299" t="s">
        <v>1275</v>
      </c>
      <c r="AM3299" t="s">
        <v>1263</v>
      </c>
      <c r="AN3299" t="s">
        <v>1262</v>
      </c>
      <c r="AO3299">
        <v>0</v>
      </c>
      <c r="AQ3299" t="s">
        <v>1261</v>
      </c>
      <c r="AR3299" t="s">
        <v>1260</v>
      </c>
      <c r="AS3299" t="s">
        <v>1259</v>
      </c>
      <c r="AT3299" s="30">
        <v>46093.417361111111</v>
      </c>
    </row>
    <row r="3300" spans="1:46" x14ac:dyDescent="0.25">
      <c r="A3300" t="s">
        <v>1248</v>
      </c>
      <c r="B3300">
        <v>261199</v>
      </c>
      <c r="C3300">
        <v>119914</v>
      </c>
      <c r="D3300">
        <v>405</v>
      </c>
      <c r="E3300" t="s">
        <v>1266</v>
      </c>
      <c r="G3300">
        <v>745</v>
      </c>
      <c r="H3300">
        <v>1824</v>
      </c>
      <c r="K3300">
        <v>139</v>
      </c>
      <c r="L3300">
        <v>139</v>
      </c>
      <c r="M3300" s="29">
        <v>144791666</v>
      </c>
      <c r="N3300">
        <v>0</v>
      </c>
      <c r="O3300" s="29">
        <v>144791666</v>
      </c>
      <c r="P3300">
        <v>0</v>
      </c>
      <c r="Q3300">
        <v>0</v>
      </c>
      <c r="R3300">
        <v>0</v>
      </c>
      <c r="T3300" s="29">
        <v>2200000</v>
      </c>
      <c r="U3300" s="29">
        <v>305800000</v>
      </c>
      <c r="V3300" t="s">
        <v>1262</v>
      </c>
      <c r="W3300" t="s">
        <v>1262</v>
      </c>
      <c r="X3300" s="29">
        <v>305800000</v>
      </c>
      <c r="AA3300" s="30">
        <v>46281.333333333336</v>
      </c>
      <c r="AB3300" s="30">
        <v>46296.708333333336</v>
      </c>
      <c r="AC3300" s="30">
        <v>46281.333333333336</v>
      </c>
      <c r="AD3300" s="30">
        <v>46296.708333333336</v>
      </c>
      <c r="AE3300" s="30">
        <v>46281.333333333336</v>
      </c>
      <c r="AF3300" s="30">
        <v>46296.708333333336</v>
      </c>
      <c r="AG3300" t="s">
        <v>1266</v>
      </c>
      <c r="AK3300" t="s">
        <v>1265</v>
      </c>
      <c r="AL3300" t="s">
        <v>1274</v>
      </c>
      <c r="AM3300" t="s">
        <v>1263</v>
      </c>
      <c r="AN3300" t="s">
        <v>1262</v>
      </c>
      <c r="AO3300">
        <v>0</v>
      </c>
      <c r="AQ3300" t="s">
        <v>1261</v>
      </c>
      <c r="AR3300" t="s">
        <v>1260</v>
      </c>
      <c r="AS3300" t="s">
        <v>1259</v>
      </c>
      <c r="AT3300" s="30">
        <v>46093.417361111111</v>
      </c>
    </row>
    <row r="3301" spans="1:46" x14ac:dyDescent="0.25">
      <c r="A3301" t="s">
        <v>1248</v>
      </c>
      <c r="B3301">
        <v>261200</v>
      </c>
      <c r="C3301">
        <v>119915</v>
      </c>
      <c r="D3301">
        <v>405</v>
      </c>
      <c r="E3301" t="s">
        <v>1266</v>
      </c>
      <c r="G3301">
        <v>745</v>
      </c>
      <c r="H3301">
        <v>1824</v>
      </c>
      <c r="K3301">
        <v>139</v>
      </c>
      <c r="L3301">
        <v>139</v>
      </c>
      <c r="M3301" s="29">
        <v>144791666</v>
      </c>
      <c r="N3301">
        <v>0</v>
      </c>
      <c r="O3301" s="29">
        <v>144791666</v>
      </c>
      <c r="P3301">
        <v>0</v>
      </c>
      <c r="Q3301">
        <v>0</v>
      </c>
      <c r="R3301">
        <v>0</v>
      </c>
      <c r="T3301" s="29">
        <v>2200000</v>
      </c>
      <c r="U3301" s="29">
        <v>305800000</v>
      </c>
      <c r="V3301" t="s">
        <v>1262</v>
      </c>
      <c r="W3301" t="s">
        <v>1262</v>
      </c>
      <c r="X3301" s="29">
        <v>305800000</v>
      </c>
      <c r="AA3301" s="30">
        <v>46297.333333333336</v>
      </c>
      <c r="AB3301" s="30">
        <v>46314.708333333336</v>
      </c>
      <c r="AC3301" s="30">
        <v>46297.333333333336</v>
      </c>
      <c r="AD3301" s="30">
        <v>46314.708333333336</v>
      </c>
      <c r="AE3301" s="30">
        <v>46297.333333333336</v>
      </c>
      <c r="AF3301" s="30">
        <v>46314.708333333336</v>
      </c>
      <c r="AG3301" t="s">
        <v>1266</v>
      </c>
      <c r="AK3301" t="s">
        <v>1265</v>
      </c>
      <c r="AL3301" t="s">
        <v>1273</v>
      </c>
      <c r="AM3301" t="s">
        <v>1263</v>
      </c>
      <c r="AN3301" t="s">
        <v>1262</v>
      </c>
      <c r="AO3301">
        <v>0</v>
      </c>
      <c r="AQ3301" t="s">
        <v>1261</v>
      </c>
      <c r="AR3301" t="s">
        <v>1260</v>
      </c>
      <c r="AS3301" t="s">
        <v>1259</v>
      </c>
      <c r="AT3301" s="30">
        <v>46093.417361111111</v>
      </c>
    </row>
    <row r="3302" spans="1:46" x14ac:dyDescent="0.25">
      <c r="A3302" t="s">
        <v>1248</v>
      </c>
      <c r="B3302">
        <v>261201</v>
      </c>
      <c r="C3302">
        <v>119916</v>
      </c>
      <c r="D3302">
        <v>405</v>
      </c>
      <c r="E3302" t="s">
        <v>1266</v>
      </c>
      <c r="G3302">
        <v>745</v>
      </c>
      <c r="H3302">
        <v>1824</v>
      </c>
      <c r="K3302">
        <v>139</v>
      </c>
      <c r="L3302">
        <v>139</v>
      </c>
      <c r="M3302" s="29">
        <v>144791666</v>
      </c>
      <c r="N3302">
        <v>0</v>
      </c>
      <c r="O3302" s="29">
        <v>144791666</v>
      </c>
      <c r="P3302">
        <v>0</v>
      </c>
      <c r="Q3302">
        <v>0</v>
      </c>
      <c r="R3302">
        <v>0</v>
      </c>
      <c r="T3302" s="29">
        <v>2200000</v>
      </c>
      <c r="U3302" s="29">
        <v>305800000</v>
      </c>
      <c r="V3302" t="s">
        <v>1262</v>
      </c>
      <c r="W3302" t="s">
        <v>1262</v>
      </c>
      <c r="X3302" s="29">
        <v>305800000</v>
      </c>
      <c r="AA3302" s="30">
        <v>46315.333333333336</v>
      </c>
      <c r="AB3302" s="30">
        <v>46330.708333333336</v>
      </c>
      <c r="AC3302" s="30">
        <v>46315.333333333336</v>
      </c>
      <c r="AD3302" s="30">
        <v>46330.708333333336</v>
      </c>
      <c r="AE3302" s="30">
        <v>46315.333333333336</v>
      </c>
      <c r="AF3302" s="30">
        <v>46330.708333333336</v>
      </c>
      <c r="AG3302" t="s">
        <v>1266</v>
      </c>
      <c r="AK3302" t="s">
        <v>1265</v>
      </c>
      <c r="AL3302" t="s">
        <v>1272</v>
      </c>
      <c r="AM3302" t="s">
        <v>1263</v>
      </c>
      <c r="AN3302" t="s">
        <v>1262</v>
      </c>
      <c r="AO3302">
        <v>0</v>
      </c>
      <c r="AQ3302" t="s">
        <v>1261</v>
      </c>
      <c r="AR3302" t="s">
        <v>1260</v>
      </c>
      <c r="AS3302" t="s">
        <v>1259</v>
      </c>
      <c r="AT3302" s="30">
        <v>46093.417361111111</v>
      </c>
    </row>
    <row r="3303" spans="1:46" x14ac:dyDescent="0.25">
      <c r="A3303" t="s">
        <v>1248</v>
      </c>
      <c r="B3303">
        <v>261202</v>
      </c>
      <c r="C3303">
        <v>119917</v>
      </c>
      <c r="D3303">
        <v>405</v>
      </c>
      <c r="E3303" t="s">
        <v>1266</v>
      </c>
      <c r="G3303">
        <v>745</v>
      </c>
      <c r="H3303">
        <v>1824</v>
      </c>
      <c r="K3303">
        <v>139</v>
      </c>
      <c r="L3303">
        <v>139</v>
      </c>
      <c r="M3303" s="29">
        <v>144791666</v>
      </c>
      <c r="N3303">
        <v>0</v>
      </c>
      <c r="O3303" s="29">
        <v>144791666</v>
      </c>
      <c r="P3303">
        <v>0</v>
      </c>
      <c r="Q3303">
        <v>0</v>
      </c>
      <c r="R3303">
        <v>0</v>
      </c>
      <c r="T3303" s="29">
        <v>2200000</v>
      </c>
      <c r="U3303" s="29">
        <v>305800000</v>
      </c>
      <c r="V3303" t="s">
        <v>1262</v>
      </c>
      <c r="W3303" t="s">
        <v>1262</v>
      </c>
      <c r="X3303" s="29">
        <v>305800000</v>
      </c>
      <c r="AA3303" s="30">
        <v>46331.333333333336</v>
      </c>
      <c r="AB3303" s="30">
        <v>46346.708333333336</v>
      </c>
      <c r="AC3303" s="30">
        <v>46331.333333333336</v>
      </c>
      <c r="AD3303" s="30">
        <v>46346.708333333336</v>
      </c>
      <c r="AE3303" s="30">
        <v>46331.333333333336</v>
      </c>
      <c r="AF3303" s="30">
        <v>46346.708333333336</v>
      </c>
      <c r="AG3303" t="s">
        <v>1266</v>
      </c>
      <c r="AK3303" t="s">
        <v>1265</v>
      </c>
      <c r="AL3303" t="s">
        <v>1271</v>
      </c>
      <c r="AM3303" t="s">
        <v>1263</v>
      </c>
      <c r="AN3303" t="s">
        <v>1262</v>
      </c>
      <c r="AO3303">
        <v>0</v>
      </c>
      <c r="AQ3303" t="s">
        <v>1261</v>
      </c>
      <c r="AR3303" t="s">
        <v>1260</v>
      </c>
      <c r="AS3303" t="s">
        <v>1259</v>
      </c>
      <c r="AT3303" s="30">
        <v>46093.418055555558</v>
      </c>
    </row>
    <row r="3304" spans="1:46" x14ac:dyDescent="0.25">
      <c r="A3304" t="s">
        <v>1248</v>
      </c>
      <c r="B3304">
        <v>261203</v>
      </c>
      <c r="C3304">
        <v>119918</v>
      </c>
      <c r="D3304">
        <v>405</v>
      </c>
      <c r="E3304" t="s">
        <v>1266</v>
      </c>
      <c r="G3304">
        <v>745</v>
      </c>
      <c r="H3304">
        <v>1824</v>
      </c>
      <c r="K3304">
        <v>139</v>
      </c>
      <c r="L3304">
        <v>139</v>
      </c>
      <c r="M3304" s="29">
        <v>144791666</v>
      </c>
      <c r="N3304">
        <v>0</v>
      </c>
      <c r="O3304" s="29">
        <v>144791666</v>
      </c>
      <c r="P3304">
        <v>0</v>
      </c>
      <c r="Q3304">
        <v>0</v>
      </c>
      <c r="R3304">
        <v>0</v>
      </c>
      <c r="T3304" s="29">
        <v>2200000</v>
      </c>
      <c r="U3304" s="29">
        <v>305800000</v>
      </c>
      <c r="V3304" t="s">
        <v>1262</v>
      </c>
      <c r="W3304" t="s">
        <v>1262</v>
      </c>
      <c r="X3304" s="29">
        <v>305800000</v>
      </c>
      <c r="AA3304" s="30">
        <v>46349.333333333336</v>
      </c>
      <c r="AB3304" s="30">
        <v>46365.708333333336</v>
      </c>
      <c r="AC3304" s="30">
        <v>46349.333333333336</v>
      </c>
      <c r="AD3304" s="30">
        <v>46365.708333333336</v>
      </c>
      <c r="AE3304" s="30">
        <v>46349.333333333336</v>
      </c>
      <c r="AF3304" s="30">
        <v>46365.708333333336</v>
      </c>
      <c r="AG3304" t="s">
        <v>1266</v>
      </c>
      <c r="AK3304" t="s">
        <v>1265</v>
      </c>
      <c r="AL3304" t="s">
        <v>1270</v>
      </c>
      <c r="AM3304" t="s">
        <v>1263</v>
      </c>
      <c r="AN3304" t="s">
        <v>1262</v>
      </c>
      <c r="AO3304">
        <v>0</v>
      </c>
      <c r="AQ3304" t="s">
        <v>1261</v>
      </c>
      <c r="AR3304" t="s">
        <v>1260</v>
      </c>
      <c r="AS3304" t="s">
        <v>1259</v>
      </c>
      <c r="AT3304" s="30">
        <v>46093.418055555558</v>
      </c>
    </row>
    <row r="3305" spans="1:46" x14ac:dyDescent="0.25">
      <c r="A3305" t="s">
        <v>1248</v>
      </c>
      <c r="B3305">
        <v>261204</v>
      </c>
      <c r="C3305">
        <v>119919</v>
      </c>
      <c r="D3305">
        <v>405</v>
      </c>
      <c r="E3305" t="s">
        <v>1266</v>
      </c>
      <c r="G3305">
        <v>745</v>
      </c>
      <c r="H3305">
        <v>1824</v>
      </c>
      <c r="K3305">
        <v>139</v>
      </c>
      <c r="L3305">
        <v>139</v>
      </c>
      <c r="M3305" s="29">
        <v>144791666</v>
      </c>
      <c r="N3305">
        <v>0</v>
      </c>
      <c r="O3305" s="29">
        <v>144791666</v>
      </c>
      <c r="P3305">
        <v>0</v>
      </c>
      <c r="Q3305">
        <v>0</v>
      </c>
      <c r="R3305">
        <v>0</v>
      </c>
      <c r="T3305" s="29">
        <v>2200000</v>
      </c>
      <c r="U3305" s="29">
        <v>305800000</v>
      </c>
      <c r="V3305" t="s">
        <v>1262</v>
      </c>
      <c r="W3305" t="s">
        <v>1262</v>
      </c>
      <c r="X3305" s="29">
        <v>305800000</v>
      </c>
      <c r="AA3305" s="30">
        <v>46366.333333333336</v>
      </c>
      <c r="AB3305" s="30">
        <v>46384.708333333336</v>
      </c>
      <c r="AC3305" s="30">
        <v>46366.333333333336</v>
      </c>
      <c r="AD3305" s="30">
        <v>46384.708333333336</v>
      </c>
      <c r="AE3305" s="30">
        <v>46366.333333333336</v>
      </c>
      <c r="AF3305" s="30">
        <v>46384.708333333336</v>
      </c>
      <c r="AG3305" t="s">
        <v>1266</v>
      </c>
      <c r="AK3305" t="s">
        <v>1265</v>
      </c>
      <c r="AL3305" t="s">
        <v>1269</v>
      </c>
      <c r="AM3305" t="s">
        <v>1263</v>
      </c>
      <c r="AN3305" t="s">
        <v>1262</v>
      </c>
      <c r="AO3305">
        <v>0</v>
      </c>
      <c r="AQ3305" t="s">
        <v>1261</v>
      </c>
      <c r="AR3305" t="s">
        <v>1260</v>
      </c>
      <c r="AS3305" t="s">
        <v>1259</v>
      </c>
      <c r="AT3305" s="30">
        <v>46093.418055555558</v>
      </c>
    </row>
    <row r="3306" spans="1:46" x14ac:dyDescent="0.25">
      <c r="A3306" t="s">
        <v>1248</v>
      </c>
      <c r="B3306">
        <v>261205</v>
      </c>
      <c r="C3306">
        <v>119920</v>
      </c>
      <c r="D3306">
        <v>405</v>
      </c>
      <c r="E3306" t="s">
        <v>1266</v>
      </c>
      <c r="G3306">
        <v>745</v>
      </c>
      <c r="H3306">
        <v>1824</v>
      </c>
      <c r="K3306">
        <v>139</v>
      </c>
      <c r="L3306">
        <v>139</v>
      </c>
      <c r="M3306" s="29">
        <v>144791666</v>
      </c>
      <c r="N3306">
        <v>0</v>
      </c>
      <c r="O3306" s="29">
        <v>144791666</v>
      </c>
      <c r="P3306">
        <v>0</v>
      </c>
      <c r="Q3306">
        <v>0</v>
      </c>
      <c r="R3306">
        <v>0</v>
      </c>
      <c r="T3306" s="29">
        <v>2200000</v>
      </c>
      <c r="U3306" s="29">
        <v>305800000</v>
      </c>
      <c r="V3306" t="s">
        <v>1262</v>
      </c>
      <c r="W3306" t="s">
        <v>1262</v>
      </c>
      <c r="X3306" s="29">
        <v>305800000</v>
      </c>
      <c r="AA3306" s="30">
        <v>46385.333333333336</v>
      </c>
      <c r="AB3306" s="30">
        <v>46402.708333333336</v>
      </c>
      <c r="AC3306" s="30">
        <v>46385.333333333336</v>
      </c>
      <c r="AD3306" s="30">
        <v>46402.708333333336</v>
      </c>
      <c r="AE3306" s="30">
        <v>46385.333333333336</v>
      </c>
      <c r="AF3306" s="30">
        <v>46402.708333333336</v>
      </c>
      <c r="AG3306" t="s">
        <v>1266</v>
      </c>
      <c r="AK3306" t="s">
        <v>1265</v>
      </c>
      <c r="AL3306" t="s">
        <v>1268</v>
      </c>
      <c r="AM3306" t="s">
        <v>1263</v>
      </c>
      <c r="AN3306" t="s">
        <v>1262</v>
      </c>
      <c r="AO3306">
        <v>0</v>
      </c>
      <c r="AQ3306" t="s">
        <v>1261</v>
      </c>
      <c r="AR3306" t="s">
        <v>1260</v>
      </c>
      <c r="AS3306" t="s">
        <v>1259</v>
      </c>
      <c r="AT3306" s="30">
        <v>46093.418055555558</v>
      </c>
    </row>
    <row r="3307" spans="1:46" x14ac:dyDescent="0.25">
      <c r="A3307" t="s">
        <v>1248</v>
      </c>
      <c r="B3307">
        <v>261206</v>
      </c>
      <c r="C3307">
        <v>119921</v>
      </c>
      <c r="D3307">
        <v>405</v>
      </c>
      <c r="E3307" t="s">
        <v>1266</v>
      </c>
      <c r="G3307">
        <v>745</v>
      </c>
      <c r="H3307">
        <v>1824</v>
      </c>
      <c r="K3307">
        <v>139</v>
      </c>
      <c r="L3307">
        <v>139</v>
      </c>
      <c r="M3307" s="29">
        <v>144791666</v>
      </c>
      <c r="N3307">
        <v>0</v>
      </c>
      <c r="O3307" s="29">
        <v>144791666</v>
      </c>
      <c r="P3307">
        <v>0</v>
      </c>
      <c r="Q3307">
        <v>0</v>
      </c>
      <c r="R3307">
        <v>0</v>
      </c>
      <c r="T3307" s="29">
        <v>2200000</v>
      </c>
      <c r="U3307" s="29">
        <v>305800000</v>
      </c>
      <c r="V3307" t="s">
        <v>1262</v>
      </c>
      <c r="W3307" t="s">
        <v>1262</v>
      </c>
      <c r="X3307" s="29">
        <v>305800000</v>
      </c>
      <c r="AA3307" s="30">
        <v>46405.333333333336</v>
      </c>
      <c r="AB3307" s="30">
        <v>46420.708333333336</v>
      </c>
      <c r="AC3307" s="30">
        <v>46405.333333333336</v>
      </c>
      <c r="AD3307" s="30">
        <v>46420.708333333336</v>
      </c>
      <c r="AE3307" s="30">
        <v>46405.333333333336</v>
      </c>
      <c r="AF3307" s="30">
        <v>46420.708333333336</v>
      </c>
      <c r="AG3307" t="s">
        <v>1266</v>
      </c>
      <c r="AK3307" t="s">
        <v>1265</v>
      </c>
      <c r="AL3307" t="s">
        <v>1267</v>
      </c>
      <c r="AM3307" t="s">
        <v>1263</v>
      </c>
      <c r="AN3307" t="s">
        <v>1262</v>
      </c>
      <c r="AO3307">
        <v>0</v>
      </c>
      <c r="AQ3307" t="s">
        <v>1261</v>
      </c>
      <c r="AR3307" t="s">
        <v>1260</v>
      </c>
      <c r="AS3307" t="s">
        <v>1259</v>
      </c>
      <c r="AT3307" s="30">
        <v>46093.418749999997</v>
      </c>
    </row>
    <row r="3308" spans="1:46" x14ac:dyDescent="0.25">
      <c r="A3308" t="s">
        <v>1248</v>
      </c>
      <c r="B3308">
        <v>261207</v>
      </c>
      <c r="C3308">
        <v>119922</v>
      </c>
      <c r="D3308">
        <v>405</v>
      </c>
      <c r="E3308" t="s">
        <v>1266</v>
      </c>
      <c r="G3308">
        <v>745</v>
      </c>
      <c r="H3308">
        <v>1824</v>
      </c>
      <c r="K3308">
        <v>139</v>
      </c>
      <c r="L3308">
        <v>139</v>
      </c>
      <c r="M3308" s="29">
        <v>144791666</v>
      </c>
      <c r="N3308">
        <v>0</v>
      </c>
      <c r="O3308" s="29">
        <v>144791666</v>
      </c>
      <c r="P3308">
        <v>0</v>
      </c>
      <c r="Q3308">
        <v>0</v>
      </c>
      <c r="R3308">
        <v>0</v>
      </c>
      <c r="T3308" s="29">
        <v>2200000</v>
      </c>
      <c r="U3308" s="29">
        <v>305800000</v>
      </c>
      <c r="V3308" t="s">
        <v>1262</v>
      </c>
      <c r="W3308" t="s">
        <v>1262</v>
      </c>
      <c r="X3308" s="29">
        <v>305800000</v>
      </c>
      <c r="AA3308" s="30">
        <v>46421.333333333336</v>
      </c>
      <c r="AB3308" s="30">
        <v>46436.708333333336</v>
      </c>
      <c r="AC3308" s="30">
        <v>46421.333333333336</v>
      </c>
      <c r="AD3308" s="30">
        <v>46436.708333333336</v>
      </c>
      <c r="AE3308" s="30">
        <v>46421.333333333336</v>
      </c>
      <c r="AF3308" s="30">
        <v>46436.708333333336</v>
      </c>
      <c r="AG3308" t="s">
        <v>1266</v>
      </c>
      <c r="AK3308" t="s">
        <v>1265</v>
      </c>
      <c r="AL3308" t="s">
        <v>1264</v>
      </c>
      <c r="AM3308" t="s">
        <v>1263</v>
      </c>
      <c r="AN3308" t="s">
        <v>1262</v>
      </c>
      <c r="AO3308">
        <v>0</v>
      </c>
      <c r="AQ3308" t="s">
        <v>1261</v>
      </c>
      <c r="AR3308" t="s">
        <v>1260</v>
      </c>
      <c r="AS3308" t="s">
        <v>1259</v>
      </c>
      <c r="AT3308" s="30">
        <v>46093.418749999997</v>
      </c>
    </row>
    <row r="3309" spans="1:46" x14ac:dyDescent="0.25">
      <c r="A3309" t="s">
        <v>1258</v>
      </c>
      <c r="B3309" t="s">
        <v>1257</v>
      </c>
    </row>
    <row r="3310" spans="1:46" x14ac:dyDescent="0.25">
      <c r="A3310" t="s">
        <v>1256</v>
      </c>
      <c r="B3310" t="s">
        <v>1255</v>
      </c>
      <c r="C3310" t="s">
        <v>1254</v>
      </c>
      <c r="D3310" t="s">
        <v>1253</v>
      </c>
      <c r="E3310" t="s">
        <v>1252</v>
      </c>
      <c r="F3310" t="s">
        <v>1251</v>
      </c>
      <c r="G3310" t="s">
        <v>1250</v>
      </c>
      <c r="H3310" t="s">
        <v>1249</v>
      </c>
    </row>
    <row r="3311" spans="1:46" x14ac:dyDescent="0.25">
      <c r="A3311" t="s">
        <v>1248</v>
      </c>
      <c r="B3311">
        <v>182</v>
      </c>
      <c r="C3311">
        <v>352192</v>
      </c>
      <c r="D3311">
        <v>405</v>
      </c>
      <c r="G3311">
        <v>18</v>
      </c>
    </row>
    <row r="3312" spans="1:46" x14ac:dyDescent="0.25">
      <c r="A3312" t="s">
        <v>1248</v>
      </c>
      <c r="B3312">
        <v>182</v>
      </c>
      <c r="C3312">
        <v>352193</v>
      </c>
      <c r="D3312">
        <v>405</v>
      </c>
      <c r="G3312">
        <v>19</v>
      </c>
    </row>
    <row r="3313" spans="1:7" x14ac:dyDescent="0.25">
      <c r="A3313" t="s">
        <v>1248</v>
      </c>
      <c r="B3313">
        <v>182</v>
      </c>
      <c r="C3313">
        <v>352194</v>
      </c>
      <c r="D3313">
        <v>405</v>
      </c>
      <c r="G3313">
        <v>20</v>
      </c>
    </row>
    <row r="3314" spans="1:7" x14ac:dyDescent="0.25">
      <c r="A3314" t="s">
        <v>1248</v>
      </c>
      <c r="B3314">
        <v>182</v>
      </c>
      <c r="C3314">
        <v>352195</v>
      </c>
      <c r="D3314">
        <v>405</v>
      </c>
      <c r="G3314">
        <v>21</v>
      </c>
    </row>
    <row r="3315" spans="1:7" x14ac:dyDescent="0.25">
      <c r="A3315" t="s">
        <v>1248</v>
      </c>
      <c r="B3315">
        <v>182</v>
      </c>
      <c r="C3315">
        <v>352196</v>
      </c>
      <c r="D3315">
        <v>405</v>
      </c>
      <c r="G3315">
        <v>22</v>
      </c>
    </row>
    <row r="3316" spans="1:7" x14ac:dyDescent="0.25">
      <c r="A3316" t="s">
        <v>1248</v>
      </c>
      <c r="B3316">
        <v>182</v>
      </c>
      <c r="C3316">
        <v>352197</v>
      </c>
      <c r="D3316">
        <v>405</v>
      </c>
      <c r="G3316">
        <v>23</v>
      </c>
    </row>
    <row r="3317" spans="1:7" x14ac:dyDescent="0.25">
      <c r="A3317" t="s">
        <v>1248</v>
      </c>
      <c r="B3317">
        <v>182</v>
      </c>
      <c r="C3317">
        <v>352198</v>
      </c>
      <c r="D3317">
        <v>405</v>
      </c>
      <c r="G3317">
        <v>24</v>
      </c>
    </row>
    <row r="3318" spans="1:7" x14ac:dyDescent="0.25">
      <c r="A3318" t="s">
        <v>1248</v>
      </c>
      <c r="B3318">
        <v>182</v>
      </c>
      <c r="C3318">
        <v>352199</v>
      </c>
      <c r="D3318">
        <v>405</v>
      </c>
      <c r="G3318">
        <v>26</v>
      </c>
    </row>
    <row r="3319" spans="1:7" x14ac:dyDescent="0.25">
      <c r="A3319" t="s">
        <v>1248</v>
      </c>
      <c r="B3319">
        <v>182</v>
      </c>
      <c r="C3319">
        <v>352200</v>
      </c>
      <c r="D3319">
        <v>405</v>
      </c>
      <c r="G3319">
        <v>27</v>
      </c>
    </row>
    <row r="3320" spans="1:7" x14ac:dyDescent="0.25">
      <c r="A3320" t="s">
        <v>1248</v>
      </c>
      <c r="B3320">
        <v>182</v>
      </c>
      <c r="C3320">
        <v>352201</v>
      </c>
      <c r="D3320">
        <v>405</v>
      </c>
      <c r="G3320">
        <v>28</v>
      </c>
    </row>
    <row r="3321" spans="1:7" x14ac:dyDescent="0.25">
      <c r="A3321" t="s">
        <v>1248</v>
      </c>
      <c r="B3321">
        <v>182</v>
      </c>
      <c r="C3321">
        <v>352202</v>
      </c>
      <c r="D3321">
        <v>405</v>
      </c>
      <c r="G3321">
        <v>29</v>
      </c>
    </row>
    <row r="3322" spans="1:7" x14ac:dyDescent="0.25">
      <c r="A3322" t="s">
        <v>1248</v>
      </c>
      <c r="B3322">
        <v>182</v>
      </c>
      <c r="C3322">
        <v>352203</v>
      </c>
      <c r="D3322">
        <v>405</v>
      </c>
      <c r="G3322">
        <v>30</v>
      </c>
    </row>
    <row r="3323" spans="1:7" x14ac:dyDescent="0.25">
      <c r="A3323" t="s">
        <v>1248</v>
      </c>
      <c r="B3323">
        <v>182</v>
      </c>
      <c r="C3323">
        <v>352204</v>
      </c>
      <c r="D3323">
        <v>405</v>
      </c>
      <c r="G3323">
        <v>31</v>
      </c>
    </row>
    <row r="3324" spans="1:7" x14ac:dyDescent="0.25">
      <c r="A3324" t="s">
        <v>1248</v>
      </c>
      <c r="B3324">
        <v>182</v>
      </c>
      <c r="C3324">
        <v>352205</v>
      </c>
      <c r="D3324">
        <v>405</v>
      </c>
      <c r="G3324">
        <v>32</v>
      </c>
    </row>
    <row r="3325" spans="1:7" x14ac:dyDescent="0.25">
      <c r="A3325" t="s">
        <v>1248</v>
      </c>
      <c r="B3325">
        <v>182</v>
      </c>
      <c r="C3325">
        <v>352206</v>
      </c>
      <c r="D3325">
        <v>405</v>
      </c>
      <c r="G3325">
        <v>34</v>
      </c>
    </row>
    <row r="3326" spans="1:7" x14ac:dyDescent="0.25">
      <c r="A3326" t="s">
        <v>1248</v>
      </c>
      <c r="B3326">
        <v>182</v>
      </c>
      <c r="C3326">
        <v>352207</v>
      </c>
      <c r="D3326">
        <v>405</v>
      </c>
      <c r="G3326">
        <v>35</v>
      </c>
    </row>
    <row r="3327" spans="1:7" x14ac:dyDescent="0.25">
      <c r="A3327" t="s">
        <v>1248</v>
      </c>
      <c r="B3327">
        <v>182</v>
      </c>
      <c r="C3327">
        <v>352208</v>
      </c>
      <c r="D3327">
        <v>405</v>
      </c>
      <c r="G3327">
        <v>36</v>
      </c>
    </row>
    <row r="3328" spans="1:7" x14ac:dyDescent="0.25">
      <c r="A3328" t="s">
        <v>1248</v>
      </c>
      <c r="B3328">
        <v>182</v>
      </c>
      <c r="C3328">
        <v>352209</v>
      </c>
      <c r="D3328">
        <v>405</v>
      </c>
      <c r="G3328">
        <v>37</v>
      </c>
    </row>
    <row r="3329" spans="1:7" x14ac:dyDescent="0.25">
      <c r="A3329" t="s">
        <v>1248</v>
      </c>
      <c r="B3329">
        <v>182</v>
      </c>
      <c r="C3329">
        <v>352210</v>
      </c>
      <c r="D3329">
        <v>405</v>
      </c>
      <c r="G3329">
        <v>38</v>
      </c>
    </row>
    <row r="3330" spans="1:7" x14ac:dyDescent="0.25">
      <c r="A3330" t="s">
        <v>1248</v>
      </c>
      <c r="B3330">
        <v>182</v>
      </c>
      <c r="C3330">
        <v>352211</v>
      </c>
      <c r="D3330">
        <v>405</v>
      </c>
      <c r="G3330">
        <v>39</v>
      </c>
    </row>
    <row r="3331" spans="1:7" x14ac:dyDescent="0.25">
      <c r="A3331" t="s">
        <v>1248</v>
      </c>
      <c r="B3331">
        <v>182</v>
      </c>
      <c r="C3331">
        <v>352212</v>
      </c>
      <c r="D3331">
        <v>405</v>
      </c>
      <c r="G3331">
        <v>40</v>
      </c>
    </row>
    <row r="3332" spans="1:7" x14ac:dyDescent="0.25">
      <c r="A3332" t="s">
        <v>1248</v>
      </c>
      <c r="B3332">
        <v>182</v>
      </c>
      <c r="C3332">
        <v>352213</v>
      </c>
      <c r="D3332">
        <v>405</v>
      </c>
      <c r="G3332">
        <v>42</v>
      </c>
    </row>
    <row r="3333" spans="1:7" x14ac:dyDescent="0.25">
      <c r="A3333" t="s">
        <v>1248</v>
      </c>
      <c r="B3333">
        <v>182</v>
      </c>
      <c r="C3333">
        <v>352214</v>
      </c>
      <c r="D3333">
        <v>405</v>
      </c>
      <c r="G3333">
        <v>43</v>
      </c>
    </row>
    <row r="3334" spans="1:7" x14ac:dyDescent="0.25">
      <c r="A3334" t="s">
        <v>1248</v>
      </c>
      <c r="B3334">
        <v>182</v>
      </c>
      <c r="C3334">
        <v>352215</v>
      </c>
      <c r="D3334">
        <v>405</v>
      </c>
      <c r="G3334">
        <v>44</v>
      </c>
    </row>
    <row r="3335" spans="1:7" x14ac:dyDescent="0.25">
      <c r="A3335" t="s">
        <v>1248</v>
      </c>
      <c r="B3335">
        <v>182</v>
      </c>
      <c r="C3335">
        <v>352216</v>
      </c>
      <c r="D3335">
        <v>405</v>
      </c>
      <c r="G3335">
        <v>45</v>
      </c>
    </row>
    <row r="3336" spans="1:7" x14ac:dyDescent="0.25">
      <c r="A3336" t="s">
        <v>1248</v>
      </c>
      <c r="B3336">
        <v>182</v>
      </c>
      <c r="C3336">
        <v>352217</v>
      </c>
      <c r="D3336">
        <v>405</v>
      </c>
      <c r="G3336">
        <v>46</v>
      </c>
    </row>
    <row r="3337" spans="1:7" x14ac:dyDescent="0.25">
      <c r="A3337" t="s">
        <v>1248</v>
      </c>
      <c r="B3337">
        <v>182</v>
      </c>
      <c r="C3337">
        <v>352218</v>
      </c>
      <c r="D3337">
        <v>405</v>
      </c>
      <c r="G3337">
        <v>47</v>
      </c>
    </row>
    <row r="3338" spans="1:7" x14ac:dyDescent="0.25">
      <c r="A3338" t="s">
        <v>1248</v>
      </c>
      <c r="B3338">
        <v>182</v>
      </c>
      <c r="C3338">
        <v>352219</v>
      </c>
      <c r="D3338">
        <v>405</v>
      </c>
      <c r="G3338">
        <v>48</v>
      </c>
    </row>
    <row r="3339" spans="1:7" x14ac:dyDescent="0.25">
      <c r="A3339" t="s">
        <v>1248</v>
      </c>
      <c r="B3339">
        <v>182</v>
      </c>
      <c r="C3339">
        <v>352220</v>
      </c>
      <c r="D3339">
        <v>405</v>
      </c>
      <c r="G3339">
        <v>50</v>
      </c>
    </row>
    <row r="3340" spans="1:7" x14ac:dyDescent="0.25">
      <c r="A3340" t="s">
        <v>1248</v>
      </c>
      <c r="B3340">
        <v>182</v>
      </c>
      <c r="C3340">
        <v>352221</v>
      </c>
      <c r="D3340">
        <v>405</v>
      </c>
      <c r="G3340">
        <v>51</v>
      </c>
    </row>
    <row r="3341" spans="1:7" x14ac:dyDescent="0.25">
      <c r="A3341" t="s">
        <v>1248</v>
      </c>
      <c r="B3341">
        <v>182</v>
      </c>
      <c r="C3341">
        <v>352222</v>
      </c>
      <c r="D3341">
        <v>405</v>
      </c>
      <c r="G3341">
        <v>52</v>
      </c>
    </row>
    <row r="3342" spans="1:7" x14ac:dyDescent="0.25">
      <c r="A3342" t="s">
        <v>1248</v>
      </c>
      <c r="B3342">
        <v>182</v>
      </c>
      <c r="C3342">
        <v>352223</v>
      </c>
      <c r="D3342">
        <v>405</v>
      </c>
      <c r="G3342">
        <v>53</v>
      </c>
    </row>
    <row r="3343" spans="1:7" x14ac:dyDescent="0.25">
      <c r="A3343" t="s">
        <v>1248</v>
      </c>
      <c r="B3343">
        <v>182</v>
      </c>
      <c r="C3343">
        <v>352224</v>
      </c>
      <c r="D3343">
        <v>405</v>
      </c>
      <c r="G3343">
        <v>54</v>
      </c>
    </row>
    <row r="3344" spans="1:7" x14ac:dyDescent="0.25">
      <c r="A3344" t="s">
        <v>1248</v>
      </c>
      <c r="B3344">
        <v>182</v>
      </c>
      <c r="C3344">
        <v>352225</v>
      </c>
      <c r="D3344">
        <v>405</v>
      </c>
      <c r="G3344">
        <v>55</v>
      </c>
    </row>
    <row r="3345" spans="1:7" x14ac:dyDescent="0.25">
      <c r="A3345" t="s">
        <v>1248</v>
      </c>
      <c r="B3345">
        <v>182</v>
      </c>
      <c r="C3345">
        <v>352226</v>
      </c>
      <c r="D3345">
        <v>405</v>
      </c>
      <c r="G3345">
        <v>56</v>
      </c>
    </row>
    <row r="3346" spans="1:7" x14ac:dyDescent="0.25">
      <c r="A3346" t="s">
        <v>1248</v>
      </c>
      <c r="B3346">
        <v>182</v>
      </c>
      <c r="C3346">
        <v>352227</v>
      </c>
      <c r="D3346">
        <v>405</v>
      </c>
      <c r="G3346">
        <v>58</v>
      </c>
    </row>
    <row r="3347" spans="1:7" x14ac:dyDescent="0.25">
      <c r="A3347" t="s">
        <v>1248</v>
      </c>
      <c r="B3347">
        <v>182</v>
      </c>
      <c r="C3347">
        <v>352228</v>
      </c>
      <c r="D3347">
        <v>405</v>
      </c>
      <c r="G3347">
        <v>59</v>
      </c>
    </row>
    <row r="3348" spans="1:7" x14ac:dyDescent="0.25">
      <c r="A3348" t="s">
        <v>1248</v>
      </c>
      <c r="B3348">
        <v>182</v>
      </c>
      <c r="C3348">
        <v>352229</v>
      </c>
      <c r="D3348">
        <v>405</v>
      </c>
      <c r="G3348">
        <v>60</v>
      </c>
    </row>
    <row r="3349" spans="1:7" x14ac:dyDescent="0.25">
      <c r="A3349" t="s">
        <v>1248</v>
      </c>
      <c r="B3349">
        <v>182</v>
      </c>
      <c r="C3349">
        <v>352230</v>
      </c>
      <c r="D3349">
        <v>405</v>
      </c>
      <c r="G3349">
        <v>61</v>
      </c>
    </row>
    <row r="3350" spans="1:7" x14ac:dyDescent="0.25">
      <c r="A3350" t="s">
        <v>1248</v>
      </c>
      <c r="B3350">
        <v>182</v>
      </c>
      <c r="C3350">
        <v>352231</v>
      </c>
      <c r="D3350">
        <v>405</v>
      </c>
      <c r="G3350">
        <v>62</v>
      </c>
    </row>
    <row r="3351" spans="1:7" x14ac:dyDescent="0.25">
      <c r="A3351" t="s">
        <v>1248</v>
      </c>
      <c r="B3351">
        <v>182</v>
      </c>
      <c r="C3351">
        <v>352232</v>
      </c>
      <c r="D3351">
        <v>405</v>
      </c>
      <c r="G3351">
        <v>63</v>
      </c>
    </row>
    <row r="3352" spans="1:7" x14ac:dyDescent="0.25">
      <c r="A3352" t="s">
        <v>1248</v>
      </c>
      <c r="B3352">
        <v>182</v>
      </c>
      <c r="C3352">
        <v>352233</v>
      </c>
      <c r="D3352">
        <v>405</v>
      </c>
      <c r="G3352">
        <v>64</v>
      </c>
    </row>
    <row r="3353" spans="1:7" x14ac:dyDescent="0.25">
      <c r="A3353" t="s">
        <v>1248</v>
      </c>
      <c r="B3353">
        <v>182</v>
      </c>
      <c r="C3353">
        <v>352234</v>
      </c>
      <c r="D3353">
        <v>405</v>
      </c>
      <c r="G3353">
        <v>66</v>
      </c>
    </row>
    <row r="3354" spans="1:7" x14ac:dyDescent="0.25">
      <c r="A3354" t="s">
        <v>1248</v>
      </c>
      <c r="B3354">
        <v>182</v>
      </c>
      <c r="C3354">
        <v>352235</v>
      </c>
      <c r="D3354">
        <v>405</v>
      </c>
      <c r="G3354">
        <v>67</v>
      </c>
    </row>
    <row r="3355" spans="1:7" x14ac:dyDescent="0.25">
      <c r="A3355" t="s">
        <v>1248</v>
      </c>
      <c r="B3355">
        <v>182</v>
      </c>
      <c r="C3355">
        <v>352236</v>
      </c>
      <c r="D3355">
        <v>405</v>
      </c>
      <c r="G3355">
        <v>68</v>
      </c>
    </row>
    <row r="3356" spans="1:7" x14ac:dyDescent="0.25">
      <c r="A3356" t="s">
        <v>1248</v>
      </c>
      <c r="B3356">
        <v>182</v>
      </c>
      <c r="C3356">
        <v>352237</v>
      </c>
      <c r="D3356">
        <v>405</v>
      </c>
      <c r="G3356">
        <v>69</v>
      </c>
    </row>
    <row r="3357" spans="1:7" x14ac:dyDescent="0.25">
      <c r="A3357" t="s">
        <v>1248</v>
      </c>
      <c r="B3357">
        <v>182</v>
      </c>
      <c r="C3357">
        <v>352238</v>
      </c>
      <c r="D3357">
        <v>405</v>
      </c>
      <c r="G3357">
        <v>70</v>
      </c>
    </row>
    <row r="3358" spans="1:7" x14ac:dyDescent="0.25">
      <c r="A3358" t="s">
        <v>1248</v>
      </c>
      <c r="B3358">
        <v>182</v>
      </c>
      <c r="C3358">
        <v>352239</v>
      </c>
      <c r="D3358">
        <v>405</v>
      </c>
      <c r="G3358">
        <v>71</v>
      </c>
    </row>
    <row r="3359" spans="1:7" x14ac:dyDescent="0.25">
      <c r="A3359" t="s">
        <v>1248</v>
      </c>
      <c r="B3359">
        <v>182</v>
      </c>
      <c r="C3359">
        <v>352240</v>
      </c>
      <c r="D3359">
        <v>405</v>
      </c>
      <c r="G3359">
        <v>72</v>
      </c>
    </row>
    <row r="3360" spans="1:7" x14ac:dyDescent="0.25">
      <c r="A3360" t="s">
        <v>1248</v>
      </c>
      <c r="B3360">
        <v>182</v>
      </c>
      <c r="C3360">
        <v>352241</v>
      </c>
      <c r="D3360">
        <v>405</v>
      </c>
      <c r="G3360">
        <v>74</v>
      </c>
    </row>
    <row r="3361" spans="1:7" x14ac:dyDescent="0.25">
      <c r="A3361" t="s">
        <v>1248</v>
      </c>
      <c r="B3361">
        <v>182</v>
      </c>
      <c r="C3361">
        <v>352242</v>
      </c>
      <c r="D3361">
        <v>405</v>
      </c>
      <c r="G3361">
        <v>75</v>
      </c>
    </row>
    <row r="3362" spans="1:7" x14ac:dyDescent="0.25">
      <c r="A3362" t="s">
        <v>1248</v>
      </c>
      <c r="B3362">
        <v>182</v>
      </c>
      <c r="C3362">
        <v>352243</v>
      </c>
      <c r="D3362">
        <v>405</v>
      </c>
      <c r="G3362">
        <v>76</v>
      </c>
    </row>
    <row r="3363" spans="1:7" x14ac:dyDescent="0.25">
      <c r="A3363" t="s">
        <v>1248</v>
      </c>
      <c r="B3363">
        <v>182</v>
      </c>
      <c r="C3363">
        <v>352244</v>
      </c>
      <c r="D3363">
        <v>405</v>
      </c>
      <c r="G3363">
        <v>77</v>
      </c>
    </row>
    <row r="3364" spans="1:7" x14ac:dyDescent="0.25">
      <c r="A3364" t="s">
        <v>1248</v>
      </c>
      <c r="B3364">
        <v>182</v>
      </c>
      <c r="C3364">
        <v>352245</v>
      </c>
      <c r="D3364">
        <v>405</v>
      </c>
      <c r="G3364">
        <v>78</v>
      </c>
    </row>
    <row r="3365" spans="1:7" x14ac:dyDescent="0.25">
      <c r="A3365" t="s">
        <v>1248</v>
      </c>
      <c r="B3365">
        <v>182</v>
      </c>
      <c r="C3365">
        <v>352246</v>
      </c>
      <c r="D3365">
        <v>405</v>
      </c>
      <c r="G3365">
        <v>79</v>
      </c>
    </row>
    <row r="3366" spans="1:7" x14ac:dyDescent="0.25">
      <c r="A3366" t="s">
        <v>1248</v>
      </c>
      <c r="B3366">
        <v>182</v>
      </c>
      <c r="C3366">
        <v>352247</v>
      </c>
      <c r="D3366">
        <v>405</v>
      </c>
      <c r="G3366">
        <v>80</v>
      </c>
    </row>
    <row r="3367" spans="1:7" x14ac:dyDescent="0.25">
      <c r="A3367" t="s">
        <v>1248</v>
      </c>
      <c r="B3367">
        <v>182</v>
      </c>
      <c r="C3367">
        <v>352248</v>
      </c>
      <c r="D3367">
        <v>405</v>
      </c>
      <c r="G3367">
        <v>82</v>
      </c>
    </row>
    <row r="3368" spans="1:7" x14ac:dyDescent="0.25">
      <c r="A3368" t="s">
        <v>1248</v>
      </c>
      <c r="B3368">
        <v>182</v>
      </c>
      <c r="C3368">
        <v>352249</v>
      </c>
      <c r="D3368">
        <v>405</v>
      </c>
      <c r="G3368">
        <v>83</v>
      </c>
    </row>
    <row r="3369" spans="1:7" x14ac:dyDescent="0.25">
      <c r="A3369" t="s">
        <v>1248</v>
      </c>
      <c r="B3369">
        <v>182</v>
      </c>
      <c r="C3369">
        <v>352250</v>
      </c>
      <c r="D3369">
        <v>405</v>
      </c>
      <c r="G3369">
        <v>84</v>
      </c>
    </row>
    <row r="3370" spans="1:7" x14ac:dyDescent="0.25">
      <c r="A3370" t="s">
        <v>1248</v>
      </c>
      <c r="B3370">
        <v>182</v>
      </c>
      <c r="C3370">
        <v>352251</v>
      </c>
      <c r="D3370">
        <v>405</v>
      </c>
      <c r="G3370">
        <v>85</v>
      </c>
    </row>
    <row r="3371" spans="1:7" x14ac:dyDescent="0.25">
      <c r="A3371" t="s">
        <v>1248</v>
      </c>
      <c r="B3371">
        <v>182</v>
      </c>
      <c r="C3371">
        <v>352252</v>
      </c>
      <c r="D3371">
        <v>405</v>
      </c>
      <c r="G3371">
        <v>86</v>
      </c>
    </row>
    <row r="3372" spans="1:7" x14ac:dyDescent="0.25">
      <c r="A3372" t="s">
        <v>1248</v>
      </c>
      <c r="B3372">
        <v>182</v>
      </c>
      <c r="C3372">
        <v>352253</v>
      </c>
      <c r="D3372">
        <v>405</v>
      </c>
      <c r="G3372">
        <v>87</v>
      </c>
    </row>
    <row r="3373" spans="1:7" x14ac:dyDescent="0.25">
      <c r="A3373" t="s">
        <v>1248</v>
      </c>
      <c r="B3373">
        <v>182</v>
      </c>
      <c r="C3373">
        <v>352254</v>
      </c>
      <c r="D3373">
        <v>405</v>
      </c>
      <c r="G3373">
        <v>88</v>
      </c>
    </row>
    <row r="3374" spans="1:7" x14ac:dyDescent="0.25">
      <c r="A3374" t="s">
        <v>1248</v>
      </c>
      <c r="B3374">
        <v>182</v>
      </c>
      <c r="C3374">
        <v>352255</v>
      </c>
      <c r="D3374">
        <v>405</v>
      </c>
      <c r="G3374">
        <v>90</v>
      </c>
    </row>
    <row r="3375" spans="1:7" x14ac:dyDescent="0.25">
      <c r="A3375" t="s">
        <v>1248</v>
      </c>
      <c r="B3375">
        <v>182</v>
      </c>
      <c r="C3375">
        <v>352256</v>
      </c>
      <c r="D3375">
        <v>405</v>
      </c>
      <c r="G3375">
        <v>91</v>
      </c>
    </row>
    <row r="3376" spans="1:7" x14ac:dyDescent="0.25">
      <c r="A3376" t="s">
        <v>1248</v>
      </c>
      <c r="B3376">
        <v>182</v>
      </c>
      <c r="C3376">
        <v>352257</v>
      </c>
      <c r="D3376">
        <v>405</v>
      </c>
      <c r="G3376">
        <v>92</v>
      </c>
    </row>
    <row r="3377" spans="1:7" x14ac:dyDescent="0.25">
      <c r="A3377" t="s">
        <v>1248</v>
      </c>
      <c r="B3377">
        <v>182</v>
      </c>
      <c r="C3377">
        <v>352258</v>
      </c>
      <c r="D3377">
        <v>405</v>
      </c>
      <c r="G3377">
        <v>93</v>
      </c>
    </row>
    <row r="3378" spans="1:7" x14ac:dyDescent="0.25">
      <c r="A3378" t="s">
        <v>1248</v>
      </c>
      <c r="B3378">
        <v>182</v>
      </c>
      <c r="C3378">
        <v>352259</v>
      </c>
      <c r="D3378">
        <v>405</v>
      </c>
      <c r="G3378">
        <v>94</v>
      </c>
    </row>
    <row r="3379" spans="1:7" x14ac:dyDescent="0.25">
      <c r="A3379" t="s">
        <v>1248</v>
      </c>
      <c r="B3379">
        <v>182</v>
      </c>
      <c r="C3379">
        <v>352260</v>
      </c>
      <c r="D3379">
        <v>405</v>
      </c>
      <c r="G3379">
        <v>95</v>
      </c>
    </row>
    <row r="3380" spans="1:7" x14ac:dyDescent="0.25">
      <c r="A3380" t="s">
        <v>1248</v>
      </c>
      <c r="B3380">
        <v>182</v>
      </c>
      <c r="C3380">
        <v>352261</v>
      </c>
      <c r="D3380">
        <v>405</v>
      </c>
      <c r="G3380">
        <v>96</v>
      </c>
    </row>
    <row r="3381" spans="1:7" x14ac:dyDescent="0.25">
      <c r="A3381" t="s">
        <v>1248</v>
      </c>
      <c r="B3381">
        <v>182</v>
      </c>
      <c r="C3381">
        <v>352262</v>
      </c>
      <c r="D3381">
        <v>405</v>
      </c>
      <c r="G3381">
        <v>98</v>
      </c>
    </row>
    <row r="3382" spans="1:7" x14ac:dyDescent="0.25">
      <c r="A3382" t="s">
        <v>1248</v>
      </c>
      <c r="B3382">
        <v>182</v>
      </c>
      <c r="C3382">
        <v>352263</v>
      </c>
      <c r="D3382">
        <v>405</v>
      </c>
      <c r="G3382">
        <v>99</v>
      </c>
    </row>
    <row r="3383" spans="1:7" x14ac:dyDescent="0.25">
      <c r="A3383" t="s">
        <v>1248</v>
      </c>
      <c r="B3383">
        <v>182</v>
      </c>
      <c r="C3383">
        <v>352264</v>
      </c>
      <c r="D3383">
        <v>405</v>
      </c>
      <c r="G3383">
        <v>100</v>
      </c>
    </row>
    <row r="3384" spans="1:7" x14ac:dyDescent="0.25">
      <c r="A3384" t="s">
        <v>1248</v>
      </c>
      <c r="B3384">
        <v>182</v>
      </c>
      <c r="C3384">
        <v>352265</v>
      </c>
      <c r="D3384">
        <v>405</v>
      </c>
      <c r="G3384">
        <v>101</v>
      </c>
    </row>
    <row r="3385" spans="1:7" x14ac:dyDescent="0.25">
      <c r="A3385" t="s">
        <v>1248</v>
      </c>
      <c r="B3385">
        <v>182</v>
      </c>
      <c r="C3385">
        <v>352266</v>
      </c>
      <c r="D3385">
        <v>405</v>
      </c>
      <c r="G3385">
        <v>102</v>
      </c>
    </row>
    <row r="3386" spans="1:7" x14ac:dyDescent="0.25">
      <c r="A3386" t="s">
        <v>1248</v>
      </c>
      <c r="B3386">
        <v>182</v>
      </c>
      <c r="C3386">
        <v>352267</v>
      </c>
      <c r="D3386">
        <v>405</v>
      </c>
      <c r="G3386">
        <v>103</v>
      </c>
    </row>
    <row r="3387" spans="1:7" x14ac:dyDescent="0.25">
      <c r="A3387" t="s">
        <v>1248</v>
      </c>
      <c r="B3387">
        <v>182</v>
      </c>
      <c r="C3387">
        <v>352268</v>
      </c>
      <c r="D3387">
        <v>405</v>
      </c>
      <c r="G3387">
        <v>104</v>
      </c>
    </row>
    <row r="3388" spans="1:7" x14ac:dyDescent="0.25">
      <c r="A3388" t="s">
        <v>1248</v>
      </c>
      <c r="B3388">
        <v>182</v>
      </c>
      <c r="C3388">
        <v>352269</v>
      </c>
      <c r="D3388">
        <v>405</v>
      </c>
      <c r="G3388">
        <v>106</v>
      </c>
    </row>
    <row r="3389" spans="1:7" x14ac:dyDescent="0.25">
      <c r="A3389" t="s">
        <v>1248</v>
      </c>
      <c r="B3389">
        <v>182</v>
      </c>
      <c r="C3389">
        <v>352270</v>
      </c>
      <c r="D3389">
        <v>405</v>
      </c>
      <c r="G3389">
        <v>107</v>
      </c>
    </row>
    <row r="3390" spans="1:7" x14ac:dyDescent="0.25">
      <c r="A3390" t="s">
        <v>1248</v>
      </c>
      <c r="B3390">
        <v>182</v>
      </c>
      <c r="C3390">
        <v>352271</v>
      </c>
      <c r="D3390">
        <v>405</v>
      </c>
      <c r="G3390">
        <v>108</v>
      </c>
    </row>
    <row r="3391" spans="1:7" x14ac:dyDescent="0.25">
      <c r="A3391" t="s">
        <v>1248</v>
      </c>
      <c r="B3391">
        <v>182</v>
      </c>
      <c r="C3391">
        <v>352272</v>
      </c>
      <c r="D3391">
        <v>405</v>
      </c>
      <c r="G3391">
        <v>109</v>
      </c>
    </row>
    <row r="3392" spans="1:7" x14ac:dyDescent="0.25">
      <c r="A3392" t="s">
        <v>1248</v>
      </c>
      <c r="B3392">
        <v>182</v>
      </c>
      <c r="C3392">
        <v>352273</v>
      </c>
      <c r="D3392">
        <v>405</v>
      </c>
      <c r="G3392">
        <v>110</v>
      </c>
    </row>
    <row r="3393" spans="1:7" x14ac:dyDescent="0.25">
      <c r="A3393" t="s">
        <v>1248</v>
      </c>
      <c r="B3393">
        <v>182</v>
      </c>
      <c r="C3393">
        <v>352274</v>
      </c>
      <c r="D3393">
        <v>405</v>
      </c>
      <c r="G3393">
        <v>111</v>
      </c>
    </row>
    <row r="3394" spans="1:7" x14ac:dyDescent="0.25">
      <c r="A3394" t="s">
        <v>1248</v>
      </c>
      <c r="B3394">
        <v>182</v>
      </c>
      <c r="C3394">
        <v>352275</v>
      </c>
      <c r="D3394">
        <v>405</v>
      </c>
      <c r="G3394">
        <v>112</v>
      </c>
    </row>
    <row r="3395" spans="1:7" x14ac:dyDescent="0.25">
      <c r="A3395" t="s">
        <v>1248</v>
      </c>
      <c r="B3395">
        <v>182</v>
      </c>
      <c r="C3395">
        <v>352276</v>
      </c>
      <c r="D3395">
        <v>405</v>
      </c>
      <c r="G3395">
        <v>114</v>
      </c>
    </row>
    <row r="3396" spans="1:7" x14ac:dyDescent="0.25">
      <c r="A3396" t="s">
        <v>1248</v>
      </c>
      <c r="B3396">
        <v>182</v>
      </c>
      <c r="C3396">
        <v>352277</v>
      </c>
      <c r="D3396">
        <v>405</v>
      </c>
      <c r="G3396">
        <v>115</v>
      </c>
    </row>
    <row r="3397" spans="1:7" x14ac:dyDescent="0.25">
      <c r="A3397" t="s">
        <v>1248</v>
      </c>
      <c r="B3397">
        <v>182</v>
      </c>
      <c r="C3397">
        <v>352278</v>
      </c>
      <c r="D3397">
        <v>405</v>
      </c>
      <c r="G3397">
        <v>116</v>
      </c>
    </row>
    <row r="3398" spans="1:7" x14ac:dyDescent="0.25">
      <c r="A3398" t="s">
        <v>1248</v>
      </c>
      <c r="B3398">
        <v>182</v>
      </c>
      <c r="C3398">
        <v>352279</v>
      </c>
      <c r="D3398">
        <v>405</v>
      </c>
      <c r="G3398">
        <v>117</v>
      </c>
    </row>
    <row r="3399" spans="1:7" x14ac:dyDescent="0.25">
      <c r="A3399" t="s">
        <v>1248</v>
      </c>
      <c r="B3399">
        <v>182</v>
      </c>
      <c r="C3399">
        <v>352280</v>
      </c>
      <c r="D3399">
        <v>405</v>
      </c>
      <c r="G3399">
        <v>118</v>
      </c>
    </row>
    <row r="3400" spans="1:7" x14ac:dyDescent="0.25">
      <c r="A3400" t="s">
        <v>1248</v>
      </c>
      <c r="B3400">
        <v>182</v>
      </c>
      <c r="C3400">
        <v>352281</v>
      </c>
      <c r="D3400">
        <v>405</v>
      </c>
      <c r="G3400">
        <v>119</v>
      </c>
    </row>
    <row r="3401" spans="1:7" x14ac:dyDescent="0.25">
      <c r="A3401" t="s">
        <v>1248</v>
      </c>
      <c r="B3401">
        <v>182</v>
      </c>
      <c r="C3401">
        <v>352282</v>
      </c>
      <c r="D3401">
        <v>405</v>
      </c>
      <c r="G3401">
        <v>120</v>
      </c>
    </row>
    <row r="3402" spans="1:7" x14ac:dyDescent="0.25">
      <c r="A3402" t="s">
        <v>1248</v>
      </c>
      <c r="B3402">
        <v>182</v>
      </c>
      <c r="C3402">
        <v>352283</v>
      </c>
      <c r="D3402">
        <v>405</v>
      </c>
      <c r="G3402">
        <v>122</v>
      </c>
    </row>
    <row r="3403" spans="1:7" x14ac:dyDescent="0.25">
      <c r="A3403" t="s">
        <v>1248</v>
      </c>
      <c r="B3403">
        <v>182</v>
      </c>
      <c r="C3403">
        <v>352284</v>
      </c>
      <c r="D3403">
        <v>405</v>
      </c>
      <c r="G3403">
        <v>123</v>
      </c>
    </row>
    <row r="3404" spans="1:7" x14ac:dyDescent="0.25">
      <c r="A3404" t="s">
        <v>1248</v>
      </c>
      <c r="B3404">
        <v>182</v>
      </c>
      <c r="C3404">
        <v>352285</v>
      </c>
      <c r="D3404">
        <v>405</v>
      </c>
      <c r="G3404">
        <v>124</v>
      </c>
    </row>
    <row r="3405" spans="1:7" x14ac:dyDescent="0.25">
      <c r="A3405" t="s">
        <v>1248</v>
      </c>
      <c r="B3405">
        <v>182</v>
      </c>
      <c r="C3405">
        <v>352286</v>
      </c>
      <c r="D3405">
        <v>405</v>
      </c>
      <c r="G3405">
        <v>125</v>
      </c>
    </row>
    <row r="3406" spans="1:7" x14ac:dyDescent="0.25">
      <c r="A3406" t="s">
        <v>1248</v>
      </c>
      <c r="B3406">
        <v>182</v>
      </c>
      <c r="C3406">
        <v>352287</v>
      </c>
      <c r="D3406">
        <v>405</v>
      </c>
      <c r="G3406">
        <v>126</v>
      </c>
    </row>
    <row r="3407" spans="1:7" x14ac:dyDescent="0.25">
      <c r="A3407" t="s">
        <v>1248</v>
      </c>
      <c r="B3407">
        <v>182</v>
      </c>
      <c r="C3407">
        <v>352288</v>
      </c>
      <c r="D3407">
        <v>405</v>
      </c>
      <c r="G3407">
        <v>127</v>
      </c>
    </row>
    <row r="3408" spans="1:7" x14ac:dyDescent="0.25">
      <c r="A3408" t="s">
        <v>1248</v>
      </c>
      <c r="B3408">
        <v>182</v>
      </c>
      <c r="C3408">
        <v>352289</v>
      </c>
      <c r="D3408">
        <v>405</v>
      </c>
      <c r="G3408">
        <v>128</v>
      </c>
    </row>
    <row r="3409" spans="1:7" x14ac:dyDescent="0.25">
      <c r="A3409" t="s">
        <v>1248</v>
      </c>
      <c r="B3409">
        <v>182</v>
      </c>
      <c r="C3409">
        <v>352290</v>
      </c>
      <c r="D3409">
        <v>405</v>
      </c>
      <c r="G3409">
        <v>130</v>
      </c>
    </row>
    <row r="3410" spans="1:7" x14ac:dyDescent="0.25">
      <c r="A3410" t="s">
        <v>1248</v>
      </c>
      <c r="B3410">
        <v>182</v>
      </c>
      <c r="C3410">
        <v>352291</v>
      </c>
      <c r="D3410">
        <v>405</v>
      </c>
      <c r="G3410">
        <v>131</v>
      </c>
    </row>
    <row r="3411" spans="1:7" x14ac:dyDescent="0.25">
      <c r="A3411" t="s">
        <v>1248</v>
      </c>
      <c r="B3411">
        <v>182</v>
      </c>
      <c r="C3411">
        <v>352292</v>
      </c>
      <c r="D3411">
        <v>405</v>
      </c>
      <c r="G3411">
        <v>132</v>
      </c>
    </row>
    <row r="3412" spans="1:7" x14ac:dyDescent="0.25">
      <c r="A3412" t="s">
        <v>1248</v>
      </c>
      <c r="B3412">
        <v>182</v>
      </c>
      <c r="C3412">
        <v>352293</v>
      </c>
      <c r="D3412">
        <v>405</v>
      </c>
      <c r="G3412">
        <v>133</v>
      </c>
    </row>
    <row r="3413" spans="1:7" x14ac:dyDescent="0.25">
      <c r="A3413" t="s">
        <v>1248</v>
      </c>
      <c r="B3413">
        <v>182</v>
      </c>
      <c r="C3413">
        <v>352294</v>
      </c>
      <c r="D3413">
        <v>405</v>
      </c>
      <c r="G3413">
        <v>134</v>
      </c>
    </row>
    <row r="3414" spans="1:7" x14ac:dyDescent="0.25">
      <c r="A3414" t="s">
        <v>1248</v>
      </c>
      <c r="B3414">
        <v>182</v>
      </c>
      <c r="C3414">
        <v>352295</v>
      </c>
      <c r="D3414">
        <v>405</v>
      </c>
      <c r="G3414">
        <v>135</v>
      </c>
    </row>
    <row r="3415" spans="1:7" x14ac:dyDescent="0.25">
      <c r="A3415" t="s">
        <v>1248</v>
      </c>
      <c r="B3415">
        <v>182</v>
      </c>
      <c r="C3415">
        <v>352296</v>
      </c>
      <c r="D3415">
        <v>405</v>
      </c>
      <c r="G3415">
        <v>136</v>
      </c>
    </row>
    <row r="3416" spans="1:7" x14ac:dyDescent="0.25">
      <c r="A3416" t="s">
        <v>1248</v>
      </c>
      <c r="B3416">
        <v>182</v>
      </c>
      <c r="C3416">
        <v>352297</v>
      </c>
      <c r="D3416">
        <v>405</v>
      </c>
      <c r="G3416">
        <v>138</v>
      </c>
    </row>
    <row r="3417" spans="1:7" x14ac:dyDescent="0.25">
      <c r="A3417" t="s">
        <v>1248</v>
      </c>
      <c r="B3417">
        <v>182</v>
      </c>
      <c r="C3417">
        <v>352298</v>
      </c>
      <c r="D3417">
        <v>405</v>
      </c>
      <c r="G3417">
        <v>139</v>
      </c>
    </row>
    <row r="3418" spans="1:7" x14ac:dyDescent="0.25">
      <c r="A3418" t="s">
        <v>1248</v>
      </c>
      <c r="B3418">
        <v>182</v>
      </c>
      <c r="C3418">
        <v>352299</v>
      </c>
      <c r="D3418">
        <v>405</v>
      </c>
      <c r="G3418">
        <v>140</v>
      </c>
    </row>
    <row r="3419" spans="1:7" x14ac:dyDescent="0.25">
      <c r="A3419" t="s">
        <v>1248</v>
      </c>
      <c r="B3419">
        <v>182</v>
      </c>
      <c r="C3419">
        <v>352300</v>
      </c>
      <c r="D3419">
        <v>405</v>
      </c>
      <c r="G3419">
        <v>141</v>
      </c>
    </row>
    <row r="3420" spans="1:7" x14ac:dyDescent="0.25">
      <c r="A3420" t="s">
        <v>1248</v>
      </c>
      <c r="B3420">
        <v>182</v>
      </c>
      <c r="C3420">
        <v>352301</v>
      </c>
      <c r="D3420">
        <v>405</v>
      </c>
      <c r="G3420">
        <v>142</v>
      </c>
    </row>
    <row r="3421" spans="1:7" x14ac:dyDescent="0.25">
      <c r="A3421" t="s">
        <v>1248</v>
      </c>
      <c r="B3421">
        <v>182</v>
      </c>
      <c r="C3421">
        <v>352302</v>
      </c>
      <c r="D3421">
        <v>405</v>
      </c>
      <c r="G3421">
        <v>143</v>
      </c>
    </row>
    <row r="3422" spans="1:7" x14ac:dyDescent="0.25">
      <c r="A3422" t="s">
        <v>1248</v>
      </c>
      <c r="B3422">
        <v>182</v>
      </c>
      <c r="C3422">
        <v>352303</v>
      </c>
      <c r="D3422">
        <v>405</v>
      </c>
      <c r="G3422">
        <v>144</v>
      </c>
    </row>
    <row r="3423" spans="1:7" x14ac:dyDescent="0.25">
      <c r="A3423" t="s">
        <v>1248</v>
      </c>
      <c r="B3423">
        <v>182</v>
      </c>
      <c r="C3423">
        <v>352304</v>
      </c>
      <c r="D3423">
        <v>405</v>
      </c>
      <c r="G3423">
        <v>146</v>
      </c>
    </row>
    <row r="3424" spans="1:7" x14ac:dyDescent="0.25">
      <c r="A3424" t="s">
        <v>1248</v>
      </c>
      <c r="B3424">
        <v>182</v>
      </c>
      <c r="C3424">
        <v>352305</v>
      </c>
      <c r="D3424">
        <v>405</v>
      </c>
      <c r="G3424">
        <v>147</v>
      </c>
    </row>
    <row r="3425" spans="1:7" x14ac:dyDescent="0.25">
      <c r="A3425" t="s">
        <v>1248</v>
      </c>
      <c r="B3425">
        <v>182</v>
      </c>
      <c r="C3425">
        <v>352306</v>
      </c>
      <c r="D3425">
        <v>405</v>
      </c>
      <c r="G3425">
        <v>148</v>
      </c>
    </row>
    <row r="3426" spans="1:7" x14ac:dyDescent="0.25">
      <c r="A3426" t="s">
        <v>1248</v>
      </c>
      <c r="B3426">
        <v>182</v>
      </c>
      <c r="C3426">
        <v>352307</v>
      </c>
      <c r="D3426">
        <v>405</v>
      </c>
      <c r="G3426">
        <v>149</v>
      </c>
    </row>
    <row r="3427" spans="1:7" x14ac:dyDescent="0.25">
      <c r="A3427" t="s">
        <v>1248</v>
      </c>
      <c r="B3427">
        <v>182</v>
      </c>
      <c r="C3427">
        <v>352308</v>
      </c>
      <c r="D3427">
        <v>405</v>
      </c>
      <c r="G3427">
        <v>150</v>
      </c>
    </row>
    <row r="3428" spans="1:7" x14ac:dyDescent="0.25">
      <c r="A3428" t="s">
        <v>1248</v>
      </c>
      <c r="B3428">
        <v>182</v>
      </c>
      <c r="C3428">
        <v>352309</v>
      </c>
      <c r="D3428">
        <v>405</v>
      </c>
      <c r="G3428">
        <v>151</v>
      </c>
    </row>
    <row r="3429" spans="1:7" x14ac:dyDescent="0.25">
      <c r="A3429" t="s">
        <v>1248</v>
      </c>
      <c r="B3429">
        <v>182</v>
      </c>
      <c r="C3429">
        <v>352310</v>
      </c>
      <c r="D3429">
        <v>405</v>
      </c>
      <c r="G3429">
        <v>152</v>
      </c>
    </row>
    <row r="3430" spans="1:7" x14ac:dyDescent="0.25">
      <c r="A3430" t="s">
        <v>1248</v>
      </c>
      <c r="B3430">
        <v>182</v>
      </c>
      <c r="C3430">
        <v>352311</v>
      </c>
      <c r="D3430">
        <v>405</v>
      </c>
      <c r="G3430">
        <v>154</v>
      </c>
    </row>
    <row r="3431" spans="1:7" x14ac:dyDescent="0.25">
      <c r="A3431" t="s">
        <v>1248</v>
      </c>
      <c r="B3431">
        <v>182</v>
      </c>
      <c r="C3431">
        <v>352312</v>
      </c>
      <c r="D3431">
        <v>405</v>
      </c>
      <c r="G3431">
        <v>155</v>
      </c>
    </row>
    <row r="3432" spans="1:7" x14ac:dyDescent="0.25">
      <c r="A3432" t="s">
        <v>1248</v>
      </c>
      <c r="B3432">
        <v>182</v>
      </c>
      <c r="C3432">
        <v>352313</v>
      </c>
      <c r="D3432">
        <v>405</v>
      </c>
      <c r="G3432">
        <v>156</v>
      </c>
    </row>
    <row r="3433" spans="1:7" x14ac:dyDescent="0.25">
      <c r="A3433" t="s">
        <v>1248</v>
      </c>
      <c r="B3433">
        <v>182</v>
      </c>
      <c r="C3433">
        <v>352314</v>
      </c>
      <c r="D3433">
        <v>405</v>
      </c>
      <c r="G3433">
        <v>157</v>
      </c>
    </row>
    <row r="3434" spans="1:7" x14ac:dyDescent="0.25">
      <c r="A3434" t="s">
        <v>1248</v>
      </c>
      <c r="B3434">
        <v>182</v>
      </c>
      <c r="C3434">
        <v>352315</v>
      </c>
      <c r="D3434">
        <v>405</v>
      </c>
      <c r="G3434">
        <v>158</v>
      </c>
    </row>
    <row r="3435" spans="1:7" x14ac:dyDescent="0.25">
      <c r="A3435" t="s">
        <v>1248</v>
      </c>
      <c r="B3435">
        <v>182</v>
      </c>
      <c r="C3435">
        <v>352316</v>
      </c>
      <c r="D3435">
        <v>405</v>
      </c>
      <c r="G3435">
        <v>159</v>
      </c>
    </row>
    <row r="3436" spans="1:7" x14ac:dyDescent="0.25">
      <c r="A3436" t="s">
        <v>1248</v>
      </c>
      <c r="B3436">
        <v>182</v>
      </c>
      <c r="C3436">
        <v>352317</v>
      </c>
      <c r="D3436">
        <v>405</v>
      </c>
      <c r="G3436">
        <v>160</v>
      </c>
    </row>
    <row r="3437" spans="1:7" x14ac:dyDescent="0.25">
      <c r="A3437" t="s">
        <v>1248</v>
      </c>
      <c r="B3437">
        <v>182</v>
      </c>
      <c r="C3437">
        <v>352318</v>
      </c>
      <c r="D3437">
        <v>405</v>
      </c>
      <c r="G3437">
        <v>162</v>
      </c>
    </row>
    <row r="3438" spans="1:7" x14ac:dyDescent="0.25">
      <c r="A3438" t="s">
        <v>1248</v>
      </c>
      <c r="B3438">
        <v>182</v>
      </c>
      <c r="C3438">
        <v>352319</v>
      </c>
      <c r="D3438">
        <v>405</v>
      </c>
      <c r="G3438">
        <v>163</v>
      </c>
    </row>
    <row r="3439" spans="1:7" x14ac:dyDescent="0.25">
      <c r="A3439" t="s">
        <v>1248</v>
      </c>
      <c r="B3439">
        <v>182</v>
      </c>
      <c r="C3439">
        <v>352320</v>
      </c>
      <c r="D3439">
        <v>405</v>
      </c>
      <c r="G3439">
        <v>164</v>
      </c>
    </row>
    <row r="3440" spans="1:7" x14ac:dyDescent="0.25">
      <c r="A3440" t="s">
        <v>1248</v>
      </c>
      <c r="B3440">
        <v>182</v>
      </c>
      <c r="C3440">
        <v>352321</v>
      </c>
      <c r="D3440">
        <v>405</v>
      </c>
      <c r="G3440">
        <v>165</v>
      </c>
    </row>
    <row r="3441" spans="1:7" x14ac:dyDescent="0.25">
      <c r="A3441" t="s">
        <v>1248</v>
      </c>
      <c r="B3441">
        <v>182</v>
      </c>
      <c r="C3441">
        <v>352322</v>
      </c>
      <c r="D3441">
        <v>405</v>
      </c>
      <c r="G3441">
        <v>166</v>
      </c>
    </row>
    <row r="3442" spans="1:7" x14ac:dyDescent="0.25">
      <c r="A3442" t="s">
        <v>1248</v>
      </c>
      <c r="B3442">
        <v>182</v>
      </c>
      <c r="C3442">
        <v>352323</v>
      </c>
      <c r="D3442">
        <v>405</v>
      </c>
      <c r="G3442">
        <v>167</v>
      </c>
    </row>
    <row r="3443" spans="1:7" x14ac:dyDescent="0.25">
      <c r="A3443" t="s">
        <v>1248</v>
      </c>
      <c r="B3443">
        <v>182</v>
      </c>
      <c r="C3443">
        <v>352324</v>
      </c>
      <c r="D3443">
        <v>405</v>
      </c>
      <c r="G3443">
        <v>168</v>
      </c>
    </row>
    <row r="3444" spans="1:7" x14ac:dyDescent="0.25">
      <c r="A3444" t="s">
        <v>1248</v>
      </c>
      <c r="B3444">
        <v>182</v>
      </c>
      <c r="C3444">
        <v>352325</v>
      </c>
      <c r="D3444">
        <v>405</v>
      </c>
      <c r="G3444">
        <v>170</v>
      </c>
    </row>
    <row r="3445" spans="1:7" x14ac:dyDescent="0.25">
      <c r="A3445" t="s">
        <v>1248</v>
      </c>
      <c r="B3445">
        <v>182</v>
      </c>
      <c r="C3445">
        <v>352326</v>
      </c>
      <c r="D3445">
        <v>405</v>
      </c>
      <c r="G3445">
        <v>171</v>
      </c>
    </row>
    <row r="3446" spans="1:7" x14ac:dyDescent="0.25">
      <c r="A3446" t="s">
        <v>1248</v>
      </c>
      <c r="B3446">
        <v>182</v>
      </c>
      <c r="C3446">
        <v>352327</v>
      </c>
      <c r="D3446">
        <v>405</v>
      </c>
      <c r="G3446">
        <v>172</v>
      </c>
    </row>
    <row r="3447" spans="1:7" x14ac:dyDescent="0.25">
      <c r="A3447" t="s">
        <v>1248</v>
      </c>
      <c r="B3447">
        <v>182</v>
      </c>
      <c r="C3447">
        <v>352328</v>
      </c>
      <c r="D3447">
        <v>405</v>
      </c>
      <c r="G3447">
        <v>173</v>
      </c>
    </row>
    <row r="3448" spans="1:7" x14ac:dyDescent="0.25">
      <c r="A3448" t="s">
        <v>1248</v>
      </c>
      <c r="B3448">
        <v>182</v>
      </c>
      <c r="C3448">
        <v>352329</v>
      </c>
      <c r="D3448">
        <v>405</v>
      </c>
      <c r="G3448">
        <v>174</v>
      </c>
    </row>
    <row r="3449" spans="1:7" x14ac:dyDescent="0.25">
      <c r="A3449" t="s">
        <v>1248</v>
      </c>
      <c r="B3449">
        <v>182</v>
      </c>
      <c r="C3449">
        <v>352330</v>
      </c>
      <c r="D3449">
        <v>405</v>
      </c>
      <c r="G3449">
        <v>175</v>
      </c>
    </row>
    <row r="3450" spans="1:7" x14ac:dyDescent="0.25">
      <c r="A3450" t="s">
        <v>1248</v>
      </c>
      <c r="B3450">
        <v>182</v>
      </c>
      <c r="C3450">
        <v>352331</v>
      </c>
      <c r="D3450">
        <v>405</v>
      </c>
      <c r="G3450">
        <v>176</v>
      </c>
    </row>
    <row r="3451" spans="1:7" x14ac:dyDescent="0.25">
      <c r="A3451" t="s">
        <v>1248</v>
      </c>
      <c r="B3451">
        <v>182</v>
      </c>
      <c r="C3451">
        <v>352332</v>
      </c>
      <c r="D3451">
        <v>405</v>
      </c>
      <c r="G3451">
        <v>178</v>
      </c>
    </row>
    <row r="3452" spans="1:7" x14ac:dyDescent="0.25">
      <c r="A3452" t="s">
        <v>1248</v>
      </c>
      <c r="B3452">
        <v>182</v>
      </c>
      <c r="C3452">
        <v>352333</v>
      </c>
      <c r="D3452">
        <v>405</v>
      </c>
      <c r="G3452">
        <v>179</v>
      </c>
    </row>
    <row r="3453" spans="1:7" x14ac:dyDescent="0.25">
      <c r="A3453" t="s">
        <v>1248</v>
      </c>
      <c r="B3453">
        <v>182</v>
      </c>
      <c r="C3453">
        <v>352334</v>
      </c>
      <c r="D3453">
        <v>405</v>
      </c>
      <c r="G3453">
        <v>180</v>
      </c>
    </row>
    <row r="3454" spans="1:7" x14ac:dyDescent="0.25">
      <c r="A3454" t="s">
        <v>1248</v>
      </c>
      <c r="B3454">
        <v>182</v>
      </c>
      <c r="C3454">
        <v>352335</v>
      </c>
      <c r="D3454">
        <v>405</v>
      </c>
      <c r="G3454">
        <v>181</v>
      </c>
    </row>
    <row r="3455" spans="1:7" x14ac:dyDescent="0.25">
      <c r="A3455" t="s">
        <v>1248</v>
      </c>
      <c r="B3455">
        <v>182</v>
      </c>
      <c r="C3455">
        <v>352336</v>
      </c>
      <c r="D3455">
        <v>405</v>
      </c>
      <c r="G3455">
        <v>182</v>
      </c>
    </row>
    <row r="3456" spans="1:7" x14ac:dyDescent="0.25">
      <c r="A3456" t="s">
        <v>1248</v>
      </c>
      <c r="B3456">
        <v>182</v>
      </c>
      <c r="C3456">
        <v>352337</v>
      </c>
      <c r="D3456">
        <v>405</v>
      </c>
      <c r="G3456">
        <v>183</v>
      </c>
    </row>
    <row r="3457" spans="1:7" x14ac:dyDescent="0.25">
      <c r="A3457" t="s">
        <v>1248</v>
      </c>
      <c r="B3457">
        <v>182</v>
      </c>
      <c r="C3457">
        <v>352338</v>
      </c>
      <c r="D3457">
        <v>405</v>
      </c>
      <c r="G3457">
        <v>184</v>
      </c>
    </row>
    <row r="3458" spans="1:7" x14ac:dyDescent="0.25">
      <c r="A3458" t="s">
        <v>1248</v>
      </c>
      <c r="B3458">
        <v>182</v>
      </c>
      <c r="C3458">
        <v>352339</v>
      </c>
      <c r="D3458">
        <v>405</v>
      </c>
      <c r="G3458">
        <v>186</v>
      </c>
    </row>
    <row r="3459" spans="1:7" x14ac:dyDescent="0.25">
      <c r="A3459" t="s">
        <v>1248</v>
      </c>
      <c r="B3459">
        <v>182</v>
      </c>
      <c r="C3459">
        <v>352340</v>
      </c>
      <c r="D3459">
        <v>405</v>
      </c>
      <c r="G3459">
        <v>187</v>
      </c>
    </row>
    <row r="3460" spans="1:7" x14ac:dyDescent="0.25">
      <c r="A3460" t="s">
        <v>1248</v>
      </c>
      <c r="B3460">
        <v>182</v>
      </c>
      <c r="C3460">
        <v>352341</v>
      </c>
      <c r="D3460">
        <v>405</v>
      </c>
      <c r="G3460">
        <v>188</v>
      </c>
    </row>
    <row r="3461" spans="1:7" x14ac:dyDescent="0.25">
      <c r="A3461" t="s">
        <v>1248</v>
      </c>
      <c r="B3461">
        <v>182</v>
      </c>
      <c r="C3461">
        <v>352342</v>
      </c>
      <c r="D3461">
        <v>405</v>
      </c>
      <c r="G3461">
        <v>189</v>
      </c>
    </row>
    <row r="3462" spans="1:7" x14ac:dyDescent="0.25">
      <c r="A3462" t="s">
        <v>1248</v>
      </c>
      <c r="B3462">
        <v>182</v>
      </c>
      <c r="C3462">
        <v>352343</v>
      </c>
      <c r="D3462">
        <v>405</v>
      </c>
      <c r="G3462">
        <v>190</v>
      </c>
    </row>
    <row r="3463" spans="1:7" x14ac:dyDescent="0.25">
      <c r="A3463" t="s">
        <v>1248</v>
      </c>
      <c r="B3463">
        <v>182</v>
      </c>
      <c r="C3463">
        <v>352344</v>
      </c>
      <c r="D3463">
        <v>405</v>
      </c>
      <c r="G3463">
        <v>191</v>
      </c>
    </row>
    <row r="3464" spans="1:7" x14ac:dyDescent="0.25">
      <c r="A3464" t="s">
        <v>1248</v>
      </c>
      <c r="B3464">
        <v>182</v>
      </c>
      <c r="C3464">
        <v>352345</v>
      </c>
      <c r="D3464">
        <v>405</v>
      </c>
      <c r="G3464">
        <v>192</v>
      </c>
    </row>
    <row r="3465" spans="1:7" x14ac:dyDescent="0.25">
      <c r="A3465" t="s">
        <v>1248</v>
      </c>
      <c r="B3465">
        <v>182</v>
      </c>
      <c r="C3465">
        <v>352346</v>
      </c>
      <c r="D3465">
        <v>405</v>
      </c>
      <c r="G3465">
        <v>194</v>
      </c>
    </row>
    <row r="3466" spans="1:7" x14ac:dyDescent="0.25">
      <c r="A3466" t="s">
        <v>1248</v>
      </c>
      <c r="B3466">
        <v>182</v>
      </c>
      <c r="C3466">
        <v>352347</v>
      </c>
      <c r="D3466">
        <v>405</v>
      </c>
      <c r="G3466">
        <v>195</v>
      </c>
    </row>
    <row r="3467" spans="1:7" x14ac:dyDescent="0.25">
      <c r="A3467" t="s">
        <v>1248</v>
      </c>
      <c r="B3467">
        <v>182</v>
      </c>
      <c r="C3467">
        <v>352348</v>
      </c>
      <c r="D3467">
        <v>405</v>
      </c>
      <c r="G3467">
        <v>196</v>
      </c>
    </row>
    <row r="3468" spans="1:7" x14ac:dyDescent="0.25">
      <c r="A3468" t="s">
        <v>1248</v>
      </c>
      <c r="B3468">
        <v>182</v>
      </c>
      <c r="C3468">
        <v>352349</v>
      </c>
      <c r="D3468">
        <v>405</v>
      </c>
      <c r="G3468">
        <v>197</v>
      </c>
    </row>
    <row r="3469" spans="1:7" x14ac:dyDescent="0.25">
      <c r="A3469" t="s">
        <v>1248</v>
      </c>
      <c r="B3469">
        <v>182</v>
      </c>
      <c r="C3469">
        <v>352350</v>
      </c>
      <c r="D3469">
        <v>405</v>
      </c>
      <c r="G3469">
        <v>198</v>
      </c>
    </row>
    <row r="3470" spans="1:7" x14ac:dyDescent="0.25">
      <c r="A3470" t="s">
        <v>1248</v>
      </c>
      <c r="B3470">
        <v>182</v>
      </c>
      <c r="C3470">
        <v>352351</v>
      </c>
      <c r="D3470">
        <v>405</v>
      </c>
      <c r="G3470">
        <v>199</v>
      </c>
    </row>
    <row r="3471" spans="1:7" x14ac:dyDescent="0.25">
      <c r="A3471" t="s">
        <v>1248</v>
      </c>
      <c r="B3471">
        <v>182</v>
      </c>
      <c r="C3471">
        <v>352352</v>
      </c>
      <c r="D3471">
        <v>405</v>
      </c>
      <c r="G3471">
        <v>200</v>
      </c>
    </row>
    <row r="3472" spans="1:7" x14ac:dyDescent="0.25">
      <c r="A3472" t="s">
        <v>1248</v>
      </c>
      <c r="B3472">
        <v>182</v>
      </c>
      <c r="C3472">
        <v>352353</v>
      </c>
      <c r="D3472">
        <v>405</v>
      </c>
      <c r="G3472">
        <v>202</v>
      </c>
    </row>
    <row r="3473" spans="1:7" x14ac:dyDescent="0.25">
      <c r="A3473" t="s">
        <v>1248</v>
      </c>
      <c r="B3473">
        <v>182</v>
      </c>
      <c r="C3473">
        <v>352354</v>
      </c>
      <c r="D3473">
        <v>405</v>
      </c>
      <c r="G3473">
        <v>203</v>
      </c>
    </row>
    <row r="3474" spans="1:7" x14ac:dyDescent="0.25">
      <c r="A3474" t="s">
        <v>1248</v>
      </c>
      <c r="B3474">
        <v>182</v>
      </c>
      <c r="C3474">
        <v>352355</v>
      </c>
      <c r="D3474">
        <v>405</v>
      </c>
      <c r="G3474">
        <v>204</v>
      </c>
    </row>
    <row r="3475" spans="1:7" x14ac:dyDescent="0.25">
      <c r="A3475" t="s">
        <v>1248</v>
      </c>
      <c r="B3475">
        <v>182</v>
      </c>
      <c r="C3475">
        <v>352356</v>
      </c>
      <c r="D3475">
        <v>405</v>
      </c>
      <c r="G3475">
        <v>205</v>
      </c>
    </row>
    <row r="3476" spans="1:7" x14ac:dyDescent="0.25">
      <c r="A3476" t="s">
        <v>1248</v>
      </c>
      <c r="B3476">
        <v>182</v>
      </c>
      <c r="C3476">
        <v>352357</v>
      </c>
      <c r="D3476">
        <v>405</v>
      </c>
      <c r="G3476">
        <v>206</v>
      </c>
    </row>
    <row r="3477" spans="1:7" x14ac:dyDescent="0.25">
      <c r="A3477" t="s">
        <v>1248</v>
      </c>
      <c r="B3477">
        <v>182</v>
      </c>
      <c r="C3477">
        <v>352358</v>
      </c>
      <c r="D3477">
        <v>405</v>
      </c>
      <c r="G3477">
        <v>207</v>
      </c>
    </row>
    <row r="3478" spans="1:7" x14ac:dyDescent="0.25">
      <c r="A3478" t="s">
        <v>1248</v>
      </c>
      <c r="B3478">
        <v>182</v>
      </c>
      <c r="C3478">
        <v>352359</v>
      </c>
      <c r="D3478">
        <v>405</v>
      </c>
      <c r="G3478">
        <v>208</v>
      </c>
    </row>
    <row r="3479" spans="1:7" x14ac:dyDescent="0.25">
      <c r="A3479" t="s">
        <v>1248</v>
      </c>
      <c r="B3479">
        <v>182</v>
      </c>
      <c r="C3479">
        <v>352360</v>
      </c>
      <c r="D3479">
        <v>405</v>
      </c>
      <c r="G3479">
        <v>210</v>
      </c>
    </row>
    <row r="3480" spans="1:7" x14ac:dyDescent="0.25">
      <c r="A3480" t="s">
        <v>1248</v>
      </c>
      <c r="B3480">
        <v>182</v>
      </c>
      <c r="C3480">
        <v>352361</v>
      </c>
      <c r="D3480">
        <v>405</v>
      </c>
      <c r="G3480">
        <v>211</v>
      </c>
    </row>
    <row r="3481" spans="1:7" x14ac:dyDescent="0.25">
      <c r="A3481" t="s">
        <v>1248</v>
      </c>
      <c r="B3481">
        <v>182</v>
      </c>
      <c r="C3481">
        <v>352362</v>
      </c>
      <c r="D3481">
        <v>405</v>
      </c>
      <c r="G3481">
        <v>212</v>
      </c>
    </row>
    <row r="3482" spans="1:7" x14ac:dyDescent="0.25">
      <c r="A3482" t="s">
        <v>1248</v>
      </c>
      <c r="B3482">
        <v>182</v>
      </c>
      <c r="C3482">
        <v>352363</v>
      </c>
      <c r="D3482">
        <v>405</v>
      </c>
      <c r="G3482">
        <v>213</v>
      </c>
    </row>
    <row r="3483" spans="1:7" x14ac:dyDescent="0.25">
      <c r="A3483" t="s">
        <v>1248</v>
      </c>
      <c r="B3483">
        <v>182</v>
      </c>
      <c r="C3483">
        <v>352364</v>
      </c>
      <c r="D3483">
        <v>405</v>
      </c>
      <c r="G3483">
        <v>214</v>
      </c>
    </row>
    <row r="3484" spans="1:7" x14ac:dyDescent="0.25">
      <c r="A3484" t="s">
        <v>1248</v>
      </c>
      <c r="B3484">
        <v>182</v>
      </c>
      <c r="C3484">
        <v>352365</v>
      </c>
      <c r="D3484">
        <v>405</v>
      </c>
      <c r="G3484">
        <v>215</v>
      </c>
    </row>
    <row r="3485" spans="1:7" x14ac:dyDescent="0.25">
      <c r="A3485" t="s">
        <v>1248</v>
      </c>
      <c r="B3485">
        <v>182</v>
      </c>
      <c r="C3485">
        <v>352366</v>
      </c>
      <c r="D3485">
        <v>405</v>
      </c>
      <c r="G3485">
        <v>216</v>
      </c>
    </row>
    <row r="3486" spans="1:7" x14ac:dyDescent="0.25">
      <c r="A3486" t="s">
        <v>1248</v>
      </c>
      <c r="B3486">
        <v>207</v>
      </c>
      <c r="C3486">
        <v>119793</v>
      </c>
      <c r="D3486">
        <v>405</v>
      </c>
      <c r="G3486" s="29">
        <v>1022</v>
      </c>
    </row>
    <row r="3487" spans="1:7" x14ac:dyDescent="0.25">
      <c r="A3487" t="s">
        <v>1248</v>
      </c>
      <c r="B3487">
        <v>207</v>
      </c>
      <c r="C3487">
        <v>119794</v>
      </c>
      <c r="D3487">
        <v>405</v>
      </c>
      <c r="G3487" s="29">
        <v>1017</v>
      </c>
    </row>
    <row r="3488" spans="1:7" x14ac:dyDescent="0.25">
      <c r="A3488" t="s">
        <v>1248</v>
      </c>
      <c r="B3488">
        <v>207</v>
      </c>
      <c r="C3488">
        <v>119802</v>
      </c>
      <c r="D3488">
        <v>405</v>
      </c>
      <c r="G3488" s="29">
        <v>2001</v>
      </c>
    </row>
    <row r="3489" spans="1:7" x14ac:dyDescent="0.25">
      <c r="A3489" t="s">
        <v>1248</v>
      </c>
      <c r="B3489">
        <v>207</v>
      </c>
      <c r="C3489">
        <v>229301</v>
      </c>
      <c r="D3489">
        <v>405</v>
      </c>
      <c r="G3489" s="29">
        <v>1021</v>
      </c>
    </row>
    <row r="3490" spans="1:7" x14ac:dyDescent="0.25">
      <c r="A3490" t="s">
        <v>1248</v>
      </c>
      <c r="B3490">
        <v>207</v>
      </c>
      <c r="C3490">
        <v>229302</v>
      </c>
      <c r="D3490">
        <v>405</v>
      </c>
      <c r="G3490" s="29">
        <v>1023</v>
      </c>
    </row>
    <row r="3491" spans="1:7" x14ac:dyDescent="0.25">
      <c r="A3491" t="s">
        <v>1248</v>
      </c>
      <c r="B3491">
        <v>207</v>
      </c>
      <c r="C3491">
        <v>229303</v>
      </c>
      <c r="D3491">
        <v>405</v>
      </c>
      <c r="G3491" s="29">
        <v>1017</v>
      </c>
    </row>
    <row r="3492" spans="1:7" x14ac:dyDescent="0.25">
      <c r="A3492" t="s">
        <v>1248</v>
      </c>
      <c r="B3492">
        <v>207</v>
      </c>
      <c r="C3492">
        <v>229304</v>
      </c>
      <c r="D3492">
        <v>405</v>
      </c>
      <c r="G3492" s="29">
        <v>1017</v>
      </c>
    </row>
    <row r="3493" spans="1:7" x14ac:dyDescent="0.25">
      <c r="A3493" t="s">
        <v>1248</v>
      </c>
      <c r="B3493">
        <v>207</v>
      </c>
      <c r="C3493">
        <v>229305</v>
      </c>
      <c r="D3493">
        <v>405</v>
      </c>
      <c r="G3493" s="29">
        <v>1017</v>
      </c>
    </row>
    <row r="3494" spans="1:7" x14ac:dyDescent="0.25">
      <c r="A3494" t="s">
        <v>1248</v>
      </c>
      <c r="B3494">
        <v>262</v>
      </c>
      <c r="C3494">
        <v>119794</v>
      </c>
      <c r="D3494">
        <v>405</v>
      </c>
      <c r="F3494" s="29">
        <v>331986799948044</v>
      </c>
    </row>
    <row r="3495" spans="1:7" x14ac:dyDescent="0.25">
      <c r="A3495" t="s">
        <v>1248</v>
      </c>
      <c r="B3495">
        <v>262</v>
      </c>
      <c r="C3495">
        <v>119802</v>
      </c>
      <c r="D3495">
        <v>405</v>
      </c>
      <c r="F3495" s="29">
        <v>361511815913667</v>
      </c>
    </row>
    <row r="3496" spans="1:7" x14ac:dyDescent="0.25">
      <c r="A3496" t="s">
        <v>1248</v>
      </c>
      <c r="B3496">
        <v>262</v>
      </c>
      <c r="C3496">
        <v>229301</v>
      </c>
      <c r="D3496">
        <v>405</v>
      </c>
      <c r="F3496" s="29">
        <v>331986799948044</v>
      </c>
    </row>
    <row r="3497" spans="1:7" x14ac:dyDescent="0.25">
      <c r="A3497" t="s">
        <v>1248</v>
      </c>
      <c r="B3497">
        <v>262</v>
      </c>
      <c r="C3497">
        <v>229303</v>
      </c>
      <c r="D3497">
        <v>405</v>
      </c>
      <c r="F3497" s="29">
        <v>331986799948044</v>
      </c>
    </row>
    <row r="3498" spans="1:7" x14ac:dyDescent="0.25">
      <c r="A3498" t="s">
        <v>1248</v>
      </c>
      <c r="B3498">
        <v>262</v>
      </c>
      <c r="C3498">
        <v>229304</v>
      </c>
      <c r="D3498">
        <v>405</v>
      </c>
      <c r="F3498" s="29">
        <v>331986799948044</v>
      </c>
    </row>
    <row r="3499" spans="1:7" x14ac:dyDescent="0.25">
      <c r="A3499" t="s">
        <v>1248</v>
      </c>
      <c r="B3499">
        <v>262</v>
      </c>
      <c r="C3499">
        <v>229305</v>
      </c>
      <c r="D3499">
        <v>405</v>
      </c>
      <c r="F3499" s="29">
        <v>331986799948044</v>
      </c>
    </row>
    <row r="3500" spans="1:7" x14ac:dyDescent="0.25">
      <c r="A3500" t="s">
        <v>1248</v>
      </c>
      <c r="B3500">
        <v>263</v>
      </c>
      <c r="C3500">
        <v>119794</v>
      </c>
      <c r="D3500">
        <v>405</v>
      </c>
      <c r="F3500" s="29">
        <v>612072716645379</v>
      </c>
    </row>
    <row r="3501" spans="1:7" x14ac:dyDescent="0.25">
      <c r="A3501" t="s">
        <v>1248</v>
      </c>
      <c r="B3501">
        <v>263</v>
      </c>
      <c r="C3501">
        <v>119802</v>
      </c>
      <c r="D3501">
        <v>405</v>
      </c>
      <c r="F3501" s="29">
        <v>666506924750503</v>
      </c>
    </row>
    <row r="3502" spans="1:7" x14ac:dyDescent="0.25">
      <c r="A3502" t="s">
        <v>1248</v>
      </c>
      <c r="B3502">
        <v>263</v>
      </c>
      <c r="C3502">
        <v>229301</v>
      </c>
      <c r="D3502">
        <v>405</v>
      </c>
      <c r="F3502" s="29">
        <v>612072716645379</v>
      </c>
    </row>
    <row r="3503" spans="1:7" x14ac:dyDescent="0.25">
      <c r="A3503" t="s">
        <v>1248</v>
      </c>
      <c r="B3503">
        <v>263</v>
      </c>
      <c r="C3503">
        <v>229303</v>
      </c>
      <c r="D3503">
        <v>405</v>
      </c>
      <c r="F3503" s="29">
        <v>612072716645379</v>
      </c>
    </row>
    <row r="3504" spans="1:7" x14ac:dyDescent="0.25">
      <c r="A3504" t="s">
        <v>1248</v>
      </c>
      <c r="B3504">
        <v>263</v>
      </c>
      <c r="C3504">
        <v>229304</v>
      </c>
      <c r="D3504">
        <v>405</v>
      </c>
      <c r="F3504" s="29">
        <v>612072716645379</v>
      </c>
    </row>
    <row r="3505" spans="1:6" x14ac:dyDescent="0.25">
      <c r="A3505" t="s">
        <v>1248</v>
      </c>
      <c r="B3505">
        <v>263</v>
      </c>
      <c r="C3505">
        <v>229305</v>
      </c>
      <c r="D3505">
        <v>405</v>
      </c>
      <c r="F3505" s="29">
        <v>612072716645379</v>
      </c>
    </row>
    <row r="3506" spans="1:6" x14ac:dyDescent="0.25">
      <c r="A3506" t="s">
        <v>1248</v>
      </c>
      <c r="B3506">
        <v>266</v>
      </c>
      <c r="C3506">
        <v>405</v>
      </c>
      <c r="D3506">
        <v>405</v>
      </c>
      <c r="F3506" s="29">
        <v>408747757777152</v>
      </c>
    </row>
    <row r="3507" spans="1:6" x14ac:dyDescent="0.25">
      <c r="A3507" t="s">
        <v>1248</v>
      </c>
      <c r="B3507">
        <v>267</v>
      </c>
      <c r="C3507">
        <v>405</v>
      </c>
      <c r="D3507">
        <v>405</v>
      </c>
      <c r="F3507" s="29">
        <v>753594203937826</v>
      </c>
    </row>
    <row r="3508" spans="1:6" x14ac:dyDescent="0.25">
      <c r="A3508" t="s">
        <v>1248</v>
      </c>
      <c r="B3508">
        <v>268</v>
      </c>
      <c r="C3508">
        <v>405</v>
      </c>
      <c r="D3508">
        <v>405</v>
      </c>
      <c r="F3508" s="29">
        <v>534104568468166</v>
      </c>
    </row>
    <row r="3509" spans="1:6" x14ac:dyDescent="0.25">
      <c r="A3509" t="s">
        <v>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Claude Log</vt:lpstr>
      <vt:lpstr>Sheet</vt:lpstr>
      <vt:lpstr>Guado A - WBS 01.17</vt:lpstr>
      <vt:lpstr>Foglio3</vt:lpstr>
      <vt:lpstr>Foglio1</vt:lpstr>
      <vt:lpstr>Confronto Prezzi</vt:lpstr>
      <vt:lpstr>Foglio2</vt:lpstr>
      <vt:lpstr>XER da P6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Savatta</cp:lastModifiedBy>
  <dcterms:created xsi:type="dcterms:W3CDTF">2026-03-06T11:04:20Z</dcterms:created>
  <dcterms:modified xsi:type="dcterms:W3CDTF">2026-04-14T16:28:41Z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</Properties>
</file>